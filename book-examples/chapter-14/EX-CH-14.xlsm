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kh\Dropbox\WORK\PROJECTS\BOOKS\PRICING\FINAL\EXCEL\EXAMPLES\"/>
    </mc:Choice>
  </mc:AlternateContent>
  <xr:revisionPtr revIDLastSave="0" documentId="13_ncr:1_{B8262812-4CBA-488D-AB1F-214D72850F84}" xr6:coauthVersionLast="45" xr6:coauthVersionMax="45" xr10:uidLastSave="{00000000-0000-0000-0000-000000000000}"/>
  <bookViews>
    <workbookView xWindow="-120" yWindow="-120" windowWidth="29040" windowHeight="17025" xr2:uid="{00000000-000D-0000-FFFF-FFFF00000000}"/>
  </bookViews>
  <sheets>
    <sheet name="STEP-1-4" sheetId="9" r:id="rId1"/>
    <sheet name="STEP-5" sheetId="3" r:id="rId2"/>
  </sheets>
  <functionGroups builtInGroupCount="19"/>
  <definedNames>
    <definedName name="solver_adj" localSheetId="1" hidden="1">'STEP-5'!$K$9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'STEP-5'!$K$19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3" l="1"/>
  <c r="J14" i="3" s="1"/>
  <c r="J15" i="3" l="1"/>
  <c r="S5" i="3"/>
  <c r="J5" i="3" l="1"/>
  <c r="K5" i="3"/>
  <c r="K14" i="3" s="1"/>
  <c r="K15" i="3" s="1"/>
  <c r="N6" i="3"/>
  <c r="N5" i="3"/>
  <c r="O5" i="3"/>
  <c r="R5" i="3"/>
  <c r="F5" i="3"/>
  <c r="F6" i="3"/>
  <c r="R6" i="3" s="1"/>
  <c r="F7" i="3"/>
  <c r="K6" i="3" s="1"/>
  <c r="F8" i="3"/>
  <c r="O6" i="3" s="1"/>
  <c r="F9" i="3"/>
  <c r="S6" i="3" s="1"/>
  <c r="F4" i="3"/>
  <c r="V2" i="9"/>
  <c r="P2" i="9"/>
  <c r="J16" i="3" l="1"/>
  <c r="J19" i="3" s="1"/>
  <c r="R14" i="3"/>
  <c r="O14" i="3"/>
  <c r="N14" i="3"/>
  <c r="V2270" i="9"/>
  <c r="V2271" i="9"/>
  <c r="V2272" i="9"/>
  <c r="V2273" i="9"/>
  <c r="V2274" i="9"/>
  <c r="V2275" i="9"/>
  <c r="V2276" i="9"/>
  <c r="V2277" i="9"/>
  <c r="V2278" i="9"/>
  <c r="V2279" i="9"/>
  <c r="V2280" i="9"/>
  <c r="V2281" i="9"/>
  <c r="V2282" i="9"/>
  <c r="V2283" i="9"/>
  <c r="V2284" i="9"/>
  <c r="V2285" i="9"/>
  <c r="V2286" i="9"/>
  <c r="V2287" i="9"/>
  <c r="V2288" i="9"/>
  <c r="V2289" i="9"/>
  <c r="V2290" i="9"/>
  <c r="V2291" i="9"/>
  <c r="V2292" i="9"/>
  <c r="V2293" i="9"/>
  <c r="V2294" i="9"/>
  <c r="V2295" i="9"/>
  <c r="V2296" i="9"/>
  <c r="V2297" i="9"/>
  <c r="V2298" i="9"/>
  <c r="V2299" i="9"/>
  <c r="V2300" i="9"/>
  <c r="V2301" i="9"/>
  <c r="V2302" i="9"/>
  <c r="V2303" i="9"/>
  <c r="V2304" i="9"/>
  <c r="V2305" i="9"/>
  <c r="V2306" i="9"/>
  <c r="V2307" i="9"/>
  <c r="V2308" i="9"/>
  <c r="V2309" i="9"/>
  <c r="V2310" i="9"/>
  <c r="V2311" i="9"/>
  <c r="V2312" i="9"/>
  <c r="V2313" i="9"/>
  <c r="V2314" i="9"/>
  <c r="V2315" i="9"/>
  <c r="V2316" i="9"/>
  <c r="V2317" i="9"/>
  <c r="V2318" i="9"/>
  <c r="V2319" i="9"/>
  <c r="V2320" i="9"/>
  <c r="V2321" i="9"/>
  <c r="V2322" i="9"/>
  <c r="V2323" i="9"/>
  <c r="V2324" i="9"/>
  <c r="V2325" i="9"/>
  <c r="V2326" i="9"/>
  <c r="V2327" i="9"/>
  <c r="V2328" i="9"/>
  <c r="V2329" i="9"/>
  <c r="V2330" i="9"/>
  <c r="V2331" i="9"/>
  <c r="V2332" i="9"/>
  <c r="V2333" i="9"/>
  <c r="V2334" i="9"/>
  <c r="V2335" i="9"/>
  <c r="V2336" i="9"/>
  <c r="V2337" i="9"/>
  <c r="V2338" i="9"/>
  <c r="V2339" i="9"/>
  <c r="V2340" i="9"/>
  <c r="V2341" i="9"/>
  <c r="V2342" i="9"/>
  <c r="V2343" i="9"/>
  <c r="V2344" i="9"/>
  <c r="V2345" i="9"/>
  <c r="V2346" i="9"/>
  <c r="V2347" i="9"/>
  <c r="V2348" i="9"/>
  <c r="V2349" i="9"/>
  <c r="V2350" i="9"/>
  <c r="V2351" i="9"/>
  <c r="V2352" i="9"/>
  <c r="V2353" i="9"/>
  <c r="V2354" i="9"/>
  <c r="V2355" i="9"/>
  <c r="V2356" i="9"/>
  <c r="V2357" i="9"/>
  <c r="V2358" i="9"/>
  <c r="V2359" i="9"/>
  <c r="V2360" i="9"/>
  <c r="V2361" i="9"/>
  <c r="V2362" i="9"/>
  <c r="V2363" i="9"/>
  <c r="V2364" i="9"/>
  <c r="V2365" i="9"/>
  <c r="V2366" i="9"/>
  <c r="V2367" i="9"/>
  <c r="V2368" i="9"/>
  <c r="V2369" i="9"/>
  <c r="V2370" i="9"/>
  <c r="V2371" i="9"/>
  <c r="V2372" i="9"/>
  <c r="V2373" i="9"/>
  <c r="V2374" i="9"/>
  <c r="V2375" i="9"/>
  <c r="V2376" i="9"/>
  <c r="V2377" i="9"/>
  <c r="V2378" i="9"/>
  <c r="V2379" i="9"/>
  <c r="V2380" i="9"/>
  <c r="V2381" i="9"/>
  <c r="V2382" i="9"/>
  <c r="V2383" i="9"/>
  <c r="V2384" i="9"/>
  <c r="V2385" i="9"/>
  <c r="V2386" i="9"/>
  <c r="V2387" i="9"/>
  <c r="V2388" i="9"/>
  <c r="V2389" i="9"/>
  <c r="V2390" i="9"/>
  <c r="V2391" i="9"/>
  <c r="V2392" i="9"/>
  <c r="V2393" i="9"/>
  <c r="V2394" i="9"/>
  <c r="V2395" i="9"/>
  <c r="V2396" i="9"/>
  <c r="V2397" i="9"/>
  <c r="V239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479" i="9"/>
  <c r="V2480" i="9"/>
  <c r="V2481" i="9"/>
  <c r="V2482" i="9"/>
  <c r="V2483" i="9"/>
  <c r="V2484" i="9"/>
  <c r="V2485" i="9"/>
  <c r="V2486" i="9"/>
  <c r="V2487" i="9"/>
  <c r="V2488" i="9"/>
  <c r="V2489" i="9"/>
  <c r="V2490" i="9"/>
  <c r="V2491" i="9"/>
  <c r="V2492" i="9"/>
  <c r="V2493" i="9"/>
  <c r="V2494" i="9"/>
  <c r="V2495" i="9"/>
  <c r="V2496" i="9"/>
  <c r="V2497" i="9"/>
  <c r="V2498" i="9"/>
  <c r="V2499" i="9"/>
  <c r="V2500" i="9"/>
  <c r="V2501" i="9"/>
  <c r="V2502" i="9"/>
  <c r="V2503" i="9"/>
  <c r="V2504" i="9"/>
  <c r="V2505" i="9"/>
  <c r="V2506" i="9"/>
  <c r="V2507" i="9"/>
  <c r="V2508" i="9"/>
  <c r="V2509" i="9"/>
  <c r="V2510" i="9"/>
  <c r="V2511" i="9"/>
  <c r="V2512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1" i="9"/>
  <c r="V2582" i="9"/>
  <c r="V2583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02" i="9"/>
  <c r="V2603" i="9"/>
  <c r="V2604" i="9"/>
  <c r="V2605" i="9"/>
  <c r="V2606" i="9"/>
  <c r="V2607" i="9"/>
  <c r="V2608" i="9"/>
  <c r="V2609" i="9"/>
  <c r="V2610" i="9"/>
  <c r="V2611" i="9"/>
  <c r="V2612" i="9"/>
  <c r="V2613" i="9"/>
  <c r="V2614" i="9"/>
  <c r="V2615" i="9"/>
  <c r="V2616" i="9"/>
  <c r="V2617" i="9"/>
  <c r="V2618" i="9"/>
  <c r="V2619" i="9"/>
  <c r="V2620" i="9"/>
  <c r="V2621" i="9"/>
  <c r="V2622" i="9"/>
  <c r="V2623" i="9"/>
  <c r="V2624" i="9"/>
  <c r="V2625" i="9"/>
  <c r="V2626" i="9"/>
  <c r="V2627" i="9"/>
  <c r="V2628" i="9"/>
  <c r="V2629" i="9"/>
  <c r="V2630" i="9"/>
  <c r="V2631" i="9"/>
  <c r="V2632" i="9"/>
  <c r="V2633" i="9"/>
  <c r="V2634" i="9"/>
  <c r="V2635" i="9"/>
  <c r="V2636" i="9"/>
  <c r="V2637" i="9"/>
  <c r="V2638" i="9"/>
  <c r="V2639" i="9"/>
  <c r="V2640" i="9"/>
  <c r="V2641" i="9"/>
  <c r="V2642" i="9"/>
  <c r="V2643" i="9"/>
  <c r="V2644" i="9"/>
  <c r="V2645" i="9"/>
  <c r="V2646" i="9"/>
  <c r="V2647" i="9"/>
  <c r="V2648" i="9"/>
  <c r="V2649" i="9"/>
  <c r="V2650" i="9"/>
  <c r="V2651" i="9"/>
  <c r="V2652" i="9"/>
  <c r="V2653" i="9"/>
  <c r="V2654" i="9"/>
  <c r="V2655" i="9"/>
  <c r="V2656" i="9"/>
  <c r="V2657" i="9"/>
  <c r="V2658" i="9"/>
  <c r="V2659" i="9"/>
  <c r="V2660" i="9"/>
  <c r="V2661" i="9"/>
  <c r="V2662" i="9"/>
  <c r="V2663" i="9"/>
  <c r="V2664" i="9"/>
  <c r="V2665" i="9"/>
  <c r="V2666" i="9"/>
  <c r="V2667" i="9"/>
  <c r="V2668" i="9"/>
  <c r="V2669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P2270" i="9"/>
  <c r="P2271" i="9"/>
  <c r="P2272" i="9"/>
  <c r="P2273" i="9"/>
  <c r="P2274" i="9"/>
  <c r="P2276" i="9"/>
  <c r="P2277" i="9"/>
  <c r="P2278" i="9"/>
  <c r="P2279" i="9"/>
  <c r="P2280" i="9"/>
  <c r="P2281" i="9"/>
  <c r="P2282" i="9"/>
  <c r="P2283" i="9"/>
  <c r="P2285" i="9"/>
  <c r="P2286" i="9"/>
  <c r="P2287" i="9"/>
  <c r="P2288" i="9"/>
  <c r="P2289" i="9"/>
  <c r="P2290" i="9"/>
  <c r="P2291" i="9"/>
  <c r="P2292" i="9"/>
  <c r="P2294" i="9"/>
  <c r="P2295" i="9"/>
  <c r="P2296" i="9"/>
  <c r="P2297" i="9"/>
  <c r="P2298" i="9"/>
  <c r="P2299" i="9"/>
  <c r="P2300" i="9"/>
  <c r="P2301" i="9"/>
  <c r="P2303" i="9"/>
  <c r="P2304" i="9"/>
  <c r="P2305" i="9"/>
  <c r="P2306" i="9"/>
  <c r="P2307" i="9"/>
  <c r="P2308" i="9"/>
  <c r="P2309" i="9"/>
  <c r="P2310" i="9"/>
  <c r="P2312" i="9"/>
  <c r="P2313" i="9"/>
  <c r="P2314" i="9"/>
  <c r="P2315" i="9"/>
  <c r="P2316" i="9"/>
  <c r="P2317" i="9"/>
  <c r="P2318" i="9"/>
  <c r="P2319" i="9"/>
  <c r="P2321" i="9"/>
  <c r="P2322" i="9"/>
  <c r="P2323" i="9"/>
  <c r="P2324" i="9"/>
  <c r="P2325" i="9"/>
  <c r="P2326" i="9"/>
  <c r="P2327" i="9"/>
  <c r="P2328" i="9"/>
  <c r="P2330" i="9"/>
  <c r="P2331" i="9"/>
  <c r="P2332" i="9"/>
  <c r="P2333" i="9"/>
  <c r="P2334" i="9"/>
  <c r="P2335" i="9"/>
  <c r="P2336" i="9"/>
  <c r="P2337" i="9"/>
  <c r="P2339" i="9"/>
  <c r="P2340" i="9"/>
  <c r="P2341" i="9"/>
  <c r="P2342" i="9"/>
  <c r="P2343" i="9"/>
  <c r="P2344" i="9"/>
  <c r="P2345" i="9"/>
  <c r="P2346" i="9"/>
  <c r="P2348" i="9"/>
  <c r="P2349" i="9"/>
  <c r="P2350" i="9"/>
  <c r="P2351" i="9"/>
  <c r="P2352" i="9"/>
  <c r="P2353" i="9"/>
  <c r="P2354" i="9"/>
  <c r="P2355" i="9"/>
  <c r="P2357" i="9"/>
  <c r="P2358" i="9"/>
  <c r="P2359" i="9"/>
  <c r="P2360" i="9"/>
  <c r="P2361" i="9"/>
  <c r="P2362" i="9"/>
  <c r="P2363" i="9"/>
  <c r="P2364" i="9"/>
  <c r="P2366" i="9"/>
  <c r="P2367" i="9"/>
  <c r="P2368" i="9"/>
  <c r="P2369" i="9"/>
  <c r="P2370" i="9"/>
  <c r="P2371" i="9"/>
  <c r="P2372" i="9"/>
  <c r="P2373" i="9"/>
  <c r="P2375" i="9"/>
  <c r="P2376" i="9"/>
  <c r="P2377" i="9"/>
  <c r="P2378" i="9"/>
  <c r="P2379" i="9"/>
  <c r="P2380" i="9"/>
  <c r="P2381" i="9"/>
  <c r="P2382" i="9"/>
  <c r="P2384" i="9"/>
  <c r="P2385" i="9"/>
  <c r="P2386" i="9"/>
  <c r="P2387" i="9"/>
  <c r="P2388" i="9"/>
  <c r="P2389" i="9"/>
  <c r="P2390" i="9"/>
  <c r="P2391" i="9"/>
  <c r="P2393" i="9"/>
  <c r="P2394" i="9"/>
  <c r="P2395" i="9"/>
  <c r="P2396" i="9"/>
  <c r="P2397" i="9"/>
  <c r="P2398" i="9"/>
  <c r="P2399" i="9"/>
  <c r="P2400" i="9"/>
  <c r="P2402" i="9"/>
  <c r="P2403" i="9"/>
  <c r="P2404" i="9"/>
  <c r="P2405" i="9"/>
  <c r="P2406" i="9"/>
  <c r="P2407" i="9"/>
  <c r="P2408" i="9"/>
  <c r="P2409" i="9"/>
  <c r="P2411" i="9"/>
  <c r="P2412" i="9"/>
  <c r="P2413" i="9"/>
  <c r="P2414" i="9"/>
  <c r="P2415" i="9"/>
  <c r="P2416" i="9"/>
  <c r="P2417" i="9"/>
  <c r="P2418" i="9"/>
  <c r="P2420" i="9"/>
  <c r="P2421" i="9"/>
  <c r="P2422" i="9"/>
  <c r="P2423" i="9"/>
  <c r="P2424" i="9"/>
  <c r="P2425" i="9"/>
  <c r="P2426" i="9"/>
  <c r="P2427" i="9"/>
  <c r="P2429" i="9"/>
  <c r="P2430" i="9"/>
  <c r="P2431" i="9"/>
  <c r="P2432" i="9"/>
  <c r="P2433" i="9"/>
  <c r="P2434" i="9"/>
  <c r="P2435" i="9"/>
  <c r="P2436" i="9"/>
  <c r="P2438" i="9"/>
  <c r="P2439" i="9"/>
  <c r="P2440" i="9"/>
  <c r="P2441" i="9"/>
  <c r="P2442" i="9"/>
  <c r="P2443" i="9"/>
  <c r="P2444" i="9"/>
  <c r="P2445" i="9"/>
  <c r="P2447" i="9"/>
  <c r="P2448" i="9"/>
  <c r="P2449" i="9"/>
  <c r="P2450" i="9"/>
  <c r="P2451" i="9"/>
  <c r="P2452" i="9"/>
  <c r="P2453" i="9"/>
  <c r="P2454" i="9"/>
  <c r="P2456" i="9"/>
  <c r="P2457" i="9"/>
  <c r="P2458" i="9"/>
  <c r="P2459" i="9"/>
  <c r="P2460" i="9"/>
  <c r="P2461" i="9"/>
  <c r="P2462" i="9"/>
  <c r="P2463" i="9"/>
  <c r="P2465" i="9"/>
  <c r="P2466" i="9"/>
  <c r="P2467" i="9"/>
  <c r="P2468" i="9"/>
  <c r="P2469" i="9"/>
  <c r="P2470" i="9"/>
  <c r="P2471" i="9"/>
  <c r="P2472" i="9"/>
  <c r="P2474" i="9"/>
  <c r="P2475" i="9"/>
  <c r="P2476" i="9"/>
  <c r="P2477" i="9"/>
  <c r="P2478" i="9"/>
  <c r="P2479" i="9"/>
  <c r="P2480" i="9"/>
  <c r="P2481" i="9"/>
  <c r="P2483" i="9"/>
  <c r="P2484" i="9"/>
  <c r="P2485" i="9"/>
  <c r="P2486" i="9"/>
  <c r="P2487" i="9"/>
  <c r="P2488" i="9"/>
  <c r="P2489" i="9"/>
  <c r="P2490" i="9"/>
  <c r="P2492" i="9"/>
  <c r="P2493" i="9"/>
  <c r="P2494" i="9"/>
  <c r="P2495" i="9"/>
  <c r="P2496" i="9"/>
  <c r="P2497" i="9"/>
  <c r="P2498" i="9"/>
  <c r="P2499" i="9"/>
  <c r="P2501" i="9"/>
  <c r="P2502" i="9"/>
  <c r="P2503" i="9"/>
  <c r="P2504" i="9"/>
  <c r="P2505" i="9"/>
  <c r="P2506" i="9"/>
  <c r="P2507" i="9"/>
  <c r="P2508" i="9"/>
  <c r="P2510" i="9"/>
  <c r="P2511" i="9"/>
  <c r="P2512" i="9"/>
  <c r="P2513" i="9"/>
  <c r="P2514" i="9"/>
  <c r="P2515" i="9"/>
  <c r="P2516" i="9"/>
  <c r="P2517" i="9"/>
  <c r="P2519" i="9"/>
  <c r="P2520" i="9"/>
  <c r="P2521" i="9"/>
  <c r="P2522" i="9"/>
  <c r="P2523" i="9"/>
  <c r="P2524" i="9"/>
  <c r="P2525" i="9"/>
  <c r="P2526" i="9"/>
  <c r="P2528" i="9"/>
  <c r="P2529" i="9"/>
  <c r="P2530" i="9"/>
  <c r="P2531" i="9"/>
  <c r="P2532" i="9"/>
  <c r="P2533" i="9"/>
  <c r="P2534" i="9"/>
  <c r="P2535" i="9"/>
  <c r="P2537" i="9"/>
  <c r="P2538" i="9"/>
  <c r="P2539" i="9"/>
  <c r="P2540" i="9"/>
  <c r="P2541" i="9"/>
  <c r="P2542" i="9"/>
  <c r="P2543" i="9"/>
  <c r="P2544" i="9"/>
  <c r="P2546" i="9"/>
  <c r="P2547" i="9"/>
  <c r="P2548" i="9"/>
  <c r="P2549" i="9"/>
  <c r="P2550" i="9"/>
  <c r="P2551" i="9"/>
  <c r="P2552" i="9"/>
  <c r="P2553" i="9"/>
  <c r="P2555" i="9"/>
  <c r="P2556" i="9"/>
  <c r="P2557" i="9"/>
  <c r="P2558" i="9"/>
  <c r="P2559" i="9"/>
  <c r="P2560" i="9"/>
  <c r="P2561" i="9"/>
  <c r="P2562" i="9"/>
  <c r="P2564" i="9"/>
  <c r="P2565" i="9"/>
  <c r="P2566" i="9"/>
  <c r="P2567" i="9"/>
  <c r="P2568" i="9"/>
  <c r="P2569" i="9"/>
  <c r="P2570" i="9"/>
  <c r="P2571" i="9"/>
  <c r="P2573" i="9"/>
  <c r="P2574" i="9"/>
  <c r="P2575" i="9"/>
  <c r="P2576" i="9"/>
  <c r="P2577" i="9"/>
  <c r="P2578" i="9"/>
  <c r="P2579" i="9"/>
  <c r="P2580" i="9"/>
  <c r="P2582" i="9"/>
  <c r="P2583" i="9"/>
  <c r="P2584" i="9"/>
  <c r="P2585" i="9"/>
  <c r="P2586" i="9"/>
  <c r="P2587" i="9"/>
  <c r="P2588" i="9"/>
  <c r="P2589" i="9"/>
  <c r="P2591" i="9"/>
  <c r="P2592" i="9"/>
  <c r="P2593" i="9"/>
  <c r="P2594" i="9"/>
  <c r="P2595" i="9"/>
  <c r="P2596" i="9"/>
  <c r="P2597" i="9"/>
  <c r="P2598" i="9"/>
  <c r="P2600" i="9"/>
  <c r="P2601" i="9"/>
  <c r="P2602" i="9"/>
  <c r="P2603" i="9"/>
  <c r="P2604" i="9"/>
  <c r="P2605" i="9"/>
  <c r="P2606" i="9"/>
  <c r="P2607" i="9"/>
  <c r="P2609" i="9"/>
  <c r="P2610" i="9"/>
  <c r="P2611" i="9"/>
  <c r="P2612" i="9"/>
  <c r="P2613" i="9"/>
  <c r="P2614" i="9"/>
  <c r="P2615" i="9"/>
  <c r="P2616" i="9"/>
  <c r="P2618" i="9"/>
  <c r="P2619" i="9"/>
  <c r="P2620" i="9"/>
  <c r="P2621" i="9"/>
  <c r="P2622" i="9"/>
  <c r="P2623" i="9"/>
  <c r="P2624" i="9"/>
  <c r="P2625" i="9"/>
  <c r="P2627" i="9"/>
  <c r="P2628" i="9"/>
  <c r="P2629" i="9"/>
  <c r="P2630" i="9"/>
  <c r="P2631" i="9"/>
  <c r="P2632" i="9"/>
  <c r="P2633" i="9"/>
  <c r="P2634" i="9"/>
  <c r="P2636" i="9"/>
  <c r="P2637" i="9"/>
  <c r="P2638" i="9"/>
  <c r="P2639" i="9"/>
  <c r="P2640" i="9"/>
  <c r="P2641" i="9"/>
  <c r="P2642" i="9"/>
  <c r="P2643" i="9"/>
  <c r="P2645" i="9"/>
  <c r="P2646" i="9"/>
  <c r="P2647" i="9"/>
  <c r="P2648" i="9"/>
  <c r="P2649" i="9"/>
  <c r="P2650" i="9"/>
  <c r="P2651" i="9"/>
  <c r="P2652" i="9"/>
  <c r="P2654" i="9"/>
  <c r="P2655" i="9"/>
  <c r="P2656" i="9"/>
  <c r="P2657" i="9"/>
  <c r="P2658" i="9"/>
  <c r="P2659" i="9"/>
  <c r="P2660" i="9"/>
  <c r="P2661" i="9"/>
  <c r="P2663" i="9"/>
  <c r="P2664" i="9"/>
  <c r="P2665" i="9"/>
  <c r="P2666" i="9"/>
  <c r="P2667" i="9"/>
  <c r="P2668" i="9"/>
  <c r="P2669" i="9"/>
  <c r="P2670" i="9"/>
  <c r="P2672" i="9"/>
  <c r="P2673" i="9"/>
  <c r="P2674" i="9"/>
  <c r="P2675" i="9"/>
  <c r="P2676" i="9"/>
  <c r="P2677" i="9"/>
  <c r="P2678" i="9"/>
  <c r="P2679" i="9"/>
  <c r="P2681" i="9"/>
  <c r="P2682" i="9"/>
  <c r="P2683" i="9"/>
  <c r="P2684" i="9"/>
  <c r="P2685" i="9"/>
  <c r="P2686" i="9"/>
  <c r="P2687" i="9"/>
  <c r="P2688" i="9"/>
  <c r="P2690" i="9"/>
  <c r="P2691" i="9"/>
  <c r="P2692" i="9"/>
  <c r="P2269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649" i="9"/>
  <c r="V650" i="9"/>
  <c r="V651" i="9"/>
  <c r="V652" i="9"/>
  <c r="V653" i="9"/>
  <c r="V654" i="9"/>
  <c r="V655" i="9"/>
  <c r="V656" i="9"/>
  <c r="V657" i="9"/>
  <c r="V658" i="9"/>
  <c r="V659" i="9"/>
  <c r="V660" i="9"/>
  <c r="V661" i="9"/>
  <c r="V662" i="9"/>
  <c r="V663" i="9"/>
  <c r="V664" i="9"/>
  <c r="V665" i="9"/>
  <c r="V666" i="9"/>
  <c r="V667" i="9"/>
  <c r="V668" i="9"/>
  <c r="V669" i="9"/>
  <c r="V670" i="9"/>
  <c r="V671" i="9"/>
  <c r="V672" i="9"/>
  <c r="V673" i="9"/>
  <c r="V674" i="9"/>
  <c r="V675" i="9"/>
  <c r="V676" i="9"/>
  <c r="V677" i="9"/>
  <c r="V678" i="9"/>
  <c r="V679" i="9"/>
  <c r="V680" i="9"/>
  <c r="V681" i="9"/>
  <c r="V682" i="9"/>
  <c r="V683" i="9"/>
  <c r="V684" i="9"/>
  <c r="V685" i="9"/>
  <c r="V686" i="9"/>
  <c r="V687" i="9"/>
  <c r="V688" i="9"/>
  <c r="V689" i="9"/>
  <c r="V690" i="9"/>
  <c r="V691" i="9"/>
  <c r="V692" i="9"/>
  <c r="V693" i="9"/>
  <c r="V694" i="9"/>
  <c r="V695" i="9"/>
  <c r="V696" i="9"/>
  <c r="V697" i="9"/>
  <c r="V698" i="9"/>
  <c r="V699" i="9"/>
  <c r="V700" i="9"/>
  <c r="V701" i="9"/>
  <c r="V702" i="9"/>
  <c r="V703" i="9"/>
  <c r="V704" i="9"/>
  <c r="V705" i="9"/>
  <c r="V706" i="9"/>
  <c r="V707" i="9"/>
  <c r="V708" i="9"/>
  <c r="V709" i="9"/>
  <c r="V710" i="9"/>
  <c r="V711" i="9"/>
  <c r="V712" i="9"/>
  <c r="V713" i="9"/>
  <c r="V714" i="9"/>
  <c r="V715" i="9"/>
  <c r="V716" i="9"/>
  <c r="V717" i="9"/>
  <c r="V718" i="9"/>
  <c r="V719" i="9"/>
  <c r="V720" i="9"/>
  <c r="V721" i="9"/>
  <c r="V722" i="9"/>
  <c r="V723" i="9"/>
  <c r="V724" i="9"/>
  <c r="V725" i="9"/>
  <c r="V726" i="9"/>
  <c r="V727" i="9"/>
  <c r="V728" i="9"/>
  <c r="V729" i="9"/>
  <c r="V730" i="9"/>
  <c r="V731" i="9"/>
  <c r="V732" i="9"/>
  <c r="V733" i="9"/>
  <c r="V734" i="9"/>
  <c r="V735" i="9"/>
  <c r="V736" i="9"/>
  <c r="V737" i="9"/>
  <c r="V738" i="9"/>
  <c r="V739" i="9"/>
  <c r="V740" i="9"/>
  <c r="V741" i="9"/>
  <c r="V742" i="9"/>
  <c r="V743" i="9"/>
  <c r="V744" i="9"/>
  <c r="V745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809" i="9"/>
  <c r="V810" i="9"/>
  <c r="V811" i="9"/>
  <c r="V812" i="9"/>
  <c r="V813" i="9"/>
  <c r="V814" i="9"/>
  <c r="V815" i="9"/>
  <c r="V816" i="9"/>
  <c r="V817" i="9"/>
  <c r="V818" i="9"/>
  <c r="V819" i="9"/>
  <c r="V820" i="9"/>
  <c r="V821" i="9"/>
  <c r="V822" i="9"/>
  <c r="V823" i="9"/>
  <c r="V824" i="9"/>
  <c r="V825" i="9"/>
  <c r="V826" i="9"/>
  <c r="V827" i="9"/>
  <c r="V828" i="9"/>
  <c r="V829" i="9"/>
  <c r="V830" i="9"/>
  <c r="V831" i="9"/>
  <c r="V832" i="9"/>
  <c r="V833" i="9"/>
  <c r="V834" i="9"/>
  <c r="V835" i="9"/>
  <c r="V836" i="9"/>
  <c r="V837" i="9"/>
  <c r="V838" i="9"/>
  <c r="V839" i="9"/>
  <c r="V840" i="9"/>
  <c r="V841" i="9"/>
  <c r="V842" i="9"/>
  <c r="V843" i="9"/>
  <c r="V844" i="9"/>
  <c r="V845" i="9"/>
  <c r="V846" i="9"/>
  <c r="V847" i="9"/>
  <c r="V848" i="9"/>
  <c r="V849" i="9"/>
  <c r="V850" i="9"/>
  <c r="V851" i="9"/>
  <c r="V852" i="9"/>
  <c r="V853" i="9"/>
  <c r="V854" i="9"/>
  <c r="V855" i="9"/>
  <c r="V856" i="9"/>
  <c r="V857" i="9"/>
  <c r="V858" i="9"/>
  <c r="V859" i="9"/>
  <c r="V860" i="9"/>
  <c r="V861" i="9"/>
  <c r="V862" i="9"/>
  <c r="V863" i="9"/>
  <c r="V864" i="9"/>
  <c r="V865" i="9"/>
  <c r="V866" i="9"/>
  <c r="V867" i="9"/>
  <c r="V868" i="9"/>
  <c r="V869" i="9"/>
  <c r="V870" i="9"/>
  <c r="V871" i="9"/>
  <c r="V872" i="9"/>
  <c r="V873" i="9"/>
  <c r="V874" i="9"/>
  <c r="V875" i="9"/>
  <c r="V876" i="9"/>
  <c r="V877" i="9"/>
  <c r="V878" i="9"/>
  <c r="V879" i="9"/>
  <c r="V880" i="9"/>
  <c r="V881" i="9"/>
  <c r="V882" i="9"/>
  <c r="V883" i="9"/>
  <c r="V884" i="9"/>
  <c r="V885" i="9"/>
  <c r="V886" i="9"/>
  <c r="V887" i="9"/>
  <c r="V888" i="9"/>
  <c r="V889" i="9"/>
  <c r="V890" i="9"/>
  <c r="V891" i="9"/>
  <c r="V892" i="9"/>
  <c r="V893" i="9"/>
  <c r="V894" i="9"/>
  <c r="V895" i="9"/>
  <c r="V896" i="9"/>
  <c r="V897" i="9"/>
  <c r="V898" i="9"/>
  <c r="V899" i="9"/>
  <c r="V900" i="9"/>
  <c r="V901" i="9"/>
  <c r="V902" i="9"/>
  <c r="V903" i="9"/>
  <c r="V904" i="9"/>
  <c r="V905" i="9"/>
  <c r="V906" i="9"/>
  <c r="V907" i="9"/>
  <c r="V908" i="9"/>
  <c r="V909" i="9"/>
  <c r="V910" i="9"/>
  <c r="V911" i="9"/>
  <c r="V912" i="9"/>
  <c r="V913" i="9"/>
  <c r="V914" i="9"/>
  <c r="V915" i="9"/>
  <c r="V916" i="9"/>
  <c r="V917" i="9"/>
  <c r="V918" i="9"/>
  <c r="V919" i="9"/>
  <c r="V920" i="9"/>
  <c r="V921" i="9"/>
  <c r="V922" i="9"/>
  <c r="V923" i="9"/>
  <c r="V924" i="9"/>
  <c r="V925" i="9"/>
  <c r="V926" i="9"/>
  <c r="V927" i="9"/>
  <c r="V928" i="9"/>
  <c r="V929" i="9"/>
  <c r="V930" i="9"/>
  <c r="V931" i="9"/>
  <c r="V932" i="9"/>
  <c r="V933" i="9"/>
  <c r="V934" i="9"/>
  <c r="V935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11" i="9"/>
  <c r="V1112" i="9"/>
  <c r="V1113" i="9"/>
  <c r="V1114" i="9"/>
  <c r="V1115" i="9"/>
  <c r="V1116" i="9"/>
  <c r="V1117" i="9"/>
  <c r="V1118" i="9"/>
  <c r="V1119" i="9"/>
  <c r="V1120" i="9"/>
  <c r="V1121" i="9"/>
  <c r="V1122" i="9"/>
  <c r="V1123" i="9"/>
  <c r="V1124" i="9"/>
  <c r="V1125" i="9"/>
  <c r="V1126" i="9"/>
  <c r="V1127" i="9"/>
  <c r="V1128" i="9"/>
  <c r="V1129" i="9"/>
  <c r="V1130" i="9"/>
  <c r="V1131" i="9"/>
  <c r="V1132" i="9"/>
  <c r="V1133" i="9"/>
  <c r="V1134" i="9"/>
  <c r="V1135" i="9"/>
  <c r="V1136" i="9"/>
  <c r="V1137" i="9"/>
  <c r="V1138" i="9"/>
  <c r="V1139" i="9"/>
  <c r="V1140" i="9"/>
  <c r="V1141" i="9"/>
  <c r="V1142" i="9"/>
  <c r="V1143" i="9"/>
  <c r="V1144" i="9"/>
  <c r="V1145" i="9"/>
  <c r="V1146" i="9"/>
  <c r="V1147" i="9"/>
  <c r="V1148" i="9"/>
  <c r="V1149" i="9"/>
  <c r="V1150" i="9"/>
  <c r="V1151" i="9"/>
  <c r="V1152" i="9"/>
  <c r="V1153" i="9"/>
  <c r="V1154" i="9"/>
  <c r="V1155" i="9"/>
  <c r="V1156" i="9"/>
  <c r="V1157" i="9"/>
  <c r="V1158" i="9"/>
  <c r="V1159" i="9"/>
  <c r="V1160" i="9"/>
  <c r="V1161" i="9"/>
  <c r="V1162" i="9"/>
  <c r="V1163" i="9"/>
  <c r="V1164" i="9"/>
  <c r="V1165" i="9"/>
  <c r="V1166" i="9"/>
  <c r="V1167" i="9"/>
  <c r="V1168" i="9"/>
  <c r="V1169" i="9"/>
  <c r="V1170" i="9"/>
  <c r="V1171" i="9"/>
  <c r="V1172" i="9"/>
  <c r="V1173" i="9"/>
  <c r="V1174" i="9"/>
  <c r="V1175" i="9"/>
  <c r="V1176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223" i="9"/>
  <c r="V1224" i="9"/>
  <c r="V1225" i="9"/>
  <c r="V1226" i="9"/>
  <c r="V1227" i="9"/>
  <c r="V1228" i="9"/>
  <c r="V1229" i="9"/>
  <c r="V1230" i="9"/>
  <c r="V1231" i="9"/>
  <c r="V1232" i="9"/>
  <c r="V1233" i="9"/>
  <c r="V1234" i="9"/>
  <c r="V1235" i="9"/>
  <c r="V1236" i="9"/>
  <c r="V1237" i="9"/>
  <c r="V1238" i="9"/>
  <c r="V1239" i="9"/>
  <c r="V1240" i="9"/>
  <c r="V1241" i="9"/>
  <c r="V1242" i="9"/>
  <c r="V1243" i="9"/>
  <c r="V1244" i="9"/>
  <c r="V1245" i="9"/>
  <c r="V1246" i="9"/>
  <c r="V1247" i="9"/>
  <c r="V1248" i="9"/>
  <c r="V1249" i="9"/>
  <c r="V1250" i="9"/>
  <c r="V1251" i="9"/>
  <c r="V1252" i="9"/>
  <c r="V1253" i="9"/>
  <c r="V1254" i="9"/>
  <c r="V1255" i="9"/>
  <c r="V1256" i="9"/>
  <c r="V1257" i="9"/>
  <c r="V1258" i="9"/>
  <c r="V1259" i="9"/>
  <c r="V1260" i="9"/>
  <c r="V1261" i="9"/>
  <c r="V1262" i="9"/>
  <c r="V1263" i="9"/>
  <c r="V1264" i="9"/>
  <c r="V1265" i="9"/>
  <c r="V1266" i="9"/>
  <c r="V1267" i="9"/>
  <c r="V1268" i="9"/>
  <c r="V1269" i="9"/>
  <c r="V1270" i="9"/>
  <c r="V1271" i="9"/>
  <c r="V1272" i="9"/>
  <c r="V1273" i="9"/>
  <c r="V1274" i="9"/>
  <c r="V1275" i="9"/>
  <c r="V1276" i="9"/>
  <c r="V1277" i="9"/>
  <c r="V1278" i="9"/>
  <c r="V1279" i="9"/>
  <c r="V1280" i="9"/>
  <c r="V1281" i="9"/>
  <c r="V1282" i="9"/>
  <c r="V1283" i="9"/>
  <c r="V1284" i="9"/>
  <c r="V1285" i="9"/>
  <c r="V1286" i="9"/>
  <c r="V1287" i="9"/>
  <c r="V1288" i="9"/>
  <c r="V1289" i="9"/>
  <c r="V1290" i="9"/>
  <c r="V1291" i="9"/>
  <c r="V1292" i="9"/>
  <c r="V1293" i="9"/>
  <c r="V1294" i="9"/>
  <c r="V1295" i="9"/>
  <c r="V1296" i="9"/>
  <c r="V1297" i="9"/>
  <c r="V1298" i="9"/>
  <c r="V1299" i="9"/>
  <c r="V1300" i="9"/>
  <c r="V1301" i="9"/>
  <c r="V1302" i="9"/>
  <c r="V1303" i="9"/>
  <c r="V1304" i="9"/>
  <c r="V1305" i="9"/>
  <c r="V1306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21" i="9"/>
  <c r="V1322" i="9"/>
  <c r="V1323" i="9"/>
  <c r="V1324" i="9"/>
  <c r="V1325" i="9"/>
  <c r="V1326" i="9"/>
  <c r="V1327" i="9"/>
  <c r="V1328" i="9"/>
  <c r="V1329" i="9"/>
  <c r="V1330" i="9"/>
  <c r="V1331" i="9"/>
  <c r="V1332" i="9"/>
  <c r="V1333" i="9"/>
  <c r="V1334" i="9"/>
  <c r="V1335" i="9"/>
  <c r="V1336" i="9"/>
  <c r="V1337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352" i="9"/>
  <c r="V1353" i="9"/>
  <c r="V1354" i="9"/>
  <c r="V1355" i="9"/>
  <c r="V1356" i="9"/>
  <c r="V1357" i="9"/>
  <c r="V1358" i="9"/>
  <c r="V1359" i="9"/>
  <c r="V1360" i="9"/>
  <c r="V1361" i="9"/>
  <c r="V1362" i="9"/>
  <c r="V1363" i="9"/>
  <c r="V1364" i="9"/>
  <c r="V1365" i="9"/>
  <c r="V1366" i="9"/>
  <c r="V1367" i="9"/>
  <c r="V1368" i="9"/>
  <c r="V1369" i="9"/>
  <c r="V1370" i="9"/>
  <c r="V1371" i="9"/>
  <c r="V1372" i="9"/>
  <c r="V1373" i="9"/>
  <c r="V1374" i="9"/>
  <c r="V1375" i="9"/>
  <c r="V1376" i="9"/>
  <c r="V1377" i="9"/>
  <c r="V1378" i="9"/>
  <c r="V1379" i="9"/>
  <c r="V1380" i="9"/>
  <c r="V1381" i="9"/>
  <c r="V1382" i="9"/>
  <c r="V1383" i="9"/>
  <c r="V1384" i="9"/>
  <c r="V1385" i="9"/>
  <c r="V1386" i="9"/>
  <c r="V1387" i="9"/>
  <c r="V1388" i="9"/>
  <c r="V1389" i="9"/>
  <c r="V1390" i="9"/>
  <c r="V1391" i="9"/>
  <c r="V1392" i="9"/>
  <c r="V1393" i="9"/>
  <c r="V1394" i="9"/>
  <c r="V1395" i="9"/>
  <c r="V1396" i="9"/>
  <c r="V1397" i="9"/>
  <c r="V1398" i="9"/>
  <c r="V1399" i="9"/>
  <c r="V1400" i="9"/>
  <c r="V1401" i="9"/>
  <c r="V1402" i="9"/>
  <c r="V1403" i="9"/>
  <c r="V1404" i="9"/>
  <c r="V1405" i="9"/>
  <c r="V1406" i="9"/>
  <c r="V1407" i="9"/>
  <c r="V1408" i="9"/>
  <c r="V1409" i="9"/>
  <c r="V1410" i="9"/>
  <c r="V1411" i="9"/>
  <c r="V1412" i="9"/>
  <c r="V1413" i="9"/>
  <c r="V1414" i="9"/>
  <c r="V1415" i="9"/>
  <c r="V1416" i="9"/>
  <c r="V1417" i="9"/>
  <c r="V1418" i="9"/>
  <c r="V1419" i="9"/>
  <c r="V1420" i="9"/>
  <c r="V1421" i="9"/>
  <c r="V1422" i="9"/>
  <c r="V1423" i="9"/>
  <c r="V1424" i="9"/>
  <c r="V1425" i="9"/>
  <c r="V1426" i="9"/>
  <c r="V1427" i="9"/>
  <c r="V1428" i="9"/>
  <c r="V1429" i="9"/>
  <c r="V1430" i="9"/>
  <c r="V1431" i="9"/>
  <c r="V1432" i="9"/>
  <c r="V1433" i="9"/>
  <c r="V1434" i="9"/>
  <c r="V1435" i="9"/>
  <c r="V1436" i="9"/>
  <c r="V1437" i="9"/>
  <c r="V1438" i="9"/>
  <c r="V1439" i="9"/>
  <c r="V1440" i="9"/>
  <c r="V1441" i="9"/>
  <c r="V1442" i="9"/>
  <c r="V1443" i="9"/>
  <c r="V1444" i="9"/>
  <c r="V1445" i="9"/>
  <c r="V1446" i="9"/>
  <c r="V1447" i="9"/>
  <c r="V1448" i="9"/>
  <c r="V1449" i="9"/>
  <c r="V1450" i="9"/>
  <c r="V1451" i="9"/>
  <c r="V1452" i="9"/>
  <c r="V1453" i="9"/>
  <c r="V1454" i="9"/>
  <c r="V1455" i="9"/>
  <c r="V1456" i="9"/>
  <c r="V1457" i="9"/>
  <c r="V1458" i="9"/>
  <c r="V1459" i="9"/>
  <c r="V1460" i="9"/>
  <c r="V1461" i="9"/>
  <c r="V1462" i="9"/>
  <c r="V1463" i="9"/>
  <c r="V1464" i="9"/>
  <c r="V1465" i="9"/>
  <c r="V1466" i="9"/>
  <c r="V1467" i="9"/>
  <c r="V1468" i="9"/>
  <c r="V1469" i="9"/>
  <c r="V1470" i="9"/>
  <c r="V1471" i="9"/>
  <c r="V1472" i="9"/>
  <c r="V1473" i="9"/>
  <c r="V1474" i="9"/>
  <c r="V1475" i="9"/>
  <c r="V1476" i="9"/>
  <c r="V1477" i="9"/>
  <c r="V1478" i="9"/>
  <c r="V1479" i="9"/>
  <c r="V1480" i="9"/>
  <c r="V1481" i="9"/>
  <c r="V1482" i="9"/>
  <c r="V1483" i="9"/>
  <c r="V1484" i="9"/>
  <c r="V1485" i="9"/>
  <c r="V1486" i="9"/>
  <c r="V1487" i="9"/>
  <c r="V1488" i="9"/>
  <c r="V1489" i="9"/>
  <c r="V1490" i="9"/>
  <c r="V1491" i="9"/>
  <c r="V1492" i="9"/>
  <c r="V1493" i="9"/>
  <c r="V1494" i="9"/>
  <c r="V1495" i="9"/>
  <c r="V1496" i="9"/>
  <c r="V1497" i="9"/>
  <c r="V1498" i="9"/>
  <c r="V1499" i="9"/>
  <c r="V1500" i="9"/>
  <c r="V1501" i="9"/>
  <c r="V1502" i="9"/>
  <c r="V1503" i="9"/>
  <c r="V1504" i="9"/>
  <c r="V1505" i="9"/>
  <c r="V1506" i="9"/>
  <c r="V1507" i="9"/>
  <c r="V1508" i="9"/>
  <c r="V1509" i="9"/>
  <c r="V1510" i="9"/>
  <c r="V1511" i="9"/>
  <c r="V1512" i="9"/>
  <c r="V1513" i="9"/>
  <c r="V1514" i="9"/>
  <c r="V1515" i="9"/>
  <c r="V1516" i="9"/>
  <c r="V1517" i="9"/>
  <c r="V1518" i="9"/>
  <c r="V1519" i="9"/>
  <c r="V1520" i="9"/>
  <c r="V1521" i="9"/>
  <c r="V1522" i="9"/>
  <c r="V1523" i="9"/>
  <c r="V1524" i="9"/>
  <c r="V1525" i="9"/>
  <c r="V1526" i="9"/>
  <c r="V1527" i="9"/>
  <c r="V1528" i="9"/>
  <c r="V1529" i="9"/>
  <c r="V1530" i="9"/>
  <c r="V1531" i="9"/>
  <c r="V1532" i="9"/>
  <c r="V1533" i="9"/>
  <c r="V1534" i="9"/>
  <c r="V1535" i="9"/>
  <c r="V1536" i="9"/>
  <c r="V1537" i="9"/>
  <c r="V1538" i="9"/>
  <c r="V1539" i="9"/>
  <c r="V1540" i="9"/>
  <c r="V1541" i="9"/>
  <c r="V1542" i="9"/>
  <c r="V1543" i="9"/>
  <c r="V1544" i="9"/>
  <c r="V1545" i="9"/>
  <c r="V1546" i="9"/>
  <c r="V1547" i="9"/>
  <c r="V1548" i="9"/>
  <c r="V1549" i="9"/>
  <c r="V1550" i="9"/>
  <c r="V1551" i="9"/>
  <c r="V1552" i="9"/>
  <c r="V1553" i="9"/>
  <c r="V1554" i="9"/>
  <c r="V1555" i="9"/>
  <c r="V1556" i="9"/>
  <c r="V1557" i="9"/>
  <c r="V1558" i="9"/>
  <c r="V1559" i="9"/>
  <c r="V1560" i="9"/>
  <c r="V1561" i="9"/>
  <c r="V1562" i="9"/>
  <c r="V1563" i="9"/>
  <c r="V1564" i="9"/>
  <c r="V1565" i="9"/>
  <c r="V1566" i="9"/>
  <c r="V1567" i="9"/>
  <c r="V1568" i="9"/>
  <c r="V1569" i="9"/>
  <c r="V1570" i="9"/>
  <c r="V1571" i="9"/>
  <c r="V1572" i="9"/>
  <c r="V1573" i="9"/>
  <c r="V1574" i="9"/>
  <c r="V1575" i="9"/>
  <c r="V1576" i="9"/>
  <c r="V1577" i="9"/>
  <c r="V1578" i="9"/>
  <c r="V1579" i="9"/>
  <c r="V1580" i="9"/>
  <c r="V1581" i="9"/>
  <c r="V1582" i="9"/>
  <c r="V1583" i="9"/>
  <c r="V1584" i="9"/>
  <c r="V1585" i="9"/>
  <c r="V1586" i="9"/>
  <c r="V1587" i="9"/>
  <c r="V1588" i="9"/>
  <c r="V1589" i="9"/>
  <c r="V1590" i="9"/>
  <c r="V1591" i="9"/>
  <c r="V1592" i="9"/>
  <c r="V1593" i="9"/>
  <c r="V1594" i="9"/>
  <c r="V1595" i="9"/>
  <c r="V1596" i="9"/>
  <c r="V1597" i="9"/>
  <c r="V1598" i="9"/>
  <c r="V1599" i="9"/>
  <c r="V1600" i="9"/>
  <c r="V1601" i="9"/>
  <c r="V1602" i="9"/>
  <c r="V1603" i="9"/>
  <c r="V1604" i="9"/>
  <c r="V1605" i="9"/>
  <c r="V1606" i="9"/>
  <c r="V1607" i="9"/>
  <c r="V1608" i="9"/>
  <c r="V1609" i="9"/>
  <c r="V1610" i="9"/>
  <c r="V1611" i="9"/>
  <c r="V1612" i="9"/>
  <c r="V1613" i="9"/>
  <c r="V1614" i="9"/>
  <c r="V1615" i="9"/>
  <c r="V1616" i="9"/>
  <c r="V1617" i="9"/>
  <c r="V1618" i="9"/>
  <c r="V1619" i="9"/>
  <c r="V1620" i="9"/>
  <c r="V1621" i="9"/>
  <c r="V1622" i="9"/>
  <c r="V1623" i="9"/>
  <c r="V1624" i="9"/>
  <c r="V1625" i="9"/>
  <c r="V1626" i="9"/>
  <c r="V1627" i="9"/>
  <c r="V1628" i="9"/>
  <c r="V1629" i="9"/>
  <c r="V1630" i="9"/>
  <c r="V1631" i="9"/>
  <c r="V1632" i="9"/>
  <c r="V1633" i="9"/>
  <c r="V1634" i="9"/>
  <c r="V1635" i="9"/>
  <c r="V1636" i="9"/>
  <c r="V1637" i="9"/>
  <c r="V1638" i="9"/>
  <c r="V1639" i="9"/>
  <c r="V1640" i="9"/>
  <c r="V1641" i="9"/>
  <c r="V1642" i="9"/>
  <c r="V1643" i="9"/>
  <c r="V1644" i="9"/>
  <c r="V1645" i="9"/>
  <c r="V1646" i="9"/>
  <c r="V1647" i="9"/>
  <c r="V1648" i="9"/>
  <c r="V1649" i="9"/>
  <c r="V1650" i="9"/>
  <c r="V1651" i="9"/>
  <c r="V1652" i="9"/>
  <c r="V1653" i="9"/>
  <c r="V1654" i="9"/>
  <c r="V1655" i="9"/>
  <c r="V1656" i="9"/>
  <c r="V1657" i="9"/>
  <c r="V1658" i="9"/>
  <c r="V1659" i="9"/>
  <c r="V1660" i="9"/>
  <c r="V1661" i="9"/>
  <c r="V1662" i="9"/>
  <c r="V1663" i="9"/>
  <c r="V1664" i="9"/>
  <c r="V1665" i="9"/>
  <c r="V1666" i="9"/>
  <c r="V1667" i="9"/>
  <c r="V1668" i="9"/>
  <c r="V1669" i="9"/>
  <c r="V1670" i="9"/>
  <c r="V1671" i="9"/>
  <c r="V1672" i="9"/>
  <c r="V1673" i="9"/>
  <c r="V1674" i="9"/>
  <c r="V1675" i="9"/>
  <c r="V1676" i="9"/>
  <c r="V1677" i="9"/>
  <c r="V1678" i="9"/>
  <c r="V1679" i="9"/>
  <c r="V1680" i="9"/>
  <c r="V1681" i="9"/>
  <c r="V1682" i="9"/>
  <c r="V1683" i="9"/>
  <c r="V1684" i="9"/>
  <c r="V1685" i="9"/>
  <c r="V1686" i="9"/>
  <c r="V1687" i="9"/>
  <c r="V1688" i="9"/>
  <c r="V1689" i="9"/>
  <c r="V1690" i="9"/>
  <c r="V1691" i="9"/>
  <c r="V1692" i="9"/>
  <c r="V1693" i="9"/>
  <c r="V1694" i="9"/>
  <c r="V1695" i="9"/>
  <c r="V1696" i="9"/>
  <c r="V1697" i="9"/>
  <c r="V1698" i="9"/>
  <c r="V1699" i="9"/>
  <c r="V1700" i="9"/>
  <c r="V1701" i="9"/>
  <c r="V1702" i="9"/>
  <c r="V1703" i="9"/>
  <c r="V1704" i="9"/>
  <c r="V1705" i="9"/>
  <c r="V1706" i="9"/>
  <c r="V1707" i="9"/>
  <c r="V1708" i="9"/>
  <c r="V1709" i="9"/>
  <c r="V1710" i="9"/>
  <c r="V1711" i="9"/>
  <c r="V1712" i="9"/>
  <c r="V1713" i="9"/>
  <c r="V1714" i="9"/>
  <c r="V1715" i="9"/>
  <c r="V1716" i="9"/>
  <c r="V1717" i="9"/>
  <c r="V1718" i="9"/>
  <c r="V1719" i="9"/>
  <c r="V1720" i="9"/>
  <c r="V1721" i="9"/>
  <c r="V1722" i="9"/>
  <c r="V1723" i="9"/>
  <c r="V1724" i="9"/>
  <c r="V1725" i="9"/>
  <c r="V1726" i="9"/>
  <c r="V1727" i="9"/>
  <c r="V1728" i="9"/>
  <c r="V1729" i="9"/>
  <c r="V1730" i="9"/>
  <c r="V1731" i="9"/>
  <c r="V1732" i="9"/>
  <c r="V1733" i="9"/>
  <c r="V1734" i="9"/>
  <c r="V1735" i="9"/>
  <c r="V1736" i="9"/>
  <c r="V1737" i="9"/>
  <c r="V1738" i="9"/>
  <c r="V1739" i="9"/>
  <c r="V1740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61" i="9"/>
  <c r="V1762" i="9"/>
  <c r="V1763" i="9"/>
  <c r="V1764" i="9"/>
  <c r="V1765" i="9"/>
  <c r="V1766" i="9"/>
  <c r="V1767" i="9"/>
  <c r="V1768" i="9"/>
  <c r="V1769" i="9"/>
  <c r="V1770" i="9"/>
  <c r="V1771" i="9"/>
  <c r="V1772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6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1969" i="9"/>
  <c r="V1970" i="9"/>
  <c r="V1971" i="9"/>
  <c r="V1972" i="9"/>
  <c r="V1973" i="9"/>
  <c r="V1974" i="9"/>
  <c r="V1975" i="9"/>
  <c r="V1976" i="9"/>
  <c r="V1977" i="9"/>
  <c r="V1978" i="9"/>
  <c r="V1979" i="9"/>
  <c r="V1980" i="9"/>
  <c r="V1981" i="9"/>
  <c r="V1982" i="9"/>
  <c r="V1983" i="9"/>
  <c r="V1984" i="9"/>
  <c r="V1985" i="9"/>
  <c r="V1986" i="9"/>
  <c r="V1987" i="9"/>
  <c r="V1988" i="9"/>
  <c r="V1989" i="9"/>
  <c r="V1990" i="9"/>
  <c r="V1991" i="9"/>
  <c r="V1992" i="9"/>
  <c r="V1993" i="9"/>
  <c r="V1994" i="9"/>
  <c r="V1995" i="9"/>
  <c r="V1996" i="9"/>
  <c r="V1997" i="9"/>
  <c r="V1998" i="9"/>
  <c r="V1999" i="9"/>
  <c r="V2000" i="9"/>
  <c r="V2001" i="9"/>
  <c r="V2002" i="9"/>
  <c r="V2003" i="9"/>
  <c r="V2004" i="9"/>
  <c r="V2005" i="9"/>
  <c r="V2006" i="9"/>
  <c r="V2007" i="9"/>
  <c r="V2008" i="9"/>
  <c r="V2009" i="9"/>
  <c r="V2010" i="9"/>
  <c r="V2011" i="9"/>
  <c r="V2012" i="9"/>
  <c r="V2013" i="9"/>
  <c r="V2014" i="9"/>
  <c r="V2015" i="9"/>
  <c r="V2016" i="9"/>
  <c r="V2017" i="9"/>
  <c r="V2018" i="9"/>
  <c r="V2019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45" i="9"/>
  <c r="V2046" i="9"/>
  <c r="V2047" i="9"/>
  <c r="V2048" i="9"/>
  <c r="V2049" i="9"/>
  <c r="V2050" i="9"/>
  <c r="V2051" i="9"/>
  <c r="V2052" i="9"/>
  <c r="V2053" i="9"/>
  <c r="V2054" i="9"/>
  <c r="V2055" i="9"/>
  <c r="V2056" i="9"/>
  <c r="V2057" i="9"/>
  <c r="V2058" i="9"/>
  <c r="V2059" i="9"/>
  <c r="V2060" i="9"/>
  <c r="V2061" i="9"/>
  <c r="V2062" i="9"/>
  <c r="V2063" i="9"/>
  <c r="V2064" i="9"/>
  <c r="V2065" i="9"/>
  <c r="V2066" i="9"/>
  <c r="V2067" i="9"/>
  <c r="V2068" i="9"/>
  <c r="V2069" i="9"/>
  <c r="V2070" i="9"/>
  <c r="V2071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169" i="9"/>
  <c r="V2170" i="9"/>
  <c r="V2171" i="9"/>
  <c r="V2172" i="9"/>
  <c r="V2173" i="9"/>
  <c r="V2174" i="9"/>
  <c r="V2175" i="9"/>
  <c r="V2176" i="9"/>
  <c r="V2177" i="9"/>
  <c r="V2178" i="9"/>
  <c r="V2179" i="9"/>
  <c r="V2180" i="9"/>
  <c r="V2181" i="9"/>
  <c r="V2182" i="9"/>
  <c r="V2183" i="9"/>
  <c r="V2184" i="9"/>
  <c r="V2185" i="9"/>
  <c r="V2186" i="9"/>
  <c r="V2187" i="9"/>
  <c r="V2188" i="9"/>
  <c r="V2189" i="9"/>
  <c r="V2190" i="9"/>
  <c r="V2191" i="9"/>
  <c r="V2192" i="9"/>
  <c r="V2193" i="9"/>
  <c r="V2194" i="9"/>
  <c r="V2195" i="9"/>
  <c r="V2196" i="9"/>
  <c r="V2197" i="9"/>
  <c r="V2198" i="9"/>
  <c r="V2199" i="9"/>
  <c r="V2200" i="9"/>
  <c r="V2201" i="9"/>
  <c r="V2202" i="9"/>
  <c r="V2203" i="9"/>
  <c r="V2204" i="9"/>
  <c r="V2205" i="9"/>
  <c r="V2206" i="9"/>
  <c r="V2207" i="9"/>
  <c r="V2208" i="9"/>
  <c r="V2209" i="9"/>
  <c r="V2210" i="9"/>
  <c r="V2211" i="9"/>
  <c r="V2212" i="9"/>
  <c r="V2213" i="9"/>
  <c r="V2214" i="9"/>
  <c r="V2215" i="9"/>
  <c r="V2216" i="9"/>
  <c r="V2217" i="9"/>
  <c r="V2218" i="9"/>
  <c r="V2219" i="9"/>
  <c r="V2220" i="9"/>
  <c r="V2221" i="9"/>
  <c r="V2222" i="9"/>
  <c r="V2223" i="9"/>
  <c r="V2224" i="9"/>
  <c r="V2225" i="9"/>
  <c r="V2226" i="9"/>
  <c r="V2227" i="9"/>
  <c r="V2228" i="9"/>
  <c r="V2229" i="9"/>
  <c r="V2230" i="9"/>
  <c r="V2231" i="9"/>
  <c r="V2232" i="9"/>
  <c r="V2233" i="9"/>
  <c r="V2234" i="9"/>
  <c r="V2235" i="9"/>
  <c r="V2236" i="9"/>
  <c r="V2237" i="9"/>
  <c r="V2238" i="9"/>
  <c r="V2239" i="9"/>
  <c r="V2240" i="9"/>
  <c r="V2241" i="9"/>
  <c r="V2242" i="9"/>
  <c r="V2243" i="9"/>
  <c r="V2244" i="9"/>
  <c r="V2245" i="9"/>
  <c r="V2246" i="9"/>
  <c r="V2247" i="9"/>
  <c r="V2248" i="9"/>
  <c r="V2249" i="9"/>
  <c r="V2250" i="9"/>
  <c r="V2251" i="9"/>
  <c r="V2252" i="9"/>
  <c r="V2253" i="9"/>
  <c r="V2254" i="9"/>
  <c r="V2255" i="9"/>
  <c r="V2256" i="9"/>
  <c r="V2257" i="9"/>
  <c r="V2258" i="9"/>
  <c r="V2259" i="9"/>
  <c r="V2260" i="9"/>
  <c r="V2261" i="9"/>
  <c r="V2262" i="9"/>
  <c r="V2263" i="9"/>
  <c r="V2264" i="9"/>
  <c r="V2265" i="9"/>
  <c r="V2266" i="9"/>
  <c r="V2267" i="9"/>
  <c r="V2268" i="9"/>
  <c r="V2269" i="9"/>
  <c r="P3" i="9"/>
  <c r="P5" i="9"/>
  <c r="P6" i="9"/>
  <c r="P8" i="9"/>
  <c r="P9" i="9"/>
  <c r="P10" i="9"/>
  <c r="P12" i="9"/>
  <c r="P13" i="9"/>
  <c r="P14" i="9"/>
  <c r="P15" i="9"/>
  <c r="P17" i="9"/>
  <c r="P18" i="9"/>
  <c r="P19" i="9"/>
  <c r="P20" i="9"/>
  <c r="P21" i="9"/>
  <c r="P23" i="9"/>
  <c r="P24" i="9"/>
  <c r="P26" i="9"/>
  <c r="P27" i="9"/>
  <c r="P29" i="9"/>
  <c r="P30" i="9"/>
  <c r="P31" i="9"/>
  <c r="P32" i="9"/>
  <c r="P35" i="9"/>
  <c r="P36" i="9"/>
  <c r="P37" i="9"/>
  <c r="P38" i="9"/>
  <c r="P39" i="9"/>
  <c r="P40" i="9"/>
  <c r="P41" i="9"/>
  <c r="P42" i="9"/>
  <c r="P44" i="9"/>
  <c r="P45" i="9"/>
  <c r="P47" i="9"/>
  <c r="P49" i="9"/>
  <c r="P50" i="9"/>
  <c r="P51" i="9"/>
  <c r="P54" i="9"/>
  <c r="P55" i="9"/>
  <c r="P56" i="9"/>
  <c r="P58" i="9"/>
  <c r="P59" i="9"/>
  <c r="P60" i="9"/>
  <c r="P62" i="9"/>
  <c r="P63" i="9"/>
  <c r="P65" i="9"/>
  <c r="P66" i="9"/>
  <c r="P68" i="9"/>
  <c r="P69" i="9"/>
  <c r="P71" i="9"/>
  <c r="P72" i="9"/>
  <c r="P73" i="9"/>
  <c r="P74" i="9"/>
  <c r="P76" i="9"/>
  <c r="P77" i="9"/>
  <c r="P78" i="9"/>
  <c r="P80" i="9"/>
  <c r="P81" i="9"/>
  <c r="P82" i="9"/>
  <c r="P83" i="9"/>
  <c r="P84" i="9"/>
  <c r="P85" i="9"/>
  <c r="P87" i="9"/>
  <c r="P89" i="9"/>
  <c r="P90" i="9"/>
  <c r="P91" i="9"/>
  <c r="P92" i="9"/>
  <c r="P93" i="9"/>
  <c r="P94" i="9"/>
  <c r="P95" i="9"/>
  <c r="P96" i="9"/>
  <c r="P98" i="9"/>
  <c r="P99" i="9"/>
  <c r="P101" i="9"/>
  <c r="P102" i="9"/>
  <c r="P103" i="9"/>
  <c r="P104" i="9"/>
  <c r="P105" i="9"/>
  <c r="P108" i="9"/>
  <c r="P109" i="9"/>
  <c r="P110" i="9"/>
  <c r="P111" i="9"/>
  <c r="P113" i="9"/>
  <c r="P114" i="9"/>
  <c r="P116" i="9"/>
  <c r="P117" i="9"/>
  <c r="P119" i="9"/>
  <c r="P120" i="9"/>
  <c r="P121" i="9"/>
  <c r="P122" i="9"/>
  <c r="P123" i="9"/>
  <c r="P125" i="9"/>
  <c r="P126" i="9"/>
  <c r="P127" i="9"/>
  <c r="P128" i="9"/>
  <c r="P129" i="9"/>
  <c r="P130" i="9"/>
  <c r="P131" i="9"/>
  <c r="P134" i="9"/>
  <c r="P135" i="9"/>
  <c r="P136" i="9"/>
  <c r="P137" i="9"/>
  <c r="P138" i="9"/>
  <c r="P139" i="9"/>
  <c r="P140" i="9"/>
  <c r="P143" i="9"/>
  <c r="P144" i="9"/>
  <c r="P146" i="9"/>
  <c r="P147" i="9"/>
  <c r="P148" i="9"/>
  <c r="P149" i="9"/>
  <c r="P150" i="9"/>
  <c r="P152" i="9"/>
  <c r="P153" i="9"/>
  <c r="P154" i="9"/>
  <c r="P156" i="9"/>
  <c r="P157" i="9"/>
  <c r="P158" i="9"/>
  <c r="P159" i="9"/>
  <c r="P161" i="9"/>
  <c r="P162" i="9"/>
  <c r="P163" i="9"/>
  <c r="P164" i="9"/>
  <c r="P166" i="9"/>
  <c r="P168" i="9"/>
  <c r="P170" i="9"/>
  <c r="P171" i="9"/>
  <c r="P172" i="9"/>
  <c r="P174" i="9"/>
  <c r="P175" i="9"/>
  <c r="P176" i="9"/>
  <c r="P177" i="9"/>
  <c r="P180" i="9"/>
  <c r="P181" i="9"/>
  <c r="P182" i="9"/>
  <c r="P183" i="9"/>
  <c r="P184" i="9"/>
  <c r="P185" i="9"/>
  <c r="P188" i="9"/>
  <c r="P189" i="9"/>
  <c r="P190" i="9"/>
  <c r="P192" i="9"/>
  <c r="P193" i="9"/>
  <c r="P194" i="9"/>
  <c r="P197" i="9"/>
  <c r="P198" i="9"/>
  <c r="P199" i="9"/>
  <c r="P200" i="9"/>
  <c r="P201" i="9"/>
  <c r="P202" i="9"/>
  <c r="P203" i="9"/>
  <c r="P204" i="9"/>
  <c r="P206" i="9"/>
  <c r="P207" i="9"/>
  <c r="P210" i="9"/>
  <c r="P211" i="9"/>
  <c r="P212" i="9"/>
  <c r="P213" i="9"/>
  <c r="P215" i="9"/>
  <c r="P217" i="9"/>
  <c r="P218" i="9"/>
  <c r="P219" i="9"/>
  <c r="P220" i="9"/>
  <c r="P221" i="9"/>
  <c r="P222" i="9"/>
  <c r="P224" i="9"/>
  <c r="P225" i="9"/>
  <c r="P226" i="9"/>
  <c r="P227" i="9"/>
  <c r="P228" i="9"/>
  <c r="P229" i="9"/>
  <c r="P230" i="9"/>
  <c r="P231" i="9"/>
  <c r="P234" i="9"/>
  <c r="P235" i="9"/>
  <c r="P236" i="9"/>
  <c r="P237" i="9"/>
  <c r="P238" i="9"/>
  <c r="P239" i="9"/>
  <c r="P240" i="9"/>
  <c r="P242" i="9"/>
  <c r="P244" i="9"/>
  <c r="P245" i="9"/>
  <c r="P247" i="9"/>
  <c r="P248" i="9"/>
  <c r="P249" i="9"/>
  <c r="P251" i="9"/>
  <c r="P252" i="9"/>
  <c r="P253" i="9"/>
  <c r="P254" i="9"/>
  <c r="P255" i="9"/>
  <c r="P256" i="9"/>
  <c r="P257" i="9"/>
  <c r="P258" i="9"/>
  <c r="P260" i="9"/>
  <c r="P262" i="9"/>
  <c r="P263" i="9"/>
  <c r="P264" i="9"/>
  <c r="P265" i="9"/>
  <c r="P266" i="9"/>
  <c r="P267" i="9"/>
  <c r="P269" i="9"/>
  <c r="P270" i="9"/>
  <c r="P271" i="9"/>
  <c r="P273" i="9"/>
  <c r="P275" i="9"/>
  <c r="P276" i="9"/>
  <c r="P278" i="9"/>
  <c r="P279" i="9"/>
  <c r="P280" i="9"/>
  <c r="P281" i="9"/>
  <c r="P282" i="9"/>
  <c r="P283" i="9"/>
  <c r="P285" i="9"/>
  <c r="P287" i="9"/>
  <c r="P288" i="9"/>
  <c r="P289" i="9"/>
  <c r="P290" i="9"/>
  <c r="P291" i="9"/>
  <c r="P292" i="9"/>
  <c r="P293" i="9"/>
  <c r="P294" i="9"/>
  <c r="P296" i="9"/>
  <c r="P297" i="9"/>
  <c r="P298" i="9"/>
  <c r="P299" i="9"/>
  <c r="P300" i="9"/>
  <c r="P301" i="9"/>
  <c r="P302" i="9"/>
  <c r="P303" i="9"/>
  <c r="P305" i="9"/>
  <c r="P308" i="9"/>
  <c r="P309" i="9"/>
  <c r="P310" i="9"/>
  <c r="P311" i="9"/>
  <c r="P312" i="9"/>
  <c r="P314" i="9"/>
  <c r="P315" i="9"/>
  <c r="P316" i="9"/>
  <c r="P317" i="9"/>
  <c r="P318" i="9"/>
  <c r="P319" i="9"/>
  <c r="P320" i="9"/>
  <c r="P321" i="9"/>
  <c r="P323" i="9"/>
  <c r="P324" i="9"/>
  <c r="P326" i="9"/>
  <c r="P327" i="9"/>
  <c r="P328" i="9"/>
  <c r="P329" i="9"/>
  <c r="P330" i="9"/>
  <c r="P332" i="9"/>
  <c r="P333" i="9"/>
  <c r="P334" i="9"/>
  <c r="P335" i="9"/>
  <c r="P336" i="9"/>
  <c r="P337" i="9"/>
  <c r="P338" i="9"/>
  <c r="P339" i="9"/>
  <c r="P342" i="9"/>
  <c r="P343" i="9"/>
  <c r="P344" i="9"/>
  <c r="P346" i="9"/>
  <c r="P347" i="9"/>
  <c r="P348" i="9"/>
  <c r="P350" i="9"/>
  <c r="P351" i="9"/>
  <c r="P352" i="9"/>
  <c r="P353" i="9"/>
  <c r="P355" i="9"/>
  <c r="P356" i="9"/>
  <c r="P357" i="9"/>
  <c r="P359" i="9"/>
  <c r="P360" i="9"/>
  <c r="P361" i="9"/>
  <c r="P362" i="9"/>
  <c r="P363" i="9"/>
  <c r="P364" i="9"/>
  <c r="P365" i="9"/>
  <c r="P368" i="9"/>
  <c r="P369" i="9"/>
  <c r="P370" i="9"/>
  <c r="P371" i="9"/>
  <c r="P372" i="9"/>
  <c r="P373" i="9"/>
  <c r="P374" i="9"/>
  <c r="P375" i="9"/>
  <c r="P378" i="9"/>
  <c r="P379" i="9"/>
  <c r="P381" i="9"/>
  <c r="P382" i="9"/>
  <c r="P383" i="9"/>
  <c r="P384" i="9"/>
  <c r="P386" i="9"/>
  <c r="P387" i="9"/>
  <c r="P388" i="9"/>
  <c r="P389" i="9"/>
  <c r="P391" i="9"/>
  <c r="P392" i="9"/>
  <c r="P393" i="9"/>
  <c r="P395" i="9"/>
  <c r="P397" i="9"/>
  <c r="P398" i="9"/>
  <c r="P400" i="9"/>
  <c r="P401" i="9"/>
  <c r="P402" i="9"/>
  <c r="P404" i="9"/>
  <c r="P405" i="9"/>
  <c r="P406" i="9"/>
  <c r="P407" i="9"/>
  <c r="P408" i="9"/>
  <c r="P409" i="9"/>
  <c r="P410" i="9"/>
  <c r="P411" i="9"/>
  <c r="P413" i="9"/>
  <c r="P414" i="9"/>
  <c r="P415" i="9"/>
  <c r="P416" i="9"/>
  <c r="P417" i="9"/>
  <c r="P418" i="9"/>
  <c r="P419" i="9"/>
  <c r="P423" i="9"/>
  <c r="P424" i="9"/>
  <c r="P425" i="9"/>
  <c r="P426" i="9"/>
  <c r="P427" i="9"/>
  <c r="P428" i="9"/>
  <c r="P429" i="9"/>
  <c r="P431" i="9"/>
  <c r="P432" i="9"/>
  <c r="P433" i="9"/>
  <c r="P434" i="9"/>
  <c r="P435" i="9"/>
  <c r="P436" i="9"/>
  <c r="P437" i="9"/>
  <c r="P438" i="9"/>
  <c r="P441" i="9"/>
  <c r="P442" i="9"/>
  <c r="P443" i="9"/>
  <c r="P445" i="9"/>
  <c r="P446" i="9"/>
  <c r="P447" i="9"/>
  <c r="P450" i="9"/>
  <c r="P451" i="9"/>
  <c r="P453" i="9"/>
  <c r="P454" i="9"/>
  <c r="P455" i="9"/>
  <c r="P456" i="9"/>
  <c r="P458" i="9"/>
  <c r="P459" i="9"/>
  <c r="P460" i="9"/>
  <c r="P461" i="9"/>
  <c r="P462" i="9"/>
  <c r="P463" i="9"/>
  <c r="P464" i="9"/>
  <c r="P465" i="9"/>
  <c r="P467" i="9"/>
  <c r="P468" i="9"/>
  <c r="P469" i="9"/>
  <c r="P470" i="9"/>
  <c r="P471" i="9"/>
  <c r="P473" i="9"/>
  <c r="P476" i="9"/>
  <c r="P477" i="9"/>
  <c r="P478" i="9"/>
  <c r="P479" i="9"/>
  <c r="P480" i="9"/>
  <c r="P481" i="9"/>
  <c r="P482" i="9"/>
  <c r="P483" i="9"/>
  <c r="P485" i="9"/>
  <c r="P486" i="9"/>
  <c r="P487" i="9"/>
  <c r="P488" i="9"/>
  <c r="P490" i="9"/>
  <c r="P491" i="9"/>
  <c r="P492" i="9"/>
  <c r="P494" i="9"/>
  <c r="P495" i="9"/>
  <c r="P496" i="9"/>
  <c r="P497" i="9"/>
  <c r="P498" i="9"/>
  <c r="P499" i="9"/>
  <c r="P500" i="9"/>
  <c r="P503" i="9"/>
  <c r="P504" i="9"/>
  <c r="P505" i="9"/>
  <c r="P506" i="9"/>
  <c r="P507" i="9"/>
  <c r="P508" i="9"/>
  <c r="P509" i="9"/>
  <c r="P510" i="9"/>
  <c r="P512" i="9"/>
  <c r="P513" i="9"/>
  <c r="P514" i="9"/>
  <c r="P515" i="9"/>
  <c r="P516" i="9"/>
  <c r="P517" i="9"/>
  <c r="P518" i="9"/>
  <c r="P519" i="9"/>
  <c r="P521" i="9"/>
  <c r="P522" i="9"/>
  <c r="P523" i="9"/>
  <c r="P524" i="9"/>
  <c r="P525" i="9"/>
  <c r="P527" i="9"/>
  <c r="P528" i="9"/>
  <c r="P530" i="9"/>
  <c r="P531" i="9"/>
  <c r="P532" i="9"/>
  <c r="P533" i="9"/>
  <c r="P534" i="9"/>
  <c r="P535" i="9"/>
  <c r="P536" i="9"/>
  <c r="P537" i="9"/>
  <c r="P539" i="9"/>
  <c r="P540" i="9"/>
  <c r="P541" i="9"/>
  <c r="P542" i="9"/>
  <c r="P543" i="9"/>
  <c r="P544" i="9"/>
  <c r="P545" i="9"/>
  <c r="P546" i="9"/>
  <c r="P548" i="9"/>
  <c r="P549" i="9"/>
  <c r="P552" i="9"/>
  <c r="P553" i="9"/>
  <c r="P554" i="9"/>
  <c r="P555" i="9"/>
  <c r="P557" i="9"/>
  <c r="P558" i="9"/>
  <c r="P559" i="9"/>
  <c r="P560" i="9"/>
  <c r="P561" i="9"/>
  <c r="P562" i="9"/>
  <c r="P563" i="9"/>
  <c r="P564" i="9"/>
  <c r="P566" i="9"/>
  <c r="P567" i="9"/>
  <c r="P568" i="9"/>
  <c r="P569" i="9"/>
  <c r="P570" i="9"/>
  <c r="P571" i="9"/>
  <c r="P572" i="9"/>
  <c r="P573" i="9"/>
  <c r="P575" i="9"/>
  <c r="P576" i="9"/>
  <c r="P578" i="9"/>
  <c r="P579" i="9"/>
  <c r="P580" i="9"/>
  <c r="P581" i="9"/>
  <c r="P584" i="9"/>
  <c r="P585" i="9"/>
  <c r="P586" i="9"/>
  <c r="P587" i="9"/>
  <c r="P589" i="9"/>
  <c r="P590" i="9"/>
  <c r="P591" i="9"/>
  <c r="P593" i="9"/>
  <c r="P594" i="9"/>
  <c r="P595" i="9"/>
  <c r="P596" i="9"/>
  <c r="P597" i="9"/>
  <c r="P599" i="9"/>
  <c r="P600" i="9"/>
  <c r="P602" i="9"/>
  <c r="P603" i="9"/>
  <c r="P605" i="9"/>
  <c r="P606" i="9"/>
  <c r="P607" i="9"/>
  <c r="P608" i="9"/>
  <c r="P611" i="9"/>
  <c r="P613" i="9"/>
  <c r="P614" i="9"/>
  <c r="P615" i="9"/>
  <c r="P616" i="9"/>
  <c r="P617" i="9"/>
  <c r="P620" i="9"/>
  <c r="P621" i="9"/>
  <c r="P622" i="9"/>
  <c r="P623" i="9"/>
  <c r="P624" i="9"/>
  <c r="P625" i="9"/>
  <c r="P626" i="9"/>
  <c r="P627" i="9"/>
  <c r="P629" i="9"/>
  <c r="P630" i="9"/>
  <c r="P631" i="9"/>
  <c r="P632" i="9"/>
  <c r="P633" i="9"/>
  <c r="P634" i="9"/>
  <c r="P635" i="9"/>
  <c r="P636" i="9"/>
  <c r="P638" i="9"/>
  <c r="P639" i="9"/>
  <c r="P640" i="9"/>
  <c r="P641" i="9"/>
  <c r="P642" i="9"/>
  <c r="P644" i="9"/>
  <c r="P645" i="9"/>
  <c r="P647" i="9"/>
  <c r="P648" i="9"/>
  <c r="P649" i="9"/>
  <c r="P650" i="9"/>
  <c r="P651" i="9"/>
  <c r="P652" i="9"/>
  <c r="P653" i="9"/>
  <c r="P654" i="9"/>
  <c r="P656" i="9"/>
  <c r="P657" i="9"/>
  <c r="P658" i="9"/>
  <c r="P659" i="9"/>
  <c r="P661" i="9"/>
  <c r="P662" i="9"/>
  <c r="P663" i="9"/>
  <c r="P665" i="9"/>
  <c r="P666" i="9"/>
  <c r="P667" i="9"/>
  <c r="P668" i="9"/>
  <c r="P669" i="9"/>
  <c r="P670" i="9"/>
  <c r="P671" i="9"/>
  <c r="P672" i="9"/>
  <c r="P674" i="9"/>
  <c r="P675" i="9"/>
  <c r="P676" i="9"/>
  <c r="P677" i="9"/>
  <c r="P678" i="9"/>
  <c r="P679" i="9"/>
  <c r="P680" i="9"/>
  <c r="P681" i="9"/>
  <c r="P683" i="9"/>
  <c r="P684" i="9"/>
  <c r="P685" i="9"/>
  <c r="P686" i="9"/>
  <c r="P688" i="9"/>
  <c r="P689" i="9"/>
  <c r="P690" i="9"/>
  <c r="P692" i="9"/>
  <c r="P693" i="9"/>
  <c r="P694" i="9"/>
  <c r="P695" i="9"/>
  <c r="P696" i="9"/>
  <c r="P697" i="9"/>
  <c r="P698" i="9"/>
  <c r="P701" i="9"/>
  <c r="P702" i="9"/>
  <c r="P704" i="9"/>
  <c r="P705" i="9"/>
  <c r="P706" i="9"/>
  <c r="P707" i="9"/>
  <c r="P708" i="9"/>
  <c r="P710" i="9"/>
  <c r="P711" i="9"/>
  <c r="P713" i="9"/>
  <c r="P714" i="9"/>
  <c r="P715" i="9"/>
  <c r="P716" i="9"/>
  <c r="P717" i="9"/>
  <c r="P720" i="9"/>
  <c r="P721" i="9"/>
  <c r="P722" i="9"/>
  <c r="P723" i="9"/>
  <c r="P724" i="9"/>
  <c r="P725" i="9"/>
  <c r="P726" i="9"/>
  <c r="P728" i="9"/>
  <c r="P730" i="9"/>
  <c r="P731" i="9"/>
  <c r="P732" i="9"/>
  <c r="P734" i="9"/>
  <c r="P735" i="9"/>
  <c r="P737" i="9"/>
  <c r="P738" i="9"/>
  <c r="P739" i="9"/>
  <c r="P740" i="9"/>
  <c r="P742" i="9"/>
  <c r="P743" i="9"/>
  <c r="P744" i="9"/>
  <c r="P746" i="9"/>
  <c r="P747" i="9"/>
  <c r="P748" i="9"/>
  <c r="P749" i="9"/>
  <c r="P750" i="9"/>
  <c r="P751" i="9"/>
  <c r="P752" i="9"/>
  <c r="P753" i="9"/>
  <c r="P755" i="9"/>
  <c r="P757" i="9"/>
  <c r="P758" i="9"/>
  <c r="P759" i="9"/>
  <c r="P760" i="9"/>
  <c r="P761" i="9"/>
  <c r="P762" i="9"/>
  <c r="P764" i="9"/>
  <c r="P766" i="9"/>
  <c r="P767" i="9"/>
  <c r="P768" i="9"/>
  <c r="P770" i="9"/>
  <c r="P771" i="9"/>
  <c r="P773" i="9"/>
  <c r="P774" i="9"/>
  <c r="P776" i="9"/>
  <c r="P777" i="9"/>
  <c r="P778" i="9"/>
  <c r="P779" i="9"/>
  <c r="P782" i="9"/>
  <c r="P783" i="9"/>
  <c r="P784" i="9"/>
  <c r="P785" i="9"/>
  <c r="P786" i="9"/>
  <c r="P787" i="9"/>
  <c r="P788" i="9"/>
  <c r="P791" i="9"/>
  <c r="P792" i="9"/>
  <c r="P793" i="9"/>
  <c r="P794" i="9"/>
  <c r="P795" i="9"/>
  <c r="P796" i="9"/>
  <c r="P797" i="9"/>
  <c r="P798" i="9"/>
  <c r="P801" i="9"/>
  <c r="P802" i="9"/>
  <c r="P803" i="9"/>
  <c r="P804" i="9"/>
  <c r="P805" i="9"/>
  <c r="P806" i="9"/>
  <c r="P807" i="9"/>
  <c r="P809" i="9"/>
  <c r="P811" i="9"/>
  <c r="P812" i="9"/>
  <c r="P813" i="9"/>
  <c r="P814" i="9"/>
  <c r="P815" i="9"/>
  <c r="P816" i="9"/>
  <c r="P818" i="9"/>
  <c r="P819" i="9"/>
  <c r="P820" i="9"/>
  <c r="P821" i="9"/>
  <c r="P822" i="9"/>
  <c r="P823" i="9"/>
  <c r="P824" i="9"/>
  <c r="P827" i="9"/>
  <c r="P828" i="9"/>
  <c r="P829" i="9"/>
  <c r="P831" i="9"/>
  <c r="P832" i="9"/>
  <c r="P833" i="9"/>
  <c r="P834" i="9"/>
  <c r="P836" i="9"/>
  <c r="P837" i="9"/>
  <c r="P838" i="9"/>
  <c r="P839" i="9"/>
  <c r="P840" i="9"/>
  <c r="P841" i="9"/>
  <c r="P842" i="9"/>
  <c r="P845" i="9"/>
  <c r="P846" i="9"/>
  <c r="P847" i="9"/>
  <c r="P848" i="9"/>
  <c r="P850" i="9"/>
  <c r="P851" i="9"/>
  <c r="P852" i="9"/>
  <c r="P855" i="9"/>
  <c r="P856" i="9"/>
  <c r="P857" i="9"/>
  <c r="P859" i="9"/>
  <c r="P860" i="9"/>
  <c r="P861" i="9"/>
  <c r="P864" i="9"/>
  <c r="P865" i="9"/>
  <c r="P866" i="9"/>
  <c r="P867" i="9"/>
  <c r="P868" i="9"/>
  <c r="P870" i="9"/>
  <c r="P872" i="9"/>
  <c r="P873" i="9"/>
  <c r="P874" i="9"/>
  <c r="P875" i="9"/>
  <c r="P876" i="9"/>
  <c r="P877" i="9"/>
  <c r="P878" i="9"/>
  <c r="P879" i="9"/>
  <c r="P881" i="9"/>
  <c r="P882" i="9"/>
  <c r="P883" i="9"/>
  <c r="P884" i="9"/>
  <c r="P885" i="9"/>
  <c r="P886" i="9"/>
  <c r="P887" i="9"/>
  <c r="P888" i="9"/>
  <c r="P890" i="9"/>
  <c r="P891" i="9"/>
  <c r="P893" i="9"/>
  <c r="P894" i="9"/>
  <c r="P895" i="9"/>
  <c r="P896" i="9"/>
  <c r="P897" i="9"/>
  <c r="P900" i="9"/>
  <c r="P901" i="9"/>
  <c r="P902" i="9"/>
  <c r="P903" i="9"/>
  <c r="P904" i="9"/>
  <c r="P906" i="9"/>
  <c r="P908" i="9"/>
  <c r="P909" i="9"/>
  <c r="P910" i="9"/>
  <c r="P911" i="9"/>
  <c r="P912" i="9"/>
  <c r="P914" i="9"/>
  <c r="P915" i="9"/>
  <c r="P917" i="9"/>
  <c r="P918" i="9"/>
  <c r="P919" i="9"/>
  <c r="P920" i="9"/>
  <c r="P921" i="9"/>
  <c r="P922" i="9"/>
  <c r="P924" i="9"/>
  <c r="P926" i="9"/>
  <c r="P927" i="9"/>
  <c r="P928" i="9"/>
  <c r="P929" i="9"/>
  <c r="P931" i="9"/>
  <c r="P933" i="9"/>
  <c r="P935" i="9"/>
  <c r="P936" i="9"/>
  <c r="P937" i="9"/>
  <c r="P938" i="9"/>
  <c r="P939" i="9"/>
  <c r="P940" i="9"/>
  <c r="P941" i="9"/>
  <c r="P944" i="9"/>
  <c r="P945" i="9"/>
  <c r="P946" i="9"/>
  <c r="P947" i="9"/>
  <c r="P948" i="9"/>
  <c r="P949" i="9"/>
  <c r="P950" i="9"/>
  <c r="P951" i="9"/>
  <c r="P953" i="9"/>
  <c r="P955" i="9"/>
  <c r="P956" i="9"/>
  <c r="P957" i="9"/>
  <c r="P958" i="9"/>
  <c r="P960" i="9"/>
  <c r="P962" i="9"/>
  <c r="P963" i="9"/>
  <c r="P964" i="9"/>
  <c r="P965" i="9"/>
  <c r="P966" i="9"/>
  <c r="P967" i="9"/>
  <c r="P969" i="9"/>
  <c r="P971" i="9"/>
  <c r="P972" i="9"/>
  <c r="P974" i="9"/>
  <c r="P975" i="9"/>
  <c r="P976" i="9"/>
  <c r="P978" i="9"/>
  <c r="P980" i="9"/>
  <c r="P981" i="9"/>
  <c r="P982" i="9"/>
  <c r="P983" i="9"/>
  <c r="P984" i="9"/>
  <c r="P985" i="9"/>
  <c r="P986" i="9"/>
  <c r="P989" i="9"/>
  <c r="P990" i="9"/>
  <c r="P992" i="9"/>
  <c r="P993" i="9"/>
  <c r="P995" i="9"/>
  <c r="P996" i="9"/>
  <c r="P998" i="9"/>
  <c r="P999" i="9"/>
  <c r="P1000" i="9"/>
  <c r="P1001" i="9"/>
  <c r="P1002" i="9"/>
  <c r="P1003" i="9"/>
  <c r="P1005" i="9"/>
  <c r="P1007" i="9"/>
  <c r="P1008" i="9"/>
  <c r="P1009" i="9"/>
  <c r="P1010" i="9"/>
  <c r="P1011" i="9"/>
  <c r="P1012" i="9"/>
  <c r="P1013" i="9"/>
  <c r="P1014" i="9"/>
  <c r="P1017" i="9"/>
  <c r="P1018" i="9"/>
  <c r="P1020" i="9"/>
  <c r="P1021" i="9"/>
  <c r="P1022" i="9"/>
  <c r="P1023" i="9"/>
  <c r="P1025" i="9"/>
  <c r="P1026" i="9"/>
  <c r="P1027" i="9"/>
  <c r="P1028" i="9"/>
  <c r="P1029" i="9"/>
  <c r="P1030" i="9"/>
  <c r="P1031" i="9"/>
  <c r="P1032" i="9"/>
  <c r="P1034" i="9"/>
  <c r="P1035" i="9"/>
  <c r="P1036" i="9"/>
  <c r="P1037" i="9"/>
  <c r="P1038" i="9"/>
  <c r="P1039" i="9"/>
  <c r="P1040" i="9"/>
  <c r="P1041" i="9"/>
  <c r="P1043" i="9"/>
  <c r="P1044" i="9"/>
  <c r="P1045" i="9"/>
  <c r="P1046" i="9"/>
  <c r="P1047" i="9"/>
  <c r="P1048" i="9"/>
  <c r="P1050" i="9"/>
  <c r="P1052" i="9"/>
  <c r="P1053" i="9"/>
  <c r="P1055" i="9"/>
  <c r="P1056" i="9"/>
  <c r="P1057" i="9"/>
  <c r="P1058" i="9"/>
  <c r="P1059" i="9"/>
  <c r="P1062" i="9"/>
  <c r="P1063" i="9"/>
  <c r="P1064" i="9"/>
  <c r="P1066" i="9"/>
  <c r="P1067" i="9"/>
  <c r="P1068" i="9"/>
  <c r="P1070" i="9"/>
  <c r="P1072" i="9"/>
  <c r="P1073" i="9"/>
  <c r="P1074" i="9"/>
  <c r="P1075" i="9"/>
  <c r="P1076" i="9"/>
  <c r="P1077" i="9"/>
  <c r="P1079" i="9"/>
  <c r="P1080" i="9"/>
  <c r="P1082" i="9"/>
  <c r="P1083" i="9"/>
  <c r="P1084" i="9"/>
  <c r="P1085" i="9"/>
  <c r="P1086" i="9"/>
  <c r="P1088" i="9"/>
  <c r="P1089" i="9"/>
  <c r="P1090" i="9"/>
  <c r="P1091" i="9"/>
  <c r="P1092" i="9"/>
  <c r="P1093" i="9"/>
  <c r="P1094" i="9"/>
  <c r="P1095" i="9"/>
  <c r="P1097" i="9"/>
  <c r="P1098" i="9"/>
  <c r="P1099" i="9"/>
  <c r="P1100" i="9"/>
  <c r="P1101" i="9"/>
  <c r="P1102" i="9"/>
  <c r="P1103" i="9"/>
  <c r="P1104" i="9"/>
  <c r="P1106" i="9"/>
  <c r="P1107" i="9"/>
  <c r="P1109" i="9"/>
  <c r="P1110" i="9"/>
  <c r="P1112" i="9"/>
  <c r="P1113" i="9"/>
  <c r="P1115" i="9"/>
  <c r="P1116" i="9"/>
  <c r="P1118" i="9"/>
  <c r="P1119" i="9"/>
  <c r="P1120" i="9"/>
  <c r="P1121" i="9"/>
  <c r="P1122" i="9"/>
  <c r="P1124" i="9"/>
  <c r="P1125" i="9"/>
  <c r="P1127" i="9"/>
  <c r="P1128" i="9"/>
  <c r="P1129" i="9"/>
  <c r="P1130" i="9"/>
  <c r="P1133" i="9"/>
  <c r="P1134" i="9"/>
  <c r="P1135" i="9"/>
  <c r="P1136" i="9"/>
  <c r="P1137" i="9"/>
  <c r="P1139" i="9"/>
  <c r="P1140" i="9"/>
  <c r="P1142" i="9"/>
  <c r="P1143" i="9"/>
  <c r="P1144" i="9"/>
  <c r="P1145" i="9"/>
  <c r="P1146" i="9"/>
  <c r="P1148" i="9"/>
  <c r="P1149" i="9"/>
  <c r="P1151" i="9"/>
  <c r="P1152" i="9"/>
  <c r="P1153" i="9"/>
  <c r="P1154" i="9"/>
  <c r="P1155" i="9"/>
  <c r="P1156" i="9"/>
  <c r="P1157" i="9"/>
  <c r="P1158" i="9"/>
  <c r="P1160" i="9"/>
  <c r="P1161" i="9"/>
  <c r="P1162" i="9"/>
  <c r="P1163" i="9"/>
  <c r="P1164" i="9"/>
  <c r="P1165" i="9"/>
  <c r="P1166" i="9"/>
  <c r="P1167" i="9"/>
  <c r="P1169" i="9"/>
  <c r="P1170" i="9"/>
  <c r="P1171" i="9"/>
  <c r="P1172" i="9"/>
  <c r="P1173" i="9"/>
  <c r="P1174" i="9"/>
  <c r="P1175" i="9"/>
  <c r="P1176" i="9"/>
  <c r="P1178" i="9"/>
  <c r="P1180" i="9"/>
  <c r="P1181" i="9"/>
  <c r="P1182" i="9"/>
  <c r="P1183" i="9"/>
  <c r="P1184" i="9"/>
  <c r="P1185" i="9"/>
  <c r="P1187" i="9"/>
  <c r="P1189" i="9"/>
  <c r="P1190" i="9"/>
  <c r="P1191" i="9"/>
  <c r="P1192" i="9"/>
  <c r="P1193" i="9"/>
  <c r="P1194" i="9"/>
  <c r="P1196" i="9"/>
  <c r="P1197" i="9"/>
  <c r="P1198" i="9"/>
  <c r="P1199" i="9"/>
  <c r="P1200" i="9"/>
  <c r="P1201" i="9"/>
  <c r="P1202" i="9"/>
  <c r="P1203" i="9"/>
  <c r="P1205" i="9"/>
  <c r="P1206" i="9"/>
  <c r="P1207" i="9"/>
  <c r="P1209" i="9"/>
  <c r="P1210" i="9"/>
  <c r="P1211" i="9"/>
  <c r="P1212" i="9"/>
  <c r="P1214" i="9"/>
  <c r="P1215" i="9"/>
  <c r="P1216" i="9"/>
  <c r="P1217" i="9"/>
  <c r="P1218" i="9"/>
  <c r="P1219" i="9"/>
  <c r="P1220" i="9"/>
  <c r="P1223" i="9"/>
  <c r="P1224" i="9"/>
  <c r="P1225" i="9"/>
  <c r="P1226" i="9"/>
  <c r="P1227" i="9"/>
  <c r="P1228" i="9"/>
  <c r="P1229" i="9"/>
  <c r="P1230" i="9"/>
  <c r="P1232" i="9"/>
  <c r="P1233" i="9"/>
  <c r="P1234" i="9"/>
  <c r="P1235" i="9"/>
  <c r="P1236" i="9"/>
  <c r="P1237" i="9"/>
  <c r="P1238" i="9"/>
  <c r="P1239" i="9"/>
  <c r="P1241" i="9"/>
  <c r="P1242" i="9"/>
  <c r="P1243" i="9"/>
  <c r="P1244" i="9"/>
  <c r="P1245" i="9"/>
  <c r="P1247" i="9"/>
  <c r="P1248" i="9"/>
  <c r="P1250" i="9"/>
  <c r="P1251" i="9"/>
  <c r="P1252" i="9"/>
  <c r="P1253" i="9"/>
  <c r="P1254" i="9"/>
  <c r="P1255" i="9"/>
  <c r="P1259" i="9"/>
  <c r="P1260" i="9"/>
  <c r="P1261" i="9"/>
  <c r="P1262" i="9"/>
  <c r="P1263" i="9"/>
  <c r="P1264" i="9"/>
  <c r="P1268" i="9"/>
  <c r="P1269" i="9"/>
  <c r="P1270" i="9"/>
  <c r="P1271" i="9"/>
  <c r="P1272" i="9"/>
  <c r="P1273" i="9"/>
  <c r="P1274" i="9"/>
  <c r="P1275" i="9"/>
  <c r="P1277" i="9"/>
  <c r="P1278" i="9"/>
  <c r="P1279" i="9"/>
  <c r="P1281" i="9"/>
  <c r="P1282" i="9"/>
  <c r="P1283" i="9"/>
  <c r="P1284" i="9"/>
  <c r="P1287" i="9"/>
  <c r="P1288" i="9"/>
  <c r="P1289" i="9"/>
  <c r="P1291" i="9"/>
  <c r="P1292" i="9"/>
  <c r="P1293" i="9"/>
  <c r="P1295" i="9"/>
  <c r="P1296" i="9"/>
  <c r="P1297" i="9"/>
  <c r="P1298" i="9"/>
  <c r="P1299" i="9"/>
  <c r="P1300" i="9"/>
  <c r="P1301" i="9"/>
  <c r="P1305" i="9"/>
  <c r="P1306" i="9"/>
  <c r="P1307" i="9"/>
  <c r="P1309" i="9"/>
  <c r="P1310" i="9"/>
  <c r="P1311" i="9"/>
  <c r="P1313" i="9"/>
  <c r="P1314" i="9"/>
  <c r="P1315" i="9"/>
  <c r="P1316" i="9"/>
  <c r="P1317" i="9"/>
  <c r="P1318" i="9"/>
  <c r="P1320" i="9"/>
  <c r="P1322" i="9"/>
  <c r="P1323" i="9"/>
  <c r="P1324" i="9"/>
  <c r="P1325" i="9"/>
  <c r="P1326" i="9"/>
  <c r="P1327" i="9"/>
  <c r="P1329" i="9"/>
  <c r="P1331" i="9"/>
  <c r="P1332" i="9"/>
  <c r="P1333" i="9"/>
  <c r="P1334" i="9"/>
  <c r="P1335" i="9"/>
  <c r="P1336" i="9"/>
  <c r="P1338" i="9"/>
  <c r="P1340" i="9"/>
  <c r="P1341" i="9"/>
  <c r="P1342" i="9"/>
  <c r="P1343" i="9"/>
  <c r="P1344" i="9"/>
  <c r="P1345" i="9"/>
  <c r="P1346" i="9"/>
  <c r="P1347" i="9"/>
  <c r="P1349" i="9"/>
  <c r="P1350" i="9"/>
  <c r="P1351" i="9"/>
  <c r="P1352" i="9"/>
  <c r="P1353" i="9"/>
  <c r="P1354" i="9"/>
  <c r="P1355" i="9"/>
  <c r="P1356" i="9"/>
  <c r="P1358" i="9"/>
  <c r="P1359" i="9"/>
  <c r="P1360" i="9"/>
  <c r="P1362" i="9"/>
  <c r="P1363" i="9"/>
  <c r="P1364" i="9"/>
  <c r="P1365" i="9"/>
  <c r="P1367" i="9"/>
  <c r="P1368" i="9"/>
  <c r="P1369" i="9"/>
  <c r="P1370" i="9"/>
  <c r="P1371" i="9"/>
  <c r="P1372" i="9"/>
  <c r="P1373" i="9"/>
  <c r="P1374" i="9"/>
  <c r="P1376" i="9"/>
  <c r="P1377" i="9"/>
  <c r="P1378" i="9"/>
  <c r="P1380" i="9"/>
  <c r="P1381" i="9"/>
  <c r="P1382" i="9"/>
  <c r="P1383" i="9"/>
  <c r="P1385" i="9"/>
  <c r="P1386" i="9"/>
  <c r="P1387" i="9"/>
  <c r="P1388" i="9"/>
  <c r="P1389" i="9"/>
  <c r="P1390" i="9"/>
  <c r="P1391" i="9"/>
  <c r="P1392" i="9"/>
  <c r="P1395" i="9"/>
  <c r="P1396" i="9"/>
  <c r="P1397" i="9"/>
  <c r="P1398" i="9"/>
  <c r="P1399" i="9"/>
  <c r="P1400" i="9"/>
  <c r="P1401" i="9"/>
  <c r="P1403" i="9"/>
  <c r="P1404" i="9"/>
  <c r="P1405" i="9"/>
  <c r="P1406" i="9"/>
  <c r="P1407" i="9"/>
  <c r="P1408" i="9"/>
  <c r="P1409" i="9"/>
  <c r="P1410" i="9"/>
  <c r="P1412" i="9"/>
  <c r="P1414" i="9"/>
  <c r="P1415" i="9"/>
  <c r="P1417" i="9"/>
  <c r="P1418" i="9"/>
  <c r="P1419" i="9"/>
  <c r="P1421" i="9"/>
  <c r="P1422" i="9"/>
  <c r="P1423" i="9"/>
  <c r="P1424" i="9"/>
  <c r="P1425" i="9"/>
  <c r="P1426" i="9"/>
  <c r="P1427" i="9"/>
  <c r="P1431" i="9"/>
  <c r="P1432" i="9"/>
  <c r="P1433" i="9"/>
  <c r="P1434" i="9"/>
  <c r="P1435" i="9"/>
  <c r="P1436" i="9"/>
  <c r="P1437" i="9"/>
  <c r="P1439" i="9"/>
  <c r="P1441" i="9"/>
  <c r="P1442" i="9"/>
  <c r="P1443" i="9"/>
  <c r="P1444" i="9"/>
  <c r="P1445" i="9"/>
  <c r="P1446" i="9"/>
  <c r="P1448" i="9"/>
  <c r="P1449" i="9"/>
  <c r="P1450" i="9"/>
  <c r="P1451" i="9"/>
  <c r="P1452" i="9"/>
  <c r="P1453" i="9"/>
  <c r="P1454" i="9"/>
  <c r="P1455" i="9"/>
  <c r="P1457" i="9"/>
  <c r="P1458" i="9"/>
  <c r="P1459" i="9"/>
  <c r="P1460" i="9"/>
  <c r="P1461" i="9"/>
  <c r="P1462" i="9"/>
  <c r="P1464" i="9"/>
  <c r="P1466" i="9"/>
  <c r="P1467" i="9"/>
  <c r="P1468" i="9"/>
  <c r="P1469" i="9"/>
  <c r="P1470" i="9"/>
  <c r="P1471" i="9"/>
  <c r="P1472" i="9"/>
  <c r="P1473" i="9"/>
  <c r="P1475" i="9"/>
  <c r="P1476" i="9"/>
  <c r="P1478" i="9"/>
  <c r="P1479" i="9"/>
  <c r="P1480" i="9"/>
  <c r="P1481" i="9"/>
  <c r="P1482" i="9"/>
  <c r="P1484" i="9"/>
  <c r="P1485" i="9"/>
  <c r="P1486" i="9"/>
  <c r="P1487" i="9"/>
  <c r="P1488" i="9"/>
  <c r="P1489" i="9"/>
  <c r="P1490" i="9"/>
  <c r="P1491" i="9"/>
  <c r="P1493" i="9"/>
  <c r="P1494" i="9"/>
  <c r="P1495" i="9"/>
  <c r="P1496" i="9"/>
  <c r="P1497" i="9"/>
  <c r="P1498" i="9"/>
  <c r="P1499" i="9"/>
  <c r="P1500" i="9"/>
  <c r="P1502" i="9"/>
  <c r="P1503" i="9"/>
  <c r="P1506" i="9"/>
  <c r="P1507" i="9"/>
  <c r="P1508" i="9"/>
  <c r="P1509" i="9"/>
  <c r="P1511" i="9"/>
  <c r="P1512" i="9"/>
  <c r="P1513" i="9"/>
  <c r="P1514" i="9"/>
  <c r="P1515" i="9"/>
  <c r="P1516" i="9"/>
  <c r="P1517" i="9"/>
  <c r="P1518" i="9"/>
  <c r="P1520" i="9"/>
  <c r="P1521" i="9"/>
  <c r="P1522" i="9"/>
  <c r="P1523" i="9"/>
  <c r="P1524" i="9"/>
  <c r="P1525" i="9"/>
  <c r="P1526" i="9"/>
  <c r="P1527" i="9"/>
  <c r="P1529" i="9"/>
  <c r="P1530" i="9"/>
  <c r="P1531" i="9"/>
  <c r="P1534" i="9"/>
  <c r="P1535" i="9"/>
  <c r="P1536" i="9"/>
  <c r="P1538" i="9"/>
  <c r="P1539" i="9"/>
  <c r="P1540" i="9"/>
  <c r="P1541" i="9"/>
  <c r="P1542" i="9"/>
  <c r="P1543" i="9"/>
  <c r="P1544" i="9"/>
  <c r="P1545" i="9"/>
  <c r="P1547" i="9"/>
  <c r="P1549" i="9"/>
  <c r="P1550" i="9"/>
  <c r="P1551" i="9"/>
  <c r="P1552" i="9"/>
  <c r="P1553" i="9"/>
  <c r="P1556" i="9"/>
  <c r="P1557" i="9"/>
  <c r="P1558" i="9"/>
  <c r="P1559" i="9"/>
  <c r="P1560" i="9"/>
  <c r="P1562" i="9"/>
  <c r="P1563" i="9"/>
  <c r="P1565" i="9"/>
  <c r="P1566" i="9"/>
  <c r="P1567" i="9"/>
  <c r="P1568" i="9"/>
  <c r="P1569" i="9"/>
  <c r="P1570" i="9"/>
  <c r="P1571" i="9"/>
  <c r="P1572" i="9"/>
  <c r="P1574" i="9"/>
  <c r="P1576" i="9"/>
  <c r="P1577" i="9"/>
  <c r="P1579" i="9"/>
  <c r="P1580" i="9"/>
  <c r="P1581" i="9"/>
  <c r="P1583" i="9"/>
  <c r="P1584" i="9"/>
  <c r="P1585" i="9"/>
  <c r="P1586" i="9"/>
  <c r="P1587" i="9"/>
  <c r="P1589" i="9"/>
  <c r="P1590" i="9"/>
  <c r="P1592" i="9"/>
  <c r="P1593" i="9"/>
  <c r="P1594" i="9"/>
  <c r="P1595" i="9"/>
  <c r="P1596" i="9"/>
  <c r="P1597" i="9"/>
  <c r="P1598" i="9"/>
  <c r="P1599" i="9"/>
  <c r="P1602" i="9"/>
  <c r="P1603" i="9"/>
  <c r="P1604" i="9"/>
  <c r="P1605" i="9"/>
  <c r="P1606" i="9"/>
  <c r="P1608" i="9"/>
  <c r="P1610" i="9"/>
  <c r="P1611" i="9"/>
  <c r="P1612" i="9"/>
  <c r="P1613" i="9"/>
  <c r="P1614" i="9"/>
  <c r="P1616" i="9"/>
  <c r="P1617" i="9"/>
  <c r="P1619" i="9"/>
  <c r="P1620" i="9"/>
  <c r="P1621" i="9"/>
  <c r="P1622" i="9"/>
  <c r="P1623" i="9"/>
  <c r="P1624" i="9"/>
  <c r="P1625" i="9"/>
  <c r="P1626" i="9"/>
  <c r="P1628" i="9"/>
  <c r="P1629" i="9"/>
  <c r="P1630" i="9"/>
  <c r="P1631" i="9"/>
  <c r="P1633" i="9"/>
  <c r="P1634" i="9"/>
  <c r="P1635" i="9"/>
  <c r="P1637" i="9"/>
  <c r="P1638" i="9"/>
  <c r="P1639" i="9"/>
  <c r="P1641" i="9"/>
  <c r="P1642" i="9"/>
  <c r="P1643" i="9"/>
  <c r="P1644" i="9"/>
  <c r="P1646" i="9"/>
  <c r="P1647" i="9"/>
  <c r="P1648" i="9"/>
  <c r="P1649" i="9"/>
  <c r="P1651" i="9"/>
  <c r="P1652" i="9"/>
  <c r="P1653" i="9"/>
  <c r="P1655" i="9"/>
  <c r="P1656" i="9"/>
  <c r="P1657" i="9"/>
  <c r="P1658" i="9"/>
  <c r="P1660" i="9"/>
  <c r="P1661" i="9"/>
  <c r="P1662" i="9"/>
  <c r="P1664" i="9"/>
  <c r="P1666" i="9"/>
  <c r="P1667" i="9"/>
  <c r="P1668" i="9"/>
  <c r="P1669" i="9"/>
  <c r="P1671" i="9"/>
  <c r="P1673" i="9"/>
  <c r="P1674" i="9"/>
  <c r="P1675" i="9"/>
  <c r="P1677" i="9"/>
  <c r="P1678" i="9"/>
  <c r="P1679" i="9"/>
  <c r="P1680" i="9"/>
  <c r="P1682" i="9"/>
  <c r="P1683" i="9"/>
  <c r="P1684" i="9"/>
  <c r="P1685" i="9"/>
  <c r="P1686" i="9"/>
  <c r="P1687" i="9"/>
  <c r="P1688" i="9"/>
  <c r="P1689" i="9"/>
  <c r="P1691" i="9"/>
  <c r="P1692" i="9"/>
  <c r="P1693" i="9"/>
  <c r="P1694" i="9"/>
  <c r="P1695" i="9"/>
  <c r="P1697" i="9"/>
  <c r="P1698" i="9"/>
  <c r="P1700" i="9"/>
  <c r="P1701" i="9"/>
  <c r="P1702" i="9"/>
  <c r="P1703" i="9"/>
  <c r="P1704" i="9"/>
  <c r="P1705" i="9"/>
  <c r="P1706" i="9"/>
  <c r="P1707" i="9"/>
  <c r="P1709" i="9"/>
  <c r="P1710" i="9"/>
  <c r="P1712" i="9"/>
  <c r="P1713" i="9"/>
  <c r="P1714" i="9"/>
  <c r="P1715" i="9"/>
  <c r="P1716" i="9"/>
  <c r="P1718" i="9"/>
  <c r="P1719" i="9"/>
  <c r="P1720" i="9"/>
  <c r="P1721" i="9"/>
  <c r="P1722" i="9"/>
  <c r="P1723" i="9"/>
  <c r="P1724" i="9"/>
  <c r="P1725" i="9"/>
  <c r="P1728" i="9"/>
  <c r="P1729" i="9"/>
  <c r="P1730" i="9"/>
  <c r="P1731" i="9"/>
  <c r="P1732" i="9"/>
  <c r="P1733" i="9"/>
  <c r="P1734" i="9"/>
  <c r="P1738" i="9"/>
  <c r="P1739" i="9"/>
  <c r="P1740" i="9"/>
  <c r="P1741" i="9"/>
  <c r="P1742" i="9"/>
  <c r="P1743" i="9"/>
  <c r="P1745" i="9"/>
  <c r="P1746" i="9"/>
  <c r="P1747" i="9"/>
  <c r="P1748" i="9"/>
  <c r="P1749" i="9"/>
  <c r="P1750" i="9"/>
  <c r="P1751" i="9"/>
  <c r="P1752" i="9"/>
  <c r="P1754" i="9"/>
  <c r="P1755" i="9"/>
  <c r="P1756" i="9"/>
  <c r="P1757" i="9"/>
  <c r="P1758" i="9"/>
  <c r="P1760" i="9"/>
  <c r="P1761" i="9"/>
  <c r="P1763" i="9"/>
  <c r="P1764" i="9"/>
  <c r="P1765" i="9"/>
  <c r="P1766" i="9"/>
  <c r="P1767" i="9"/>
  <c r="P1768" i="9"/>
  <c r="P1769" i="9"/>
  <c r="P1770" i="9"/>
  <c r="P1773" i="9"/>
  <c r="P1774" i="9"/>
  <c r="P1776" i="9"/>
  <c r="P1777" i="9"/>
  <c r="P1778" i="9"/>
  <c r="P1779" i="9"/>
  <c r="P1781" i="9"/>
  <c r="P1783" i="9"/>
  <c r="P1784" i="9"/>
  <c r="P1785" i="9"/>
  <c r="P1786" i="9"/>
  <c r="P1787" i="9"/>
  <c r="P1788" i="9"/>
  <c r="P1790" i="9"/>
  <c r="P1791" i="9"/>
  <c r="P1792" i="9"/>
  <c r="P1793" i="9"/>
  <c r="P1794" i="9"/>
  <c r="P1795" i="9"/>
  <c r="P1796" i="9"/>
  <c r="P1797" i="9"/>
  <c r="P1799" i="9"/>
  <c r="P1800" i="9"/>
  <c r="P1801" i="9"/>
  <c r="P1802" i="9"/>
  <c r="P1803" i="9"/>
  <c r="P1804" i="9"/>
  <c r="P1805" i="9"/>
  <c r="P1806" i="9"/>
  <c r="P1808" i="9"/>
  <c r="P1810" i="9"/>
  <c r="P1811" i="9"/>
  <c r="P1813" i="9"/>
  <c r="P1814" i="9"/>
  <c r="P1815" i="9"/>
  <c r="P1817" i="9"/>
  <c r="P1818" i="9"/>
  <c r="P1819" i="9"/>
  <c r="P1820" i="9"/>
  <c r="P1821" i="9"/>
  <c r="P1822" i="9"/>
  <c r="P1823" i="9"/>
  <c r="P1824" i="9"/>
  <c r="P1826" i="9"/>
  <c r="P1828" i="9"/>
  <c r="P1829" i="9"/>
  <c r="P1830" i="9"/>
  <c r="P1831" i="9"/>
  <c r="P1832" i="9"/>
  <c r="P1833" i="9"/>
  <c r="P1835" i="9"/>
  <c r="P1836" i="9"/>
  <c r="P1837" i="9"/>
  <c r="P1838" i="9"/>
  <c r="P1839" i="9"/>
  <c r="P1841" i="9"/>
  <c r="P1842" i="9"/>
  <c r="P1844" i="9"/>
  <c r="P1845" i="9"/>
  <c r="P1847" i="9"/>
  <c r="P1848" i="9"/>
  <c r="P1849" i="9"/>
  <c r="P1850" i="9"/>
  <c r="P1851" i="9"/>
  <c r="P1853" i="9"/>
  <c r="P1855" i="9"/>
  <c r="P1856" i="9"/>
  <c r="P1857" i="9"/>
  <c r="P1858" i="9"/>
  <c r="P1859" i="9"/>
  <c r="P1860" i="9"/>
  <c r="P1863" i="9"/>
  <c r="P1864" i="9"/>
  <c r="P1865" i="9"/>
  <c r="P1866" i="9"/>
  <c r="P1868" i="9"/>
  <c r="P1869" i="9"/>
  <c r="P1871" i="9"/>
  <c r="P1872" i="9"/>
  <c r="P1873" i="9"/>
  <c r="P1874" i="9"/>
  <c r="P1875" i="9"/>
  <c r="P1877" i="9"/>
  <c r="P1878" i="9"/>
  <c r="P1880" i="9"/>
  <c r="P1881" i="9"/>
  <c r="P1883" i="9"/>
  <c r="P1884" i="9"/>
  <c r="P1885" i="9"/>
  <c r="P1886" i="9"/>
  <c r="P1887" i="9"/>
  <c r="P1889" i="9"/>
  <c r="P1890" i="9"/>
  <c r="P1891" i="9"/>
  <c r="P1893" i="9"/>
  <c r="P1894" i="9"/>
  <c r="P1895" i="9"/>
  <c r="P1896" i="9"/>
  <c r="P1898" i="9"/>
  <c r="P1899" i="9"/>
  <c r="P1900" i="9"/>
  <c r="P1901" i="9"/>
  <c r="P1902" i="9"/>
  <c r="P1903" i="9"/>
  <c r="P1905" i="9"/>
  <c r="P1907" i="9"/>
  <c r="P1908" i="9"/>
  <c r="P1909" i="9"/>
  <c r="P1910" i="9"/>
  <c r="P1911" i="9"/>
  <c r="P1912" i="9"/>
  <c r="P1913" i="9"/>
  <c r="P1914" i="9"/>
  <c r="P1916" i="9"/>
  <c r="P1918" i="9"/>
  <c r="P1919" i="9"/>
  <c r="P1920" i="9"/>
  <c r="P1921" i="9"/>
  <c r="P1923" i="9"/>
  <c r="P1925" i="9"/>
  <c r="P1926" i="9"/>
  <c r="P1929" i="9"/>
  <c r="P1930" i="9"/>
  <c r="P1931" i="9"/>
  <c r="P1932" i="9"/>
  <c r="P1934" i="9"/>
  <c r="P1935" i="9"/>
  <c r="P1936" i="9"/>
  <c r="P1937" i="9"/>
  <c r="P1938" i="9"/>
  <c r="P1939" i="9"/>
  <c r="P1940" i="9"/>
  <c r="P1941" i="9"/>
  <c r="P1944" i="9"/>
  <c r="P1945" i="9"/>
  <c r="P1946" i="9"/>
  <c r="P1947" i="9"/>
  <c r="P1948" i="9"/>
  <c r="P1949" i="9"/>
  <c r="P1950" i="9"/>
  <c r="P1952" i="9"/>
  <c r="P1953" i="9"/>
  <c r="P1954" i="9"/>
  <c r="P1955" i="9"/>
  <c r="P1957" i="9"/>
  <c r="P1958" i="9"/>
  <c r="P1959" i="9"/>
  <c r="P1961" i="9"/>
  <c r="P1962" i="9"/>
  <c r="P1963" i="9"/>
  <c r="P1964" i="9"/>
  <c r="P1965" i="9"/>
  <c r="P1966" i="9"/>
  <c r="P1967" i="9"/>
  <c r="P1968" i="9"/>
  <c r="P1971" i="9"/>
  <c r="P1972" i="9"/>
  <c r="P1973" i="9"/>
  <c r="P1974" i="9"/>
  <c r="P1975" i="9"/>
  <c r="P1976" i="9"/>
  <c r="P1977" i="9"/>
  <c r="P1979" i="9"/>
  <c r="P1981" i="9"/>
  <c r="P1982" i="9"/>
  <c r="P1983" i="9"/>
  <c r="P1984" i="9"/>
  <c r="P1985" i="9"/>
  <c r="P1986" i="9"/>
  <c r="P1988" i="9"/>
  <c r="P1990" i="9"/>
  <c r="P1991" i="9"/>
  <c r="P1992" i="9"/>
  <c r="P1993" i="9"/>
  <c r="P1994" i="9"/>
  <c r="P1995" i="9"/>
  <c r="P1997" i="9"/>
  <c r="P1998" i="9"/>
  <c r="P1999" i="9"/>
  <c r="P2000" i="9"/>
  <c r="P2001" i="9"/>
  <c r="P2002" i="9"/>
  <c r="P2004" i="9"/>
  <c r="P2006" i="9"/>
  <c r="P2007" i="9"/>
  <c r="P2008" i="9"/>
  <c r="P2009" i="9"/>
  <c r="P2010" i="9"/>
  <c r="P2011" i="9"/>
  <c r="P2012" i="9"/>
  <c r="P2015" i="9"/>
  <c r="P2016" i="9"/>
  <c r="P2017" i="9"/>
  <c r="P2018" i="9"/>
  <c r="P2019" i="9"/>
  <c r="P2020" i="9"/>
  <c r="P2021" i="9"/>
  <c r="P2022" i="9"/>
  <c r="P2024" i="9"/>
  <c r="P2025" i="9"/>
  <c r="P2026" i="9"/>
  <c r="P2027" i="9"/>
  <c r="P2028" i="9"/>
  <c r="P2029" i="9"/>
  <c r="P2030" i="9"/>
  <c r="P2031" i="9"/>
  <c r="P2033" i="9"/>
  <c r="P2034" i="9"/>
  <c r="P2035" i="9"/>
  <c r="P2036" i="9"/>
  <c r="P2037" i="9"/>
  <c r="P2038" i="9"/>
  <c r="P2039" i="9"/>
  <c r="P2040" i="9"/>
  <c r="P2042" i="9"/>
  <c r="P2043" i="9"/>
  <c r="P2044" i="9"/>
  <c r="P2046" i="9"/>
  <c r="P2047" i="9"/>
  <c r="P2048" i="9"/>
  <c r="P2049" i="9"/>
  <c r="P2051" i="9"/>
  <c r="P2052" i="9"/>
  <c r="P2053" i="9"/>
  <c r="P2054" i="9"/>
  <c r="P2055" i="9"/>
  <c r="P2056" i="9"/>
  <c r="P2057" i="9"/>
  <c r="P2058" i="9"/>
  <c r="P2060" i="9"/>
  <c r="P2061" i="9"/>
  <c r="P2062" i="9"/>
  <c r="P2063" i="9"/>
  <c r="P2064" i="9"/>
  <c r="P2065" i="9"/>
  <c r="P2066" i="9"/>
  <c r="P2067" i="9"/>
  <c r="P2069" i="9"/>
  <c r="P2070" i="9"/>
  <c r="P2071" i="9"/>
  <c r="P2073" i="9"/>
  <c r="P2074" i="9"/>
  <c r="P2075" i="9"/>
  <c r="P2076" i="9"/>
  <c r="P2078" i="9"/>
  <c r="P2079" i="9"/>
  <c r="P2080" i="9"/>
  <c r="P2081" i="9"/>
  <c r="P2082" i="9"/>
  <c r="P2083" i="9"/>
  <c r="P2084" i="9"/>
  <c r="P2085" i="9"/>
  <c r="P2088" i="9"/>
  <c r="P2089" i="9"/>
  <c r="P2091" i="9"/>
  <c r="P2092" i="9"/>
  <c r="P2093" i="9"/>
  <c r="P2096" i="9"/>
  <c r="P2097" i="9"/>
  <c r="P2098" i="9"/>
  <c r="P2099" i="9"/>
  <c r="P2100" i="9"/>
  <c r="P2101" i="9"/>
  <c r="P2102" i="9"/>
  <c r="P2105" i="9"/>
  <c r="P2106" i="9"/>
  <c r="P2107" i="9"/>
  <c r="P2108" i="9"/>
  <c r="P2109" i="9"/>
  <c r="P2110" i="9"/>
  <c r="P2111" i="9"/>
  <c r="P2114" i="9"/>
  <c r="P2115" i="9"/>
  <c r="P2116" i="9"/>
  <c r="P2117" i="9"/>
  <c r="P2118" i="9"/>
  <c r="P2119" i="9"/>
  <c r="P2121" i="9"/>
  <c r="P2123" i="9"/>
  <c r="P2124" i="9"/>
  <c r="P2125" i="9"/>
  <c r="P2126" i="9"/>
  <c r="P2128" i="9"/>
  <c r="P2129" i="9"/>
  <c r="P2130" i="9"/>
  <c r="P2132" i="9"/>
  <c r="P2133" i="9"/>
  <c r="P2134" i="9"/>
  <c r="P2137" i="9"/>
  <c r="P2138" i="9"/>
  <c r="P2139" i="9"/>
  <c r="P2141" i="9"/>
  <c r="P2142" i="9"/>
  <c r="P2143" i="9"/>
  <c r="P2145" i="9"/>
  <c r="P2146" i="9"/>
  <c r="P2147" i="9"/>
  <c r="P2148" i="9"/>
  <c r="P2150" i="9"/>
  <c r="P2152" i="9"/>
  <c r="P2153" i="9"/>
  <c r="P2154" i="9"/>
  <c r="P2155" i="9"/>
  <c r="P2156" i="9"/>
  <c r="P2157" i="9"/>
  <c r="P2159" i="9"/>
  <c r="P2161" i="9"/>
  <c r="P2162" i="9"/>
  <c r="P2163" i="9"/>
  <c r="P2164" i="9"/>
  <c r="P2165" i="9"/>
  <c r="P2166" i="9"/>
  <c r="P2168" i="9"/>
  <c r="P2169" i="9"/>
  <c r="P2170" i="9"/>
  <c r="P2171" i="9"/>
  <c r="P2172" i="9"/>
  <c r="P2173" i="9"/>
  <c r="P2174" i="9"/>
  <c r="P2175" i="9"/>
  <c r="P2177" i="9"/>
  <c r="P2178" i="9"/>
  <c r="P2179" i="9"/>
  <c r="P2180" i="9"/>
  <c r="P2182" i="9"/>
  <c r="P2183" i="9"/>
  <c r="P2184" i="9"/>
  <c r="P2186" i="9"/>
  <c r="P2187" i="9"/>
  <c r="P2188" i="9"/>
  <c r="P2189" i="9"/>
  <c r="P2190" i="9"/>
  <c r="P2191" i="9"/>
  <c r="P2192" i="9"/>
  <c r="P2193" i="9"/>
  <c r="P2195" i="9"/>
  <c r="P2196" i="9"/>
  <c r="P2197" i="9"/>
  <c r="P2198" i="9"/>
  <c r="P2199" i="9"/>
  <c r="P2200" i="9"/>
  <c r="P2201" i="9"/>
  <c r="P2202" i="9"/>
  <c r="P2204" i="9"/>
  <c r="P2205" i="9"/>
  <c r="P2206" i="9"/>
  <c r="P2207" i="9"/>
  <c r="P2208" i="9"/>
  <c r="P2209" i="9"/>
  <c r="P2210" i="9"/>
  <c r="P2211" i="9"/>
  <c r="P2213" i="9"/>
  <c r="P2214" i="9"/>
  <c r="P2216" i="9"/>
  <c r="P2217" i="9"/>
  <c r="P2218" i="9"/>
  <c r="P2219" i="9"/>
  <c r="P2220" i="9"/>
  <c r="P2222" i="9"/>
  <c r="P2223" i="9"/>
  <c r="P2224" i="9"/>
  <c r="P2225" i="9"/>
  <c r="P2226" i="9"/>
  <c r="P2227" i="9"/>
  <c r="P2228" i="9"/>
  <c r="P2229" i="9"/>
  <c r="P2231" i="9"/>
  <c r="P2232" i="9"/>
  <c r="P2233" i="9"/>
  <c r="P2235" i="9"/>
  <c r="P2236" i="9"/>
  <c r="P2238" i="9"/>
  <c r="P2240" i="9"/>
  <c r="P2241" i="9"/>
  <c r="P2242" i="9"/>
  <c r="P2243" i="9"/>
  <c r="P2245" i="9"/>
  <c r="P2246" i="9"/>
  <c r="P2247" i="9"/>
  <c r="P2249" i="9"/>
  <c r="P2250" i="9"/>
  <c r="P2251" i="9"/>
  <c r="P2252" i="9"/>
  <c r="P2253" i="9"/>
  <c r="P2254" i="9"/>
  <c r="P2255" i="9"/>
  <c r="P2258" i="9"/>
  <c r="P2259" i="9"/>
  <c r="P2260" i="9"/>
  <c r="P2261" i="9"/>
  <c r="P2262" i="9"/>
  <c r="P2263" i="9"/>
  <c r="P2264" i="9"/>
  <c r="P2265" i="9"/>
  <c r="P2267" i="9"/>
  <c r="P2268" i="9"/>
  <c r="I11" i="9"/>
  <c r="J8" i="9" a="1"/>
  <c r="J4" i="9" a="1"/>
  <c r="J3" i="9" a="1"/>
  <c r="J9" i="9" a="1"/>
  <c r="J5" i="9" a="1"/>
  <c r="J6" i="9" a="1"/>
  <c r="J2" i="9" a="1"/>
  <c r="J10" i="9" a="1"/>
  <c r="J7" i="9" a="1"/>
  <c r="I12" i="9" l="1"/>
  <c r="K8" i="9"/>
  <c r="M8" i="9"/>
  <c r="L8" i="9"/>
  <c r="N8" i="9"/>
  <c r="J8" i="9"/>
  <c r="K4" i="9"/>
  <c r="M4" i="9"/>
  <c r="J4" i="9"/>
  <c r="N4" i="9"/>
  <c r="L4" i="9"/>
  <c r="M9" i="9"/>
  <c r="J9" i="9"/>
  <c r="K9" i="9"/>
  <c r="N9" i="9"/>
  <c r="L9" i="9"/>
  <c r="M5" i="9"/>
  <c r="J5" i="9"/>
  <c r="K5" i="9"/>
  <c r="N5" i="9"/>
  <c r="L5" i="9"/>
  <c r="K10" i="9"/>
  <c r="L10" i="9"/>
  <c r="M10" i="9"/>
  <c r="J10" i="9"/>
  <c r="N10" i="9"/>
  <c r="K6" i="9"/>
  <c r="L6" i="9"/>
  <c r="M6" i="9"/>
  <c r="J6" i="9"/>
  <c r="N6" i="9"/>
  <c r="K7" i="9"/>
  <c r="M7" i="9"/>
  <c r="N7" i="9"/>
  <c r="L7" i="9"/>
  <c r="J7" i="9"/>
  <c r="K3" i="9"/>
  <c r="M3" i="9"/>
  <c r="N3" i="9"/>
  <c r="J3" i="9"/>
  <c r="L3" i="9"/>
  <c r="M2" i="9"/>
  <c r="N2" i="9"/>
  <c r="J2" i="9"/>
  <c r="K2" i="9"/>
  <c r="L2" i="9"/>
  <c r="J11" i="9" a="1"/>
  <c r="L11" i="9" l="1"/>
  <c r="N11" i="9"/>
  <c r="J11" i="9"/>
  <c r="M11" i="9"/>
  <c r="K11" i="9"/>
  <c r="I13" i="9"/>
  <c r="O5" i="9"/>
  <c r="R5" i="9" s="1"/>
  <c r="O6" i="9"/>
  <c r="R6" i="9" s="1"/>
  <c r="O7" i="9"/>
  <c r="O2" i="9"/>
  <c r="R2" i="9" s="1"/>
  <c r="O4" i="9"/>
  <c r="O3" i="9"/>
  <c r="R3" i="9" s="1"/>
  <c r="O10" i="9"/>
  <c r="R10" i="9" s="1"/>
  <c r="O9" i="9"/>
  <c r="R9" i="9" s="1"/>
  <c r="O8" i="9"/>
  <c r="R8" i="9" s="1"/>
  <c r="P2136" i="9"/>
  <c r="P107" i="9"/>
  <c r="P64" i="9"/>
  <c r="P46" i="9"/>
  <c r="P899" i="9"/>
  <c r="P1054" i="9"/>
  <c r="P942" i="9"/>
  <c r="P1257" i="9"/>
  <c r="P1265" i="9"/>
  <c r="P1927" i="9"/>
  <c r="P612" i="9"/>
  <c r="P733" i="9"/>
  <c r="P86" i="9"/>
  <c r="P57" i="9"/>
  <c r="J12" i="9" a="1"/>
  <c r="O11" i="9" l="1"/>
  <c r="R11" i="9" s="1"/>
  <c r="L12" i="9"/>
  <c r="M12" i="9"/>
  <c r="N12" i="9"/>
  <c r="K12" i="9"/>
  <c r="J12" i="9"/>
  <c r="I14" i="9"/>
  <c r="R7" i="9"/>
  <c r="P7" i="9"/>
  <c r="P2256" i="9"/>
  <c r="P1876" i="9"/>
  <c r="P1970" i="9"/>
  <c r="P1607" i="9"/>
  <c r="P1065" i="9"/>
  <c r="P858" i="9"/>
  <c r="P1319" i="9"/>
  <c r="P1188" i="9"/>
  <c r="P1019" i="9"/>
  <c r="P1286" i="9"/>
  <c r="P1302" i="9"/>
  <c r="P501" i="9"/>
  <c r="P741" i="9"/>
  <c r="P191" i="9"/>
  <c r="P345" i="9"/>
  <c r="P729" i="9"/>
  <c r="P306" i="9"/>
  <c r="P1138" i="9"/>
  <c r="P420" i="9"/>
  <c r="P209" i="9"/>
  <c r="P179" i="9"/>
  <c r="P284" i="9"/>
  <c r="P112" i="9"/>
  <c r="P863" i="9"/>
  <c r="P307" i="9"/>
  <c r="P354" i="9"/>
  <c r="P1840" i="9"/>
  <c r="P932" i="9"/>
  <c r="P1737" i="9"/>
  <c r="P2234" i="9"/>
  <c r="P1772" i="9"/>
  <c r="P1578" i="9"/>
  <c r="P1561" i="9"/>
  <c r="P1440" i="9"/>
  <c r="P1477" i="9"/>
  <c r="P1126" i="9"/>
  <c r="P1221" i="9"/>
  <c r="P366" i="9"/>
  <c r="P233" i="9"/>
  <c r="P843" i="9"/>
  <c r="P687" i="9"/>
  <c r="P167" i="9"/>
  <c r="P769" i="9"/>
  <c r="P780" i="9"/>
  <c r="P261" i="9"/>
  <c r="P892" i="9"/>
  <c r="P246" i="9"/>
  <c r="P977" i="9"/>
  <c r="P472" i="9"/>
  <c r="P577" i="9"/>
  <c r="P789" i="9"/>
  <c r="P825" i="9"/>
  <c r="P1632" i="9"/>
  <c r="P775" i="9"/>
  <c r="P1782" i="9"/>
  <c r="P1554" i="9"/>
  <c r="P1867" i="9"/>
  <c r="P1711" i="9"/>
  <c r="P1928" i="9"/>
  <c r="P1812" i="9"/>
  <c r="P1533" i="9"/>
  <c r="P2127" i="9"/>
  <c r="P1980" i="9"/>
  <c r="P2072" i="9"/>
  <c r="P1290" i="9"/>
  <c r="P1208" i="9"/>
  <c r="P913" i="9"/>
  <c r="P994" i="9"/>
  <c r="P1430" i="9"/>
  <c r="P1131" i="9"/>
  <c r="P582" i="9"/>
  <c r="P474" i="9"/>
  <c r="P959" i="9"/>
  <c r="P968" i="9"/>
  <c r="P973" i="9"/>
  <c r="P489" i="9"/>
  <c r="P452" i="9"/>
  <c r="P923" i="9"/>
  <c r="P719" i="9"/>
  <c r="P28" i="9"/>
  <c r="P173" i="9"/>
  <c r="P75" i="9"/>
  <c r="P67" i="9"/>
  <c r="P208" i="9"/>
  <c r="P399" i="9"/>
  <c r="P165" i="9"/>
  <c r="P48" i="9"/>
  <c r="P849" i="9"/>
  <c r="P1665" i="9"/>
  <c r="P1548" i="9"/>
  <c r="P1266" i="9"/>
  <c r="P954" i="9"/>
  <c r="P2160" i="9"/>
  <c r="P1862" i="9"/>
  <c r="P2094" i="9"/>
  <c r="P1505" i="9"/>
  <c r="P1428" i="9"/>
  <c r="P1256" i="9"/>
  <c r="P1147" i="9"/>
  <c r="P1659" i="9"/>
  <c r="P1304" i="9"/>
  <c r="P1463" i="9"/>
  <c r="P1117" i="9"/>
  <c r="P1081" i="9"/>
  <c r="P1413" i="9"/>
  <c r="P643" i="9"/>
  <c r="P440" i="9"/>
  <c r="P699" i="9"/>
  <c r="P854" i="9"/>
  <c r="P1004" i="9"/>
  <c r="P396" i="9"/>
  <c r="P145" i="9"/>
  <c r="P33" i="9"/>
  <c r="P274" i="9"/>
  <c r="P526" i="9"/>
  <c r="P1640" i="9"/>
  <c r="P2244" i="9"/>
  <c r="P1956" i="9"/>
  <c r="P1670" i="9"/>
  <c r="P1854" i="9"/>
  <c r="P1943" i="9"/>
  <c r="P1827" i="9"/>
  <c r="P1759" i="9"/>
  <c r="P2045" i="9"/>
  <c r="P1892" i="9"/>
  <c r="P1532" i="9"/>
  <c r="P1280" i="9"/>
  <c r="P1601" i="9"/>
  <c r="P1049" i="9"/>
  <c r="P1615" i="9"/>
  <c r="P186" i="9"/>
  <c r="P341" i="9"/>
  <c r="P905" i="9"/>
  <c r="P604" i="9"/>
  <c r="P618" i="9"/>
  <c r="P1111" i="9"/>
  <c r="P4" i="9"/>
  <c r="R4" i="9"/>
  <c r="P118" i="9"/>
  <c r="P2215" i="9"/>
  <c r="P1246" i="9"/>
  <c r="P1361" i="9"/>
  <c r="P2135" i="9"/>
  <c r="P1676" i="9"/>
  <c r="P2120" i="9"/>
  <c r="P2090" i="9"/>
  <c r="P1917" i="9"/>
  <c r="P1736" i="9"/>
  <c r="P1588" i="9"/>
  <c r="P1179" i="9"/>
  <c r="P765" i="9"/>
  <c r="P1016" i="9"/>
  <c r="P991" i="9"/>
  <c r="P1328" i="9"/>
  <c r="P1575" i="9"/>
  <c r="P1337" i="9"/>
  <c r="P810" i="9"/>
  <c r="P444" i="9"/>
  <c r="P756" i="9"/>
  <c r="P800" i="9"/>
  <c r="P703" i="9"/>
  <c r="P712" i="9"/>
  <c r="P243" i="9"/>
  <c r="P598" i="9"/>
  <c r="P380" i="9"/>
  <c r="P930" i="9"/>
  <c r="P609" i="9"/>
  <c r="P22" i="9"/>
  <c r="P141" i="9"/>
  <c r="P11" i="9"/>
  <c r="P155" i="9"/>
  <c r="P100" i="9"/>
  <c r="P53" i="9"/>
  <c r="P422" i="9"/>
  <c r="P1882" i="9"/>
  <c r="P1504" i="9"/>
  <c r="P987" i="9"/>
  <c r="P2087" i="9"/>
  <c r="P2237" i="9"/>
  <c r="P1775" i="9"/>
  <c r="P2103" i="9"/>
  <c r="P2144" i="9"/>
  <c r="P1650" i="9"/>
  <c r="P1416" i="9"/>
  <c r="P1308" i="9"/>
  <c r="P1061" i="9"/>
  <c r="P272" i="9"/>
  <c r="P660" i="9"/>
  <c r="P195" i="9"/>
  <c r="P132" i="9"/>
  <c r="P1846" i="9"/>
  <c r="P2151" i="9"/>
  <c r="P1922" i="9"/>
  <c r="P1904" i="9"/>
  <c r="P2003" i="9"/>
  <c r="P1727" i="9"/>
  <c r="P2013" i="9"/>
  <c r="P1379" i="9"/>
  <c r="P1696" i="9"/>
  <c r="P2112" i="9"/>
  <c r="P1989" i="9"/>
  <c r="P1394" i="9"/>
  <c r="P1071" i="9"/>
  <c r="P1108" i="9"/>
  <c r="P869" i="9"/>
  <c r="P588" i="9"/>
  <c r="P377" i="9"/>
  <c r="P830" i="9"/>
  <c r="P449" i="9"/>
  <c r="P550" i="9"/>
  <c r="P551" i="9"/>
  <c r="P390" i="9"/>
  <c r="P325" i="9"/>
  <c r="P216" i="9"/>
  <c r="P2181" i="9"/>
  <c r="P1809" i="9"/>
  <c r="J13" i="9" a="1"/>
  <c r="O12" i="9" l="1"/>
  <c r="R12" i="9" s="1"/>
  <c r="I15" i="9"/>
  <c r="N13" i="9"/>
  <c r="M13" i="9"/>
  <c r="J13" i="9"/>
  <c r="K13" i="9"/>
  <c r="L13" i="9"/>
  <c r="Q2" i="9"/>
  <c r="S2" i="9" s="1"/>
  <c r="T2" i="9" s="1"/>
  <c r="U2" i="9" s="1"/>
  <c r="Q4" i="9"/>
  <c r="S4" i="9" s="1"/>
  <c r="T4" i="9" s="1"/>
  <c r="U4" i="9" s="1"/>
  <c r="Q10" i="9"/>
  <c r="S10" i="9" s="1"/>
  <c r="T10" i="9" s="1"/>
  <c r="Q5" i="9"/>
  <c r="S5" i="9" s="1"/>
  <c r="T5" i="9" s="1"/>
  <c r="Q7" i="9"/>
  <c r="S7" i="9" s="1"/>
  <c r="T7" i="9" s="1"/>
  <c r="U7" i="9" s="1"/>
  <c r="Q3" i="9"/>
  <c r="S3" i="9" s="1"/>
  <c r="T3" i="9" s="1"/>
  <c r="Q9" i="9"/>
  <c r="S9" i="9" s="1"/>
  <c r="T9" i="9" s="1"/>
  <c r="U9" i="9" s="1"/>
  <c r="Q8" i="9"/>
  <c r="S8" i="9" s="1"/>
  <c r="T8" i="9" s="1"/>
  <c r="Q6" i="9"/>
  <c r="S6" i="9" s="1"/>
  <c r="T6" i="9" s="1"/>
  <c r="J14" i="9" a="1"/>
  <c r="O13" i="9" l="1"/>
  <c r="R13" i="9" s="1"/>
  <c r="J14" i="9"/>
  <c r="K14" i="9"/>
  <c r="M14" i="9"/>
  <c r="L14" i="9"/>
  <c r="N14" i="9"/>
  <c r="I16" i="9"/>
  <c r="U3" i="9"/>
  <c r="U8" i="9"/>
  <c r="U10" i="9"/>
  <c r="U6" i="9"/>
  <c r="U5" i="9"/>
  <c r="R15" i="3"/>
  <c r="R16" i="3" s="1"/>
  <c r="R19" i="3" s="1"/>
  <c r="O15" i="3"/>
  <c r="O16" i="3" s="1"/>
  <c r="O19" i="3" s="1"/>
  <c r="N15" i="3"/>
  <c r="N16" i="3" s="1"/>
  <c r="N19" i="3" s="1"/>
  <c r="K16" i="3"/>
  <c r="K19" i="3" s="1"/>
  <c r="J15" i="9" a="1"/>
  <c r="O14" i="9" l="1"/>
  <c r="R14" i="9" s="1"/>
  <c r="I17" i="9"/>
  <c r="J15" i="9"/>
  <c r="N15" i="9"/>
  <c r="K15" i="9"/>
  <c r="M15" i="9"/>
  <c r="L15" i="9"/>
  <c r="J16" i="9" a="1"/>
  <c r="O15" i="9" l="1"/>
  <c r="R15" i="9" s="1"/>
  <c r="N16" i="9"/>
  <c r="J16" i="9"/>
  <c r="K16" i="9"/>
  <c r="L16" i="9"/>
  <c r="M16" i="9"/>
  <c r="I18" i="9"/>
  <c r="J17" i="9" a="1"/>
  <c r="O16" i="9" l="1"/>
  <c r="P16" i="9" s="1"/>
  <c r="I19" i="9"/>
  <c r="L17" i="9"/>
  <c r="N17" i="9"/>
  <c r="J17" i="9"/>
  <c r="M17" i="9"/>
  <c r="K17" i="9"/>
  <c r="J18" i="9" a="1"/>
  <c r="R16" i="9" l="1"/>
  <c r="O17" i="9"/>
  <c r="Q12" i="9"/>
  <c r="S12" i="9" s="1"/>
  <c r="T12" i="9" s="1"/>
  <c r="Q18" i="9"/>
  <c r="Q17" i="9"/>
  <c r="Q11" i="9"/>
  <c r="S11" i="9" s="1"/>
  <c r="T11" i="9" s="1"/>
  <c r="Q13" i="9"/>
  <c r="S13" i="9" s="1"/>
  <c r="T13" i="9" s="1"/>
  <c r="U13" i="9" s="1"/>
  <c r="Q15" i="9"/>
  <c r="S15" i="9" s="1"/>
  <c r="T15" i="9" s="1"/>
  <c r="Q19" i="9"/>
  <c r="Q16" i="9"/>
  <c r="S16" i="9" s="1"/>
  <c r="T16" i="9" s="1"/>
  <c r="U16" i="9" s="1"/>
  <c r="Q14" i="9"/>
  <c r="S14" i="9" s="1"/>
  <c r="T14" i="9" s="1"/>
  <c r="J18" i="9"/>
  <c r="N18" i="9"/>
  <c r="K18" i="9"/>
  <c r="L18" i="9"/>
  <c r="M18" i="9"/>
  <c r="R17" i="9"/>
  <c r="I20" i="9"/>
  <c r="J19" i="9" a="1"/>
  <c r="O18" i="9" l="1"/>
  <c r="R18" i="9" s="1"/>
  <c r="S18" i="9" s="1"/>
  <c r="T18" i="9" s="1"/>
  <c r="U18" i="9" s="1"/>
  <c r="U15" i="9"/>
  <c r="U11" i="9"/>
  <c r="U14" i="9"/>
  <c r="S17" i="9"/>
  <c r="T17" i="9" s="1"/>
  <c r="I21" i="9"/>
  <c r="J19" i="9"/>
  <c r="L19" i="9"/>
  <c r="K19" i="9"/>
  <c r="M19" i="9"/>
  <c r="N19" i="9"/>
  <c r="U12" i="9"/>
  <c r="J20" i="9" a="1"/>
  <c r="O19" i="9" l="1"/>
  <c r="R19" i="9" s="1"/>
  <c r="S19" i="9" s="1"/>
  <c r="T19" i="9" s="1"/>
  <c r="U19" i="9" s="1"/>
  <c r="I22" i="9"/>
  <c r="U17" i="9"/>
  <c r="M20" i="9"/>
  <c r="L20" i="9"/>
  <c r="J20" i="9"/>
  <c r="N20" i="9"/>
  <c r="K20" i="9"/>
  <c r="J21" i="9" a="1"/>
  <c r="O20" i="9" l="1"/>
  <c r="R20" i="9" s="1"/>
  <c r="K21" i="9"/>
  <c r="M21" i="9"/>
  <c r="N21" i="9"/>
  <c r="L21" i="9"/>
  <c r="J21" i="9"/>
  <c r="I23" i="9"/>
  <c r="J22" i="9" a="1"/>
  <c r="O21" i="9" l="1"/>
  <c r="R21" i="9" s="1"/>
  <c r="I24" i="9"/>
  <c r="M22" i="9"/>
  <c r="K22" i="9"/>
  <c r="N22" i="9"/>
  <c r="J22" i="9"/>
  <c r="L22" i="9"/>
  <c r="J23" i="9" a="1"/>
  <c r="O22" i="9" l="1"/>
  <c r="R22" i="9" s="1"/>
  <c r="N23" i="9"/>
  <c r="J23" i="9"/>
  <c r="L23" i="9"/>
  <c r="K23" i="9"/>
  <c r="M23" i="9"/>
  <c r="I25" i="9"/>
  <c r="J24" i="9" a="1"/>
  <c r="O23" i="9" l="1"/>
  <c r="R23" i="9" s="1"/>
  <c r="I26" i="9"/>
  <c r="K24" i="9"/>
  <c r="M24" i="9"/>
  <c r="J24" i="9"/>
  <c r="L24" i="9"/>
  <c r="N24" i="9"/>
  <c r="J25" i="9" a="1"/>
  <c r="O24" i="9" l="1"/>
  <c r="R24" i="9" s="1"/>
  <c r="J25" i="9"/>
  <c r="K25" i="9"/>
  <c r="L25" i="9"/>
  <c r="N25" i="9"/>
  <c r="M25" i="9"/>
  <c r="I27" i="9"/>
  <c r="J26" i="9" a="1"/>
  <c r="O25" i="9" l="1"/>
  <c r="R25" i="9" s="1"/>
  <c r="L26" i="9"/>
  <c r="M26" i="9"/>
  <c r="J26" i="9"/>
  <c r="N26" i="9"/>
  <c r="K26" i="9"/>
  <c r="I28" i="9"/>
  <c r="J27" i="9" a="1"/>
  <c r="P25" i="9" l="1"/>
  <c r="Q24" i="9" s="1"/>
  <c r="S24" i="9" s="1"/>
  <c r="T24" i="9" s="1"/>
  <c r="O26" i="9"/>
  <c r="R26" i="9" s="1"/>
  <c r="I29" i="9"/>
  <c r="N27" i="9"/>
  <c r="K27" i="9"/>
  <c r="J27" i="9"/>
  <c r="L27" i="9"/>
  <c r="M27" i="9"/>
  <c r="J28" i="9" a="1"/>
  <c r="Q26" i="9" l="1"/>
  <c r="S26" i="9" s="1"/>
  <c r="T26" i="9" s="1"/>
  <c r="U26" i="9" s="1"/>
  <c r="Q23" i="9"/>
  <c r="S23" i="9" s="1"/>
  <c r="T23" i="9" s="1"/>
  <c r="U23" i="9" s="1"/>
  <c r="Q22" i="9"/>
  <c r="S22" i="9" s="1"/>
  <c r="T22" i="9" s="1"/>
  <c r="U22" i="9" s="1"/>
  <c r="Q28" i="9"/>
  <c r="Q27" i="9"/>
  <c r="Q25" i="9"/>
  <c r="S25" i="9" s="1"/>
  <c r="T25" i="9" s="1"/>
  <c r="U25" i="9" s="1"/>
  <c r="Q20" i="9"/>
  <c r="S20" i="9" s="1"/>
  <c r="T20" i="9" s="1"/>
  <c r="U20" i="9" s="1"/>
  <c r="Q21" i="9"/>
  <c r="S21" i="9" s="1"/>
  <c r="T21" i="9" s="1"/>
  <c r="U21" i="9" s="1"/>
  <c r="O27" i="9"/>
  <c r="R27" i="9" s="1"/>
  <c r="K28" i="9"/>
  <c r="M28" i="9"/>
  <c r="L28" i="9"/>
  <c r="J28" i="9"/>
  <c r="N28" i="9"/>
  <c r="U24" i="9"/>
  <c r="I30" i="9"/>
  <c r="J29" i="9" a="1"/>
  <c r="S27" i="9" l="1"/>
  <c r="T27" i="9" s="1"/>
  <c r="U27" i="9" s="1"/>
  <c r="O28" i="9"/>
  <c r="R28" i="9" s="1"/>
  <c r="S28" i="9" s="1"/>
  <c r="T28" i="9" s="1"/>
  <c r="U28" i="9" s="1"/>
  <c r="I31" i="9"/>
  <c r="J29" i="9"/>
  <c r="L29" i="9"/>
  <c r="N29" i="9"/>
  <c r="M29" i="9"/>
  <c r="K29" i="9"/>
  <c r="J30" i="9" a="1"/>
  <c r="O29" i="9" l="1"/>
  <c r="R29" i="9" s="1"/>
  <c r="M30" i="9"/>
  <c r="J30" i="9"/>
  <c r="L30" i="9"/>
  <c r="K30" i="9"/>
  <c r="N30" i="9"/>
  <c r="I32" i="9"/>
  <c r="J31" i="9" a="1"/>
  <c r="O30" i="9" l="1"/>
  <c r="R30" i="9" s="1"/>
  <c r="I33" i="9"/>
  <c r="N31" i="9"/>
  <c r="L31" i="9"/>
  <c r="M31" i="9"/>
  <c r="J31" i="9"/>
  <c r="K31" i="9"/>
  <c r="J32" i="9" a="1"/>
  <c r="O31" i="9" l="1"/>
  <c r="R31" i="9" s="1"/>
  <c r="J32" i="9"/>
  <c r="M32" i="9"/>
  <c r="L32" i="9"/>
  <c r="N32" i="9"/>
  <c r="K32" i="9"/>
  <c r="I34" i="9"/>
  <c r="J33" i="9" a="1"/>
  <c r="O32" i="9" l="1"/>
  <c r="R32" i="9" s="1"/>
  <c r="M33" i="9"/>
  <c r="N33" i="9"/>
  <c r="L33" i="9"/>
  <c r="J33" i="9"/>
  <c r="K33" i="9"/>
  <c r="I35" i="9"/>
  <c r="J34" i="9" a="1"/>
  <c r="O33" i="9" l="1"/>
  <c r="R33" i="9" s="1"/>
  <c r="I36" i="9"/>
  <c r="L34" i="9"/>
  <c r="M34" i="9"/>
  <c r="J34" i="9"/>
  <c r="K34" i="9"/>
  <c r="N34" i="9"/>
  <c r="J35" i="9" a="1"/>
  <c r="O34" i="9" l="1"/>
  <c r="P34" i="9" s="1"/>
  <c r="N35" i="9"/>
  <c r="J35" i="9"/>
  <c r="K35" i="9"/>
  <c r="L35" i="9"/>
  <c r="M35" i="9"/>
  <c r="I37" i="9"/>
  <c r="J36" i="9" a="1"/>
  <c r="O35" i="9" l="1"/>
  <c r="R35" i="9" s="1"/>
  <c r="R34" i="9"/>
  <c r="Q35" i="9"/>
  <c r="Q31" i="9"/>
  <c r="S31" i="9" s="1"/>
  <c r="T31" i="9" s="1"/>
  <c r="U31" i="9" s="1"/>
  <c r="Q37" i="9"/>
  <c r="Q34" i="9"/>
  <c r="Q29" i="9"/>
  <c r="S29" i="9" s="1"/>
  <c r="T29" i="9" s="1"/>
  <c r="Q32" i="9"/>
  <c r="S32" i="9" s="1"/>
  <c r="T32" i="9" s="1"/>
  <c r="Q30" i="9"/>
  <c r="S30" i="9" s="1"/>
  <c r="T30" i="9" s="1"/>
  <c r="Q36" i="9"/>
  <c r="Q33" i="9"/>
  <c r="S33" i="9" s="1"/>
  <c r="T33" i="9" s="1"/>
  <c r="N36" i="9"/>
  <c r="K36" i="9"/>
  <c r="J36" i="9"/>
  <c r="L36" i="9"/>
  <c r="M36" i="9"/>
  <c r="I38" i="9"/>
  <c r="J37" i="9" a="1"/>
  <c r="S34" i="9" l="1"/>
  <c r="T34" i="9" s="1"/>
  <c r="U34" i="9" s="1"/>
  <c r="S35" i="9"/>
  <c r="T35" i="9" s="1"/>
  <c r="U35" i="9" s="1"/>
  <c r="O36" i="9"/>
  <c r="R36" i="9" s="1"/>
  <c r="S36" i="9" s="1"/>
  <c r="T36" i="9" s="1"/>
  <c r="U36" i="9" s="1"/>
  <c r="U32" i="9"/>
  <c r="U29" i="9"/>
  <c r="L37" i="9"/>
  <c r="N37" i="9"/>
  <c r="M37" i="9"/>
  <c r="J37" i="9"/>
  <c r="K37" i="9"/>
  <c r="I39" i="9"/>
  <c r="U33" i="9"/>
  <c r="U30" i="9"/>
  <c r="J38" i="9" a="1"/>
  <c r="O37" i="9" l="1"/>
  <c r="R37" i="9" s="1"/>
  <c r="S37" i="9" s="1"/>
  <c r="T37" i="9" s="1"/>
  <c r="U37" i="9" s="1"/>
  <c r="I40" i="9"/>
  <c r="N38" i="9"/>
  <c r="J38" i="9"/>
  <c r="L38" i="9"/>
  <c r="M38" i="9"/>
  <c r="K38" i="9"/>
  <c r="J39" i="9" a="1"/>
  <c r="O38" i="9" l="1"/>
  <c r="R38" i="9" s="1"/>
  <c r="N39" i="9"/>
  <c r="M39" i="9"/>
  <c r="J39" i="9"/>
  <c r="L39" i="9"/>
  <c r="K39" i="9"/>
  <c r="I41" i="9"/>
  <c r="J40" i="9" a="1"/>
  <c r="O39" i="9" l="1"/>
  <c r="R39" i="9" s="1"/>
  <c r="I42" i="9"/>
  <c r="K40" i="9"/>
  <c r="J40" i="9"/>
  <c r="L40" i="9"/>
  <c r="N40" i="9"/>
  <c r="M40" i="9"/>
  <c r="J41" i="9" a="1"/>
  <c r="O40" i="9" l="1"/>
  <c r="R40" i="9" s="1"/>
  <c r="K41" i="9"/>
  <c r="N41" i="9"/>
  <c r="L41" i="9"/>
  <c r="J41" i="9"/>
  <c r="M41" i="9"/>
  <c r="I43" i="9"/>
  <c r="J42" i="9" a="1"/>
  <c r="O41" i="9" l="1"/>
  <c r="R41" i="9" s="1"/>
  <c r="I44" i="9"/>
  <c r="L42" i="9"/>
  <c r="J42" i="9"/>
  <c r="N42" i="9"/>
  <c r="M42" i="9"/>
  <c r="K42" i="9"/>
  <c r="J43" i="9" a="1"/>
  <c r="O42" i="9" l="1"/>
  <c r="R42" i="9" s="1"/>
  <c r="M43" i="9"/>
  <c r="N43" i="9"/>
  <c r="K43" i="9"/>
  <c r="L43" i="9"/>
  <c r="J43" i="9"/>
  <c r="I45" i="9"/>
  <c r="J44" i="9" a="1"/>
  <c r="O43" i="9" l="1"/>
  <c r="R43" i="9" s="1"/>
  <c r="I46" i="9"/>
  <c r="J44" i="9"/>
  <c r="K44" i="9"/>
  <c r="M44" i="9"/>
  <c r="L44" i="9"/>
  <c r="N44" i="9"/>
  <c r="J45" i="9" a="1"/>
  <c r="P43" i="9" l="1"/>
  <c r="Q46" i="9" s="1"/>
  <c r="O44" i="9"/>
  <c r="R44" i="9" s="1"/>
  <c r="N45" i="9"/>
  <c r="M45" i="9"/>
  <c r="L45" i="9"/>
  <c r="J45" i="9"/>
  <c r="K45" i="9"/>
  <c r="I47" i="9"/>
  <c r="J46" i="9" a="1"/>
  <c r="Q41" i="9" l="1"/>
  <c r="S41" i="9" s="1"/>
  <c r="T41" i="9" s="1"/>
  <c r="U41" i="9" s="1"/>
  <c r="Q38" i="9"/>
  <c r="S38" i="9" s="1"/>
  <c r="T38" i="9" s="1"/>
  <c r="U38" i="9" s="1"/>
  <c r="Q42" i="9"/>
  <c r="S42" i="9" s="1"/>
  <c r="T42" i="9" s="1"/>
  <c r="U42" i="9" s="1"/>
  <c r="Q43" i="9"/>
  <c r="S43" i="9" s="1"/>
  <c r="T43" i="9" s="1"/>
  <c r="U43" i="9" s="1"/>
  <c r="Q40" i="9"/>
  <c r="S40" i="9" s="1"/>
  <c r="T40" i="9" s="1"/>
  <c r="U40" i="9" s="1"/>
  <c r="Q44" i="9"/>
  <c r="S44" i="9" s="1"/>
  <c r="T44" i="9" s="1"/>
  <c r="U44" i="9" s="1"/>
  <c r="Q45" i="9"/>
  <c r="Q39" i="9"/>
  <c r="S39" i="9" s="1"/>
  <c r="T39" i="9" s="1"/>
  <c r="U39" i="9" s="1"/>
  <c r="O45" i="9"/>
  <c r="R45" i="9" s="1"/>
  <c r="K46" i="9"/>
  <c r="J46" i="9"/>
  <c r="L46" i="9"/>
  <c r="M46" i="9"/>
  <c r="N46" i="9"/>
  <c r="I48" i="9"/>
  <c r="J47" i="9" a="1"/>
  <c r="S45" i="9" l="1"/>
  <c r="T45" i="9" s="1"/>
  <c r="U45" i="9" s="1"/>
  <c r="O46" i="9"/>
  <c r="R46" i="9" s="1"/>
  <c r="S46" i="9" s="1"/>
  <c r="T46" i="9" s="1"/>
  <c r="U46" i="9" s="1"/>
  <c r="N47" i="9"/>
  <c r="M47" i="9"/>
  <c r="J47" i="9"/>
  <c r="K47" i="9"/>
  <c r="L47" i="9"/>
  <c r="I49" i="9"/>
  <c r="J48" i="9" a="1"/>
  <c r="O47" i="9" l="1"/>
  <c r="R47" i="9" s="1"/>
  <c r="M48" i="9"/>
  <c r="K48" i="9"/>
  <c r="N48" i="9"/>
  <c r="J48" i="9"/>
  <c r="L48" i="9"/>
  <c r="I50" i="9"/>
  <c r="J49" i="9" a="1"/>
  <c r="O48" i="9" l="1"/>
  <c r="R48" i="9" s="1"/>
  <c r="I51" i="9"/>
  <c r="J49" i="9"/>
  <c r="N49" i="9"/>
  <c r="L49" i="9"/>
  <c r="M49" i="9"/>
  <c r="K49" i="9"/>
  <c r="J50" i="9" a="1"/>
  <c r="O49" i="9" l="1"/>
  <c r="R49" i="9" s="1"/>
  <c r="K50" i="9"/>
  <c r="M50" i="9"/>
  <c r="J50" i="9"/>
  <c r="L50" i="9"/>
  <c r="N50" i="9"/>
  <c r="I52" i="9"/>
  <c r="J51" i="9" a="1"/>
  <c r="O50" i="9" l="1"/>
  <c r="R50" i="9" s="1"/>
  <c r="I53" i="9"/>
  <c r="N51" i="9"/>
  <c r="K51" i="9"/>
  <c r="M51" i="9"/>
  <c r="J51" i="9"/>
  <c r="L51" i="9"/>
  <c r="J52" i="9" a="1"/>
  <c r="O51" i="9" l="1"/>
  <c r="R51" i="9" s="1"/>
  <c r="J52" i="9"/>
  <c r="M52" i="9"/>
  <c r="K52" i="9"/>
  <c r="N52" i="9"/>
  <c r="L52" i="9"/>
  <c r="I54" i="9"/>
  <c r="J53" i="9" a="1"/>
  <c r="O52" i="9" l="1"/>
  <c r="R52" i="9" s="1"/>
  <c r="J53" i="9"/>
  <c r="K53" i="9"/>
  <c r="M53" i="9"/>
  <c r="L53" i="9"/>
  <c r="N53" i="9"/>
  <c r="I55" i="9"/>
  <c r="J54" i="9" a="1"/>
  <c r="P52" i="9" l="1"/>
  <c r="Q55" i="9" s="1"/>
  <c r="O53" i="9"/>
  <c r="R53" i="9" s="1"/>
  <c r="N54" i="9"/>
  <c r="K54" i="9"/>
  <c r="J54" i="9"/>
  <c r="M54" i="9"/>
  <c r="L54" i="9"/>
  <c r="I56" i="9"/>
  <c r="J55" i="9" a="1"/>
  <c r="Q54" i="9" l="1"/>
  <c r="Q49" i="9"/>
  <c r="S49" i="9" s="1"/>
  <c r="T49" i="9" s="1"/>
  <c r="U49" i="9" s="1"/>
  <c r="Q52" i="9"/>
  <c r="S52" i="9" s="1"/>
  <c r="T52" i="9" s="1"/>
  <c r="U52" i="9" s="1"/>
  <c r="Q53" i="9"/>
  <c r="S53" i="9" s="1"/>
  <c r="T53" i="9" s="1"/>
  <c r="U53" i="9" s="1"/>
  <c r="Q51" i="9"/>
  <c r="S51" i="9" s="1"/>
  <c r="T51" i="9" s="1"/>
  <c r="U51" i="9" s="1"/>
  <c r="Q48" i="9"/>
  <c r="S48" i="9" s="1"/>
  <c r="T48" i="9" s="1"/>
  <c r="U48" i="9" s="1"/>
  <c r="Q47" i="9"/>
  <c r="S47" i="9" s="1"/>
  <c r="T47" i="9" s="1"/>
  <c r="U47" i="9" s="1"/>
  <c r="Q50" i="9"/>
  <c r="S50" i="9" s="1"/>
  <c r="T50" i="9" s="1"/>
  <c r="U50" i="9" s="1"/>
  <c r="O54" i="9"/>
  <c r="R54" i="9" s="1"/>
  <c r="I57" i="9"/>
  <c r="K55" i="9"/>
  <c r="M55" i="9"/>
  <c r="N55" i="9"/>
  <c r="L55" i="9"/>
  <c r="J55" i="9"/>
  <c r="J56" i="9" a="1"/>
  <c r="S54" i="9" l="1"/>
  <c r="T54" i="9" s="1"/>
  <c r="U54" i="9" s="1"/>
  <c r="O55" i="9"/>
  <c r="R55" i="9" s="1"/>
  <c r="S55" i="9" s="1"/>
  <c r="T55" i="9" s="1"/>
  <c r="U55" i="9" s="1"/>
  <c r="J56" i="9"/>
  <c r="M56" i="9"/>
  <c r="L56" i="9"/>
  <c r="K56" i="9"/>
  <c r="N56" i="9"/>
  <c r="I58" i="9"/>
  <c r="J57" i="9" a="1"/>
  <c r="O56" i="9" l="1"/>
  <c r="R56" i="9" s="1"/>
  <c r="I59" i="9"/>
  <c r="J57" i="9"/>
  <c r="M57" i="9"/>
  <c r="L57" i="9"/>
  <c r="K57" i="9"/>
  <c r="N57" i="9"/>
  <c r="J58" i="9" a="1"/>
  <c r="O57" i="9" l="1"/>
  <c r="R57" i="9" s="1"/>
  <c r="J58" i="9"/>
  <c r="N58" i="9"/>
  <c r="K58" i="9"/>
  <c r="L58" i="9"/>
  <c r="M58" i="9"/>
  <c r="I60" i="9"/>
  <c r="J59" i="9" a="1"/>
  <c r="O58" i="9" l="1"/>
  <c r="R58" i="9" s="1"/>
  <c r="K59" i="9"/>
  <c r="M59" i="9"/>
  <c r="J59" i="9"/>
  <c r="L59" i="9"/>
  <c r="N59" i="9"/>
  <c r="I61" i="9"/>
  <c r="J60" i="9" a="1"/>
  <c r="O59" i="9" l="1"/>
  <c r="R59" i="9" s="1"/>
  <c r="I62" i="9"/>
  <c r="N60" i="9"/>
  <c r="J60" i="9"/>
  <c r="M60" i="9"/>
  <c r="L60" i="9"/>
  <c r="K60" i="9"/>
  <c r="J61" i="9" a="1"/>
  <c r="O60" i="9" l="1"/>
  <c r="R60" i="9" s="1"/>
  <c r="K61" i="9"/>
  <c r="L61" i="9"/>
  <c r="J61" i="9"/>
  <c r="M61" i="9"/>
  <c r="N61" i="9"/>
  <c r="I63" i="9"/>
  <c r="J62" i="9" a="1"/>
  <c r="O61" i="9" l="1"/>
  <c r="R61" i="9" s="1"/>
  <c r="I64" i="9"/>
  <c r="L62" i="9"/>
  <c r="K62" i="9"/>
  <c r="J62" i="9"/>
  <c r="M62" i="9"/>
  <c r="N62" i="9"/>
  <c r="J63" i="9" a="1"/>
  <c r="P61" i="9" l="1"/>
  <c r="Q64" i="9" s="1"/>
  <c r="O62" i="9"/>
  <c r="R62" i="9" s="1"/>
  <c r="M63" i="9"/>
  <c r="J63" i="9"/>
  <c r="N63" i="9"/>
  <c r="K63" i="9"/>
  <c r="L63" i="9"/>
  <c r="I65" i="9"/>
  <c r="J64" i="9" a="1"/>
  <c r="Q63" i="9" l="1"/>
  <c r="Q61" i="9"/>
  <c r="S61" i="9" s="1"/>
  <c r="T61" i="9" s="1"/>
  <c r="U61" i="9" s="1"/>
  <c r="Q57" i="9"/>
  <c r="S57" i="9" s="1"/>
  <c r="T57" i="9" s="1"/>
  <c r="U57" i="9" s="1"/>
  <c r="Q58" i="9"/>
  <c r="S58" i="9" s="1"/>
  <c r="T58" i="9" s="1"/>
  <c r="U58" i="9" s="1"/>
  <c r="Q62" i="9"/>
  <c r="S62" i="9" s="1"/>
  <c r="T62" i="9" s="1"/>
  <c r="U62" i="9" s="1"/>
  <c r="Q59" i="9"/>
  <c r="S59" i="9" s="1"/>
  <c r="T59" i="9" s="1"/>
  <c r="U59" i="9" s="1"/>
  <c r="Q60" i="9"/>
  <c r="S60" i="9" s="1"/>
  <c r="T60" i="9" s="1"/>
  <c r="U60" i="9" s="1"/>
  <c r="Q56" i="9"/>
  <c r="S56" i="9" s="1"/>
  <c r="T56" i="9" s="1"/>
  <c r="U56" i="9" s="1"/>
  <c r="O63" i="9"/>
  <c r="R63" i="9" s="1"/>
  <c r="K64" i="9"/>
  <c r="N64" i="9"/>
  <c r="L64" i="9"/>
  <c r="M64" i="9"/>
  <c r="J64" i="9"/>
  <c r="I66" i="9"/>
  <c r="J65" i="9" a="1"/>
  <c r="S63" i="9" l="1"/>
  <c r="T63" i="9" s="1"/>
  <c r="U63" i="9" s="1"/>
  <c r="O64" i="9"/>
  <c r="R64" i="9" s="1"/>
  <c r="S64" i="9" s="1"/>
  <c r="T64" i="9" s="1"/>
  <c r="U64" i="9" s="1"/>
  <c r="K65" i="9"/>
  <c r="J65" i="9"/>
  <c r="L65" i="9"/>
  <c r="N65" i="9"/>
  <c r="M65" i="9"/>
  <c r="I67" i="9"/>
  <c r="J66" i="9" a="1"/>
  <c r="O65" i="9" l="1"/>
  <c r="R65" i="9" s="1"/>
  <c r="I68" i="9"/>
  <c r="L66" i="9"/>
  <c r="M66" i="9"/>
  <c r="K66" i="9"/>
  <c r="N66" i="9"/>
  <c r="J66" i="9"/>
  <c r="J67" i="9" a="1"/>
  <c r="O66" i="9" l="1"/>
  <c r="R66" i="9" s="1"/>
  <c r="J67" i="9"/>
  <c r="M67" i="9"/>
  <c r="K67" i="9"/>
  <c r="L67" i="9"/>
  <c r="N67" i="9"/>
  <c r="I69" i="9"/>
  <c r="J68" i="9" a="1"/>
  <c r="O67" i="9" l="1"/>
  <c r="R67" i="9" s="1"/>
  <c r="J68" i="9"/>
  <c r="L68" i="9"/>
  <c r="M68" i="9"/>
  <c r="K68" i="9"/>
  <c r="N68" i="9"/>
  <c r="I70" i="9"/>
  <c r="J69" i="9" a="1"/>
  <c r="O68" i="9" l="1"/>
  <c r="R68" i="9" s="1"/>
  <c r="M69" i="9"/>
  <c r="N69" i="9"/>
  <c r="L69" i="9"/>
  <c r="K69" i="9"/>
  <c r="J69" i="9"/>
  <c r="I71" i="9"/>
  <c r="J70" i="9" a="1"/>
  <c r="O69" i="9" l="1"/>
  <c r="R69" i="9" s="1"/>
  <c r="I72" i="9"/>
  <c r="L70" i="9"/>
  <c r="J70" i="9"/>
  <c r="M70" i="9"/>
  <c r="N70" i="9"/>
  <c r="K70" i="9"/>
  <c r="J71" i="9" a="1"/>
  <c r="O70" i="9" l="1"/>
  <c r="P70" i="9" s="1"/>
  <c r="N71" i="9"/>
  <c r="M71" i="9"/>
  <c r="J71" i="9"/>
  <c r="L71" i="9"/>
  <c r="K71" i="9"/>
  <c r="I73" i="9"/>
  <c r="J72" i="9" a="1"/>
  <c r="R70" i="9" l="1"/>
  <c r="O71" i="9"/>
  <c r="R71" i="9" s="1"/>
  <c r="N72" i="9"/>
  <c r="K72" i="9"/>
  <c r="L72" i="9"/>
  <c r="M72" i="9"/>
  <c r="J72" i="9"/>
  <c r="I74" i="9"/>
  <c r="Q67" i="9"/>
  <c r="S67" i="9" s="1"/>
  <c r="T67" i="9" s="1"/>
  <c r="U67" i="9" s="1"/>
  <c r="Q72" i="9"/>
  <c r="Q68" i="9"/>
  <c r="S68" i="9" s="1"/>
  <c r="T68" i="9" s="1"/>
  <c r="U68" i="9" s="1"/>
  <c r="Q66" i="9"/>
  <c r="S66" i="9" s="1"/>
  <c r="T66" i="9" s="1"/>
  <c r="U66" i="9" s="1"/>
  <c r="Q69" i="9"/>
  <c r="S69" i="9" s="1"/>
  <c r="T69" i="9" s="1"/>
  <c r="U69" i="9" s="1"/>
  <c r="Q73" i="9"/>
  <c r="Q71" i="9"/>
  <c r="S71" i="9" s="1"/>
  <c r="T71" i="9" s="1"/>
  <c r="U71" i="9" s="1"/>
  <c r="Q65" i="9"/>
  <c r="S65" i="9" s="1"/>
  <c r="T65" i="9" s="1"/>
  <c r="U65" i="9" s="1"/>
  <c r="Q70" i="9"/>
  <c r="S70" i="9" s="1"/>
  <c r="T70" i="9" s="1"/>
  <c r="U70" i="9" s="1"/>
  <c r="J73" i="9" a="1"/>
  <c r="O72" i="9" l="1"/>
  <c r="R72" i="9" s="1"/>
  <c r="S72" i="9" s="1"/>
  <c r="T72" i="9" s="1"/>
  <c r="U72" i="9" s="1"/>
  <c r="I75" i="9"/>
  <c r="J73" i="9"/>
  <c r="M73" i="9"/>
  <c r="K73" i="9"/>
  <c r="N73" i="9"/>
  <c r="L73" i="9"/>
  <c r="J74" i="9" a="1"/>
  <c r="O73" i="9" l="1"/>
  <c r="R73" i="9" s="1"/>
  <c r="S73" i="9" s="1"/>
  <c r="T73" i="9" s="1"/>
  <c r="U73" i="9" s="1"/>
  <c r="N74" i="9"/>
  <c r="M74" i="9"/>
  <c r="K74" i="9"/>
  <c r="L74" i="9"/>
  <c r="J74" i="9"/>
  <c r="I76" i="9"/>
  <c r="J75" i="9" a="1"/>
  <c r="O74" i="9" l="1"/>
  <c r="R74" i="9" s="1"/>
  <c r="I77" i="9"/>
  <c r="L75" i="9"/>
  <c r="N75" i="9"/>
  <c r="M75" i="9"/>
  <c r="J75" i="9"/>
  <c r="K75" i="9"/>
  <c r="J76" i="9" a="1"/>
  <c r="O75" i="9" l="1"/>
  <c r="R75" i="9" s="1"/>
  <c r="K76" i="9"/>
  <c r="L76" i="9"/>
  <c r="N76" i="9"/>
  <c r="M76" i="9"/>
  <c r="J76" i="9"/>
  <c r="I78" i="9"/>
  <c r="J77" i="9" a="1"/>
  <c r="O76" i="9" l="1"/>
  <c r="R76" i="9" s="1"/>
  <c r="I79" i="9"/>
  <c r="J77" i="9"/>
  <c r="K77" i="9"/>
  <c r="L77" i="9"/>
  <c r="M77" i="9"/>
  <c r="N77" i="9"/>
  <c r="J78" i="9" a="1"/>
  <c r="O77" i="9" l="1"/>
  <c r="R77" i="9" s="1"/>
  <c r="L78" i="9"/>
  <c r="M78" i="9"/>
  <c r="N78" i="9"/>
  <c r="J78" i="9"/>
  <c r="K78" i="9"/>
  <c r="I80" i="9"/>
  <c r="J79" i="9" a="1"/>
  <c r="O78" i="9" l="1"/>
  <c r="R78" i="9" s="1"/>
  <c r="I81" i="9"/>
  <c r="M79" i="9"/>
  <c r="N79" i="9"/>
  <c r="J79" i="9"/>
  <c r="K79" i="9"/>
  <c r="L79" i="9"/>
  <c r="J80" i="9" a="1"/>
  <c r="O79" i="9" l="1"/>
  <c r="R79" i="9" s="1"/>
  <c r="K80" i="9"/>
  <c r="L80" i="9"/>
  <c r="M80" i="9"/>
  <c r="J80" i="9"/>
  <c r="N80" i="9"/>
  <c r="I82" i="9"/>
  <c r="J81" i="9" a="1"/>
  <c r="P79" i="9" l="1"/>
  <c r="Q79" i="9" s="1"/>
  <c r="S79" i="9" s="1"/>
  <c r="T79" i="9" s="1"/>
  <c r="U79" i="9" s="1"/>
  <c r="O80" i="9"/>
  <c r="R80" i="9" s="1"/>
  <c r="L81" i="9"/>
  <c r="M81" i="9"/>
  <c r="N81" i="9"/>
  <c r="K81" i="9"/>
  <c r="J81" i="9"/>
  <c r="I83" i="9"/>
  <c r="J82" i="9" a="1"/>
  <c r="Q78" i="9" l="1"/>
  <c r="S78" i="9" s="1"/>
  <c r="T78" i="9" s="1"/>
  <c r="U78" i="9" s="1"/>
  <c r="Q81" i="9"/>
  <c r="Q76" i="9"/>
  <c r="S76" i="9" s="1"/>
  <c r="T76" i="9" s="1"/>
  <c r="U76" i="9" s="1"/>
  <c r="Q80" i="9"/>
  <c r="S80" i="9" s="1"/>
  <c r="T80" i="9" s="1"/>
  <c r="U80" i="9" s="1"/>
  <c r="Q74" i="9"/>
  <c r="S74" i="9" s="1"/>
  <c r="T74" i="9" s="1"/>
  <c r="U74" i="9" s="1"/>
  <c r="Q82" i="9"/>
  <c r="Q75" i="9"/>
  <c r="S75" i="9" s="1"/>
  <c r="T75" i="9" s="1"/>
  <c r="U75" i="9" s="1"/>
  <c r="Q77" i="9"/>
  <c r="S77" i="9" s="1"/>
  <c r="T77" i="9" s="1"/>
  <c r="U77" i="9" s="1"/>
  <c r="O81" i="9"/>
  <c r="R81" i="9" s="1"/>
  <c r="I84" i="9"/>
  <c r="M82" i="9"/>
  <c r="L82" i="9"/>
  <c r="K82" i="9"/>
  <c r="J82" i="9"/>
  <c r="N82" i="9"/>
  <c r="J83" i="9" a="1"/>
  <c r="S81" i="9" l="1"/>
  <c r="T81" i="9" s="1"/>
  <c r="U81" i="9" s="1"/>
  <c r="O82" i="9"/>
  <c r="R82" i="9" s="1"/>
  <c r="S82" i="9" s="1"/>
  <c r="T82" i="9" s="1"/>
  <c r="U82" i="9" s="1"/>
  <c r="L83" i="9"/>
  <c r="M83" i="9"/>
  <c r="N83" i="9"/>
  <c r="K83" i="9"/>
  <c r="J83" i="9"/>
  <c r="I85" i="9"/>
  <c r="J84" i="9" a="1"/>
  <c r="O83" i="9" l="1"/>
  <c r="R83" i="9" s="1"/>
  <c r="I86" i="9"/>
  <c r="M84" i="9"/>
  <c r="K84" i="9"/>
  <c r="L84" i="9"/>
  <c r="N84" i="9"/>
  <c r="J84" i="9"/>
  <c r="J85" i="9" a="1"/>
  <c r="O84" i="9" l="1"/>
  <c r="R84" i="9" s="1"/>
  <c r="N85" i="9"/>
  <c r="L85" i="9"/>
  <c r="M85" i="9"/>
  <c r="K85" i="9"/>
  <c r="J85" i="9"/>
  <c r="I87" i="9"/>
  <c r="J86" i="9" a="1"/>
  <c r="O85" i="9" l="1"/>
  <c r="R85" i="9" s="1"/>
  <c r="I88" i="9"/>
  <c r="J86" i="9"/>
  <c r="M86" i="9"/>
  <c r="L86" i="9"/>
  <c r="K86" i="9"/>
  <c r="N86" i="9"/>
  <c r="J87" i="9" a="1"/>
  <c r="O86" i="9" l="1"/>
  <c r="R86" i="9" s="1"/>
  <c r="N87" i="9"/>
  <c r="K87" i="9"/>
  <c r="M87" i="9"/>
  <c r="J87" i="9"/>
  <c r="L87" i="9"/>
  <c r="I89" i="9"/>
  <c r="J88" i="9" a="1"/>
  <c r="O87" i="9" l="1"/>
  <c r="R87" i="9" s="1"/>
  <c r="I90" i="9"/>
  <c r="M88" i="9"/>
  <c r="K88" i="9"/>
  <c r="J88" i="9"/>
  <c r="L88" i="9"/>
  <c r="N88" i="9"/>
  <c r="J89" i="9" a="1"/>
  <c r="O88" i="9" l="1"/>
  <c r="R88" i="9" s="1"/>
  <c r="M89" i="9"/>
  <c r="J89" i="9"/>
  <c r="L89" i="9"/>
  <c r="N89" i="9"/>
  <c r="K89" i="9"/>
  <c r="I91" i="9"/>
  <c r="J90" i="9" a="1"/>
  <c r="P88" i="9" l="1"/>
  <c r="Q88" i="9" s="1"/>
  <c r="S88" i="9" s="1"/>
  <c r="T88" i="9" s="1"/>
  <c r="U88" i="9" s="1"/>
  <c r="O89" i="9"/>
  <c r="R89" i="9" s="1"/>
  <c r="I92" i="9"/>
  <c r="N90" i="9"/>
  <c r="L90" i="9"/>
  <c r="K90" i="9"/>
  <c r="J90" i="9"/>
  <c r="M90" i="9"/>
  <c r="J91" i="9" a="1"/>
  <c r="Q89" i="9" l="1"/>
  <c r="S89" i="9" s="1"/>
  <c r="T89" i="9" s="1"/>
  <c r="U89" i="9" s="1"/>
  <c r="Q85" i="9"/>
  <c r="S85" i="9" s="1"/>
  <c r="T85" i="9" s="1"/>
  <c r="U85" i="9" s="1"/>
  <c r="Q91" i="9"/>
  <c r="Q90" i="9"/>
  <c r="Q87" i="9"/>
  <c r="S87" i="9" s="1"/>
  <c r="T87" i="9" s="1"/>
  <c r="U87" i="9" s="1"/>
  <c r="Q84" i="9"/>
  <c r="S84" i="9" s="1"/>
  <c r="T84" i="9" s="1"/>
  <c r="U84" i="9" s="1"/>
  <c r="Q83" i="9"/>
  <c r="S83" i="9" s="1"/>
  <c r="T83" i="9" s="1"/>
  <c r="U83" i="9" s="1"/>
  <c r="Q86" i="9"/>
  <c r="S86" i="9" s="1"/>
  <c r="T86" i="9" s="1"/>
  <c r="U86" i="9" s="1"/>
  <c r="O90" i="9"/>
  <c r="R90" i="9" s="1"/>
  <c r="J91" i="9"/>
  <c r="M91" i="9"/>
  <c r="K91" i="9"/>
  <c r="N91" i="9"/>
  <c r="L91" i="9"/>
  <c r="I93" i="9"/>
  <c r="J92" i="9" a="1"/>
  <c r="S90" i="9" l="1"/>
  <c r="T90" i="9" s="1"/>
  <c r="U90" i="9" s="1"/>
  <c r="O91" i="9"/>
  <c r="R91" i="9" s="1"/>
  <c r="S91" i="9" s="1"/>
  <c r="T91" i="9" s="1"/>
  <c r="U91" i="9" s="1"/>
  <c r="J92" i="9"/>
  <c r="N92" i="9"/>
  <c r="K92" i="9"/>
  <c r="M92" i="9"/>
  <c r="L92" i="9"/>
  <c r="I94" i="9"/>
  <c r="J93" i="9" a="1"/>
  <c r="O92" i="9" l="1"/>
  <c r="R92" i="9" s="1"/>
  <c r="K93" i="9"/>
  <c r="N93" i="9"/>
  <c r="M93" i="9"/>
  <c r="J93" i="9"/>
  <c r="L93" i="9"/>
  <c r="I95" i="9"/>
  <c r="J94" i="9" a="1"/>
  <c r="O93" i="9" l="1"/>
  <c r="R93" i="9" s="1"/>
  <c r="I96" i="9"/>
  <c r="J94" i="9"/>
  <c r="M94" i="9"/>
  <c r="N94" i="9"/>
  <c r="L94" i="9"/>
  <c r="K94" i="9"/>
  <c r="J95" i="9" a="1"/>
  <c r="O94" i="9" l="1"/>
  <c r="R94" i="9" s="1"/>
  <c r="M95" i="9"/>
  <c r="K95" i="9"/>
  <c r="J95" i="9"/>
  <c r="L95" i="9"/>
  <c r="N95" i="9"/>
  <c r="I97" i="9"/>
  <c r="J96" i="9" a="1"/>
  <c r="O95" i="9" l="1"/>
  <c r="R95" i="9" s="1"/>
  <c r="I98" i="9"/>
  <c r="M96" i="9"/>
  <c r="K96" i="9"/>
  <c r="N96" i="9"/>
  <c r="L96" i="9"/>
  <c r="J96" i="9"/>
  <c r="J97" i="9" a="1"/>
  <c r="O96" i="9" l="1"/>
  <c r="R96" i="9" s="1"/>
  <c r="L97" i="9"/>
  <c r="M97" i="9"/>
  <c r="K97" i="9"/>
  <c r="N97" i="9"/>
  <c r="J97" i="9"/>
  <c r="I99" i="9"/>
  <c r="J98" i="9" a="1"/>
  <c r="O97" i="9" l="1"/>
  <c r="R97" i="9" s="1"/>
  <c r="I100" i="9"/>
  <c r="K98" i="9"/>
  <c r="N98" i="9"/>
  <c r="J98" i="9"/>
  <c r="L98" i="9"/>
  <c r="M98" i="9"/>
  <c r="J99" i="9" a="1"/>
  <c r="P97" i="9" l="1"/>
  <c r="Q94" i="9" s="1"/>
  <c r="S94" i="9" s="1"/>
  <c r="T94" i="9" s="1"/>
  <c r="U94" i="9" s="1"/>
  <c r="O98" i="9"/>
  <c r="R98" i="9" s="1"/>
  <c r="K99" i="9"/>
  <c r="L99" i="9"/>
  <c r="M99" i="9"/>
  <c r="N99" i="9"/>
  <c r="J99" i="9"/>
  <c r="I101" i="9"/>
  <c r="J100" i="9" a="1"/>
  <c r="Q93" i="9" l="1"/>
  <c r="S93" i="9" s="1"/>
  <c r="T93" i="9" s="1"/>
  <c r="U93" i="9" s="1"/>
  <c r="Q95" i="9"/>
  <c r="S95" i="9" s="1"/>
  <c r="T95" i="9" s="1"/>
  <c r="U95" i="9" s="1"/>
  <c r="Q100" i="9"/>
  <c r="Q92" i="9"/>
  <c r="S92" i="9" s="1"/>
  <c r="T92" i="9" s="1"/>
  <c r="U92" i="9" s="1"/>
  <c r="Q96" i="9"/>
  <c r="S96" i="9" s="1"/>
  <c r="T96" i="9" s="1"/>
  <c r="U96" i="9" s="1"/>
  <c r="Q97" i="9"/>
  <c r="S97" i="9" s="1"/>
  <c r="T97" i="9" s="1"/>
  <c r="U97" i="9" s="1"/>
  <c r="Q98" i="9"/>
  <c r="S98" i="9" s="1"/>
  <c r="T98" i="9" s="1"/>
  <c r="U98" i="9" s="1"/>
  <c r="Q99" i="9"/>
  <c r="O99" i="9"/>
  <c r="R99" i="9" s="1"/>
  <c r="M100" i="9"/>
  <c r="L100" i="9"/>
  <c r="N100" i="9"/>
  <c r="J100" i="9"/>
  <c r="K100" i="9"/>
  <c r="I102" i="9"/>
  <c r="J101" i="9" a="1"/>
  <c r="S99" i="9" l="1"/>
  <c r="T99" i="9" s="1"/>
  <c r="U99" i="9" s="1"/>
  <c r="O100" i="9"/>
  <c r="R100" i="9" s="1"/>
  <c r="S100" i="9" s="1"/>
  <c r="T100" i="9" s="1"/>
  <c r="U100" i="9" s="1"/>
  <c r="N101" i="9"/>
  <c r="M101" i="9"/>
  <c r="K101" i="9"/>
  <c r="L101" i="9"/>
  <c r="J101" i="9"/>
  <c r="I103" i="9"/>
  <c r="J102" i="9" a="1"/>
  <c r="O101" i="9" l="1"/>
  <c r="R101" i="9" s="1"/>
  <c r="I104" i="9"/>
  <c r="M102" i="9"/>
  <c r="J102" i="9"/>
  <c r="N102" i="9"/>
  <c r="L102" i="9"/>
  <c r="K102" i="9"/>
  <c r="J103" i="9" a="1"/>
  <c r="O102" i="9" l="1"/>
  <c r="R102" i="9" s="1"/>
  <c r="L103" i="9"/>
  <c r="M103" i="9"/>
  <c r="K103" i="9"/>
  <c r="N103" i="9"/>
  <c r="J103" i="9"/>
  <c r="I105" i="9"/>
  <c r="J104" i="9" a="1"/>
  <c r="O103" i="9" l="1"/>
  <c r="R103" i="9" s="1"/>
  <c r="I106" i="9"/>
  <c r="L104" i="9"/>
  <c r="K104" i="9"/>
  <c r="N104" i="9"/>
  <c r="J104" i="9"/>
  <c r="M104" i="9"/>
  <c r="J105" i="9" a="1"/>
  <c r="O104" i="9" l="1"/>
  <c r="R104" i="9" s="1"/>
  <c r="M105" i="9"/>
  <c r="L105" i="9"/>
  <c r="K105" i="9"/>
  <c r="N105" i="9"/>
  <c r="J105" i="9"/>
  <c r="I107" i="9"/>
  <c r="J106" i="9" a="1"/>
  <c r="O105" i="9" l="1"/>
  <c r="R105" i="9" s="1"/>
  <c r="I108" i="9"/>
  <c r="L106" i="9"/>
  <c r="M106" i="9"/>
  <c r="J106" i="9"/>
  <c r="K106" i="9"/>
  <c r="N106" i="9"/>
  <c r="J107" i="9" a="1"/>
  <c r="O106" i="9" l="1"/>
  <c r="R106" i="9" s="1"/>
  <c r="M107" i="9"/>
  <c r="K107" i="9"/>
  <c r="L107" i="9"/>
  <c r="J107" i="9"/>
  <c r="N107" i="9"/>
  <c r="I109" i="9"/>
  <c r="J108" i="9" a="1"/>
  <c r="P106" i="9" l="1"/>
  <c r="Q104" i="9" s="1"/>
  <c r="S104" i="9" s="1"/>
  <c r="T104" i="9" s="1"/>
  <c r="U104" i="9" s="1"/>
  <c r="O107" i="9"/>
  <c r="R107" i="9" s="1"/>
  <c r="M108" i="9"/>
  <c r="J108" i="9"/>
  <c r="K108" i="9"/>
  <c r="L108" i="9"/>
  <c r="N108" i="9"/>
  <c r="I110" i="9"/>
  <c r="J109" i="9" a="1"/>
  <c r="Q102" i="9" l="1"/>
  <c r="S102" i="9" s="1"/>
  <c r="T102" i="9" s="1"/>
  <c r="U102" i="9" s="1"/>
  <c r="Q103" i="9"/>
  <c r="S103" i="9" s="1"/>
  <c r="T103" i="9" s="1"/>
  <c r="U103" i="9" s="1"/>
  <c r="Q106" i="9"/>
  <c r="S106" i="9" s="1"/>
  <c r="T106" i="9" s="1"/>
  <c r="U106" i="9" s="1"/>
  <c r="Q108" i="9"/>
  <c r="Q101" i="9"/>
  <c r="S101" i="9" s="1"/>
  <c r="T101" i="9" s="1"/>
  <c r="U101" i="9" s="1"/>
  <c r="Q105" i="9"/>
  <c r="S105" i="9" s="1"/>
  <c r="T105" i="9" s="1"/>
  <c r="U105" i="9" s="1"/>
  <c r="Q109" i="9"/>
  <c r="Q107" i="9"/>
  <c r="S107" i="9" s="1"/>
  <c r="T107" i="9" s="1"/>
  <c r="U107" i="9" s="1"/>
  <c r="O108" i="9"/>
  <c r="R108" i="9" s="1"/>
  <c r="I111" i="9"/>
  <c r="M109" i="9"/>
  <c r="J109" i="9"/>
  <c r="K109" i="9"/>
  <c r="N109" i="9"/>
  <c r="L109" i="9"/>
  <c r="J110" i="9" a="1"/>
  <c r="S108" i="9" l="1"/>
  <c r="T108" i="9" s="1"/>
  <c r="U108" i="9" s="1"/>
  <c r="O109" i="9"/>
  <c r="R109" i="9" s="1"/>
  <c r="S109" i="9" s="1"/>
  <c r="T109" i="9" s="1"/>
  <c r="U109" i="9" s="1"/>
  <c r="I112" i="9"/>
  <c r="K110" i="9"/>
  <c r="J110" i="9"/>
  <c r="M110" i="9"/>
  <c r="N110" i="9"/>
  <c r="L110" i="9"/>
  <c r="J111" i="9" a="1"/>
  <c r="O110" i="9" l="1"/>
  <c r="R110" i="9" s="1"/>
  <c r="J111" i="9"/>
  <c r="K111" i="9"/>
  <c r="L111" i="9"/>
  <c r="N111" i="9"/>
  <c r="M111" i="9"/>
  <c r="I113" i="9"/>
  <c r="J112" i="9" a="1"/>
  <c r="O111" i="9" l="1"/>
  <c r="R111" i="9" s="1"/>
  <c r="M112" i="9"/>
  <c r="J112" i="9"/>
  <c r="L112" i="9"/>
  <c r="K112" i="9"/>
  <c r="N112" i="9"/>
  <c r="I114" i="9"/>
  <c r="J113" i="9" a="1"/>
  <c r="O112" i="9" l="1"/>
  <c r="R112" i="9" s="1"/>
  <c r="I115" i="9"/>
  <c r="N113" i="9"/>
  <c r="K113" i="9"/>
  <c r="L113" i="9"/>
  <c r="J113" i="9"/>
  <c r="M113" i="9"/>
  <c r="J114" i="9" a="1"/>
  <c r="O113" i="9" l="1"/>
  <c r="R113" i="9" s="1"/>
  <c r="J114" i="9"/>
  <c r="M114" i="9"/>
  <c r="N114" i="9"/>
  <c r="K114" i="9"/>
  <c r="L114" i="9"/>
  <c r="I116" i="9"/>
  <c r="J115" i="9" a="1"/>
  <c r="O114" i="9" l="1"/>
  <c r="R114" i="9" s="1"/>
  <c r="J115" i="9"/>
  <c r="N115" i="9"/>
  <c r="L115" i="9"/>
  <c r="M115" i="9"/>
  <c r="K115" i="9"/>
  <c r="I117" i="9"/>
  <c r="J116" i="9" a="1"/>
  <c r="O115" i="9" l="1"/>
  <c r="R115" i="9" s="1"/>
  <c r="I118" i="9"/>
  <c r="M116" i="9"/>
  <c r="J116" i="9"/>
  <c r="L116" i="9"/>
  <c r="K116" i="9"/>
  <c r="N116" i="9"/>
  <c r="J117" i="9" a="1"/>
  <c r="P115" i="9" l="1"/>
  <c r="Q118" i="9" s="1"/>
  <c r="O116" i="9"/>
  <c r="R116" i="9" s="1"/>
  <c r="N117" i="9"/>
  <c r="J117" i="9"/>
  <c r="K117" i="9"/>
  <c r="L117" i="9"/>
  <c r="M117" i="9"/>
  <c r="Q114" i="9"/>
  <c r="S114" i="9" s="1"/>
  <c r="T114" i="9" s="1"/>
  <c r="U114" i="9" s="1"/>
  <c r="I119" i="9"/>
  <c r="J118" i="9" a="1"/>
  <c r="Q117" i="9" l="1"/>
  <c r="Q112" i="9"/>
  <c r="S112" i="9" s="1"/>
  <c r="T112" i="9" s="1"/>
  <c r="U112" i="9" s="1"/>
  <c r="Q115" i="9"/>
  <c r="S115" i="9" s="1"/>
  <c r="T115" i="9" s="1"/>
  <c r="U115" i="9" s="1"/>
  <c r="Q111" i="9"/>
  <c r="S111" i="9" s="1"/>
  <c r="T111" i="9" s="1"/>
  <c r="U111" i="9" s="1"/>
  <c r="Q113" i="9"/>
  <c r="S113" i="9" s="1"/>
  <c r="T113" i="9" s="1"/>
  <c r="U113" i="9" s="1"/>
  <c r="Q110" i="9"/>
  <c r="S110" i="9" s="1"/>
  <c r="T110" i="9" s="1"/>
  <c r="U110" i="9" s="1"/>
  <c r="Q116" i="9"/>
  <c r="S116" i="9" s="1"/>
  <c r="T116" i="9" s="1"/>
  <c r="U116" i="9" s="1"/>
  <c r="O117" i="9"/>
  <c r="R117" i="9" s="1"/>
  <c r="K118" i="9"/>
  <c r="L118" i="9"/>
  <c r="M118" i="9"/>
  <c r="N118" i="9"/>
  <c r="J118" i="9"/>
  <c r="I120" i="9"/>
  <c r="J119" i="9" a="1"/>
  <c r="S117" i="9" l="1"/>
  <c r="T117" i="9" s="1"/>
  <c r="U117" i="9" s="1"/>
  <c r="O118" i="9"/>
  <c r="R118" i="9" s="1"/>
  <c r="S118" i="9" s="1"/>
  <c r="T118" i="9" s="1"/>
  <c r="U118" i="9" s="1"/>
  <c r="N119" i="9"/>
  <c r="L119" i="9"/>
  <c r="J119" i="9"/>
  <c r="K119" i="9"/>
  <c r="M119" i="9"/>
  <c r="I121" i="9"/>
  <c r="J120" i="9" a="1"/>
  <c r="O119" i="9" l="1"/>
  <c r="R119" i="9" s="1"/>
  <c r="I122" i="9"/>
  <c r="M120" i="9"/>
  <c r="J120" i="9"/>
  <c r="K120" i="9"/>
  <c r="L120" i="9"/>
  <c r="N120" i="9"/>
  <c r="J121" i="9" a="1"/>
  <c r="O120" i="9" l="1"/>
  <c r="R120" i="9" s="1"/>
  <c r="J121" i="9"/>
  <c r="K121" i="9"/>
  <c r="N121" i="9"/>
  <c r="L121" i="9"/>
  <c r="M121" i="9"/>
  <c r="I123" i="9"/>
  <c r="J122" i="9" a="1"/>
  <c r="O121" i="9" l="1"/>
  <c r="R121" i="9" s="1"/>
  <c r="N122" i="9"/>
  <c r="L122" i="9"/>
  <c r="M122" i="9"/>
  <c r="K122" i="9"/>
  <c r="J122" i="9"/>
  <c r="I124" i="9"/>
  <c r="J123" i="9" a="1"/>
  <c r="O122" i="9" l="1"/>
  <c r="R122" i="9" s="1"/>
  <c r="I125" i="9"/>
  <c r="L123" i="9"/>
  <c r="M123" i="9"/>
  <c r="N123" i="9"/>
  <c r="J123" i="9"/>
  <c r="K123" i="9"/>
  <c r="J124" i="9" a="1"/>
  <c r="O123" i="9" l="1"/>
  <c r="R123" i="9" s="1"/>
  <c r="K124" i="9"/>
  <c r="L124" i="9"/>
  <c r="J124" i="9"/>
  <c r="N124" i="9"/>
  <c r="M124" i="9"/>
  <c r="I126" i="9"/>
  <c r="J125" i="9" a="1"/>
  <c r="O124" i="9" l="1"/>
  <c r="R124" i="9" s="1"/>
  <c r="I127" i="9"/>
  <c r="J125" i="9"/>
  <c r="N125" i="9"/>
  <c r="M125" i="9"/>
  <c r="L125" i="9"/>
  <c r="K125" i="9"/>
  <c r="J126" i="9" a="1"/>
  <c r="P124" i="9" l="1"/>
  <c r="Q119" i="9" s="1"/>
  <c r="S119" i="9" s="1"/>
  <c r="T119" i="9" s="1"/>
  <c r="U119" i="9" s="1"/>
  <c r="O125" i="9"/>
  <c r="R125" i="9" s="1"/>
  <c r="J126" i="9"/>
  <c r="M126" i="9"/>
  <c r="N126" i="9"/>
  <c r="K126" i="9"/>
  <c r="L126" i="9"/>
  <c r="Q120" i="9"/>
  <c r="S120" i="9" s="1"/>
  <c r="T120" i="9" s="1"/>
  <c r="U120" i="9" s="1"/>
  <c r="I128" i="9"/>
  <c r="J127" i="9" a="1"/>
  <c r="Q121" i="9" l="1"/>
  <c r="S121" i="9" s="1"/>
  <c r="T121" i="9" s="1"/>
  <c r="U121" i="9" s="1"/>
  <c r="Q123" i="9"/>
  <c r="S123" i="9" s="1"/>
  <c r="T123" i="9" s="1"/>
  <c r="U123" i="9" s="1"/>
  <c r="Q126" i="9"/>
  <c r="Q124" i="9"/>
  <c r="S124" i="9" s="1"/>
  <c r="T124" i="9" s="1"/>
  <c r="U124" i="9" s="1"/>
  <c r="Q127" i="9"/>
  <c r="Q122" i="9"/>
  <c r="S122" i="9" s="1"/>
  <c r="T122" i="9" s="1"/>
  <c r="U122" i="9" s="1"/>
  <c r="Q125" i="9"/>
  <c r="S125" i="9" s="1"/>
  <c r="T125" i="9" s="1"/>
  <c r="U125" i="9" s="1"/>
  <c r="O126" i="9"/>
  <c r="R126" i="9" s="1"/>
  <c r="M127" i="9"/>
  <c r="J127" i="9"/>
  <c r="L127" i="9"/>
  <c r="N127" i="9"/>
  <c r="K127" i="9"/>
  <c r="I129" i="9"/>
  <c r="J128" i="9" a="1"/>
  <c r="S126" i="9" l="1"/>
  <c r="T126" i="9" s="1"/>
  <c r="U126" i="9" s="1"/>
  <c r="O127" i="9"/>
  <c r="R127" i="9" s="1"/>
  <c r="S127" i="9" s="1"/>
  <c r="T127" i="9" s="1"/>
  <c r="U127" i="9" s="1"/>
  <c r="I130" i="9"/>
  <c r="J128" i="9"/>
  <c r="L128" i="9"/>
  <c r="N128" i="9"/>
  <c r="K128" i="9"/>
  <c r="M128" i="9"/>
  <c r="J129" i="9" a="1"/>
  <c r="O128" i="9" l="1"/>
  <c r="R128" i="9" s="1"/>
  <c r="J129" i="9"/>
  <c r="M129" i="9"/>
  <c r="L129" i="9"/>
  <c r="K129" i="9"/>
  <c r="N129" i="9"/>
  <c r="I131" i="9"/>
  <c r="J130" i="9" a="1"/>
  <c r="O129" i="9" l="1"/>
  <c r="R129" i="9" s="1"/>
  <c r="J130" i="9"/>
  <c r="N130" i="9"/>
  <c r="L130" i="9"/>
  <c r="M130" i="9"/>
  <c r="K130" i="9"/>
  <c r="I132" i="9"/>
  <c r="J131" i="9" a="1"/>
  <c r="O130" i="9" l="1"/>
  <c r="R130" i="9" s="1"/>
  <c r="I133" i="9"/>
  <c r="K131" i="9"/>
  <c r="J131" i="9"/>
  <c r="N131" i="9"/>
  <c r="M131" i="9"/>
  <c r="L131" i="9"/>
  <c r="J132" i="9" a="1"/>
  <c r="O131" i="9" l="1"/>
  <c r="R131" i="9" s="1"/>
  <c r="N132" i="9"/>
  <c r="J132" i="9"/>
  <c r="M132" i="9"/>
  <c r="K132" i="9"/>
  <c r="L132" i="9"/>
  <c r="I134" i="9"/>
  <c r="J133" i="9" a="1"/>
  <c r="O132" i="9" l="1"/>
  <c r="R132" i="9" s="1"/>
  <c r="I135" i="9"/>
  <c r="N133" i="9"/>
  <c r="L133" i="9"/>
  <c r="K133" i="9"/>
  <c r="J133" i="9"/>
  <c r="M133" i="9"/>
  <c r="J134" i="9" a="1"/>
  <c r="O133" i="9" l="1"/>
  <c r="R133" i="9" s="1"/>
  <c r="L134" i="9"/>
  <c r="M134" i="9"/>
  <c r="J134" i="9"/>
  <c r="N134" i="9"/>
  <c r="K134" i="9"/>
  <c r="I136" i="9"/>
  <c r="J135" i="9" a="1"/>
  <c r="O134" i="9" l="1"/>
  <c r="R134" i="9" s="1"/>
  <c r="P133" i="9"/>
  <c r="Q136" i="9" s="1"/>
  <c r="I137" i="9"/>
  <c r="M135" i="9"/>
  <c r="L135" i="9"/>
  <c r="J135" i="9"/>
  <c r="N135" i="9"/>
  <c r="K135" i="9"/>
  <c r="Q129" i="9"/>
  <c r="S129" i="9" s="1"/>
  <c r="T129" i="9" s="1"/>
  <c r="U129" i="9" s="1"/>
  <c r="J136" i="9" a="1"/>
  <c r="Q135" i="9" l="1"/>
  <c r="Q134" i="9"/>
  <c r="S134" i="9" s="1"/>
  <c r="T134" i="9" s="1"/>
  <c r="U134" i="9" s="1"/>
  <c r="Q130" i="9"/>
  <c r="S130" i="9" s="1"/>
  <c r="T130" i="9" s="1"/>
  <c r="U130" i="9" s="1"/>
  <c r="Q131" i="9"/>
  <c r="S131" i="9" s="1"/>
  <c r="T131" i="9" s="1"/>
  <c r="U131" i="9" s="1"/>
  <c r="Q132" i="9"/>
  <c r="S132" i="9" s="1"/>
  <c r="T132" i="9" s="1"/>
  <c r="U132" i="9" s="1"/>
  <c r="Q128" i="9"/>
  <c r="S128" i="9" s="1"/>
  <c r="T128" i="9" s="1"/>
  <c r="U128" i="9" s="1"/>
  <c r="Q133" i="9"/>
  <c r="S133" i="9" s="1"/>
  <c r="T133" i="9" s="1"/>
  <c r="U133" i="9" s="1"/>
  <c r="O135" i="9"/>
  <c r="R135" i="9" s="1"/>
  <c r="L136" i="9"/>
  <c r="M136" i="9"/>
  <c r="J136" i="9"/>
  <c r="K136" i="9"/>
  <c r="N136" i="9"/>
  <c r="I138" i="9"/>
  <c r="J137" i="9" a="1"/>
  <c r="S135" i="9" l="1"/>
  <c r="T135" i="9" s="1"/>
  <c r="U135" i="9" s="1"/>
  <c r="O136" i="9"/>
  <c r="R136" i="9" s="1"/>
  <c r="S136" i="9" s="1"/>
  <c r="T136" i="9" s="1"/>
  <c r="U136" i="9" s="1"/>
  <c r="L137" i="9"/>
  <c r="N137" i="9"/>
  <c r="J137" i="9"/>
  <c r="K137" i="9"/>
  <c r="M137" i="9"/>
  <c r="I139" i="9"/>
  <c r="J138" i="9" a="1"/>
  <c r="O137" i="9" l="1"/>
  <c r="R137" i="9" s="1"/>
  <c r="I140" i="9"/>
  <c r="N138" i="9"/>
  <c r="J138" i="9"/>
  <c r="M138" i="9"/>
  <c r="K138" i="9"/>
  <c r="L138" i="9"/>
  <c r="J139" i="9" a="1"/>
  <c r="O138" i="9" l="1"/>
  <c r="R138" i="9" s="1"/>
  <c r="L139" i="9"/>
  <c r="M139" i="9"/>
  <c r="N139" i="9"/>
  <c r="J139" i="9"/>
  <c r="K139" i="9"/>
  <c r="I141" i="9"/>
  <c r="J140" i="9" a="1"/>
  <c r="O139" i="9" l="1"/>
  <c r="R139" i="9" s="1"/>
  <c r="I142" i="9"/>
  <c r="N140" i="9"/>
  <c r="K140" i="9"/>
  <c r="L140" i="9"/>
  <c r="M140" i="9"/>
  <c r="J140" i="9"/>
  <c r="J141" i="9" a="1"/>
  <c r="O140" i="9" l="1"/>
  <c r="R140" i="9" s="1"/>
  <c r="J141" i="9"/>
  <c r="K141" i="9"/>
  <c r="M141" i="9"/>
  <c r="N141" i="9"/>
  <c r="L141" i="9"/>
  <c r="I143" i="9"/>
  <c r="J142" i="9" a="1"/>
  <c r="O141" i="9" l="1"/>
  <c r="R141" i="9" s="1"/>
  <c r="J142" i="9"/>
  <c r="M142" i="9"/>
  <c r="N142" i="9"/>
  <c r="K142" i="9"/>
  <c r="L142" i="9"/>
  <c r="I144" i="9"/>
  <c r="J143" i="9" a="1"/>
  <c r="O142" i="9" l="1"/>
  <c r="R142" i="9" s="1"/>
  <c r="J143" i="9"/>
  <c r="K143" i="9"/>
  <c r="N143" i="9"/>
  <c r="L143" i="9"/>
  <c r="M143" i="9"/>
  <c r="I145" i="9"/>
  <c r="J144" i="9" a="1"/>
  <c r="P142" i="9" l="1"/>
  <c r="Q139" i="9" s="1"/>
  <c r="S139" i="9" s="1"/>
  <c r="T139" i="9" s="1"/>
  <c r="U139" i="9" s="1"/>
  <c r="O143" i="9"/>
  <c r="R143" i="9" s="1"/>
  <c r="L144" i="9"/>
  <c r="J144" i="9"/>
  <c r="M144" i="9"/>
  <c r="K144" i="9"/>
  <c r="N144" i="9"/>
  <c r="I146" i="9"/>
  <c r="J145" i="9" a="1"/>
  <c r="Q143" i="9" l="1"/>
  <c r="S143" i="9" s="1"/>
  <c r="T143" i="9" s="1"/>
  <c r="U143" i="9" s="1"/>
  <c r="Q138" i="9"/>
  <c r="S138" i="9" s="1"/>
  <c r="T138" i="9" s="1"/>
  <c r="U138" i="9" s="1"/>
  <c r="Q137" i="9"/>
  <c r="S137" i="9" s="1"/>
  <c r="T137" i="9" s="1"/>
  <c r="U137" i="9" s="1"/>
  <c r="Q145" i="9"/>
  <c r="Q142" i="9"/>
  <c r="S142" i="9" s="1"/>
  <c r="T142" i="9" s="1"/>
  <c r="U142" i="9" s="1"/>
  <c r="Q140" i="9"/>
  <c r="S140" i="9" s="1"/>
  <c r="T140" i="9" s="1"/>
  <c r="U140" i="9" s="1"/>
  <c r="Q144" i="9"/>
  <c r="Q141" i="9"/>
  <c r="S141" i="9" s="1"/>
  <c r="T141" i="9" s="1"/>
  <c r="U141" i="9" s="1"/>
  <c r="O144" i="9"/>
  <c r="R144" i="9" s="1"/>
  <c r="I147" i="9"/>
  <c r="L145" i="9"/>
  <c r="J145" i="9"/>
  <c r="M145" i="9"/>
  <c r="K145" i="9"/>
  <c r="N145" i="9"/>
  <c r="J146" i="9" a="1"/>
  <c r="S144" i="9" l="1"/>
  <c r="T144" i="9" s="1"/>
  <c r="U144" i="9" s="1"/>
  <c r="O145" i="9"/>
  <c r="R145" i="9" s="1"/>
  <c r="S145" i="9" s="1"/>
  <c r="T145" i="9" s="1"/>
  <c r="U145" i="9" s="1"/>
  <c r="I148" i="9"/>
  <c r="J146" i="9"/>
  <c r="M146" i="9"/>
  <c r="N146" i="9"/>
  <c r="K146" i="9"/>
  <c r="L146" i="9"/>
  <c r="J147" i="9" a="1"/>
  <c r="O146" i="9" l="1"/>
  <c r="R146" i="9" s="1"/>
  <c r="N147" i="9"/>
  <c r="M147" i="9"/>
  <c r="J147" i="9"/>
  <c r="L147" i="9"/>
  <c r="K147" i="9"/>
  <c r="I149" i="9"/>
  <c r="J148" i="9" a="1"/>
  <c r="O147" i="9" l="1"/>
  <c r="R147" i="9" s="1"/>
  <c r="K148" i="9"/>
  <c r="J148" i="9"/>
  <c r="L148" i="9"/>
  <c r="M148" i="9"/>
  <c r="N148" i="9"/>
  <c r="I150" i="9"/>
  <c r="J149" i="9" a="1"/>
  <c r="O148" i="9" l="1"/>
  <c r="R148" i="9" s="1"/>
  <c r="I151" i="9"/>
  <c r="N149" i="9"/>
  <c r="J149" i="9"/>
  <c r="L149" i="9"/>
  <c r="K149" i="9"/>
  <c r="M149" i="9"/>
  <c r="J150" i="9" a="1"/>
  <c r="O149" i="9" l="1"/>
  <c r="R149" i="9" s="1"/>
  <c r="L150" i="9"/>
  <c r="J150" i="9"/>
  <c r="N150" i="9"/>
  <c r="M150" i="9"/>
  <c r="K150" i="9"/>
  <c r="I152" i="9"/>
  <c r="J151" i="9" a="1"/>
  <c r="O150" i="9" l="1"/>
  <c r="R150" i="9" s="1"/>
  <c r="I153" i="9"/>
  <c r="J151" i="9"/>
  <c r="K151" i="9"/>
  <c r="L151" i="9"/>
  <c r="N151" i="9"/>
  <c r="M151" i="9"/>
  <c r="J152" i="9" a="1"/>
  <c r="O151" i="9" l="1"/>
  <c r="R151" i="9" s="1"/>
  <c r="J152" i="9"/>
  <c r="N152" i="9"/>
  <c r="M152" i="9"/>
  <c r="L152" i="9"/>
  <c r="K152" i="9"/>
  <c r="I154" i="9"/>
  <c r="J153" i="9" a="1"/>
  <c r="P151" i="9" l="1"/>
  <c r="Q148" i="9" s="1"/>
  <c r="S148" i="9" s="1"/>
  <c r="T148" i="9" s="1"/>
  <c r="U148" i="9" s="1"/>
  <c r="O152" i="9"/>
  <c r="R152" i="9" s="1"/>
  <c r="L153" i="9"/>
  <c r="N153" i="9"/>
  <c r="J153" i="9"/>
  <c r="M153" i="9"/>
  <c r="K153" i="9"/>
  <c r="I155" i="9"/>
  <c r="J154" i="9" a="1"/>
  <c r="Q147" i="9" l="1"/>
  <c r="S147" i="9" s="1"/>
  <c r="T147" i="9" s="1"/>
  <c r="U147" i="9" s="1"/>
  <c r="Q149" i="9"/>
  <c r="S149" i="9" s="1"/>
  <c r="T149" i="9" s="1"/>
  <c r="U149" i="9" s="1"/>
  <c r="Q152" i="9"/>
  <c r="S152" i="9" s="1"/>
  <c r="T152" i="9" s="1"/>
  <c r="U152" i="9" s="1"/>
  <c r="Q150" i="9"/>
  <c r="S150" i="9" s="1"/>
  <c r="T150" i="9" s="1"/>
  <c r="U150" i="9" s="1"/>
  <c r="Q151" i="9"/>
  <c r="S151" i="9" s="1"/>
  <c r="T151" i="9" s="1"/>
  <c r="U151" i="9" s="1"/>
  <c r="Q154" i="9"/>
  <c r="Q146" i="9"/>
  <c r="S146" i="9" s="1"/>
  <c r="T146" i="9" s="1"/>
  <c r="U146" i="9" s="1"/>
  <c r="Q153" i="9"/>
  <c r="O153" i="9"/>
  <c r="R153" i="9" s="1"/>
  <c r="I156" i="9"/>
  <c r="J154" i="9"/>
  <c r="N154" i="9"/>
  <c r="K154" i="9"/>
  <c r="M154" i="9"/>
  <c r="L154" i="9"/>
  <c r="J155" i="9" a="1"/>
  <c r="S153" i="9" l="1"/>
  <c r="T153" i="9" s="1"/>
  <c r="U153" i="9" s="1"/>
  <c r="O154" i="9"/>
  <c r="R154" i="9" s="1"/>
  <c r="S154" i="9" s="1"/>
  <c r="T154" i="9" s="1"/>
  <c r="U154" i="9" s="1"/>
  <c r="L155" i="9"/>
  <c r="M155" i="9"/>
  <c r="K155" i="9"/>
  <c r="N155" i="9"/>
  <c r="J155" i="9"/>
  <c r="I157" i="9"/>
  <c r="J156" i="9" a="1"/>
  <c r="O155" i="9" l="1"/>
  <c r="R155" i="9" s="1"/>
  <c r="I158" i="9"/>
  <c r="N156" i="9"/>
  <c r="J156" i="9"/>
  <c r="K156" i="9"/>
  <c r="L156" i="9"/>
  <c r="M156" i="9"/>
  <c r="J157" i="9" a="1"/>
  <c r="O156" i="9" l="1"/>
  <c r="R156" i="9" s="1"/>
  <c r="N157" i="9"/>
  <c r="L157" i="9"/>
  <c r="M157" i="9"/>
  <c r="K157" i="9"/>
  <c r="J157" i="9"/>
  <c r="I159" i="9"/>
  <c r="J158" i="9" a="1"/>
  <c r="O157" i="9" l="1"/>
  <c r="R157" i="9" s="1"/>
  <c r="I160" i="9"/>
  <c r="J158" i="9"/>
  <c r="M158" i="9"/>
  <c r="K158" i="9"/>
  <c r="L158" i="9"/>
  <c r="N158" i="9"/>
  <c r="J159" i="9" a="1"/>
  <c r="O158" i="9" l="1"/>
  <c r="R158" i="9" s="1"/>
  <c r="J159" i="9"/>
  <c r="K159" i="9"/>
  <c r="L159" i="9"/>
  <c r="M159" i="9"/>
  <c r="N159" i="9"/>
  <c r="I161" i="9"/>
  <c r="J160" i="9" a="1"/>
  <c r="O159" i="9" l="1"/>
  <c r="R159" i="9" s="1"/>
  <c r="M160" i="9"/>
  <c r="J160" i="9"/>
  <c r="K160" i="9"/>
  <c r="N160" i="9"/>
  <c r="L160" i="9"/>
  <c r="I162" i="9"/>
  <c r="J161" i="9" a="1"/>
  <c r="O160" i="9" l="1"/>
  <c r="R160" i="9" s="1"/>
  <c r="I163" i="9"/>
  <c r="L161" i="9"/>
  <c r="M161" i="9"/>
  <c r="J161" i="9"/>
  <c r="K161" i="9"/>
  <c r="N161" i="9"/>
  <c r="J162" i="9" a="1"/>
  <c r="P160" i="9" l="1"/>
  <c r="Q163" i="9" s="1"/>
  <c r="O161" i="9"/>
  <c r="R161" i="9" s="1"/>
  <c r="Q159" i="9"/>
  <c r="S159" i="9" s="1"/>
  <c r="T159" i="9" s="1"/>
  <c r="U159" i="9" s="1"/>
  <c r="J162" i="9"/>
  <c r="L162" i="9"/>
  <c r="M162" i="9"/>
  <c r="N162" i="9"/>
  <c r="K162" i="9"/>
  <c r="I164" i="9"/>
  <c r="J163" i="9" a="1"/>
  <c r="Q156" i="9" l="1"/>
  <c r="S156" i="9" s="1"/>
  <c r="T156" i="9" s="1"/>
  <c r="U156" i="9" s="1"/>
  <c r="Q158" i="9"/>
  <c r="S158" i="9" s="1"/>
  <c r="T158" i="9" s="1"/>
  <c r="U158" i="9" s="1"/>
  <c r="Q161" i="9"/>
  <c r="S161" i="9" s="1"/>
  <c r="T161" i="9" s="1"/>
  <c r="U161" i="9" s="1"/>
  <c r="Q155" i="9"/>
  <c r="S155" i="9" s="1"/>
  <c r="T155" i="9" s="1"/>
  <c r="U155" i="9" s="1"/>
  <c r="Q162" i="9"/>
  <c r="Q157" i="9"/>
  <c r="S157" i="9" s="1"/>
  <c r="T157" i="9" s="1"/>
  <c r="U157" i="9" s="1"/>
  <c r="Q160" i="9"/>
  <c r="S160" i="9" s="1"/>
  <c r="T160" i="9" s="1"/>
  <c r="U160" i="9" s="1"/>
  <c r="O162" i="9"/>
  <c r="R162" i="9" s="1"/>
  <c r="M163" i="9"/>
  <c r="N163" i="9"/>
  <c r="L163" i="9"/>
  <c r="K163" i="9"/>
  <c r="J163" i="9"/>
  <c r="I165" i="9"/>
  <c r="J164" i="9" a="1"/>
  <c r="S162" i="9" l="1"/>
  <c r="T162" i="9" s="1"/>
  <c r="U162" i="9" s="1"/>
  <c r="O163" i="9"/>
  <c r="R163" i="9" s="1"/>
  <c r="S163" i="9" s="1"/>
  <c r="T163" i="9" s="1"/>
  <c r="U163" i="9" s="1"/>
  <c r="I166" i="9"/>
  <c r="L164" i="9"/>
  <c r="M164" i="9"/>
  <c r="J164" i="9"/>
  <c r="N164" i="9"/>
  <c r="K164" i="9"/>
  <c r="J165" i="9" a="1"/>
  <c r="O164" i="9" l="1"/>
  <c r="R164" i="9" s="1"/>
  <c r="M165" i="9"/>
  <c r="L165" i="9"/>
  <c r="J165" i="9"/>
  <c r="K165" i="9"/>
  <c r="N165" i="9"/>
  <c r="I167" i="9"/>
  <c r="J166" i="9" a="1"/>
  <c r="O165" i="9" l="1"/>
  <c r="R165" i="9" s="1"/>
  <c r="I168" i="9"/>
  <c r="M166" i="9"/>
  <c r="J166" i="9"/>
  <c r="K166" i="9"/>
  <c r="N166" i="9"/>
  <c r="L166" i="9"/>
  <c r="J167" i="9" a="1"/>
  <c r="O166" i="9" l="1"/>
  <c r="R166" i="9" s="1"/>
  <c r="M167" i="9"/>
  <c r="J167" i="9"/>
  <c r="L167" i="9"/>
  <c r="N167" i="9"/>
  <c r="K167" i="9"/>
  <c r="I169" i="9"/>
  <c r="J168" i="9" a="1"/>
  <c r="O167" i="9" l="1"/>
  <c r="R167" i="9" s="1"/>
  <c r="I170" i="9"/>
  <c r="K168" i="9"/>
  <c r="L168" i="9"/>
  <c r="M168" i="9"/>
  <c r="J168" i="9"/>
  <c r="N168" i="9"/>
  <c r="J169" i="9" a="1"/>
  <c r="O168" i="9" l="1"/>
  <c r="R168" i="9" s="1"/>
  <c r="L169" i="9"/>
  <c r="J169" i="9"/>
  <c r="K169" i="9"/>
  <c r="M169" i="9"/>
  <c r="N169" i="9"/>
  <c r="I171" i="9"/>
  <c r="J170" i="9" a="1"/>
  <c r="O169" i="9" l="1"/>
  <c r="R169" i="9" s="1"/>
  <c r="I172" i="9"/>
  <c r="N170" i="9"/>
  <c r="M170" i="9"/>
  <c r="J170" i="9"/>
  <c r="K170" i="9"/>
  <c r="L170" i="9"/>
  <c r="J171" i="9" a="1"/>
  <c r="P169" i="9" l="1"/>
  <c r="Q164" i="9" s="1"/>
  <c r="S164" i="9" s="1"/>
  <c r="T164" i="9" s="1"/>
  <c r="U164" i="9" s="1"/>
  <c r="O170" i="9"/>
  <c r="R170" i="9" s="1"/>
  <c r="I173" i="9"/>
  <c r="J171" i="9"/>
  <c r="N171" i="9"/>
  <c r="K171" i="9"/>
  <c r="L171" i="9"/>
  <c r="M171" i="9"/>
  <c r="J172" i="9" a="1"/>
  <c r="Q171" i="9" l="1"/>
  <c r="Q172" i="9"/>
  <c r="Q167" i="9"/>
  <c r="S167" i="9" s="1"/>
  <c r="T167" i="9" s="1"/>
  <c r="U167" i="9" s="1"/>
  <c r="Q166" i="9"/>
  <c r="S166" i="9" s="1"/>
  <c r="T166" i="9" s="1"/>
  <c r="U166" i="9" s="1"/>
  <c r="Q170" i="9"/>
  <c r="S170" i="9" s="1"/>
  <c r="T170" i="9" s="1"/>
  <c r="U170" i="9" s="1"/>
  <c r="Q165" i="9"/>
  <c r="S165" i="9" s="1"/>
  <c r="T165" i="9" s="1"/>
  <c r="U165" i="9" s="1"/>
  <c r="Q169" i="9"/>
  <c r="S169" i="9" s="1"/>
  <c r="T169" i="9" s="1"/>
  <c r="U169" i="9" s="1"/>
  <c r="Q168" i="9"/>
  <c r="S168" i="9" s="1"/>
  <c r="T168" i="9" s="1"/>
  <c r="U168" i="9" s="1"/>
  <c r="O171" i="9"/>
  <c r="R171" i="9" s="1"/>
  <c r="J172" i="9"/>
  <c r="K172" i="9"/>
  <c r="L172" i="9"/>
  <c r="M172" i="9"/>
  <c r="N172" i="9"/>
  <c r="I174" i="9"/>
  <c r="J173" i="9" a="1"/>
  <c r="S171" i="9" l="1"/>
  <c r="T171" i="9" s="1"/>
  <c r="U171" i="9" s="1"/>
  <c r="O172" i="9"/>
  <c r="R172" i="9" s="1"/>
  <c r="S172" i="9" s="1"/>
  <c r="T172" i="9" s="1"/>
  <c r="U172" i="9" s="1"/>
  <c r="J173" i="9"/>
  <c r="L173" i="9"/>
  <c r="K173" i="9"/>
  <c r="N173" i="9"/>
  <c r="M173" i="9"/>
  <c r="I175" i="9"/>
  <c r="J174" i="9" a="1"/>
  <c r="O173" i="9" l="1"/>
  <c r="R173" i="9" s="1"/>
  <c r="J174" i="9"/>
  <c r="N174" i="9"/>
  <c r="L174" i="9"/>
  <c r="K174" i="9"/>
  <c r="M174" i="9"/>
  <c r="I176" i="9"/>
  <c r="J175" i="9" a="1"/>
  <c r="O174" i="9" l="1"/>
  <c r="R174" i="9" s="1"/>
  <c r="J175" i="9"/>
  <c r="K175" i="9"/>
  <c r="M175" i="9"/>
  <c r="L175" i="9"/>
  <c r="N175" i="9"/>
  <c r="I177" i="9"/>
  <c r="J176" i="9" a="1"/>
  <c r="O175" i="9" l="1"/>
  <c r="R175" i="9" s="1"/>
  <c r="L176" i="9"/>
  <c r="M176" i="9"/>
  <c r="J176" i="9"/>
  <c r="N176" i="9"/>
  <c r="K176" i="9"/>
  <c r="I178" i="9"/>
  <c r="J177" i="9" a="1"/>
  <c r="O176" i="9" l="1"/>
  <c r="R176" i="9" s="1"/>
  <c r="I179" i="9"/>
  <c r="K177" i="9"/>
  <c r="N177" i="9"/>
  <c r="L177" i="9"/>
  <c r="J177" i="9"/>
  <c r="M177" i="9"/>
  <c r="J178" i="9" a="1"/>
  <c r="O177" i="9" l="1"/>
  <c r="R177" i="9" s="1"/>
  <c r="N178" i="9"/>
  <c r="M178" i="9"/>
  <c r="K178" i="9"/>
  <c r="J178" i="9"/>
  <c r="L178" i="9"/>
  <c r="I180" i="9"/>
  <c r="J179" i="9" a="1"/>
  <c r="O178" i="9" l="1"/>
  <c r="R178" i="9" s="1"/>
  <c r="I181" i="9"/>
  <c r="L179" i="9"/>
  <c r="M179" i="9"/>
  <c r="J179" i="9"/>
  <c r="K179" i="9"/>
  <c r="N179" i="9"/>
  <c r="J180" i="9" a="1"/>
  <c r="P178" i="9" l="1"/>
  <c r="Q178" i="9" s="1"/>
  <c r="S178" i="9" s="1"/>
  <c r="T178" i="9" s="1"/>
  <c r="U178" i="9" s="1"/>
  <c r="O179" i="9"/>
  <c r="R179" i="9" s="1"/>
  <c r="L180" i="9"/>
  <c r="K180" i="9"/>
  <c r="M180" i="9"/>
  <c r="N180" i="9"/>
  <c r="J180" i="9"/>
  <c r="I182" i="9"/>
  <c r="J181" i="9" a="1"/>
  <c r="Q175" i="9" l="1"/>
  <c r="S175" i="9" s="1"/>
  <c r="T175" i="9" s="1"/>
  <c r="U175" i="9" s="1"/>
  <c r="Q174" i="9"/>
  <c r="S174" i="9" s="1"/>
  <c r="T174" i="9" s="1"/>
  <c r="U174" i="9" s="1"/>
  <c r="Q177" i="9"/>
  <c r="S177" i="9" s="1"/>
  <c r="T177" i="9" s="1"/>
  <c r="U177" i="9" s="1"/>
  <c r="Q176" i="9"/>
  <c r="S176" i="9" s="1"/>
  <c r="T176" i="9" s="1"/>
  <c r="U176" i="9" s="1"/>
  <c r="Q179" i="9"/>
  <c r="S179" i="9" s="1"/>
  <c r="T179" i="9" s="1"/>
  <c r="U179" i="9" s="1"/>
  <c r="Q181" i="9"/>
  <c r="Q180" i="9"/>
  <c r="Q173" i="9"/>
  <c r="S173" i="9" s="1"/>
  <c r="T173" i="9" s="1"/>
  <c r="U173" i="9" s="1"/>
  <c r="O180" i="9"/>
  <c r="R180" i="9" s="1"/>
  <c r="I183" i="9"/>
  <c r="M181" i="9"/>
  <c r="K181" i="9"/>
  <c r="L181" i="9"/>
  <c r="N181" i="9"/>
  <c r="J181" i="9"/>
  <c r="J182" i="9" a="1"/>
  <c r="S180" i="9" l="1"/>
  <c r="T180" i="9" s="1"/>
  <c r="U180" i="9" s="1"/>
  <c r="O181" i="9"/>
  <c r="R181" i="9" s="1"/>
  <c r="S181" i="9" s="1"/>
  <c r="T181" i="9" s="1"/>
  <c r="U181" i="9" s="1"/>
  <c r="K182" i="9"/>
  <c r="N182" i="9"/>
  <c r="L182" i="9"/>
  <c r="J182" i="9"/>
  <c r="M182" i="9"/>
  <c r="I184" i="9"/>
  <c r="J183" i="9" a="1"/>
  <c r="O182" i="9" l="1"/>
  <c r="R182" i="9" s="1"/>
  <c r="I185" i="9"/>
  <c r="M183" i="9"/>
  <c r="N183" i="9"/>
  <c r="J183" i="9"/>
  <c r="L183" i="9"/>
  <c r="K183" i="9"/>
  <c r="J184" i="9" a="1"/>
  <c r="O183" i="9" l="1"/>
  <c r="R183" i="9" s="1"/>
  <c r="K184" i="9"/>
  <c r="M184" i="9"/>
  <c r="L184" i="9"/>
  <c r="J184" i="9"/>
  <c r="N184" i="9"/>
  <c r="I186" i="9"/>
  <c r="J185" i="9" a="1"/>
  <c r="O184" i="9" l="1"/>
  <c r="R184" i="9" s="1"/>
  <c r="I187" i="9"/>
  <c r="L185" i="9"/>
  <c r="M185" i="9"/>
  <c r="J185" i="9"/>
  <c r="K185" i="9"/>
  <c r="N185" i="9"/>
  <c r="J186" i="9" a="1"/>
  <c r="O185" i="9" l="1"/>
  <c r="R185" i="9" s="1"/>
  <c r="K186" i="9"/>
  <c r="N186" i="9"/>
  <c r="L186" i="9"/>
  <c r="J186" i="9"/>
  <c r="M186" i="9"/>
  <c r="I188" i="9"/>
  <c r="J187" i="9" a="1"/>
  <c r="O186" i="9" l="1"/>
  <c r="R186" i="9" s="1"/>
  <c r="I189" i="9"/>
  <c r="L187" i="9"/>
  <c r="M187" i="9"/>
  <c r="J187" i="9"/>
  <c r="N187" i="9"/>
  <c r="K187" i="9"/>
  <c r="J188" i="9" a="1"/>
  <c r="O187" i="9" l="1"/>
  <c r="P187" i="9" s="1"/>
  <c r="L188" i="9"/>
  <c r="M188" i="9"/>
  <c r="N188" i="9"/>
  <c r="J188" i="9"/>
  <c r="K188" i="9"/>
  <c r="I190" i="9"/>
  <c r="J189" i="9" a="1"/>
  <c r="R187" i="9" l="1"/>
  <c r="O188" i="9"/>
  <c r="R188" i="9" s="1"/>
  <c r="N189" i="9"/>
  <c r="L189" i="9"/>
  <c r="M189" i="9"/>
  <c r="J189" i="9"/>
  <c r="K189" i="9"/>
  <c r="I191" i="9"/>
  <c r="Q182" i="9"/>
  <c r="S182" i="9" s="1"/>
  <c r="T182" i="9" s="1"/>
  <c r="U182" i="9" s="1"/>
  <c r="Q187" i="9"/>
  <c r="Q190" i="9"/>
  <c r="Q186" i="9"/>
  <c r="S186" i="9" s="1"/>
  <c r="T186" i="9" s="1"/>
  <c r="U186" i="9" s="1"/>
  <c r="Q189" i="9"/>
  <c r="Q185" i="9"/>
  <c r="S185" i="9" s="1"/>
  <c r="T185" i="9" s="1"/>
  <c r="U185" i="9" s="1"/>
  <c r="Q184" i="9"/>
  <c r="S184" i="9" s="1"/>
  <c r="T184" i="9" s="1"/>
  <c r="U184" i="9" s="1"/>
  <c r="Q188" i="9"/>
  <c r="Q183" i="9"/>
  <c r="S183" i="9" s="1"/>
  <c r="T183" i="9" s="1"/>
  <c r="U183" i="9" s="1"/>
  <c r="J190" i="9" a="1"/>
  <c r="S188" i="9" l="1"/>
  <c r="T188" i="9" s="1"/>
  <c r="U188" i="9" s="1"/>
  <c r="S187" i="9"/>
  <c r="T187" i="9" s="1"/>
  <c r="U187" i="9" s="1"/>
  <c r="O189" i="9"/>
  <c r="R189" i="9" s="1"/>
  <c r="S189" i="9" s="1"/>
  <c r="T189" i="9" s="1"/>
  <c r="U189" i="9" s="1"/>
  <c r="I192" i="9"/>
  <c r="N190" i="9"/>
  <c r="L190" i="9"/>
  <c r="J190" i="9"/>
  <c r="K190" i="9"/>
  <c r="M190" i="9"/>
  <c r="J191" i="9" a="1"/>
  <c r="O190" i="9" l="1"/>
  <c r="R190" i="9" s="1"/>
  <c r="S190" i="9" s="1"/>
  <c r="T190" i="9" s="1"/>
  <c r="U190" i="9" s="1"/>
  <c r="K191" i="9"/>
  <c r="J191" i="9"/>
  <c r="L191" i="9"/>
  <c r="M191" i="9"/>
  <c r="N191" i="9"/>
  <c r="I193" i="9"/>
  <c r="J192" i="9" a="1"/>
  <c r="O191" i="9" l="1"/>
  <c r="R191" i="9" s="1"/>
  <c r="I194" i="9"/>
  <c r="N192" i="9"/>
  <c r="J192" i="9"/>
  <c r="L192" i="9"/>
  <c r="K192" i="9"/>
  <c r="M192" i="9"/>
  <c r="J193" i="9" a="1"/>
  <c r="O192" i="9" l="1"/>
  <c r="R192" i="9" s="1"/>
  <c r="L193" i="9"/>
  <c r="M193" i="9"/>
  <c r="J193" i="9"/>
  <c r="K193" i="9"/>
  <c r="N193" i="9"/>
  <c r="I195" i="9"/>
  <c r="J194" i="9" a="1"/>
  <c r="O193" i="9" l="1"/>
  <c r="R193" i="9" s="1"/>
  <c r="I196" i="9"/>
  <c r="N194" i="9"/>
  <c r="L194" i="9"/>
  <c r="J194" i="9"/>
  <c r="M194" i="9"/>
  <c r="K194" i="9"/>
  <c r="J195" i="9" a="1"/>
  <c r="O194" i="9" l="1"/>
  <c r="R194" i="9" s="1"/>
  <c r="K195" i="9"/>
  <c r="L195" i="9"/>
  <c r="J195" i="9"/>
  <c r="M195" i="9"/>
  <c r="N195" i="9"/>
  <c r="I197" i="9"/>
  <c r="J196" i="9" a="1"/>
  <c r="O195" i="9" l="1"/>
  <c r="R195" i="9" s="1"/>
  <c r="I198" i="9"/>
  <c r="M196" i="9"/>
  <c r="K196" i="9"/>
  <c r="N196" i="9"/>
  <c r="L196" i="9"/>
  <c r="J196" i="9"/>
  <c r="J197" i="9" a="1"/>
  <c r="O196" i="9" l="1"/>
  <c r="P196" i="9" s="1"/>
  <c r="K197" i="9"/>
  <c r="N197" i="9"/>
  <c r="J197" i="9"/>
  <c r="M197" i="9"/>
  <c r="L197" i="9"/>
  <c r="I199" i="9"/>
  <c r="J198" i="9" a="1"/>
  <c r="R196" i="9" l="1"/>
  <c r="O197" i="9"/>
  <c r="R197" i="9" s="1"/>
  <c r="L198" i="9"/>
  <c r="K198" i="9"/>
  <c r="N198" i="9"/>
  <c r="M198" i="9"/>
  <c r="J198" i="9"/>
  <c r="I200" i="9"/>
  <c r="Q199" i="9"/>
  <c r="Q195" i="9"/>
  <c r="S195" i="9" s="1"/>
  <c r="T195" i="9" s="1"/>
  <c r="U195" i="9" s="1"/>
  <c r="Q197" i="9"/>
  <c r="Q191" i="9"/>
  <c r="S191" i="9" s="1"/>
  <c r="T191" i="9" s="1"/>
  <c r="U191" i="9" s="1"/>
  <c r="Q196" i="9"/>
  <c r="S196" i="9" s="1"/>
  <c r="T196" i="9" s="1"/>
  <c r="U196" i="9" s="1"/>
  <c r="Q193" i="9"/>
  <c r="S193" i="9" s="1"/>
  <c r="T193" i="9" s="1"/>
  <c r="U193" i="9" s="1"/>
  <c r="Q192" i="9"/>
  <c r="S192" i="9" s="1"/>
  <c r="T192" i="9" s="1"/>
  <c r="U192" i="9" s="1"/>
  <c r="Q194" i="9"/>
  <c r="S194" i="9" s="1"/>
  <c r="T194" i="9" s="1"/>
  <c r="U194" i="9" s="1"/>
  <c r="Q198" i="9"/>
  <c r="J199" i="9" a="1"/>
  <c r="S197" i="9" l="1"/>
  <c r="T197" i="9" s="1"/>
  <c r="U197" i="9" s="1"/>
  <c r="O198" i="9"/>
  <c r="R198" i="9" s="1"/>
  <c r="S198" i="9" s="1"/>
  <c r="T198" i="9" s="1"/>
  <c r="U198" i="9" s="1"/>
  <c r="I201" i="9"/>
  <c r="L199" i="9"/>
  <c r="K199" i="9"/>
  <c r="M199" i="9"/>
  <c r="N199" i="9"/>
  <c r="J199" i="9"/>
  <c r="J200" i="9" a="1"/>
  <c r="O199" i="9" l="1"/>
  <c r="R199" i="9" s="1"/>
  <c r="S199" i="9" s="1"/>
  <c r="T199" i="9" s="1"/>
  <c r="U199" i="9" s="1"/>
  <c r="L200" i="9"/>
  <c r="J200" i="9"/>
  <c r="N200" i="9"/>
  <c r="K200" i="9"/>
  <c r="M200" i="9"/>
  <c r="I202" i="9"/>
  <c r="J201" i="9" a="1"/>
  <c r="O200" i="9" l="1"/>
  <c r="R200" i="9" s="1"/>
  <c r="I203" i="9"/>
  <c r="J201" i="9"/>
  <c r="N201" i="9"/>
  <c r="K201" i="9"/>
  <c r="L201" i="9"/>
  <c r="M201" i="9"/>
  <c r="J202" i="9" a="1"/>
  <c r="O201" i="9" l="1"/>
  <c r="R201" i="9" s="1"/>
  <c r="M202" i="9"/>
  <c r="J202" i="9"/>
  <c r="K202" i="9"/>
  <c r="L202" i="9"/>
  <c r="N202" i="9"/>
  <c r="I204" i="9"/>
  <c r="J203" i="9" a="1"/>
  <c r="O202" i="9" l="1"/>
  <c r="R202" i="9" s="1"/>
  <c r="I205" i="9"/>
  <c r="J203" i="9"/>
  <c r="L203" i="9"/>
  <c r="K203" i="9"/>
  <c r="N203" i="9"/>
  <c r="M203" i="9"/>
  <c r="J204" i="9" a="1"/>
  <c r="O203" i="9" l="1"/>
  <c r="R203" i="9" s="1"/>
  <c r="N204" i="9"/>
  <c r="K204" i="9"/>
  <c r="L204" i="9"/>
  <c r="J204" i="9"/>
  <c r="M204" i="9"/>
  <c r="I206" i="9"/>
  <c r="J205" i="9" a="1"/>
  <c r="O204" i="9" l="1"/>
  <c r="R204" i="9" s="1"/>
  <c r="I207" i="9"/>
  <c r="N205" i="9"/>
  <c r="K205" i="9"/>
  <c r="L205" i="9"/>
  <c r="M205" i="9"/>
  <c r="J205" i="9"/>
  <c r="J206" i="9" a="1"/>
  <c r="O205" i="9" l="1"/>
  <c r="P205" i="9" s="1"/>
  <c r="K206" i="9"/>
  <c r="N206" i="9"/>
  <c r="M206" i="9"/>
  <c r="J206" i="9"/>
  <c r="L206" i="9"/>
  <c r="I208" i="9"/>
  <c r="J207" i="9" a="1"/>
  <c r="R205" i="9" l="1"/>
  <c r="O206" i="9"/>
  <c r="R206" i="9" s="1"/>
  <c r="I209" i="9"/>
  <c r="J207" i="9"/>
  <c r="N207" i="9"/>
  <c r="L207" i="9"/>
  <c r="M207" i="9"/>
  <c r="K207" i="9"/>
  <c r="Q201" i="9"/>
  <c r="S201" i="9" s="1"/>
  <c r="T201" i="9" s="1"/>
  <c r="U201" i="9" s="1"/>
  <c r="Q207" i="9"/>
  <c r="Q204" i="9"/>
  <c r="S204" i="9" s="1"/>
  <c r="T204" i="9" s="1"/>
  <c r="U204" i="9" s="1"/>
  <c r="Q208" i="9"/>
  <c r="Q205" i="9"/>
  <c r="S205" i="9" s="1"/>
  <c r="T205" i="9" s="1"/>
  <c r="U205" i="9" s="1"/>
  <c r="Q200" i="9"/>
  <c r="S200" i="9" s="1"/>
  <c r="T200" i="9" s="1"/>
  <c r="U200" i="9" s="1"/>
  <c r="Q202" i="9"/>
  <c r="S202" i="9" s="1"/>
  <c r="T202" i="9" s="1"/>
  <c r="U202" i="9" s="1"/>
  <c r="Q206" i="9"/>
  <c r="Q203" i="9"/>
  <c r="S203" i="9" s="1"/>
  <c r="T203" i="9" s="1"/>
  <c r="U203" i="9" s="1"/>
  <c r="J208" i="9" a="1"/>
  <c r="S206" i="9" l="1"/>
  <c r="T206" i="9" s="1"/>
  <c r="U206" i="9" s="1"/>
  <c r="O207" i="9"/>
  <c r="R207" i="9" s="1"/>
  <c r="S207" i="9" s="1"/>
  <c r="T207" i="9" s="1"/>
  <c r="U207" i="9" s="1"/>
  <c r="N208" i="9"/>
  <c r="M208" i="9"/>
  <c r="J208" i="9"/>
  <c r="L208" i="9"/>
  <c r="K208" i="9"/>
  <c r="I210" i="9"/>
  <c r="J209" i="9" a="1"/>
  <c r="O208" i="9" l="1"/>
  <c r="R208" i="9" s="1"/>
  <c r="S208" i="9" s="1"/>
  <c r="T208" i="9" s="1"/>
  <c r="U208" i="9" s="1"/>
  <c r="N209" i="9"/>
  <c r="M209" i="9"/>
  <c r="L209" i="9"/>
  <c r="K209" i="9"/>
  <c r="J209" i="9"/>
  <c r="I211" i="9"/>
  <c r="J210" i="9" a="1"/>
  <c r="O209" i="9" l="1"/>
  <c r="R209" i="9" s="1"/>
  <c r="I212" i="9"/>
  <c r="J210" i="9"/>
  <c r="K210" i="9"/>
  <c r="N210" i="9"/>
  <c r="L210" i="9"/>
  <c r="M210" i="9"/>
  <c r="J211" i="9" a="1"/>
  <c r="O210" i="9" l="1"/>
  <c r="R210" i="9" s="1"/>
  <c r="L211" i="9"/>
  <c r="M211" i="9"/>
  <c r="N211" i="9"/>
  <c r="K211" i="9"/>
  <c r="J211" i="9"/>
  <c r="I213" i="9"/>
  <c r="J212" i="9" a="1"/>
  <c r="O211" i="9" l="1"/>
  <c r="R211" i="9" s="1"/>
  <c r="I214" i="9"/>
  <c r="J212" i="9"/>
  <c r="L212" i="9"/>
  <c r="N212" i="9"/>
  <c r="K212" i="9"/>
  <c r="M212" i="9"/>
  <c r="J213" i="9" a="1"/>
  <c r="O212" i="9" l="1"/>
  <c r="R212" i="9" s="1"/>
  <c r="N213" i="9"/>
  <c r="J213" i="9"/>
  <c r="M213" i="9"/>
  <c r="L213" i="9"/>
  <c r="K213" i="9"/>
  <c r="I215" i="9"/>
  <c r="J214" i="9" a="1"/>
  <c r="O213" i="9" l="1"/>
  <c r="R213" i="9" s="1"/>
  <c r="I216" i="9"/>
  <c r="N214" i="9"/>
  <c r="K214" i="9"/>
  <c r="L214" i="9"/>
  <c r="J214" i="9"/>
  <c r="M214" i="9"/>
  <c r="J215" i="9" a="1"/>
  <c r="O214" i="9" l="1"/>
  <c r="P214" i="9" s="1"/>
  <c r="K215" i="9"/>
  <c r="M215" i="9"/>
  <c r="N215" i="9"/>
  <c r="J215" i="9"/>
  <c r="L215" i="9"/>
  <c r="I217" i="9"/>
  <c r="J216" i="9" a="1"/>
  <c r="R214" i="9" l="1"/>
  <c r="O215" i="9"/>
  <c r="R215" i="9" s="1"/>
  <c r="I218" i="9"/>
  <c r="K216" i="9"/>
  <c r="N216" i="9"/>
  <c r="L216" i="9"/>
  <c r="J216" i="9"/>
  <c r="M216" i="9"/>
  <c r="Q213" i="9"/>
  <c r="S213" i="9" s="1"/>
  <c r="T213" i="9" s="1"/>
  <c r="U213" i="9" s="1"/>
  <c r="Q217" i="9"/>
  <c r="Q211" i="9"/>
  <c r="S211" i="9" s="1"/>
  <c r="T211" i="9" s="1"/>
  <c r="U211" i="9" s="1"/>
  <c r="Q210" i="9"/>
  <c r="S210" i="9" s="1"/>
  <c r="T210" i="9" s="1"/>
  <c r="U210" i="9" s="1"/>
  <c r="Q216" i="9"/>
  <c r="Q209" i="9"/>
  <c r="S209" i="9" s="1"/>
  <c r="T209" i="9" s="1"/>
  <c r="U209" i="9" s="1"/>
  <c r="Q214" i="9"/>
  <c r="S214" i="9" s="1"/>
  <c r="T214" i="9" s="1"/>
  <c r="U214" i="9" s="1"/>
  <c r="Q215" i="9"/>
  <c r="S215" i="9" s="1"/>
  <c r="T215" i="9" s="1"/>
  <c r="U215" i="9" s="1"/>
  <c r="Q212" i="9"/>
  <c r="S212" i="9" s="1"/>
  <c r="T212" i="9" s="1"/>
  <c r="U212" i="9" s="1"/>
  <c r="J217" i="9" a="1"/>
  <c r="O216" i="9" l="1"/>
  <c r="R216" i="9" s="1"/>
  <c r="S216" i="9" s="1"/>
  <c r="T216" i="9" s="1"/>
  <c r="U216" i="9" s="1"/>
  <c r="K217" i="9"/>
  <c r="J217" i="9"/>
  <c r="L217" i="9"/>
  <c r="M217" i="9"/>
  <c r="N217" i="9"/>
  <c r="I219" i="9"/>
  <c r="J218" i="9" a="1"/>
  <c r="O217" i="9" l="1"/>
  <c r="R217" i="9" s="1"/>
  <c r="S217" i="9" s="1"/>
  <c r="T217" i="9" s="1"/>
  <c r="U217" i="9" s="1"/>
  <c r="K218" i="9"/>
  <c r="M218" i="9"/>
  <c r="J218" i="9"/>
  <c r="L218" i="9"/>
  <c r="N218" i="9"/>
  <c r="I220" i="9"/>
  <c r="J219" i="9" a="1"/>
  <c r="O218" i="9" l="1"/>
  <c r="R218" i="9" s="1"/>
  <c r="I221" i="9"/>
  <c r="M219" i="9"/>
  <c r="J219" i="9"/>
  <c r="K219" i="9"/>
  <c r="N219" i="9"/>
  <c r="L219" i="9"/>
  <c r="J220" i="9" a="1"/>
  <c r="O219" i="9" l="1"/>
  <c r="R219" i="9" s="1"/>
  <c r="N220" i="9"/>
  <c r="J220" i="9"/>
  <c r="M220" i="9"/>
  <c r="K220" i="9"/>
  <c r="L220" i="9"/>
  <c r="I222" i="9"/>
  <c r="J221" i="9" a="1"/>
  <c r="O220" i="9" l="1"/>
  <c r="R220" i="9" s="1"/>
  <c r="I223" i="9"/>
  <c r="J221" i="9"/>
  <c r="M221" i="9"/>
  <c r="N221" i="9"/>
  <c r="K221" i="9"/>
  <c r="L221" i="9"/>
  <c r="J222" i="9" a="1"/>
  <c r="O221" i="9" l="1"/>
  <c r="R221" i="9" s="1"/>
  <c r="M222" i="9"/>
  <c r="N222" i="9"/>
  <c r="L222" i="9"/>
  <c r="J222" i="9"/>
  <c r="K222" i="9"/>
  <c r="I224" i="9"/>
  <c r="J223" i="9" a="1"/>
  <c r="O222" i="9" l="1"/>
  <c r="R222" i="9" s="1"/>
  <c r="I225" i="9"/>
  <c r="M223" i="9"/>
  <c r="N223" i="9"/>
  <c r="K223" i="9"/>
  <c r="L223" i="9"/>
  <c r="J223" i="9"/>
  <c r="J224" i="9" a="1"/>
  <c r="O223" i="9" l="1"/>
  <c r="P223" i="9" s="1"/>
  <c r="J224" i="9"/>
  <c r="N224" i="9"/>
  <c r="K224" i="9"/>
  <c r="M224" i="9"/>
  <c r="L224" i="9"/>
  <c r="I226" i="9"/>
  <c r="J225" i="9" a="1"/>
  <c r="R223" i="9" l="1"/>
  <c r="O224" i="9"/>
  <c r="R224" i="9" s="1"/>
  <c r="K225" i="9"/>
  <c r="M225" i="9"/>
  <c r="N225" i="9"/>
  <c r="L225" i="9"/>
  <c r="J225" i="9"/>
  <c r="I227" i="9"/>
  <c r="Q220" i="9"/>
  <c r="S220" i="9" s="1"/>
  <c r="T220" i="9" s="1"/>
  <c r="U220" i="9" s="1"/>
  <c r="Q224" i="9"/>
  <c r="Q221" i="9"/>
  <c r="S221" i="9" s="1"/>
  <c r="T221" i="9" s="1"/>
  <c r="U221" i="9" s="1"/>
  <c r="Q226" i="9"/>
  <c r="Q222" i="9"/>
  <c r="S222" i="9" s="1"/>
  <c r="T222" i="9" s="1"/>
  <c r="U222" i="9" s="1"/>
  <c r="Q225" i="9"/>
  <c r="Q218" i="9"/>
  <c r="S218" i="9" s="1"/>
  <c r="T218" i="9" s="1"/>
  <c r="U218" i="9" s="1"/>
  <c r="Q219" i="9"/>
  <c r="S219" i="9" s="1"/>
  <c r="T219" i="9" s="1"/>
  <c r="U219" i="9" s="1"/>
  <c r="Q223" i="9"/>
  <c r="S223" i="9" s="1"/>
  <c r="T223" i="9" s="1"/>
  <c r="U223" i="9" s="1"/>
  <c r="J226" i="9" a="1"/>
  <c r="S224" i="9" l="1"/>
  <c r="T224" i="9" s="1"/>
  <c r="U224" i="9" s="1"/>
  <c r="O225" i="9"/>
  <c r="R225" i="9" s="1"/>
  <c r="S225" i="9" s="1"/>
  <c r="T225" i="9" s="1"/>
  <c r="U225" i="9" s="1"/>
  <c r="I228" i="9"/>
  <c r="N226" i="9"/>
  <c r="J226" i="9"/>
  <c r="M226" i="9"/>
  <c r="K226" i="9"/>
  <c r="L226" i="9"/>
  <c r="J227" i="9" a="1"/>
  <c r="O226" i="9" l="1"/>
  <c r="R226" i="9" s="1"/>
  <c r="S226" i="9" s="1"/>
  <c r="T226" i="9" s="1"/>
  <c r="U226" i="9" s="1"/>
  <c r="K227" i="9"/>
  <c r="L227" i="9"/>
  <c r="N227" i="9"/>
  <c r="J227" i="9"/>
  <c r="M227" i="9"/>
  <c r="I229" i="9"/>
  <c r="J228" i="9" a="1"/>
  <c r="O227" i="9" l="1"/>
  <c r="R227" i="9" s="1"/>
  <c r="I230" i="9"/>
  <c r="N228" i="9"/>
  <c r="M228" i="9"/>
  <c r="J228" i="9"/>
  <c r="L228" i="9"/>
  <c r="K228" i="9"/>
  <c r="J229" i="9" a="1"/>
  <c r="O228" i="9" l="1"/>
  <c r="R228" i="9" s="1"/>
  <c r="N229" i="9"/>
  <c r="J229" i="9"/>
  <c r="M229" i="9"/>
  <c r="L229" i="9"/>
  <c r="K229" i="9"/>
  <c r="I231" i="9"/>
  <c r="J230" i="9" a="1"/>
  <c r="O229" i="9" l="1"/>
  <c r="R229" i="9" s="1"/>
  <c r="I232" i="9"/>
  <c r="N230" i="9"/>
  <c r="M230" i="9"/>
  <c r="J230" i="9"/>
  <c r="L230" i="9"/>
  <c r="K230" i="9"/>
  <c r="J231" i="9" a="1"/>
  <c r="O230" i="9" l="1"/>
  <c r="R230" i="9" s="1"/>
  <c r="L231" i="9"/>
  <c r="M231" i="9"/>
  <c r="N231" i="9"/>
  <c r="J231" i="9"/>
  <c r="K231" i="9"/>
  <c r="I233" i="9"/>
  <c r="J232" i="9" a="1"/>
  <c r="O231" i="9" l="1"/>
  <c r="R231" i="9" s="1"/>
  <c r="I234" i="9"/>
  <c r="J232" i="9"/>
  <c r="L232" i="9"/>
  <c r="N232" i="9"/>
  <c r="K232" i="9"/>
  <c r="M232" i="9"/>
  <c r="J233" i="9" a="1"/>
  <c r="O232" i="9" l="1"/>
  <c r="P232" i="9" s="1"/>
  <c r="J233" i="9"/>
  <c r="N233" i="9"/>
  <c r="K233" i="9"/>
  <c r="M233" i="9"/>
  <c r="L233" i="9"/>
  <c r="I235" i="9"/>
  <c r="J234" i="9" a="1"/>
  <c r="R232" i="9" l="1"/>
  <c r="O233" i="9"/>
  <c r="R233" i="9" s="1"/>
  <c r="L234" i="9"/>
  <c r="M234" i="9"/>
  <c r="N234" i="9"/>
  <c r="K234" i="9"/>
  <c r="J234" i="9"/>
  <c r="I236" i="9"/>
  <c r="Q230" i="9"/>
  <c r="S230" i="9" s="1"/>
  <c r="T230" i="9" s="1"/>
  <c r="U230" i="9" s="1"/>
  <c r="Q231" i="9"/>
  <c r="S231" i="9" s="1"/>
  <c r="T231" i="9" s="1"/>
  <c r="U231" i="9" s="1"/>
  <c r="Q228" i="9"/>
  <c r="S228" i="9" s="1"/>
  <c r="T228" i="9" s="1"/>
  <c r="U228" i="9" s="1"/>
  <c r="Q235" i="9"/>
  <c r="Q229" i="9"/>
  <c r="S229" i="9" s="1"/>
  <c r="T229" i="9" s="1"/>
  <c r="U229" i="9" s="1"/>
  <c r="Q234" i="9"/>
  <c r="Q233" i="9"/>
  <c r="S233" i="9" s="1"/>
  <c r="T233" i="9" s="1"/>
  <c r="U233" i="9" s="1"/>
  <c r="Q227" i="9"/>
  <c r="S227" i="9" s="1"/>
  <c r="T227" i="9" s="1"/>
  <c r="U227" i="9" s="1"/>
  <c r="Q232" i="9"/>
  <c r="S232" i="9" s="1"/>
  <c r="T232" i="9" s="1"/>
  <c r="U232" i="9" s="1"/>
  <c r="J235" i="9" a="1"/>
  <c r="O234" i="9" l="1"/>
  <c r="R234" i="9" s="1"/>
  <c r="S234" i="9" s="1"/>
  <c r="T234" i="9" s="1"/>
  <c r="U234" i="9" s="1"/>
  <c r="I237" i="9"/>
  <c r="K235" i="9"/>
  <c r="N235" i="9"/>
  <c r="J235" i="9"/>
  <c r="L235" i="9"/>
  <c r="M235" i="9"/>
  <c r="J236" i="9" a="1"/>
  <c r="O235" i="9" l="1"/>
  <c r="R235" i="9" s="1"/>
  <c r="S235" i="9" s="1"/>
  <c r="T235" i="9" s="1"/>
  <c r="U235" i="9" s="1"/>
  <c r="K236" i="9"/>
  <c r="N236" i="9"/>
  <c r="M236" i="9"/>
  <c r="L236" i="9"/>
  <c r="J236" i="9"/>
  <c r="I238" i="9"/>
  <c r="J237" i="9" a="1"/>
  <c r="O236" i="9" l="1"/>
  <c r="R236" i="9" s="1"/>
  <c r="I239" i="9"/>
  <c r="N237" i="9"/>
  <c r="M237" i="9"/>
  <c r="K237" i="9"/>
  <c r="L237" i="9"/>
  <c r="J237" i="9"/>
  <c r="J238" i="9" a="1"/>
  <c r="O237" i="9" l="1"/>
  <c r="R237" i="9" s="1"/>
  <c r="K238" i="9"/>
  <c r="N238" i="9"/>
  <c r="L238" i="9"/>
  <c r="J238" i="9"/>
  <c r="M238" i="9"/>
  <c r="I240" i="9"/>
  <c r="J239" i="9" a="1"/>
  <c r="O238" i="9" l="1"/>
  <c r="R238" i="9" s="1"/>
  <c r="I241" i="9"/>
  <c r="L239" i="9"/>
  <c r="M239" i="9"/>
  <c r="J239" i="9"/>
  <c r="N239" i="9"/>
  <c r="K239" i="9"/>
  <c r="J240" i="9" a="1"/>
  <c r="O239" i="9" l="1"/>
  <c r="R239" i="9" s="1"/>
  <c r="M240" i="9"/>
  <c r="J240" i="9"/>
  <c r="K240" i="9"/>
  <c r="N240" i="9"/>
  <c r="L240" i="9"/>
  <c r="I242" i="9"/>
  <c r="J241" i="9" a="1"/>
  <c r="O240" i="9" l="1"/>
  <c r="R240" i="9" s="1"/>
  <c r="I243" i="9"/>
  <c r="K241" i="9"/>
  <c r="M241" i="9"/>
  <c r="J241" i="9"/>
  <c r="L241" i="9"/>
  <c r="N241" i="9"/>
  <c r="J242" i="9" a="1"/>
  <c r="O241" i="9" l="1"/>
  <c r="R241" i="9" s="1"/>
  <c r="L242" i="9"/>
  <c r="M242" i="9"/>
  <c r="J242" i="9"/>
  <c r="K242" i="9"/>
  <c r="N242" i="9"/>
  <c r="I244" i="9"/>
  <c r="J243" i="9" a="1"/>
  <c r="O242" i="9" l="1"/>
  <c r="R242" i="9" s="1"/>
  <c r="P241" i="9"/>
  <c r="Q239" i="9" s="1"/>
  <c r="S239" i="9" s="1"/>
  <c r="T239" i="9" s="1"/>
  <c r="U239" i="9" s="1"/>
  <c r="Q244" i="9"/>
  <c r="K243" i="9"/>
  <c r="N243" i="9"/>
  <c r="M243" i="9"/>
  <c r="J243" i="9"/>
  <c r="L243" i="9"/>
  <c r="I245" i="9"/>
  <c r="J244" i="9" a="1"/>
  <c r="Q240" i="9" l="1"/>
  <c r="S240" i="9" s="1"/>
  <c r="T240" i="9" s="1"/>
  <c r="U240" i="9" s="1"/>
  <c r="Q241" i="9"/>
  <c r="S241" i="9" s="1"/>
  <c r="T241" i="9" s="1"/>
  <c r="U241" i="9" s="1"/>
  <c r="Q238" i="9"/>
  <c r="S238" i="9" s="1"/>
  <c r="T238" i="9" s="1"/>
  <c r="U238" i="9" s="1"/>
  <c r="Q237" i="9"/>
  <c r="S237" i="9" s="1"/>
  <c r="T237" i="9" s="1"/>
  <c r="U237" i="9" s="1"/>
  <c r="Q243" i="9"/>
  <c r="Q242" i="9"/>
  <c r="S242" i="9" s="1"/>
  <c r="T242" i="9" s="1"/>
  <c r="U242" i="9" s="1"/>
  <c r="Q236" i="9"/>
  <c r="S236" i="9" s="1"/>
  <c r="T236" i="9" s="1"/>
  <c r="U236" i="9" s="1"/>
  <c r="O243" i="9"/>
  <c r="R243" i="9" s="1"/>
  <c r="M244" i="9"/>
  <c r="N244" i="9"/>
  <c r="K244" i="9"/>
  <c r="L244" i="9"/>
  <c r="J244" i="9"/>
  <c r="I246" i="9"/>
  <c r="J245" i="9" a="1"/>
  <c r="O244" i="9" l="1"/>
  <c r="R244" i="9" s="1"/>
  <c r="S244" i="9" s="1"/>
  <c r="T244" i="9" s="1"/>
  <c r="U244" i="9" s="1"/>
  <c r="S243" i="9"/>
  <c r="T243" i="9" s="1"/>
  <c r="U243" i="9" s="1"/>
  <c r="I247" i="9"/>
  <c r="M245" i="9"/>
  <c r="N245" i="9"/>
  <c r="K245" i="9"/>
  <c r="J245" i="9"/>
  <c r="L245" i="9"/>
  <c r="J246" i="9" a="1"/>
  <c r="O245" i="9" l="1"/>
  <c r="R245" i="9" s="1"/>
  <c r="L246" i="9"/>
  <c r="K246" i="9"/>
  <c r="M246" i="9"/>
  <c r="N246" i="9"/>
  <c r="J246" i="9"/>
  <c r="I248" i="9"/>
  <c r="J247" i="9" a="1"/>
  <c r="O246" i="9" l="1"/>
  <c r="R246" i="9" s="1"/>
  <c r="I249" i="9"/>
  <c r="L247" i="9"/>
  <c r="K247" i="9"/>
  <c r="J247" i="9"/>
  <c r="M247" i="9"/>
  <c r="N247" i="9"/>
  <c r="J248" i="9" a="1"/>
  <c r="O247" i="9" l="1"/>
  <c r="R247" i="9" s="1"/>
  <c r="J248" i="9"/>
  <c r="L248" i="9"/>
  <c r="K248" i="9"/>
  <c r="N248" i="9"/>
  <c r="M248" i="9"/>
  <c r="I250" i="9"/>
  <c r="J249" i="9" a="1"/>
  <c r="O248" i="9" l="1"/>
  <c r="R248" i="9" s="1"/>
  <c r="K249" i="9"/>
  <c r="N249" i="9"/>
  <c r="L249" i="9"/>
  <c r="J249" i="9"/>
  <c r="M249" i="9"/>
  <c r="I251" i="9"/>
  <c r="J250" i="9" a="1"/>
  <c r="O249" i="9" l="1"/>
  <c r="R249" i="9" s="1"/>
  <c r="I252" i="9"/>
  <c r="L250" i="9"/>
  <c r="M250" i="9"/>
  <c r="J250" i="9"/>
  <c r="N250" i="9"/>
  <c r="K250" i="9"/>
  <c r="J251" i="9" a="1"/>
  <c r="O250" i="9" l="1"/>
  <c r="R250" i="9" s="1"/>
  <c r="J251" i="9"/>
  <c r="K251" i="9"/>
  <c r="M251" i="9"/>
  <c r="N251" i="9"/>
  <c r="L251" i="9"/>
  <c r="I253" i="9"/>
  <c r="J252" i="9" a="1"/>
  <c r="P250" i="9" l="1"/>
  <c r="Q246" i="9" s="1"/>
  <c r="S246" i="9" s="1"/>
  <c r="T246" i="9" s="1"/>
  <c r="U246" i="9" s="1"/>
  <c r="O251" i="9"/>
  <c r="R251" i="9" s="1"/>
  <c r="K252" i="9"/>
  <c r="N252" i="9"/>
  <c r="L252" i="9"/>
  <c r="J252" i="9"/>
  <c r="M252" i="9"/>
  <c r="Q247" i="9"/>
  <c r="S247" i="9" s="1"/>
  <c r="T247" i="9" s="1"/>
  <c r="U247" i="9" s="1"/>
  <c r="Q249" i="9"/>
  <c r="S249" i="9" s="1"/>
  <c r="T249" i="9" s="1"/>
  <c r="U249" i="9" s="1"/>
  <c r="I254" i="9"/>
  <c r="J253" i="9" a="1"/>
  <c r="Q251" i="9" l="1"/>
  <c r="S251" i="9" s="1"/>
  <c r="T251" i="9" s="1"/>
  <c r="U251" i="9" s="1"/>
  <c r="Q253" i="9"/>
  <c r="Q248" i="9"/>
  <c r="S248" i="9" s="1"/>
  <c r="T248" i="9" s="1"/>
  <c r="U248" i="9" s="1"/>
  <c r="Q252" i="9"/>
  <c r="Q245" i="9"/>
  <c r="S245" i="9" s="1"/>
  <c r="T245" i="9" s="1"/>
  <c r="U245" i="9" s="1"/>
  <c r="Q250" i="9"/>
  <c r="S250" i="9" s="1"/>
  <c r="T250" i="9" s="1"/>
  <c r="U250" i="9" s="1"/>
  <c r="O252" i="9"/>
  <c r="R252" i="9" s="1"/>
  <c r="K253" i="9"/>
  <c r="N253" i="9"/>
  <c r="M253" i="9"/>
  <c r="L253" i="9"/>
  <c r="J253" i="9"/>
  <c r="I255" i="9"/>
  <c r="J254" i="9" a="1"/>
  <c r="S252" i="9" l="1"/>
  <c r="T252" i="9" s="1"/>
  <c r="U252" i="9" s="1"/>
  <c r="O253" i="9"/>
  <c r="R253" i="9" s="1"/>
  <c r="S253" i="9" s="1"/>
  <c r="T253" i="9" s="1"/>
  <c r="U253" i="9" s="1"/>
  <c r="I256" i="9"/>
  <c r="J254" i="9"/>
  <c r="M254" i="9"/>
  <c r="K254" i="9"/>
  <c r="L254" i="9"/>
  <c r="N254" i="9"/>
  <c r="J255" i="9" a="1"/>
  <c r="O254" i="9" l="1"/>
  <c r="R254" i="9" s="1"/>
  <c r="L255" i="9"/>
  <c r="J255" i="9"/>
  <c r="M255" i="9"/>
  <c r="K255" i="9"/>
  <c r="N255" i="9"/>
  <c r="I257" i="9"/>
  <c r="J256" i="9" a="1"/>
  <c r="O255" i="9" l="1"/>
  <c r="R255" i="9" s="1"/>
  <c r="I258" i="9"/>
  <c r="K256" i="9"/>
  <c r="N256" i="9"/>
  <c r="J256" i="9"/>
  <c r="L256" i="9"/>
  <c r="M256" i="9"/>
  <c r="J257" i="9" a="1"/>
  <c r="O256" i="9" l="1"/>
  <c r="R256" i="9" s="1"/>
  <c r="K257" i="9"/>
  <c r="M257" i="9"/>
  <c r="N257" i="9"/>
  <c r="J257" i="9"/>
  <c r="L257" i="9"/>
  <c r="I259" i="9"/>
  <c r="J258" i="9" a="1"/>
  <c r="O257" i="9" l="1"/>
  <c r="R257" i="9" s="1"/>
  <c r="I260" i="9"/>
  <c r="M258" i="9"/>
  <c r="J258" i="9"/>
  <c r="K258" i="9"/>
  <c r="L258" i="9"/>
  <c r="N258" i="9"/>
  <c r="J259" i="9" a="1"/>
  <c r="O258" i="9" l="1"/>
  <c r="R258" i="9" s="1"/>
  <c r="K259" i="9"/>
  <c r="L259" i="9"/>
  <c r="M259" i="9"/>
  <c r="N259" i="9"/>
  <c r="J259" i="9"/>
  <c r="I261" i="9"/>
  <c r="J260" i="9" a="1"/>
  <c r="O259" i="9" l="1"/>
  <c r="P259" i="9" s="1"/>
  <c r="I262" i="9"/>
  <c r="J260" i="9"/>
  <c r="L260" i="9"/>
  <c r="K260" i="9"/>
  <c r="N260" i="9"/>
  <c r="M260" i="9"/>
  <c r="J261" i="9" a="1"/>
  <c r="O260" i="9" l="1"/>
  <c r="R260" i="9" s="1"/>
  <c r="R259" i="9"/>
  <c r="K261" i="9"/>
  <c r="N261" i="9"/>
  <c r="L261" i="9"/>
  <c r="J261" i="9"/>
  <c r="M261" i="9"/>
  <c r="I263" i="9"/>
  <c r="Q262" i="9"/>
  <c r="Q260" i="9"/>
  <c r="Q254" i="9"/>
  <c r="S254" i="9" s="1"/>
  <c r="T254" i="9" s="1"/>
  <c r="U254" i="9" s="1"/>
  <c r="Q258" i="9"/>
  <c r="S258" i="9" s="1"/>
  <c r="T258" i="9" s="1"/>
  <c r="U258" i="9" s="1"/>
  <c r="Q261" i="9"/>
  <c r="Q257" i="9"/>
  <c r="S257" i="9" s="1"/>
  <c r="T257" i="9" s="1"/>
  <c r="U257" i="9" s="1"/>
  <c r="Q256" i="9"/>
  <c r="S256" i="9" s="1"/>
  <c r="T256" i="9" s="1"/>
  <c r="U256" i="9" s="1"/>
  <c r="Q255" i="9"/>
  <c r="S255" i="9" s="1"/>
  <c r="T255" i="9" s="1"/>
  <c r="U255" i="9" s="1"/>
  <c r="Q259" i="9"/>
  <c r="S259" i="9" s="1"/>
  <c r="T259" i="9" s="1"/>
  <c r="U259" i="9" s="1"/>
  <c r="J262" i="9" a="1"/>
  <c r="S260" i="9" l="1"/>
  <c r="T260" i="9" s="1"/>
  <c r="U260" i="9" s="1"/>
  <c r="O261" i="9"/>
  <c r="R261" i="9" s="1"/>
  <c r="S261" i="9" s="1"/>
  <c r="T261" i="9" s="1"/>
  <c r="U261" i="9" s="1"/>
  <c r="I264" i="9"/>
  <c r="M262" i="9"/>
  <c r="K262" i="9"/>
  <c r="J262" i="9"/>
  <c r="N262" i="9"/>
  <c r="L262" i="9"/>
  <c r="J263" i="9" a="1"/>
  <c r="O262" i="9" l="1"/>
  <c r="R262" i="9" s="1"/>
  <c r="S262" i="9" s="1"/>
  <c r="T262" i="9" s="1"/>
  <c r="U262" i="9" s="1"/>
  <c r="J263" i="9"/>
  <c r="K263" i="9"/>
  <c r="M263" i="9"/>
  <c r="N263" i="9"/>
  <c r="L263" i="9"/>
  <c r="I265" i="9"/>
  <c r="J264" i="9" a="1"/>
  <c r="O263" i="9" l="1"/>
  <c r="R263" i="9" s="1"/>
  <c r="K264" i="9"/>
  <c r="N264" i="9"/>
  <c r="L264" i="9"/>
  <c r="J264" i="9"/>
  <c r="M264" i="9"/>
  <c r="I266" i="9"/>
  <c r="J265" i="9" a="1"/>
  <c r="O264" i="9" l="1"/>
  <c r="R264" i="9" s="1"/>
  <c r="I267" i="9"/>
  <c r="K265" i="9"/>
  <c r="N265" i="9"/>
  <c r="M265" i="9"/>
  <c r="J265" i="9"/>
  <c r="L265" i="9"/>
  <c r="J266" i="9" a="1"/>
  <c r="O265" i="9" l="1"/>
  <c r="R265" i="9" s="1"/>
  <c r="L266" i="9"/>
  <c r="M266" i="9"/>
  <c r="J266" i="9"/>
  <c r="K266" i="9"/>
  <c r="N266" i="9"/>
  <c r="I268" i="9"/>
  <c r="J267" i="9" a="1"/>
  <c r="O266" i="9" l="1"/>
  <c r="R266" i="9" s="1"/>
  <c r="I269" i="9"/>
  <c r="M267" i="9"/>
  <c r="L267" i="9"/>
  <c r="N267" i="9"/>
  <c r="J267" i="9"/>
  <c r="K267" i="9"/>
  <c r="J268" i="9" a="1"/>
  <c r="O267" i="9" l="1"/>
  <c r="R267" i="9" s="1"/>
  <c r="L268" i="9"/>
  <c r="K268" i="9"/>
  <c r="M268" i="9"/>
  <c r="N268" i="9"/>
  <c r="J268" i="9"/>
  <c r="I270" i="9"/>
  <c r="J269" i="9" a="1"/>
  <c r="O268" i="9" l="1"/>
  <c r="P268" i="9" s="1"/>
  <c r="I271" i="9"/>
  <c r="K269" i="9"/>
  <c r="J269" i="9"/>
  <c r="M269" i="9"/>
  <c r="N269" i="9"/>
  <c r="L269" i="9"/>
  <c r="J270" i="9" a="1"/>
  <c r="R268" i="9" l="1"/>
  <c r="O269" i="9"/>
  <c r="R269" i="9" s="1"/>
  <c r="N270" i="9"/>
  <c r="J270" i="9"/>
  <c r="K270" i="9"/>
  <c r="L270" i="9"/>
  <c r="M270" i="9"/>
  <c r="Q270" i="9"/>
  <c r="Q267" i="9"/>
  <c r="S267" i="9" s="1"/>
  <c r="T267" i="9" s="1"/>
  <c r="U267" i="9" s="1"/>
  <c r="Q271" i="9"/>
  <c r="Q268" i="9"/>
  <c r="S268" i="9" s="1"/>
  <c r="T268" i="9" s="1"/>
  <c r="U268" i="9" s="1"/>
  <c r="Q264" i="9"/>
  <c r="S264" i="9" s="1"/>
  <c r="T264" i="9" s="1"/>
  <c r="U264" i="9" s="1"/>
  <c r="Q269" i="9"/>
  <c r="S269" i="9" s="1"/>
  <c r="T269" i="9" s="1"/>
  <c r="U269" i="9" s="1"/>
  <c r="Q265" i="9"/>
  <c r="S265" i="9" s="1"/>
  <c r="T265" i="9" s="1"/>
  <c r="U265" i="9" s="1"/>
  <c r="Q263" i="9"/>
  <c r="S263" i="9" s="1"/>
  <c r="T263" i="9" s="1"/>
  <c r="U263" i="9" s="1"/>
  <c r="Q266" i="9"/>
  <c r="S266" i="9" s="1"/>
  <c r="T266" i="9" s="1"/>
  <c r="U266" i="9" s="1"/>
  <c r="I272" i="9"/>
  <c r="J271" i="9" a="1"/>
  <c r="O270" i="9" l="1"/>
  <c r="R270" i="9" s="1"/>
  <c r="S270" i="9" s="1"/>
  <c r="T270" i="9" s="1"/>
  <c r="U270" i="9" s="1"/>
  <c r="N271" i="9"/>
  <c r="J271" i="9"/>
  <c r="K271" i="9"/>
  <c r="L271" i="9"/>
  <c r="M271" i="9"/>
  <c r="I273" i="9"/>
  <c r="J272" i="9" a="1"/>
  <c r="O271" i="9" l="1"/>
  <c r="R271" i="9" s="1"/>
  <c r="S271" i="9" s="1"/>
  <c r="T271" i="9" s="1"/>
  <c r="U271" i="9" s="1"/>
  <c r="I274" i="9"/>
  <c r="K272" i="9"/>
  <c r="J272" i="9"/>
  <c r="N272" i="9"/>
  <c r="L272" i="9"/>
  <c r="M272" i="9"/>
  <c r="J273" i="9" a="1"/>
  <c r="O272" i="9" l="1"/>
  <c r="R272" i="9" s="1"/>
  <c r="K273" i="9"/>
  <c r="J273" i="9"/>
  <c r="L273" i="9"/>
  <c r="N273" i="9"/>
  <c r="M273" i="9"/>
  <c r="I275" i="9"/>
  <c r="J274" i="9" a="1"/>
  <c r="O273" i="9" l="1"/>
  <c r="R273" i="9" s="1"/>
  <c r="I276" i="9"/>
  <c r="L274" i="9"/>
  <c r="K274" i="9"/>
  <c r="M274" i="9"/>
  <c r="J274" i="9"/>
  <c r="N274" i="9"/>
  <c r="J275" i="9" a="1"/>
  <c r="O274" i="9" l="1"/>
  <c r="R274" i="9" s="1"/>
  <c r="M275" i="9"/>
  <c r="J275" i="9"/>
  <c r="K275" i="9"/>
  <c r="N275" i="9"/>
  <c r="L275" i="9"/>
  <c r="I277" i="9"/>
  <c r="J276" i="9" a="1"/>
  <c r="O275" i="9" l="1"/>
  <c r="R275" i="9" s="1"/>
  <c r="I278" i="9"/>
  <c r="N276" i="9"/>
  <c r="L276" i="9"/>
  <c r="J276" i="9"/>
  <c r="K276" i="9"/>
  <c r="M276" i="9"/>
  <c r="J277" i="9" a="1"/>
  <c r="O276" i="9" l="1"/>
  <c r="R276" i="9" s="1"/>
  <c r="L277" i="9"/>
  <c r="N277" i="9"/>
  <c r="J277" i="9"/>
  <c r="M277" i="9"/>
  <c r="K277" i="9"/>
  <c r="I279" i="9"/>
  <c r="J278" i="9" a="1"/>
  <c r="O277" i="9" l="1"/>
  <c r="R277" i="9" s="1"/>
  <c r="I280" i="9"/>
  <c r="M278" i="9"/>
  <c r="J278" i="9"/>
  <c r="N278" i="9"/>
  <c r="L278" i="9"/>
  <c r="K278" i="9"/>
  <c r="J279" i="9" a="1"/>
  <c r="P277" i="9" l="1"/>
  <c r="Q276" i="9" s="1"/>
  <c r="S276" i="9" s="1"/>
  <c r="T276" i="9" s="1"/>
  <c r="U276" i="9" s="1"/>
  <c r="O278" i="9"/>
  <c r="R278" i="9" s="1"/>
  <c r="J279" i="9"/>
  <c r="L279" i="9"/>
  <c r="N279" i="9"/>
  <c r="M279" i="9"/>
  <c r="K279" i="9"/>
  <c r="Q273" i="9"/>
  <c r="S273" i="9" s="1"/>
  <c r="T273" i="9" s="1"/>
  <c r="U273" i="9" s="1"/>
  <c r="Q272" i="9"/>
  <c r="S272" i="9" s="1"/>
  <c r="T272" i="9" s="1"/>
  <c r="U272" i="9" s="1"/>
  <c r="I281" i="9"/>
  <c r="J280" i="9" a="1"/>
  <c r="Q280" i="9" l="1"/>
  <c r="Q279" i="9"/>
  <c r="Q277" i="9"/>
  <c r="S277" i="9" s="1"/>
  <c r="T277" i="9" s="1"/>
  <c r="U277" i="9" s="1"/>
  <c r="Q275" i="9"/>
  <c r="S275" i="9" s="1"/>
  <c r="T275" i="9" s="1"/>
  <c r="U275" i="9" s="1"/>
  <c r="Q278" i="9"/>
  <c r="S278" i="9" s="1"/>
  <c r="T278" i="9" s="1"/>
  <c r="U278" i="9" s="1"/>
  <c r="Q274" i="9"/>
  <c r="S274" i="9" s="1"/>
  <c r="T274" i="9" s="1"/>
  <c r="U274" i="9" s="1"/>
  <c r="O279" i="9"/>
  <c r="R279" i="9" s="1"/>
  <c r="L280" i="9"/>
  <c r="N280" i="9"/>
  <c r="J280" i="9"/>
  <c r="K280" i="9"/>
  <c r="M280" i="9"/>
  <c r="I282" i="9"/>
  <c r="J281" i="9" a="1"/>
  <c r="S279" i="9" l="1"/>
  <c r="T279" i="9" s="1"/>
  <c r="U279" i="9" s="1"/>
  <c r="O280" i="9"/>
  <c r="R280" i="9" s="1"/>
  <c r="S280" i="9" s="1"/>
  <c r="T280" i="9" s="1"/>
  <c r="U280" i="9" s="1"/>
  <c r="L281" i="9"/>
  <c r="N281" i="9"/>
  <c r="M281" i="9"/>
  <c r="J281" i="9"/>
  <c r="K281" i="9"/>
  <c r="I283" i="9"/>
  <c r="J282" i="9" a="1"/>
  <c r="O281" i="9" l="1"/>
  <c r="R281" i="9" s="1"/>
  <c r="I284" i="9"/>
  <c r="N282" i="9"/>
  <c r="J282" i="9"/>
  <c r="M282" i="9"/>
  <c r="L282" i="9"/>
  <c r="K282" i="9"/>
  <c r="J283" i="9" a="1"/>
  <c r="O282" i="9" l="1"/>
  <c r="R282" i="9" s="1"/>
  <c r="L283" i="9"/>
  <c r="N283" i="9"/>
  <c r="J283" i="9"/>
  <c r="K283" i="9"/>
  <c r="M283" i="9"/>
  <c r="I285" i="9"/>
  <c r="J284" i="9" a="1"/>
  <c r="O283" i="9" l="1"/>
  <c r="R283" i="9" s="1"/>
  <c r="I286" i="9"/>
  <c r="L284" i="9"/>
  <c r="M284" i="9"/>
  <c r="K284" i="9"/>
  <c r="N284" i="9"/>
  <c r="J284" i="9"/>
  <c r="J285" i="9" a="1"/>
  <c r="O284" i="9" l="1"/>
  <c r="R284" i="9" s="1"/>
  <c r="J285" i="9"/>
  <c r="N285" i="9"/>
  <c r="L285" i="9"/>
  <c r="M285" i="9"/>
  <c r="K285" i="9"/>
  <c r="I287" i="9"/>
  <c r="J286" i="9" a="1"/>
  <c r="O285" i="9" l="1"/>
  <c r="R285" i="9" s="1"/>
  <c r="K286" i="9"/>
  <c r="L286" i="9"/>
  <c r="M286" i="9"/>
  <c r="N286" i="9"/>
  <c r="J286" i="9"/>
  <c r="I288" i="9"/>
  <c r="J287" i="9" a="1"/>
  <c r="O286" i="9" l="1"/>
  <c r="P286" i="9" s="1"/>
  <c r="I289" i="9"/>
  <c r="J287" i="9"/>
  <c r="L287" i="9"/>
  <c r="M287" i="9"/>
  <c r="K287" i="9"/>
  <c r="N287" i="9"/>
  <c r="J288" i="9" a="1"/>
  <c r="R286" i="9" l="1"/>
  <c r="O287" i="9"/>
  <c r="R287" i="9" s="1"/>
  <c r="Q286" i="9"/>
  <c r="S286" i="9" s="1"/>
  <c r="T286" i="9" s="1"/>
  <c r="U286" i="9" s="1"/>
  <c r="Q284" i="9"/>
  <c r="S284" i="9" s="1"/>
  <c r="T284" i="9" s="1"/>
  <c r="U284" i="9" s="1"/>
  <c r="Q287" i="9"/>
  <c r="S287" i="9" s="1"/>
  <c r="T287" i="9" s="1"/>
  <c r="U287" i="9" s="1"/>
  <c r="Q282" i="9"/>
  <c r="S282" i="9" s="1"/>
  <c r="T282" i="9" s="1"/>
  <c r="U282" i="9" s="1"/>
  <c r="Q288" i="9"/>
  <c r="Q281" i="9"/>
  <c r="S281" i="9" s="1"/>
  <c r="T281" i="9" s="1"/>
  <c r="U281" i="9" s="1"/>
  <c r="Q285" i="9"/>
  <c r="S285" i="9" s="1"/>
  <c r="T285" i="9" s="1"/>
  <c r="U285" i="9" s="1"/>
  <c r="Q289" i="9"/>
  <c r="Q283" i="9"/>
  <c r="S283" i="9" s="1"/>
  <c r="T283" i="9" s="1"/>
  <c r="U283" i="9" s="1"/>
  <c r="L288" i="9"/>
  <c r="N288" i="9"/>
  <c r="M288" i="9"/>
  <c r="J288" i="9"/>
  <c r="K288" i="9"/>
  <c r="I290" i="9"/>
  <c r="J289" i="9" a="1"/>
  <c r="O288" i="9" l="1"/>
  <c r="R288" i="9" s="1"/>
  <c r="S288" i="9" s="1"/>
  <c r="T288" i="9" s="1"/>
  <c r="U288" i="9" s="1"/>
  <c r="I291" i="9"/>
  <c r="J289" i="9"/>
  <c r="K289" i="9"/>
  <c r="N289" i="9"/>
  <c r="M289" i="9"/>
  <c r="L289" i="9"/>
  <c r="J290" i="9" a="1"/>
  <c r="O289" i="9" l="1"/>
  <c r="R289" i="9" s="1"/>
  <c r="S289" i="9" s="1"/>
  <c r="T289" i="9" s="1"/>
  <c r="U289" i="9" s="1"/>
  <c r="J290" i="9"/>
  <c r="N290" i="9"/>
  <c r="K290" i="9"/>
  <c r="L290" i="9"/>
  <c r="M290" i="9"/>
  <c r="I292" i="9"/>
  <c r="J291" i="9" a="1"/>
  <c r="O290" i="9" l="1"/>
  <c r="R290" i="9" s="1"/>
  <c r="J291" i="9"/>
  <c r="M291" i="9"/>
  <c r="K291" i="9"/>
  <c r="L291" i="9"/>
  <c r="N291" i="9"/>
  <c r="I293" i="9"/>
  <c r="J292" i="9" a="1"/>
  <c r="O291" i="9" l="1"/>
  <c r="R291" i="9" s="1"/>
  <c r="M292" i="9"/>
  <c r="N292" i="9"/>
  <c r="L292" i="9"/>
  <c r="K292" i="9"/>
  <c r="J292" i="9"/>
  <c r="I294" i="9"/>
  <c r="J293" i="9" a="1"/>
  <c r="O292" i="9" l="1"/>
  <c r="R292" i="9" s="1"/>
  <c r="I295" i="9"/>
  <c r="L293" i="9"/>
  <c r="N293" i="9"/>
  <c r="M293" i="9"/>
  <c r="J293" i="9"/>
  <c r="K293" i="9"/>
  <c r="J294" i="9" a="1"/>
  <c r="O293" i="9" l="1"/>
  <c r="R293" i="9" s="1"/>
  <c r="N294" i="9"/>
  <c r="K294" i="9"/>
  <c r="L294" i="9"/>
  <c r="M294" i="9"/>
  <c r="J294" i="9"/>
  <c r="I296" i="9"/>
  <c r="J295" i="9" a="1"/>
  <c r="O294" i="9" l="1"/>
  <c r="R294" i="9" s="1"/>
  <c r="I297" i="9"/>
  <c r="M295" i="9"/>
  <c r="N295" i="9"/>
  <c r="J295" i="9"/>
  <c r="K295" i="9"/>
  <c r="L295" i="9"/>
  <c r="J296" i="9" a="1"/>
  <c r="O295" i="9" l="1"/>
  <c r="P295" i="9" s="1"/>
  <c r="L296" i="9"/>
  <c r="N296" i="9"/>
  <c r="K296" i="9"/>
  <c r="J296" i="9"/>
  <c r="M296" i="9"/>
  <c r="I298" i="9"/>
  <c r="J297" i="9" a="1"/>
  <c r="O296" i="9" l="1"/>
  <c r="R296" i="9" s="1"/>
  <c r="R295" i="9"/>
  <c r="I299" i="9"/>
  <c r="J297" i="9"/>
  <c r="N297" i="9"/>
  <c r="L297" i="9"/>
  <c r="M297" i="9"/>
  <c r="K297" i="9"/>
  <c r="Q293" i="9"/>
  <c r="S293" i="9" s="1"/>
  <c r="T293" i="9" s="1"/>
  <c r="U293" i="9" s="1"/>
  <c r="Q297" i="9"/>
  <c r="Q294" i="9"/>
  <c r="S294" i="9" s="1"/>
  <c r="T294" i="9" s="1"/>
  <c r="U294" i="9" s="1"/>
  <c r="Q290" i="9"/>
  <c r="S290" i="9" s="1"/>
  <c r="T290" i="9" s="1"/>
  <c r="U290" i="9" s="1"/>
  <c r="Q296" i="9"/>
  <c r="S296" i="9" s="1"/>
  <c r="T296" i="9" s="1"/>
  <c r="U296" i="9" s="1"/>
  <c r="Q298" i="9"/>
  <c r="Q295" i="9"/>
  <c r="S295" i="9" s="1"/>
  <c r="T295" i="9" s="1"/>
  <c r="U295" i="9" s="1"/>
  <c r="Q291" i="9"/>
  <c r="S291" i="9" s="1"/>
  <c r="T291" i="9" s="1"/>
  <c r="U291" i="9" s="1"/>
  <c r="Q292" i="9"/>
  <c r="S292" i="9" s="1"/>
  <c r="T292" i="9" s="1"/>
  <c r="U292" i="9" s="1"/>
  <c r="J298" i="9" a="1"/>
  <c r="O297" i="9" l="1"/>
  <c r="R297" i="9" s="1"/>
  <c r="S297" i="9" s="1"/>
  <c r="T297" i="9" s="1"/>
  <c r="U297" i="9" s="1"/>
  <c r="M298" i="9"/>
  <c r="N298" i="9"/>
  <c r="K298" i="9"/>
  <c r="L298" i="9"/>
  <c r="J298" i="9"/>
  <c r="I300" i="9"/>
  <c r="J299" i="9" a="1"/>
  <c r="O298" i="9" l="1"/>
  <c r="R298" i="9" s="1"/>
  <c r="S298" i="9" s="1"/>
  <c r="T298" i="9" s="1"/>
  <c r="U298" i="9" s="1"/>
  <c r="I301" i="9"/>
  <c r="N299" i="9"/>
  <c r="K299" i="9"/>
  <c r="L299" i="9"/>
  <c r="M299" i="9"/>
  <c r="J299" i="9"/>
  <c r="J300" i="9" a="1"/>
  <c r="O299" i="9" l="1"/>
  <c r="R299" i="9" s="1"/>
  <c r="N300" i="9"/>
  <c r="L300" i="9"/>
  <c r="J300" i="9"/>
  <c r="M300" i="9"/>
  <c r="K300" i="9"/>
  <c r="I302" i="9"/>
  <c r="J301" i="9" a="1"/>
  <c r="O300" i="9" l="1"/>
  <c r="R300" i="9" s="1"/>
  <c r="I303" i="9"/>
  <c r="L301" i="9"/>
  <c r="N301" i="9"/>
  <c r="M301" i="9"/>
  <c r="J301" i="9"/>
  <c r="K301" i="9"/>
  <c r="J302" i="9" a="1"/>
  <c r="O301" i="9" l="1"/>
  <c r="R301" i="9" s="1"/>
  <c r="N302" i="9"/>
  <c r="J302" i="9"/>
  <c r="L302" i="9"/>
  <c r="M302" i="9"/>
  <c r="K302" i="9"/>
  <c r="I304" i="9"/>
  <c r="J303" i="9" a="1"/>
  <c r="O302" i="9" l="1"/>
  <c r="R302" i="9" s="1"/>
  <c r="I305" i="9"/>
  <c r="J303" i="9"/>
  <c r="L303" i="9"/>
  <c r="M303" i="9"/>
  <c r="N303" i="9"/>
  <c r="K303" i="9"/>
  <c r="J304" i="9" a="1"/>
  <c r="O303" i="9" l="1"/>
  <c r="R303" i="9" s="1"/>
  <c r="L304" i="9"/>
  <c r="K304" i="9"/>
  <c r="J304" i="9"/>
  <c r="M304" i="9"/>
  <c r="N304" i="9"/>
  <c r="I306" i="9"/>
  <c r="J305" i="9" a="1"/>
  <c r="O304" i="9" l="1"/>
  <c r="R304" i="9" s="1"/>
  <c r="I307" i="9"/>
  <c r="N305" i="9"/>
  <c r="J305" i="9"/>
  <c r="L305" i="9"/>
  <c r="K305" i="9"/>
  <c r="M305" i="9"/>
  <c r="J306" i="9" a="1"/>
  <c r="P304" i="9" l="1"/>
  <c r="Q302" i="9" s="1"/>
  <c r="S302" i="9" s="1"/>
  <c r="T302" i="9" s="1"/>
  <c r="U302" i="9" s="1"/>
  <c r="O305" i="9"/>
  <c r="R305" i="9" s="1"/>
  <c r="L306" i="9"/>
  <c r="J306" i="9"/>
  <c r="M306" i="9"/>
  <c r="N306" i="9"/>
  <c r="K306" i="9"/>
  <c r="Q301" i="9"/>
  <c r="S301" i="9" s="1"/>
  <c r="T301" i="9" s="1"/>
  <c r="U301" i="9" s="1"/>
  <c r="I308" i="9"/>
  <c r="J307" i="9" a="1"/>
  <c r="Q300" i="9" l="1"/>
  <c r="S300" i="9" s="1"/>
  <c r="T300" i="9" s="1"/>
  <c r="U300" i="9" s="1"/>
  <c r="Q299" i="9"/>
  <c r="S299" i="9" s="1"/>
  <c r="T299" i="9" s="1"/>
  <c r="U299" i="9" s="1"/>
  <c r="Q303" i="9"/>
  <c r="S303" i="9" s="1"/>
  <c r="T303" i="9" s="1"/>
  <c r="U303" i="9" s="1"/>
  <c r="Q305" i="9"/>
  <c r="S305" i="9" s="1"/>
  <c r="T305" i="9" s="1"/>
  <c r="U305" i="9" s="1"/>
  <c r="Q306" i="9"/>
  <c r="Q304" i="9"/>
  <c r="S304" i="9" s="1"/>
  <c r="T304" i="9" s="1"/>
  <c r="U304" i="9" s="1"/>
  <c r="Q307" i="9"/>
  <c r="O306" i="9"/>
  <c r="R306" i="9" s="1"/>
  <c r="L307" i="9"/>
  <c r="K307" i="9"/>
  <c r="N307" i="9"/>
  <c r="J307" i="9"/>
  <c r="M307" i="9"/>
  <c r="I309" i="9"/>
  <c r="J308" i="9" a="1"/>
  <c r="S306" i="9" l="1"/>
  <c r="T306" i="9" s="1"/>
  <c r="U306" i="9" s="1"/>
  <c r="O307" i="9"/>
  <c r="R307" i="9" s="1"/>
  <c r="S307" i="9" s="1"/>
  <c r="T307" i="9" s="1"/>
  <c r="U307" i="9" s="1"/>
  <c r="I310" i="9"/>
  <c r="K308" i="9"/>
  <c r="N308" i="9"/>
  <c r="J308" i="9"/>
  <c r="M308" i="9"/>
  <c r="L308" i="9"/>
  <c r="J309" i="9" a="1"/>
  <c r="O308" i="9" l="1"/>
  <c r="R308" i="9" s="1"/>
  <c r="L309" i="9"/>
  <c r="J309" i="9"/>
  <c r="M309" i="9"/>
  <c r="K309" i="9"/>
  <c r="N309" i="9"/>
  <c r="I311" i="9"/>
  <c r="J310" i="9" a="1"/>
  <c r="O309" i="9" l="1"/>
  <c r="R309" i="9" s="1"/>
  <c r="I312" i="9"/>
  <c r="J310" i="9"/>
  <c r="L310" i="9"/>
  <c r="K310" i="9"/>
  <c r="M310" i="9"/>
  <c r="N310" i="9"/>
  <c r="J311" i="9" a="1"/>
  <c r="O310" i="9" l="1"/>
  <c r="R310" i="9" s="1"/>
  <c r="J311" i="9"/>
  <c r="N311" i="9"/>
  <c r="K311" i="9"/>
  <c r="M311" i="9"/>
  <c r="L311" i="9"/>
  <c r="I313" i="9"/>
  <c r="J312" i="9" a="1"/>
  <c r="O311" i="9" l="1"/>
  <c r="R311" i="9" s="1"/>
  <c r="J312" i="9"/>
  <c r="M312" i="9"/>
  <c r="K312" i="9"/>
  <c r="L312" i="9"/>
  <c r="N312" i="9"/>
  <c r="I314" i="9"/>
  <c r="J313" i="9" a="1"/>
  <c r="O312" i="9" l="1"/>
  <c r="R312" i="9" s="1"/>
  <c r="N313" i="9"/>
  <c r="M313" i="9"/>
  <c r="L313" i="9"/>
  <c r="J313" i="9"/>
  <c r="K313" i="9"/>
  <c r="I315" i="9"/>
  <c r="J314" i="9" a="1"/>
  <c r="O313" i="9" l="1"/>
  <c r="R313" i="9" s="1"/>
  <c r="I316" i="9"/>
  <c r="L314" i="9"/>
  <c r="J314" i="9"/>
  <c r="M314" i="9"/>
  <c r="K314" i="9"/>
  <c r="N314" i="9"/>
  <c r="J315" i="9" a="1"/>
  <c r="P313" i="9" l="1"/>
  <c r="Q313" i="9" s="1"/>
  <c r="S313" i="9" s="1"/>
  <c r="T313" i="9" s="1"/>
  <c r="U313" i="9" s="1"/>
  <c r="O314" i="9"/>
  <c r="R314" i="9" s="1"/>
  <c r="J315" i="9"/>
  <c r="M315" i="9"/>
  <c r="N315" i="9"/>
  <c r="K315" i="9"/>
  <c r="L315" i="9"/>
  <c r="I317" i="9"/>
  <c r="J316" i="9" a="1"/>
  <c r="Q312" i="9" l="1"/>
  <c r="S312" i="9" s="1"/>
  <c r="T312" i="9" s="1"/>
  <c r="U312" i="9" s="1"/>
  <c r="Q316" i="9"/>
  <c r="Q308" i="9"/>
  <c r="S308" i="9" s="1"/>
  <c r="T308" i="9" s="1"/>
  <c r="U308" i="9" s="1"/>
  <c r="Q315" i="9"/>
  <c r="Q311" i="9"/>
  <c r="S311" i="9" s="1"/>
  <c r="T311" i="9" s="1"/>
  <c r="U311" i="9" s="1"/>
  <c r="Q310" i="9"/>
  <c r="S310" i="9" s="1"/>
  <c r="T310" i="9" s="1"/>
  <c r="U310" i="9" s="1"/>
  <c r="Q314" i="9"/>
  <c r="S314" i="9" s="1"/>
  <c r="T314" i="9" s="1"/>
  <c r="U314" i="9" s="1"/>
  <c r="Q309" i="9"/>
  <c r="S309" i="9" s="1"/>
  <c r="T309" i="9" s="1"/>
  <c r="U309" i="9" s="1"/>
  <c r="O315" i="9"/>
  <c r="R315" i="9" s="1"/>
  <c r="N316" i="9"/>
  <c r="M316" i="9"/>
  <c r="K316" i="9"/>
  <c r="J316" i="9"/>
  <c r="L316" i="9"/>
  <c r="I318" i="9"/>
  <c r="J317" i="9" a="1"/>
  <c r="S315" i="9" l="1"/>
  <c r="T315" i="9" s="1"/>
  <c r="U315" i="9" s="1"/>
  <c r="O316" i="9"/>
  <c r="R316" i="9" s="1"/>
  <c r="S316" i="9" s="1"/>
  <c r="T316" i="9" s="1"/>
  <c r="U316" i="9" s="1"/>
  <c r="L317" i="9"/>
  <c r="M317" i="9"/>
  <c r="N317" i="9"/>
  <c r="K317" i="9"/>
  <c r="J317" i="9"/>
  <c r="I319" i="9"/>
  <c r="J318" i="9" a="1"/>
  <c r="O317" i="9" l="1"/>
  <c r="R317" i="9" s="1"/>
  <c r="I320" i="9"/>
  <c r="J318" i="9"/>
  <c r="K318" i="9"/>
  <c r="L318" i="9"/>
  <c r="N318" i="9"/>
  <c r="M318" i="9"/>
  <c r="J319" i="9" a="1"/>
  <c r="O318" i="9" l="1"/>
  <c r="R318" i="9" s="1"/>
  <c r="L319" i="9"/>
  <c r="N319" i="9"/>
  <c r="M319" i="9"/>
  <c r="K319" i="9"/>
  <c r="J319" i="9"/>
  <c r="I321" i="9"/>
  <c r="J320" i="9" a="1"/>
  <c r="O319" i="9" l="1"/>
  <c r="R319" i="9" s="1"/>
  <c r="I322" i="9"/>
  <c r="M320" i="9"/>
  <c r="L320" i="9"/>
  <c r="K320" i="9"/>
  <c r="N320" i="9"/>
  <c r="J320" i="9"/>
  <c r="J321" i="9" a="1"/>
  <c r="O320" i="9" l="1"/>
  <c r="R320" i="9" s="1"/>
  <c r="N321" i="9"/>
  <c r="L321" i="9"/>
  <c r="J321" i="9"/>
  <c r="K321" i="9"/>
  <c r="M321" i="9"/>
  <c r="I323" i="9"/>
  <c r="J322" i="9" a="1"/>
  <c r="O321" i="9" l="1"/>
  <c r="R321" i="9" s="1"/>
  <c r="I324" i="9"/>
  <c r="J322" i="9"/>
  <c r="L322" i="9"/>
  <c r="K322" i="9"/>
  <c r="N322" i="9"/>
  <c r="M322" i="9"/>
  <c r="J323" i="9" a="1"/>
  <c r="O322" i="9" l="1"/>
  <c r="P322" i="9" s="1"/>
  <c r="M323" i="9"/>
  <c r="N323" i="9"/>
  <c r="K323" i="9"/>
  <c r="J323" i="9"/>
  <c r="L323" i="9"/>
  <c r="I325" i="9"/>
  <c r="J324" i="9" a="1"/>
  <c r="O323" i="9" l="1"/>
  <c r="R323" i="9" s="1"/>
  <c r="R322" i="9"/>
  <c r="K324" i="9"/>
  <c r="N324" i="9"/>
  <c r="M324" i="9"/>
  <c r="L324" i="9"/>
  <c r="J324" i="9"/>
  <c r="I326" i="9"/>
  <c r="Q324" i="9"/>
  <c r="Q321" i="9"/>
  <c r="S321" i="9" s="1"/>
  <c r="T321" i="9" s="1"/>
  <c r="U321" i="9" s="1"/>
  <c r="Q318" i="9"/>
  <c r="S318" i="9" s="1"/>
  <c r="T318" i="9" s="1"/>
  <c r="U318" i="9" s="1"/>
  <c r="Q322" i="9"/>
  <c r="S322" i="9" s="1"/>
  <c r="T322" i="9" s="1"/>
  <c r="U322" i="9" s="1"/>
  <c r="Q320" i="9"/>
  <c r="S320" i="9" s="1"/>
  <c r="T320" i="9" s="1"/>
  <c r="U320" i="9" s="1"/>
  <c r="Q325" i="9"/>
  <c r="Q317" i="9"/>
  <c r="S317" i="9" s="1"/>
  <c r="T317" i="9" s="1"/>
  <c r="U317" i="9" s="1"/>
  <c r="Q323" i="9"/>
  <c r="S323" i="9" s="1"/>
  <c r="T323" i="9" s="1"/>
  <c r="U323" i="9" s="1"/>
  <c r="Q319" i="9"/>
  <c r="S319" i="9" s="1"/>
  <c r="T319" i="9" s="1"/>
  <c r="U319" i="9" s="1"/>
  <c r="J325" i="9" a="1"/>
  <c r="O324" i="9" l="1"/>
  <c r="R324" i="9" s="1"/>
  <c r="S324" i="9" s="1"/>
  <c r="T324" i="9" s="1"/>
  <c r="U324" i="9" s="1"/>
  <c r="I327" i="9"/>
  <c r="L325" i="9"/>
  <c r="J325" i="9"/>
  <c r="K325" i="9"/>
  <c r="N325" i="9"/>
  <c r="M325" i="9"/>
  <c r="J326" i="9" a="1"/>
  <c r="O325" i="9" l="1"/>
  <c r="R325" i="9" s="1"/>
  <c r="S325" i="9" s="1"/>
  <c r="T325" i="9" s="1"/>
  <c r="U325" i="9" s="1"/>
  <c r="J326" i="9"/>
  <c r="K326" i="9"/>
  <c r="M326" i="9"/>
  <c r="L326" i="9"/>
  <c r="N326" i="9"/>
  <c r="I328" i="9"/>
  <c r="J327" i="9" a="1"/>
  <c r="O326" i="9" l="1"/>
  <c r="R326" i="9" s="1"/>
  <c r="K327" i="9"/>
  <c r="N327" i="9"/>
  <c r="L327" i="9"/>
  <c r="M327" i="9"/>
  <c r="J327" i="9"/>
  <c r="I329" i="9"/>
  <c r="J328" i="9" a="1"/>
  <c r="O327" i="9" l="1"/>
  <c r="R327" i="9" s="1"/>
  <c r="I330" i="9"/>
  <c r="J328" i="9"/>
  <c r="M328" i="9"/>
  <c r="K328" i="9"/>
  <c r="L328" i="9"/>
  <c r="N328" i="9"/>
  <c r="J329" i="9" a="1"/>
  <c r="O328" i="9" l="1"/>
  <c r="R328" i="9" s="1"/>
  <c r="N329" i="9"/>
  <c r="L329" i="9"/>
  <c r="J329" i="9"/>
  <c r="M329" i="9"/>
  <c r="K329" i="9"/>
  <c r="I331" i="9"/>
  <c r="J330" i="9" a="1"/>
  <c r="O329" i="9" l="1"/>
  <c r="R329" i="9" s="1"/>
  <c r="I332" i="9"/>
  <c r="L330" i="9"/>
  <c r="M330" i="9"/>
  <c r="N330" i="9"/>
  <c r="K330" i="9"/>
  <c r="J330" i="9"/>
  <c r="J331" i="9" a="1"/>
  <c r="O330" i="9" l="1"/>
  <c r="R330" i="9" s="1"/>
  <c r="K331" i="9"/>
  <c r="M331" i="9"/>
  <c r="L331" i="9"/>
  <c r="N331" i="9"/>
  <c r="J331" i="9"/>
  <c r="I333" i="9"/>
  <c r="J332" i="9" a="1"/>
  <c r="O331" i="9" l="1"/>
  <c r="P331" i="9" s="1"/>
  <c r="I334" i="9"/>
  <c r="K332" i="9"/>
  <c r="N332" i="9"/>
  <c r="J332" i="9"/>
  <c r="M332" i="9"/>
  <c r="L332" i="9"/>
  <c r="J333" i="9" a="1"/>
  <c r="R331" i="9" l="1"/>
  <c r="O332" i="9"/>
  <c r="Q334" i="9"/>
  <c r="Q327" i="9"/>
  <c r="S327" i="9" s="1"/>
  <c r="T327" i="9" s="1"/>
  <c r="U327" i="9" s="1"/>
  <c r="Q332" i="9"/>
  <c r="Q326" i="9"/>
  <c r="S326" i="9" s="1"/>
  <c r="T326" i="9" s="1"/>
  <c r="U326" i="9" s="1"/>
  <c r="Q329" i="9"/>
  <c r="S329" i="9" s="1"/>
  <c r="T329" i="9" s="1"/>
  <c r="U329" i="9" s="1"/>
  <c r="Q331" i="9"/>
  <c r="S331" i="9" s="1"/>
  <c r="T331" i="9" s="1"/>
  <c r="U331" i="9" s="1"/>
  <c r="Q328" i="9"/>
  <c r="S328" i="9" s="1"/>
  <c r="T328" i="9" s="1"/>
  <c r="U328" i="9" s="1"/>
  <c r="Q330" i="9"/>
  <c r="S330" i="9" s="1"/>
  <c r="T330" i="9" s="1"/>
  <c r="U330" i="9" s="1"/>
  <c r="Q333" i="9"/>
  <c r="J333" i="9"/>
  <c r="L333" i="9"/>
  <c r="M333" i="9"/>
  <c r="K333" i="9"/>
  <c r="N333" i="9"/>
  <c r="R332" i="9"/>
  <c r="I335" i="9"/>
  <c r="J334" i="9" a="1"/>
  <c r="O333" i="9" l="1"/>
  <c r="R333" i="9" s="1"/>
  <c r="S333" i="9" s="1"/>
  <c r="T333" i="9" s="1"/>
  <c r="U333" i="9" s="1"/>
  <c r="L334" i="9"/>
  <c r="M334" i="9"/>
  <c r="N334" i="9"/>
  <c r="J334" i="9"/>
  <c r="K334" i="9"/>
  <c r="I336" i="9"/>
  <c r="S332" i="9"/>
  <c r="T332" i="9" s="1"/>
  <c r="U332" i="9" s="1"/>
  <c r="J335" i="9" a="1"/>
  <c r="O334" i="9" l="1"/>
  <c r="R334" i="9" s="1"/>
  <c r="S334" i="9" s="1"/>
  <c r="T334" i="9" s="1"/>
  <c r="U334" i="9" s="1"/>
  <c r="I337" i="9"/>
  <c r="K335" i="9"/>
  <c r="L335" i="9"/>
  <c r="M335" i="9"/>
  <c r="J335" i="9"/>
  <c r="N335" i="9"/>
  <c r="J336" i="9" a="1"/>
  <c r="O335" i="9" l="1"/>
  <c r="R335" i="9" s="1"/>
  <c r="K336" i="9"/>
  <c r="L336" i="9"/>
  <c r="J336" i="9"/>
  <c r="M336" i="9"/>
  <c r="N336" i="9"/>
  <c r="I338" i="9"/>
  <c r="J337" i="9" a="1"/>
  <c r="O336" i="9" l="1"/>
  <c r="R336" i="9" s="1"/>
  <c r="I339" i="9"/>
  <c r="M337" i="9"/>
  <c r="L337" i="9"/>
  <c r="K337" i="9"/>
  <c r="J337" i="9"/>
  <c r="N337" i="9"/>
  <c r="J338" i="9" a="1"/>
  <c r="O337" i="9" l="1"/>
  <c r="R337" i="9" s="1"/>
  <c r="L338" i="9"/>
  <c r="M338" i="9"/>
  <c r="J338" i="9"/>
  <c r="K338" i="9"/>
  <c r="N338" i="9"/>
  <c r="I340" i="9"/>
  <c r="J339" i="9" a="1"/>
  <c r="O338" i="9" l="1"/>
  <c r="R338" i="9" s="1"/>
  <c r="I341" i="9"/>
  <c r="J339" i="9"/>
  <c r="K339" i="9"/>
  <c r="M339" i="9"/>
  <c r="L339" i="9"/>
  <c r="N339" i="9"/>
  <c r="J340" i="9" a="1"/>
  <c r="O339" i="9" l="1"/>
  <c r="R339" i="9" s="1"/>
  <c r="K340" i="9"/>
  <c r="L340" i="9"/>
  <c r="N340" i="9"/>
  <c r="J340" i="9"/>
  <c r="M340" i="9"/>
  <c r="I342" i="9"/>
  <c r="J341" i="9" a="1"/>
  <c r="O340" i="9" l="1"/>
  <c r="R340" i="9" s="1"/>
  <c r="I343" i="9"/>
  <c r="N341" i="9"/>
  <c r="J341" i="9"/>
  <c r="K341" i="9"/>
  <c r="L341" i="9"/>
  <c r="M341" i="9"/>
  <c r="J342" i="9" a="1"/>
  <c r="P340" i="9" l="1"/>
  <c r="Q335" i="9" s="1"/>
  <c r="S335" i="9" s="1"/>
  <c r="T335" i="9" s="1"/>
  <c r="U335" i="9" s="1"/>
  <c r="O341" i="9"/>
  <c r="R341" i="9" s="1"/>
  <c r="M342" i="9"/>
  <c r="N342" i="9"/>
  <c r="J342" i="9"/>
  <c r="K342" i="9"/>
  <c r="L342" i="9"/>
  <c r="Q340" i="9"/>
  <c r="S340" i="9" s="1"/>
  <c r="T340" i="9" s="1"/>
  <c r="U340" i="9" s="1"/>
  <c r="I344" i="9"/>
  <c r="J343" i="9" a="1"/>
  <c r="Q343" i="9" l="1"/>
  <c r="Q342" i="9"/>
  <c r="Q339" i="9"/>
  <c r="S339" i="9" s="1"/>
  <c r="T339" i="9" s="1"/>
  <c r="U339" i="9" s="1"/>
  <c r="Q341" i="9"/>
  <c r="S341" i="9" s="1"/>
  <c r="T341" i="9" s="1"/>
  <c r="U341" i="9" s="1"/>
  <c r="Q336" i="9"/>
  <c r="S336" i="9" s="1"/>
  <c r="T336" i="9" s="1"/>
  <c r="U336" i="9" s="1"/>
  <c r="Q338" i="9"/>
  <c r="S338" i="9" s="1"/>
  <c r="T338" i="9" s="1"/>
  <c r="U338" i="9" s="1"/>
  <c r="Q337" i="9"/>
  <c r="S337" i="9" s="1"/>
  <c r="T337" i="9" s="1"/>
  <c r="U337" i="9" s="1"/>
  <c r="O342" i="9"/>
  <c r="R342" i="9" s="1"/>
  <c r="J343" i="9"/>
  <c r="L343" i="9"/>
  <c r="M343" i="9"/>
  <c r="N343" i="9"/>
  <c r="K343" i="9"/>
  <c r="I345" i="9"/>
  <c r="J344" i="9" a="1"/>
  <c r="S342" i="9" l="1"/>
  <c r="T342" i="9" s="1"/>
  <c r="U342" i="9" s="1"/>
  <c r="O343" i="9"/>
  <c r="R343" i="9" s="1"/>
  <c r="S343" i="9" s="1"/>
  <c r="T343" i="9" s="1"/>
  <c r="U343" i="9" s="1"/>
  <c r="M344" i="9"/>
  <c r="N344" i="9"/>
  <c r="L344" i="9"/>
  <c r="J344" i="9"/>
  <c r="K344" i="9"/>
  <c r="I346" i="9"/>
  <c r="J345" i="9" a="1"/>
  <c r="O344" i="9" l="1"/>
  <c r="R344" i="9" s="1"/>
  <c r="I347" i="9"/>
  <c r="N345" i="9"/>
  <c r="J345" i="9"/>
  <c r="K345" i="9"/>
  <c r="M345" i="9"/>
  <c r="L345" i="9"/>
  <c r="J346" i="9" a="1"/>
  <c r="O345" i="9" l="1"/>
  <c r="R345" i="9" s="1"/>
  <c r="L346" i="9"/>
  <c r="N346" i="9"/>
  <c r="K346" i="9"/>
  <c r="M346" i="9"/>
  <c r="J346" i="9"/>
  <c r="I348" i="9"/>
  <c r="J347" i="9" a="1"/>
  <c r="O346" i="9" l="1"/>
  <c r="R346" i="9" s="1"/>
  <c r="I349" i="9"/>
  <c r="J347" i="9"/>
  <c r="K347" i="9"/>
  <c r="N347" i="9"/>
  <c r="L347" i="9"/>
  <c r="M347" i="9"/>
  <c r="J348" i="9" a="1"/>
  <c r="O347" i="9" l="1"/>
  <c r="R347" i="9" s="1"/>
  <c r="L348" i="9"/>
  <c r="K348" i="9"/>
  <c r="M348" i="9"/>
  <c r="N348" i="9"/>
  <c r="J348" i="9"/>
  <c r="I350" i="9"/>
  <c r="J349" i="9" a="1"/>
  <c r="O348" i="9" l="1"/>
  <c r="R348" i="9" s="1"/>
  <c r="I351" i="9"/>
  <c r="K349" i="9"/>
  <c r="M349" i="9"/>
  <c r="N349" i="9"/>
  <c r="L349" i="9"/>
  <c r="J349" i="9"/>
  <c r="J350" i="9" a="1"/>
  <c r="O349" i="9" l="1"/>
  <c r="P349" i="9" s="1"/>
  <c r="J350" i="9"/>
  <c r="K350" i="9"/>
  <c r="M350" i="9"/>
  <c r="L350" i="9"/>
  <c r="N350" i="9"/>
  <c r="I352" i="9"/>
  <c r="J351" i="9" a="1"/>
  <c r="R349" i="9" l="1"/>
  <c r="O350" i="9"/>
  <c r="K351" i="9"/>
  <c r="N351" i="9"/>
  <c r="L351" i="9"/>
  <c r="M351" i="9"/>
  <c r="J351" i="9"/>
  <c r="I353" i="9"/>
  <c r="Q350" i="9"/>
  <c r="Q352" i="9"/>
  <c r="Q345" i="9"/>
  <c r="S345" i="9" s="1"/>
  <c r="T345" i="9" s="1"/>
  <c r="U345" i="9" s="1"/>
  <c r="Q351" i="9"/>
  <c r="Q344" i="9"/>
  <c r="S344" i="9" s="1"/>
  <c r="T344" i="9" s="1"/>
  <c r="U344" i="9" s="1"/>
  <c r="Q347" i="9"/>
  <c r="S347" i="9" s="1"/>
  <c r="T347" i="9" s="1"/>
  <c r="U347" i="9" s="1"/>
  <c r="Q349" i="9"/>
  <c r="S349" i="9" s="1"/>
  <c r="T349" i="9" s="1"/>
  <c r="U349" i="9" s="1"/>
  <c r="Q348" i="9"/>
  <c r="S348" i="9" s="1"/>
  <c r="T348" i="9" s="1"/>
  <c r="U348" i="9" s="1"/>
  <c r="Q346" i="9"/>
  <c r="S346" i="9" s="1"/>
  <c r="T346" i="9" s="1"/>
  <c r="U346" i="9" s="1"/>
  <c r="R350" i="9"/>
  <c r="J352" i="9" a="1"/>
  <c r="O351" i="9" l="1"/>
  <c r="R351" i="9" s="1"/>
  <c r="S351" i="9" s="1"/>
  <c r="T351" i="9" s="1"/>
  <c r="U351" i="9" s="1"/>
  <c r="I354" i="9"/>
  <c r="S350" i="9"/>
  <c r="T350" i="9" s="1"/>
  <c r="U350" i="9" s="1"/>
  <c r="J352" i="9"/>
  <c r="N352" i="9"/>
  <c r="K352" i="9"/>
  <c r="M352" i="9"/>
  <c r="L352" i="9"/>
  <c r="J353" i="9" a="1"/>
  <c r="O352" i="9" l="1"/>
  <c r="R352" i="9" s="1"/>
  <c r="S352" i="9" s="1"/>
  <c r="T352" i="9" s="1"/>
  <c r="U352" i="9" s="1"/>
  <c r="N353" i="9"/>
  <c r="J353" i="9"/>
  <c r="K353" i="9"/>
  <c r="L353" i="9"/>
  <c r="M353" i="9"/>
  <c r="I355" i="9"/>
  <c r="J354" i="9" a="1"/>
  <c r="O353" i="9" l="1"/>
  <c r="R353" i="9" s="1"/>
  <c r="I356" i="9"/>
  <c r="M354" i="9"/>
  <c r="J354" i="9"/>
  <c r="K354" i="9"/>
  <c r="N354" i="9"/>
  <c r="L354" i="9"/>
  <c r="J355" i="9" a="1"/>
  <c r="O354" i="9" l="1"/>
  <c r="R354" i="9" s="1"/>
  <c r="K355" i="9"/>
  <c r="L355" i="9"/>
  <c r="M355" i="9"/>
  <c r="J355" i="9"/>
  <c r="N355" i="9"/>
  <c r="I357" i="9"/>
  <c r="J356" i="9" a="1"/>
  <c r="O355" i="9" l="1"/>
  <c r="R355" i="9" s="1"/>
  <c r="I358" i="9"/>
  <c r="L356" i="9"/>
  <c r="N356" i="9"/>
  <c r="M356" i="9"/>
  <c r="J356" i="9"/>
  <c r="K356" i="9"/>
  <c r="J357" i="9" a="1"/>
  <c r="O356" i="9" l="1"/>
  <c r="R356" i="9" s="1"/>
  <c r="L357" i="9"/>
  <c r="N357" i="9"/>
  <c r="M357" i="9"/>
  <c r="J357" i="9"/>
  <c r="K357" i="9"/>
  <c r="I359" i="9"/>
  <c r="J358" i="9" a="1"/>
  <c r="O357" i="9" l="1"/>
  <c r="R357" i="9" s="1"/>
  <c r="I360" i="9"/>
  <c r="J358" i="9"/>
  <c r="K358" i="9"/>
  <c r="N358" i="9"/>
  <c r="L358" i="9"/>
  <c r="M358" i="9"/>
  <c r="J359" i="9" a="1"/>
  <c r="O358" i="9" l="1"/>
  <c r="P358" i="9" s="1"/>
  <c r="N359" i="9"/>
  <c r="J359" i="9"/>
  <c r="K359" i="9"/>
  <c r="L359" i="9"/>
  <c r="M359" i="9"/>
  <c r="I361" i="9"/>
  <c r="J360" i="9" a="1"/>
  <c r="R358" i="9" l="1"/>
  <c r="O359" i="9"/>
  <c r="R359" i="9" s="1"/>
  <c r="J360" i="9"/>
  <c r="M360" i="9"/>
  <c r="L360" i="9"/>
  <c r="N360" i="9"/>
  <c r="K360" i="9"/>
  <c r="I362" i="9"/>
  <c r="Q360" i="9"/>
  <c r="Q354" i="9"/>
  <c r="S354" i="9" s="1"/>
  <c r="T354" i="9" s="1"/>
  <c r="U354" i="9" s="1"/>
  <c r="Q355" i="9"/>
  <c r="S355" i="9" s="1"/>
  <c r="T355" i="9" s="1"/>
  <c r="U355" i="9" s="1"/>
  <c r="Q356" i="9"/>
  <c r="S356" i="9" s="1"/>
  <c r="T356" i="9" s="1"/>
  <c r="U356" i="9" s="1"/>
  <c r="Q361" i="9"/>
  <c r="Q357" i="9"/>
  <c r="S357" i="9" s="1"/>
  <c r="T357" i="9" s="1"/>
  <c r="U357" i="9" s="1"/>
  <c r="Q358" i="9"/>
  <c r="S358" i="9" s="1"/>
  <c r="T358" i="9" s="1"/>
  <c r="U358" i="9" s="1"/>
  <c r="Q353" i="9"/>
  <c r="S353" i="9" s="1"/>
  <c r="T353" i="9" s="1"/>
  <c r="U353" i="9" s="1"/>
  <c r="Q359" i="9"/>
  <c r="S359" i="9" s="1"/>
  <c r="T359" i="9" s="1"/>
  <c r="U359" i="9" s="1"/>
  <c r="J361" i="9" a="1"/>
  <c r="O360" i="9" l="1"/>
  <c r="R360" i="9" s="1"/>
  <c r="S360" i="9" s="1"/>
  <c r="T360" i="9" s="1"/>
  <c r="U360" i="9" s="1"/>
  <c r="I363" i="9"/>
  <c r="K361" i="9"/>
  <c r="J361" i="9"/>
  <c r="L361" i="9"/>
  <c r="N361" i="9"/>
  <c r="M361" i="9"/>
  <c r="J362" i="9" a="1"/>
  <c r="O361" i="9" l="1"/>
  <c r="R361" i="9" s="1"/>
  <c r="S361" i="9" s="1"/>
  <c r="T361" i="9" s="1"/>
  <c r="U361" i="9" s="1"/>
  <c r="K362" i="9"/>
  <c r="L362" i="9"/>
  <c r="N362" i="9"/>
  <c r="M362" i="9"/>
  <c r="J362" i="9"/>
  <c r="I364" i="9"/>
  <c r="J363" i="9" a="1"/>
  <c r="O362" i="9" l="1"/>
  <c r="R362" i="9" s="1"/>
  <c r="I365" i="9"/>
  <c r="K363" i="9"/>
  <c r="M363" i="9"/>
  <c r="N363" i="9"/>
  <c r="L363" i="9"/>
  <c r="J363" i="9"/>
  <c r="J364" i="9" a="1"/>
  <c r="O363" i="9" l="1"/>
  <c r="R363" i="9" s="1"/>
  <c r="M364" i="9"/>
  <c r="L364" i="9"/>
  <c r="J364" i="9"/>
  <c r="K364" i="9"/>
  <c r="N364" i="9"/>
  <c r="I366" i="9"/>
  <c r="J365" i="9" a="1"/>
  <c r="O364" i="9" l="1"/>
  <c r="R364" i="9" s="1"/>
  <c r="I367" i="9"/>
  <c r="K365" i="9"/>
  <c r="L365" i="9"/>
  <c r="N365" i="9"/>
  <c r="J365" i="9"/>
  <c r="M365" i="9"/>
  <c r="J366" i="9" a="1"/>
  <c r="O365" i="9" l="1"/>
  <c r="R365" i="9" s="1"/>
  <c r="M366" i="9"/>
  <c r="K366" i="9"/>
  <c r="N366" i="9"/>
  <c r="J366" i="9"/>
  <c r="L366" i="9"/>
  <c r="I368" i="9"/>
  <c r="J367" i="9" a="1"/>
  <c r="O366" i="9" l="1"/>
  <c r="R366" i="9" s="1"/>
  <c r="I369" i="9"/>
  <c r="K367" i="9"/>
  <c r="N367" i="9"/>
  <c r="J367" i="9"/>
  <c r="M367" i="9"/>
  <c r="L367" i="9"/>
  <c r="J368" i="9" a="1"/>
  <c r="O367" i="9" l="1"/>
  <c r="P367" i="9" s="1"/>
  <c r="M368" i="9"/>
  <c r="K368" i="9"/>
  <c r="J368" i="9"/>
  <c r="N368" i="9"/>
  <c r="L368" i="9"/>
  <c r="I370" i="9"/>
  <c r="J369" i="9" a="1"/>
  <c r="R367" i="9" l="1"/>
  <c r="O368" i="9"/>
  <c r="R368" i="9" s="1"/>
  <c r="M369" i="9"/>
  <c r="L369" i="9"/>
  <c r="N369" i="9"/>
  <c r="K369" i="9"/>
  <c r="J369" i="9"/>
  <c r="I371" i="9"/>
  <c r="Q365" i="9"/>
  <c r="S365" i="9" s="1"/>
  <c r="T365" i="9" s="1"/>
  <c r="U365" i="9" s="1"/>
  <c r="Q368" i="9"/>
  <c r="Q367" i="9"/>
  <c r="S367" i="9" s="1"/>
  <c r="T367" i="9" s="1"/>
  <c r="U367" i="9" s="1"/>
  <c r="Q370" i="9"/>
  <c r="Q369" i="9"/>
  <c r="Q362" i="9"/>
  <c r="S362" i="9" s="1"/>
  <c r="T362" i="9" s="1"/>
  <c r="U362" i="9" s="1"/>
  <c r="Q366" i="9"/>
  <c r="S366" i="9" s="1"/>
  <c r="T366" i="9" s="1"/>
  <c r="U366" i="9" s="1"/>
  <c r="Q363" i="9"/>
  <c r="S363" i="9" s="1"/>
  <c r="T363" i="9" s="1"/>
  <c r="U363" i="9" s="1"/>
  <c r="Q364" i="9"/>
  <c r="S364" i="9" s="1"/>
  <c r="T364" i="9" s="1"/>
  <c r="U364" i="9" s="1"/>
  <c r="J370" i="9" a="1"/>
  <c r="S368" i="9" l="1"/>
  <c r="T368" i="9" s="1"/>
  <c r="U368" i="9" s="1"/>
  <c r="O369" i="9"/>
  <c r="R369" i="9" s="1"/>
  <c r="S369" i="9" s="1"/>
  <c r="T369" i="9" s="1"/>
  <c r="U369" i="9" s="1"/>
  <c r="I372" i="9"/>
  <c r="M370" i="9"/>
  <c r="N370" i="9"/>
  <c r="L370" i="9"/>
  <c r="J370" i="9"/>
  <c r="K370" i="9"/>
  <c r="J371" i="9" a="1"/>
  <c r="O370" i="9" l="1"/>
  <c r="R370" i="9" s="1"/>
  <c r="S370" i="9" s="1"/>
  <c r="T370" i="9" s="1"/>
  <c r="U370" i="9" s="1"/>
  <c r="M371" i="9"/>
  <c r="L371" i="9"/>
  <c r="N371" i="9"/>
  <c r="K371" i="9"/>
  <c r="J371" i="9"/>
  <c r="I373" i="9"/>
  <c r="J372" i="9" a="1"/>
  <c r="O371" i="9" l="1"/>
  <c r="R371" i="9" s="1"/>
  <c r="I374" i="9"/>
  <c r="J372" i="9"/>
  <c r="L372" i="9"/>
  <c r="M372" i="9"/>
  <c r="K372" i="9"/>
  <c r="N372" i="9"/>
  <c r="J373" i="9" a="1"/>
  <c r="O372" i="9" l="1"/>
  <c r="R372" i="9" s="1"/>
  <c r="L373" i="9"/>
  <c r="M373" i="9"/>
  <c r="N373" i="9"/>
  <c r="K373" i="9"/>
  <c r="J373" i="9"/>
  <c r="I375" i="9"/>
  <c r="J374" i="9" a="1"/>
  <c r="O373" i="9" l="1"/>
  <c r="R373" i="9" s="1"/>
  <c r="I376" i="9"/>
  <c r="K374" i="9"/>
  <c r="L374" i="9"/>
  <c r="J374" i="9"/>
  <c r="M374" i="9"/>
  <c r="N374" i="9"/>
  <c r="J375" i="9" a="1"/>
  <c r="O374" i="9" l="1"/>
  <c r="R374" i="9" s="1"/>
  <c r="L375" i="9"/>
  <c r="M375" i="9"/>
  <c r="J375" i="9"/>
  <c r="N375" i="9"/>
  <c r="K375" i="9"/>
  <c r="I377" i="9"/>
  <c r="J376" i="9" a="1"/>
  <c r="O375" i="9" l="1"/>
  <c r="R375" i="9" s="1"/>
  <c r="I378" i="9"/>
  <c r="J376" i="9"/>
  <c r="K376" i="9"/>
  <c r="L376" i="9"/>
  <c r="N376" i="9"/>
  <c r="M376" i="9"/>
  <c r="J377" i="9" a="1"/>
  <c r="O376" i="9" l="1"/>
  <c r="R376" i="9" s="1"/>
  <c r="L377" i="9"/>
  <c r="K377" i="9"/>
  <c r="N377" i="9"/>
  <c r="M377" i="9"/>
  <c r="J377" i="9"/>
  <c r="I379" i="9"/>
  <c r="J378" i="9" a="1"/>
  <c r="P376" i="9" l="1"/>
  <c r="Q379" i="9" s="1"/>
  <c r="O377" i="9"/>
  <c r="R377" i="9" s="1"/>
  <c r="Q376" i="9"/>
  <c r="S376" i="9" s="1"/>
  <c r="T376" i="9" s="1"/>
  <c r="U376" i="9" s="1"/>
  <c r="Q371" i="9"/>
  <c r="S371" i="9" s="1"/>
  <c r="T371" i="9" s="1"/>
  <c r="U371" i="9" s="1"/>
  <c r="I380" i="9"/>
  <c r="K378" i="9"/>
  <c r="L378" i="9"/>
  <c r="M378" i="9"/>
  <c r="J378" i="9"/>
  <c r="N378" i="9"/>
  <c r="J379" i="9" a="1"/>
  <c r="Q374" i="9" l="1"/>
  <c r="S374" i="9" s="1"/>
  <c r="T374" i="9" s="1"/>
  <c r="U374" i="9" s="1"/>
  <c r="Q377" i="9"/>
  <c r="S377" i="9" s="1"/>
  <c r="T377" i="9" s="1"/>
  <c r="U377" i="9" s="1"/>
  <c r="Q372" i="9"/>
  <c r="S372" i="9" s="1"/>
  <c r="T372" i="9" s="1"/>
  <c r="U372" i="9" s="1"/>
  <c r="Q373" i="9"/>
  <c r="S373" i="9" s="1"/>
  <c r="T373" i="9" s="1"/>
  <c r="U373" i="9" s="1"/>
  <c r="Q378" i="9"/>
  <c r="Q375" i="9"/>
  <c r="S375" i="9" s="1"/>
  <c r="T375" i="9" s="1"/>
  <c r="U375" i="9" s="1"/>
  <c r="O378" i="9"/>
  <c r="R378" i="9" s="1"/>
  <c r="I381" i="9"/>
  <c r="K379" i="9"/>
  <c r="L379" i="9"/>
  <c r="N379" i="9"/>
  <c r="M379" i="9"/>
  <c r="J379" i="9"/>
  <c r="J380" i="9" a="1"/>
  <c r="S378" i="9" l="1"/>
  <c r="T378" i="9" s="1"/>
  <c r="U378" i="9" s="1"/>
  <c r="O379" i="9"/>
  <c r="R379" i="9" s="1"/>
  <c r="S379" i="9" s="1"/>
  <c r="T379" i="9" s="1"/>
  <c r="U379" i="9" s="1"/>
  <c r="K380" i="9"/>
  <c r="N380" i="9"/>
  <c r="J380" i="9"/>
  <c r="L380" i="9"/>
  <c r="M380" i="9"/>
  <c r="I382" i="9"/>
  <c r="J381" i="9" a="1"/>
  <c r="O380" i="9" l="1"/>
  <c r="R380" i="9" s="1"/>
  <c r="L381" i="9"/>
  <c r="K381" i="9"/>
  <c r="N381" i="9"/>
  <c r="J381" i="9"/>
  <c r="M381" i="9"/>
  <c r="I383" i="9"/>
  <c r="J382" i="9" a="1"/>
  <c r="O381" i="9" l="1"/>
  <c r="R381" i="9" s="1"/>
  <c r="I384" i="9"/>
  <c r="N382" i="9"/>
  <c r="J382" i="9"/>
  <c r="K382" i="9"/>
  <c r="L382" i="9"/>
  <c r="M382" i="9"/>
  <c r="J383" i="9" a="1"/>
  <c r="O382" i="9" l="1"/>
  <c r="R382" i="9" s="1"/>
  <c r="N383" i="9"/>
  <c r="L383" i="9"/>
  <c r="J383" i="9"/>
  <c r="M383" i="9"/>
  <c r="K383" i="9"/>
  <c r="I385" i="9"/>
  <c r="J384" i="9" a="1"/>
  <c r="O383" i="9" l="1"/>
  <c r="R383" i="9" s="1"/>
  <c r="I386" i="9"/>
  <c r="L384" i="9"/>
  <c r="M384" i="9"/>
  <c r="J384" i="9"/>
  <c r="K384" i="9"/>
  <c r="N384" i="9"/>
  <c r="J385" i="9" a="1"/>
  <c r="O384" i="9" l="1"/>
  <c r="R384" i="9" s="1"/>
  <c r="K385" i="9"/>
  <c r="L385" i="9"/>
  <c r="N385" i="9"/>
  <c r="M385" i="9"/>
  <c r="J385" i="9"/>
  <c r="I387" i="9"/>
  <c r="J386" i="9" a="1"/>
  <c r="O385" i="9" l="1"/>
  <c r="R385" i="9" s="1"/>
  <c r="I388" i="9"/>
  <c r="N386" i="9"/>
  <c r="L386" i="9"/>
  <c r="J386" i="9"/>
  <c r="K386" i="9"/>
  <c r="M386" i="9"/>
  <c r="J387" i="9" a="1"/>
  <c r="P385" i="9" l="1"/>
  <c r="Q381" i="9" s="1"/>
  <c r="S381" i="9" s="1"/>
  <c r="T381" i="9" s="1"/>
  <c r="U381" i="9" s="1"/>
  <c r="O386" i="9"/>
  <c r="R386" i="9" s="1"/>
  <c r="K387" i="9"/>
  <c r="J387" i="9"/>
  <c r="N387" i="9"/>
  <c r="M387" i="9"/>
  <c r="L387" i="9"/>
  <c r="I389" i="9"/>
  <c r="J388" i="9" a="1"/>
  <c r="Q386" i="9" l="1"/>
  <c r="S386" i="9" s="1"/>
  <c r="T386" i="9" s="1"/>
  <c r="U386" i="9" s="1"/>
  <c r="Q380" i="9"/>
  <c r="S380" i="9" s="1"/>
  <c r="T380" i="9" s="1"/>
  <c r="U380" i="9" s="1"/>
  <c r="Q387" i="9"/>
  <c r="Q383" i="9"/>
  <c r="S383" i="9" s="1"/>
  <c r="T383" i="9" s="1"/>
  <c r="U383" i="9" s="1"/>
  <c r="Q384" i="9"/>
  <c r="S384" i="9" s="1"/>
  <c r="T384" i="9" s="1"/>
  <c r="U384" i="9" s="1"/>
  <c r="Q385" i="9"/>
  <c r="S385" i="9" s="1"/>
  <c r="T385" i="9" s="1"/>
  <c r="U385" i="9" s="1"/>
  <c r="Q388" i="9"/>
  <c r="Q382" i="9"/>
  <c r="S382" i="9" s="1"/>
  <c r="T382" i="9" s="1"/>
  <c r="U382" i="9" s="1"/>
  <c r="O387" i="9"/>
  <c r="R387" i="9" s="1"/>
  <c r="M388" i="9"/>
  <c r="L388" i="9"/>
  <c r="J388" i="9"/>
  <c r="K388" i="9"/>
  <c r="N388" i="9"/>
  <c r="I390" i="9"/>
  <c r="J389" i="9" a="1"/>
  <c r="S387" i="9" l="1"/>
  <c r="T387" i="9" s="1"/>
  <c r="U387" i="9" s="1"/>
  <c r="O388" i="9"/>
  <c r="R388" i="9" s="1"/>
  <c r="S388" i="9" s="1"/>
  <c r="T388" i="9" s="1"/>
  <c r="U388" i="9" s="1"/>
  <c r="I391" i="9"/>
  <c r="J389" i="9"/>
  <c r="K389" i="9"/>
  <c r="L389" i="9"/>
  <c r="M389" i="9"/>
  <c r="N389" i="9"/>
  <c r="J390" i="9" a="1"/>
  <c r="O389" i="9" l="1"/>
  <c r="R389" i="9" s="1"/>
  <c r="K390" i="9"/>
  <c r="N390" i="9"/>
  <c r="M390" i="9"/>
  <c r="L390" i="9"/>
  <c r="J390" i="9"/>
  <c r="I392" i="9"/>
  <c r="J391" i="9" a="1"/>
  <c r="O390" i="9" l="1"/>
  <c r="R390" i="9" s="1"/>
  <c r="I393" i="9"/>
  <c r="J391" i="9"/>
  <c r="K391" i="9"/>
  <c r="N391" i="9"/>
  <c r="M391" i="9"/>
  <c r="L391" i="9"/>
  <c r="J392" i="9" a="1"/>
  <c r="O391" i="9" l="1"/>
  <c r="R391" i="9" s="1"/>
  <c r="K392" i="9"/>
  <c r="N392" i="9"/>
  <c r="J392" i="9"/>
  <c r="M392" i="9"/>
  <c r="L392" i="9"/>
  <c r="I394" i="9"/>
  <c r="J393" i="9" a="1"/>
  <c r="O392" i="9" l="1"/>
  <c r="R392" i="9" s="1"/>
  <c r="I395" i="9"/>
  <c r="M393" i="9"/>
  <c r="N393" i="9"/>
  <c r="J393" i="9"/>
  <c r="K393" i="9"/>
  <c r="L393" i="9"/>
  <c r="J394" i="9" a="1"/>
  <c r="O393" i="9" l="1"/>
  <c r="R393" i="9" s="1"/>
  <c r="J394" i="9"/>
  <c r="K394" i="9"/>
  <c r="L394" i="9"/>
  <c r="N394" i="9"/>
  <c r="M394" i="9"/>
  <c r="I396" i="9"/>
  <c r="J395" i="9" a="1"/>
  <c r="O394" i="9" l="1"/>
  <c r="R394" i="9" s="1"/>
  <c r="I397" i="9"/>
  <c r="M395" i="9"/>
  <c r="J395" i="9"/>
  <c r="L395" i="9"/>
  <c r="K395" i="9"/>
  <c r="N395" i="9"/>
  <c r="J396" i="9" a="1"/>
  <c r="P394" i="9" l="1"/>
  <c r="Q389" i="9" s="1"/>
  <c r="S389" i="9" s="1"/>
  <c r="T389" i="9" s="1"/>
  <c r="U389" i="9" s="1"/>
  <c r="O395" i="9"/>
  <c r="R395" i="9" s="1"/>
  <c r="J396" i="9"/>
  <c r="L396" i="9"/>
  <c r="M396" i="9"/>
  <c r="K396" i="9"/>
  <c r="N396" i="9"/>
  <c r="Q391" i="9"/>
  <c r="S391" i="9" s="1"/>
  <c r="T391" i="9" s="1"/>
  <c r="U391" i="9" s="1"/>
  <c r="Q397" i="9"/>
  <c r="I398" i="9"/>
  <c r="J397" i="9" a="1"/>
  <c r="Q392" i="9" l="1"/>
  <c r="S392" i="9" s="1"/>
  <c r="T392" i="9" s="1"/>
  <c r="U392" i="9" s="1"/>
  <c r="Q394" i="9"/>
  <c r="S394" i="9" s="1"/>
  <c r="T394" i="9" s="1"/>
  <c r="U394" i="9" s="1"/>
  <c r="Q390" i="9"/>
  <c r="S390" i="9" s="1"/>
  <c r="T390" i="9" s="1"/>
  <c r="U390" i="9" s="1"/>
  <c r="Q393" i="9"/>
  <c r="S393" i="9" s="1"/>
  <c r="T393" i="9" s="1"/>
  <c r="U393" i="9" s="1"/>
  <c r="Q395" i="9"/>
  <c r="S395" i="9" s="1"/>
  <c r="T395" i="9" s="1"/>
  <c r="U395" i="9" s="1"/>
  <c r="Q396" i="9"/>
  <c r="O396" i="9"/>
  <c r="R396" i="9" s="1"/>
  <c r="M397" i="9"/>
  <c r="J397" i="9"/>
  <c r="K397" i="9"/>
  <c r="N397" i="9"/>
  <c r="L397" i="9"/>
  <c r="I399" i="9"/>
  <c r="J398" i="9" a="1"/>
  <c r="S396" i="9" l="1"/>
  <c r="T396" i="9" s="1"/>
  <c r="U396" i="9" s="1"/>
  <c r="O397" i="9"/>
  <c r="R397" i="9" s="1"/>
  <c r="S397" i="9" s="1"/>
  <c r="T397" i="9" s="1"/>
  <c r="U397" i="9" s="1"/>
  <c r="I400" i="9"/>
  <c r="K398" i="9"/>
  <c r="L398" i="9"/>
  <c r="J398" i="9"/>
  <c r="M398" i="9"/>
  <c r="N398" i="9"/>
  <c r="J399" i="9" a="1"/>
  <c r="O398" i="9" l="1"/>
  <c r="R398" i="9" s="1"/>
  <c r="L399" i="9"/>
  <c r="J399" i="9"/>
  <c r="M399" i="9"/>
  <c r="K399" i="9"/>
  <c r="N399" i="9"/>
  <c r="I401" i="9"/>
  <c r="J400" i="9" a="1"/>
  <c r="O399" i="9" l="1"/>
  <c r="R399" i="9" s="1"/>
  <c r="I402" i="9"/>
  <c r="J400" i="9"/>
  <c r="K400" i="9"/>
  <c r="N400" i="9"/>
  <c r="L400" i="9"/>
  <c r="M400" i="9"/>
  <c r="J401" i="9" a="1"/>
  <c r="O400" i="9" l="1"/>
  <c r="R400" i="9" s="1"/>
  <c r="J401" i="9"/>
  <c r="K401" i="9"/>
  <c r="N401" i="9"/>
  <c r="M401" i="9"/>
  <c r="L401" i="9"/>
  <c r="I403" i="9"/>
  <c r="J402" i="9" a="1"/>
  <c r="O401" i="9" l="1"/>
  <c r="R401" i="9" s="1"/>
  <c r="K402" i="9"/>
  <c r="L402" i="9"/>
  <c r="J402" i="9"/>
  <c r="M402" i="9"/>
  <c r="N402" i="9"/>
  <c r="I404" i="9"/>
  <c r="J403" i="9" a="1"/>
  <c r="O402" i="9" l="1"/>
  <c r="R402" i="9" s="1"/>
  <c r="I405" i="9"/>
  <c r="J403" i="9"/>
  <c r="L403" i="9"/>
  <c r="M403" i="9"/>
  <c r="N403" i="9"/>
  <c r="K403" i="9"/>
  <c r="J404" i="9" a="1"/>
  <c r="O403" i="9" l="1"/>
  <c r="R403" i="9" s="1"/>
  <c r="K404" i="9"/>
  <c r="N404" i="9"/>
  <c r="J404" i="9"/>
  <c r="L404" i="9"/>
  <c r="M404" i="9"/>
  <c r="I406" i="9"/>
  <c r="J405" i="9" a="1"/>
  <c r="P403" i="9" l="1"/>
  <c r="Q404" i="9" s="1"/>
  <c r="S404" i="9" s="1"/>
  <c r="T404" i="9" s="1"/>
  <c r="U404" i="9" s="1"/>
  <c r="O404" i="9"/>
  <c r="R404" i="9" s="1"/>
  <c r="L405" i="9"/>
  <c r="K405" i="9"/>
  <c r="J405" i="9"/>
  <c r="M405" i="9"/>
  <c r="N405" i="9"/>
  <c r="Q405" i="9"/>
  <c r="Q402" i="9"/>
  <c r="S402" i="9" s="1"/>
  <c r="T402" i="9" s="1"/>
  <c r="U402" i="9" s="1"/>
  <c r="Q399" i="9"/>
  <c r="S399" i="9" s="1"/>
  <c r="T399" i="9" s="1"/>
  <c r="U399" i="9" s="1"/>
  <c r="I407" i="9"/>
  <c r="J406" i="9" a="1"/>
  <c r="Q400" i="9" l="1"/>
  <c r="S400" i="9" s="1"/>
  <c r="T400" i="9" s="1"/>
  <c r="U400" i="9" s="1"/>
  <c r="Q406" i="9"/>
  <c r="Q401" i="9"/>
  <c r="S401" i="9" s="1"/>
  <c r="T401" i="9" s="1"/>
  <c r="U401" i="9" s="1"/>
  <c r="Q403" i="9"/>
  <c r="S403" i="9" s="1"/>
  <c r="T403" i="9" s="1"/>
  <c r="U403" i="9" s="1"/>
  <c r="Q398" i="9"/>
  <c r="S398" i="9" s="1"/>
  <c r="T398" i="9" s="1"/>
  <c r="U398" i="9" s="1"/>
  <c r="O405" i="9"/>
  <c r="R405" i="9" s="1"/>
  <c r="S405" i="9" s="1"/>
  <c r="T405" i="9" s="1"/>
  <c r="U405" i="9" s="1"/>
  <c r="M406" i="9"/>
  <c r="N406" i="9"/>
  <c r="J406" i="9"/>
  <c r="K406" i="9"/>
  <c r="L406" i="9"/>
  <c r="I408" i="9"/>
  <c r="J407" i="9" a="1"/>
  <c r="O406" i="9" l="1"/>
  <c r="R406" i="9" s="1"/>
  <c r="S406" i="9" s="1"/>
  <c r="T406" i="9" s="1"/>
  <c r="U406" i="9" s="1"/>
  <c r="K407" i="9"/>
  <c r="J407" i="9"/>
  <c r="L407" i="9"/>
  <c r="M407" i="9"/>
  <c r="N407" i="9"/>
  <c r="I409" i="9"/>
  <c r="J408" i="9" a="1"/>
  <c r="O407" i="9" l="1"/>
  <c r="R407" i="9" s="1"/>
  <c r="I410" i="9"/>
  <c r="K408" i="9"/>
  <c r="N408" i="9"/>
  <c r="M408" i="9"/>
  <c r="J408" i="9"/>
  <c r="L408" i="9"/>
  <c r="J409" i="9" a="1"/>
  <c r="O408" i="9" l="1"/>
  <c r="R408" i="9" s="1"/>
  <c r="K409" i="9"/>
  <c r="N409" i="9"/>
  <c r="L409" i="9"/>
  <c r="M409" i="9"/>
  <c r="J409" i="9"/>
  <c r="I411" i="9"/>
  <c r="J410" i="9" a="1"/>
  <c r="O409" i="9" l="1"/>
  <c r="R409" i="9" s="1"/>
  <c r="I412" i="9"/>
  <c r="N410" i="9"/>
  <c r="J410" i="9"/>
  <c r="K410" i="9"/>
  <c r="M410" i="9"/>
  <c r="L410" i="9"/>
  <c r="J411" i="9" a="1"/>
  <c r="O410" i="9" l="1"/>
  <c r="R410" i="9" s="1"/>
  <c r="K411" i="9"/>
  <c r="N411" i="9"/>
  <c r="J411" i="9"/>
  <c r="L411" i="9"/>
  <c r="M411" i="9"/>
  <c r="I413" i="9"/>
  <c r="J412" i="9" a="1"/>
  <c r="O411" i="9" l="1"/>
  <c r="R411" i="9" s="1"/>
  <c r="I414" i="9"/>
  <c r="L412" i="9"/>
  <c r="M412" i="9"/>
  <c r="K412" i="9"/>
  <c r="N412" i="9"/>
  <c r="J412" i="9"/>
  <c r="J413" i="9" a="1"/>
  <c r="O412" i="9" l="1"/>
  <c r="R412" i="9" s="1"/>
  <c r="J413" i="9"/>
  <c r="K413" i="9"/>
  <c r="M413" i="9"/>
  <c r="L413" i="9"/>
  <c r="N413" i="9"/>
  <c r="I415" i="9"/>
  <c r="J414" i="9" a="1"/>
  <c r="P412" i="9" l="1"/>
  <c r="Q412" i="9" s="1"/>
  <c r="S412" i="9" s="1"/>
  <c r="T412" i="9" s="1"/>
  <c r="U412" i="9" s="1"/>
  <c r="O413" i="9"/>
  <c r="R413" i="9" s="1"/>
  <c r="L414" i="9"/>
  <c r="M414" i="9"/>
  <c r="N414" i="9"/>
  <c r="J414" i="9"/>
  <c r="K414" i="9"/>
  <c r="I416" i="9"/>
  <c r="Q415" i="9"/>
  <c r="Q414" i="9"/>
  <c r="J415" i="9" a="1"/>
  <c r="Q409" i="9" l="1"/>
  <c r="S409" i="9" s="1"/>
  <c r="T409" i="9" s="1"/>
  <c r="U409" i="9" s="1"/>
  <c r="Q408" i="9"/>
  <c r="S408" i="9" s="1"/>
  <c r="T408" i="9" s="1"/>
  <c r="U408" i="9" s="1"/>
  <c r="Q413" i="9"/>
  <c r="S413" i="9" s="1"/>
  <c r="T413" i="9" s="1"/>
  <c r="U413" i="9" s="1"/>
  <c r="Q407" i="9"/>
  <c r="S407" i="9" s="1"/>
  <c r="T407" i="9" s="1"/>
  <c r="U407" i="9" s="1"/>
  <c r="Q410" i="9"/>
  <c r="S410" i="9" s="1"/>
  <c r="T410" i="9" s="1"/>
  <c r="U410" i="9" s="1"/>
  <c r="Q411" i="9"/>
  <c r="S411" i="9" s="1"/>
  <c r="T411" i="9" s="1"/>
  <c r="U411" i="9" s="1"/>
  <c r="O414" i="9"/>
  <c r="R414" i="9" s="1"/>
  <c r="S414" i="9" s="1"/>
  <c r="T414" i="9" s="1"/>
  <c r="U414" i="9" s="1"/>
  <c r="I417" i="9"/>
  <c r="J415" i="9"/>
  <c r="K415" i="9"/>
  <c r="L415" i="9"/>
  <c r="M415" i="9"/>
  <c r="N415" i="9"/>
  <c r="J416" i="9" a="1"/>
  <c r="O415" i="9" l="1"/>
  <c r="R415" i="9" s="1"/>
  <c r="S415" i="9" s="1"/>
  <c r="T415" i="9" s="1"/>
  <c r="U415" i="9" s="1"/>
  <c r="J416" i="9"/>
  <c r="K416" i="9"/>
  <c r="N416" i="9"/>
  <c r="L416" i="9"/>
  <c r="M416" i="9"/>
  <c r="I418" i="9"/>
  <c r="J417" i="9" a="1"/>
  <c r="O416" i="9" l="1"/>
  <c r="R416" i="9" s="1"/>
  <c r="I419" i="9"/>
  <c r="M417" i="9"/>
  <c r="N417" i="9"/>
  <c r="J417" i="9"/>
  <c r="K417" i="9"/>
  <c r="L417" i="9"/>
  <c r="J418" i="9" a="1"/>
  <c r="O417" i="9" l="1"/>
  <c r="R417" i="9" s="1"/>
  <c r="K418" i="9"/>
  <c r="M418" i="9"/>
  <c r="N418" i="9"/>
  <c r="L418" i="9"/>
  <c r="J418" i="9"/>
  <c r="I420" i="9"/>
  <c r="J419" i="9" a="1"/>
  <c r="O418" i="9" l="1"/>
  <c r="R418" i="9" s="1"/>
  <c r="I421" i="9"/>
  <c r="M419" i="9"/>
  <c r="L419" i="9"/>
  <c r="J419" i="9"/>
  <c r="K419" i="9"/>
  <c r="N419" i="9"/>
  <c r="J420" i="9" a="1"/>
  <c r="O419" i="9" l="1"/>
  <c r="R419" i="9" s="1"/>
  <c r="K420" i="9"/>
  <c r="N420" i="9"/>
  <c r="M420" i="9"/>
  <c r="L420" i="9"/>
  <c r="J420" i="9"/>
  <c r="I422" i="9"/>
  <c r="J421" i="9" a="1"/>
  <c r="O420" i="9" l="1"/>
  <c r="R420" i="9" s="1"/>
  <c r="I423" i="9"/>
  <c r="N421" i="9"/>
  <c r="M421" i="9"/>
  <c r="L421" i="9"/>
  <c r="J421" i="9"/>
  <c r="K421" i="9"/>
  <c r="J422" i="9" a="1"/>
  <c r="O421" i="9" l="1"/>
  <c r="P421" i="9" s="1"/>
  <c r="J422" i="9"/>
  <c r="K422" i="9"/>
  <c r="N422" i="9"/>
  <c r="M422" i="9"/>
  <c r="L422" i="9"/>
  <c r="I424" i="9"/>
  <c r="J423" i="9" a="1"/>
  <c r="R421" i="9" l="1"/>
  <c r="O422" i="9"/>
  <c r="R422" i="9" s="1"/>
  <c r="L423" i="9"/>
  <c r="M423" i="9"/>
  <c r="J423" i="9"/>
  <c r="K423" i="9"/>
  <c r="N423" i="9"/>
  <c r="I425" i="9"/>
  <c r="Q421" i="9"/>
  <c r="S421" i="9" s="1"/>
  <c r="T421" i="9" s="1"/>
  <c r="U421" i="9" s="1"/>
  <c r="Q416" i="9"/>
  <c r="S416" i="9" s="1"/>
  <c r="T416" i="9" s="1"/>
  <c r="U416" i="9" s="1"/>
  <c r="Q423" i="9"/>
  <c r="Q424" i="9"/>
  <c r="Q420" i="9"/>
  <c r="S420" i="9" s="1"/>
  <c r="T420" i="9" s="1"/>
  <c r="U420" i="9" s="1"/>
  <c r="Q417" i="9"/>
  <c r="S417" i="9" s="1"/>
  <c r="T417" i="9" s="1"/>
  <c r="U417" i="9" s="1"/>
  <c r="Q418" i="9"/>
  <c r="S418" i="9" s="1"/>
  <c r="T418" i="9" s="1"/>
  <c r="U418" i="9" s="1"/>
  <c r="Q419" i="9"/>
  <c r="S419" i="9" s="1"/>
  <c r="T419" i="9" s="1"/>
  <c r="U419" i="9" s="1"/>
  <c r="Q422" i="9"/>
  <c r="S422" i="9" s="1"/>
  <c r="T422" i="9" s="1"/>
  <c r="U422" i="9" s="1"/>
  <c r="J424" i="9" a="1"/>
  <c r="O423" i="9" l="1"/>
  <c r="R423" i="9" s="1"/>
  <c r="S423" i="9" s="1"/>
  <c r="T423" i="9" s="1"/>
  <c r="U423" i="9" s="1"/>
  <c r="I426" i="9"/>
  <c r="L424" i="9"/>
  <c r="K424" i="9"/>
  <c r="N424" i="9"/>
  <c r="J424" i="9"/>
  <c r="M424" i="9"/>
  <c r="J425" i="9" a="1"/>
  <c r="O424" i="9" l="1"/>
  <c r="R424" i="9" s="1"/>
  <c r="S424" i="9" s="1"/>
  <c r="T424" i="9" s="1"/>
  <c r="U424" i="9" s="1"/>
  <c r="N425" i="9"/>
  <c r="M425" i="9"/>
  <c r="L425" i="9"/>
  <c r="J425" i="9"/>
  <c r="K425" i="9"/>
  <c r="I427" i="9"/>
  <c r="J426" i="9" a="1"/>
  <c r="O425" i="9" l="1"/>
  <c r="R425" i="9" s="1"/>
  <c r="I428" i="9"/>
  <c r="M426" i="9"/>
  <c r="L426" i="9"/>
  <c r="J426" i="9"/>
  <c r="N426" i="9"/>
  <c r="K426" i="9"/>
  <c r="J427" i="9" a="1"/>
  <c r="O426" i="9" l="1"/>
  <c r="R426" i="9" s="1"/>
  <c r="M427" i="9"/>
  <c r="L427" i="9"/>
  <c r="J427" i="9"/>
  <c r="K427" i="9"/>
  <c r="N427" i="9"/>
  <c r="I429" i="9"/>
  <c r="J428" i="9" a="1"/>
  <c r="O427" i="9" l="1"/>
  <c r="R427" i="9" s="1"/>
  <c r="I430" i="9"/>
  <c r="J428" i="9"/>
  <c r="K428" i="9"/>
  <c r="N428" i="9"/>
  <c r="M428" i="9"/>
  <c r="L428" i="9"/>
  <c r="J429" i="9" a="1"/>
  <c r="O428" i="9" l="1"/>
  <c r="R428" i="9" s="1"/>
  <c r="N429" i="9"/>
  <c r="M429" i="9"/>
  <c r="K429" i="9"/>
  <c r="L429" i="9"/>
  <c r="J429" i="9"/>
  <c r="I431" i="9"/>
  <c r="J430" i="9" a="1"/>
  <c r="O429" i="9" l="1"/>
  <c r="R429" i="9" s="1"/>
  <c r="I432" i="9"/>
  <c r="J430" i="9"/>
  <c r="L430" i="9"/>
  <c r="M430" i="9"/>
  <c r="N430" i="9"/>
  <c r="K430" i="9"/>
  <c r="J431" i="9" a="1"/>
  <c r="O430" i="9" l="1"/>
  <c r="R430" i="9" s="1"/>
  <c r="N431" i="9"/>
  <c r="M431" i="9"/>
  <c r="L431" i="9"/>
  <c r="J431" i="9"/>
  <c r="K431" i="9"/>
  <c r="I433" i="9"/>
  <c r="J432" i="9" a="1"/>
  <c r="P430" i="9" l="1"/>
  <c r="Q426" i="9" s="1"/>
  <c r="S426" i="9" s="1"/>
  <c r="T426" i="9" s="1"/>
  <c r="U426" i="9" s="1"/>
  <c r="O431" i="9"/>
  <c r="R431" i="9" s="1"/>
  <c r="Q430" i="9"/>
  <c r="S430" i="9" s="1"/>
  <c r="T430" i="9" s="1"/>
  <c r="U430" i="9" s="1"/>
  <c r="Q427" i="9"/>
  <c r="S427" i="9" s="1"/>
  <c r="T427" i="9" s="1"/>
  <c r="U427" i="9" s="1"/>
  <c r="N432" i="9"/>
  <c r="J432" i="9"/>
  <c r="L432" i="9"/>
  <c r="M432" i="9"/>
  <c r="K432" i="9"/>
  <c r="I434" i="9"/>
  <c r="J433" i="9" a="1"/>
  <c r="Q432" i="9" l="1"/>
  <c r="Q431" i="9"/>
  <c r="S431" i="9" s="1"/>
  <c r="T431" i="9" s="1"/>
  <c r="U431" i="9" s="1"/>
  <c r="Q433" i="9"/>
  <c r="Q428" i="9"/>
  <c r="S428" i="9" s="1"/>
  <c r="T428" i="9" s="1"/>
  <c r="U428" i="9" s="1"/>
  <c r="Q429" i="9"/>
  <c r="S429" i="9" s="1"/>
  <c r="T429" i="9" s="1"/>
  <c r="U429" i="9" s="1"/>
  <c r="Q425" i="9"/>
  <c r="S425" i="9" s="1"/>
  <c r="T425" i="9" s="1"/>
  <c r="U425" i="9" s="1"/>
  <c r="O432" i="9"/>
  <c r="R432" i="9" s="1"/>
  <c r="M433" i="9"/>
  <c r="J433" i="9"/>
  <c r="K433" i="9"/>
  <c r="N433" i="9"/>
  <c r="L433" i="9"/>
  <c r="I435" i="9"/>
  <c r="J434" i="9" a="1"/>
  <c r="S432" i="9" l="1"/>
  <c r="T432" i="9" s="1"/>
  <c r="U432" i="9" s="1"/>
  <c r="O433" i="9"/>
  <c r="R433" i="9" s="1"/>
  <c r="S433" i="9" s="1"/>
  <c r="T433" i="9" s="1"/>
  <c r="U433" i="9" s="1"/>
  <c r="I436" i="9"/>
  <c r="N434" i="9"/>
  <c r="J434" i="9"/>
  <c r="K434" i="9"/>
  <c r="L434" i="9"/>
  <c r="M434" i="9"/>
  <c r="J435" i="9" a="1"/>
  <c r="O434" i="9" l="1"/>
  <c r="R434" i="9" s="1"/>
  <c r="M435" i="9"/>
  <c r="K435" i="9"/>
  <c r="J435" i="9"/>
  <c r="L435" i="9"/>
  <c r="N435" i="9"/>
  <c r="I437" i="9"/>
  <c r="J436" i="9" a="1"/>
  <c r="O435" i="9" l="1"/>
  <c r="R435" i="9" s="1"/>
  <c r="I438" i="9"/>
  <c r="L436" i="9"/>
  <c r="M436" i="9"/>
  <c r="J436" i="9"/>
  <c r="K436" i="9"/>
  <c r="N436" i="9"/>
  <c r="J437" i="9" a="1"/>
  <c r="O436" i="9" l="1"/>
  <c r="R436" i="9" s="1"/>
  <c r="M437" i="9"/>
  <c r="N437" i="9"/>
  <c r="J437" i="9"/>
  <c r="K437" i="9"/>
  <c r="L437" i="9"/>
  <c r="I439" i="9"/>
  <c r="J438" i="9" a="1"/>
  <c r="O437" i="9" l="1"/>
  <c r="R437" i="9" s="1"/>
  <c r="I440" i="9"/>
  <c r="K438" i="9"/>
  <c r="M438" i="9"/>
  <c r="L438" i="9"/>
  <c r="J438" i="9"/>
  <c r="N438" i="9"/>
  <c r="J439" i="9" a="1"/>
  <c r="O438" i="9" l="1"/>
  <c r="R438" i="9" s="1"/>
  <c r="K439" i="9"/>
  <c r="M439" i="9"/>
  <c r="N439" i="9"/>
  <c r="L439" i="9"/>
  <c r="J439" i="9"/>
  <c r="I441" i="9"/>
  <c r="J440" i="9" a="1"/>
  <c r="O439" i="9" l="1"/>
  <c r="R439" i="9" s="1"/>
  <c r="I442" i="9"/>
  <c r="N440" i="9"/>
  <c r="K440" i="9"/>
  <c r="L440" i="9"/>
  <c r="M440" i="9"/>
  <c r="J440" i="9"/>
  <c r="J441" i="9" a="1"/>
  <c r="P439" i="9" l="1"/>
  <c r="Q437" i="9" s="1"/>
  <c r="S437" i="9" s="1"/>
  <c r="T437" i="9" s="1"/>
  <c r="U437" i="9" s="1"/>
  <c r="O440" i="9"/>
  <c r="R440" i="9" s="1"/>
  <c r="Q435" i="9"/>
  <c r="S435" i="9" s="1"/>
  <c r="T435" i="9" s="1"/>
  <c r="U435" i="9" s="1"/>
  <c r="L441" i="9"/>
  <c r="N441" i="9"/>
  <c r="M441" i="9"/>
  <c r="J441" i="9"/>
  <c r="K441" i="9"/>
  <c r="I443" i="9"/>
  <c r="J442" i="9" a="1"/>
  <c r="Q439" i="9" l="1"/>
  <c r="S439" i="9" s="1"/>
  <c r="T439" i="9" s="1"/>
  <c r="U439" i="9" s="1"/>
  <c r="Q441" i="9"/>
  <c r="Q434" i="9"/>
  <c r="S434" i="9" s="1"/>
  <c r="T434" i="9" s="1"/>
  <c r="U434" i="9" s="1"/>
  <c r="Q440" i="9"/>
  <c r="S440" i="9" s="1"/>
  <c r="T440" i="9" s="1"/>
  <c r="U440" i="9" s="1"/>
  <c r="Q442" i="9"/>
  <c r="Q438" i="9"/>
  <c r="S438" i="9" s="1"/>
  <c r="T438" i="9" s="1"/>
  <c r="U438" i="9" s="1"/>
  <c r="Q436" i="9"/>
  <c r="S436" i="9" s="1"/>
  <c r="T436" i="9" s="1"/>
  <c r="U436" i="9" s="1"/>
  <c r="O441" i="9"/>
  <c r="R441" i="9" s="1"/>
  <c r="S441" i="9" s="1"/>
  <c r="T441" i="9" s="1"/>
  <c r="U441" i="9" s="1"/>
  <c r="K442" i="9"/>
  <c r="J442" i="9"/>
  <c r="L442" i="9"/>
  <c r="M442" i="9"/>
  <c r="N442" i="9"/>
  <c r="I444" i="9"/>
  <c r="J443" i="9" a="1"/>
  <c r="O442" i="9" l="1"/>
  <c r="R442" i="9" s="1"/>
  <c r="S442" i="9" s="1"/>
  <c r="T442" i="9" s="1"/>
  <c r="U442" i="9" s="1"/>
  <c r="J443" i="9"/>
  <c r="L443" i="9"/>
  <c r="K443" i="9"/>
  <c r="M443" i="9"/>
  <c r="N443" i="9"/>
  <c r="I445" i="9"/>
  <c r="J444" i="9" a="1"/>
  <c r="O443" i="9" l="1"/>
  <c r="R443" i="9" s="1"/>
  <c r="I446" i="9"/>
  <c r="L444" i="9"/>
  <c r="K444" i="9"/>
  <c r="N444" i="9"/>
  <c r="J444" i="9"/>
  <c r="M444" i="9"/>
  <c r="J445" i="9" a="1"/>
  <c r="O444" i="9" l="1"/>
  <c r="R444" i="9" s="1"/>
  <c r="M445" i="9"/>
  <c r="K445" i="9"/>
  <c r="N445" i="9"/>
  <c r="L445" i="9"/>
  <c r="J445" i="9"/>
  <c r="I447" i="9"/>
  <c r="J446" i="9" a="1"/>
  <c r="O445" i="9" l="1"/>
  <c r="R445" i="9" s="1"/>
  <c r="I448" i="9"/>
  <c r="J446" i="9"/>
  <c r="L446" i="9"/>
  <c r="M446" i="9"/>
  <c r="N446" i="9"/>
  <c r="K446" i="9"/>
  <c r="J447" i="9" a="1"/>
  <c r="O446" i="9" l="1"/>
  <c r="R446" i="9" s="1"/>
  <c r="N447" i="9"/>
  <c r="M447" i="9"/>
  <c r="J447" i="9"/>
  <c r="K447" i="9"/>
  <c r="L447" i="9"/>
  <c r="I449" i="9"/>
  <c r="J448" i="9" a="1"/>
  <c r="O447" i="9" l="1"/>
  <c r="R447" i="9" s="1"/>
  <c r="I450" i="9"/>
  <c r="K448" i="9"/>
  <c r="L448" i="9"/>
  <c r="M448" i="9"/>
  <c r="N448" i="9"/>
  <c r="J448" i="9"/>
  <c r="J449" i="9" a="1"/>
  <c r="O448" i="9" l="1"/>
  <c r="R448" i="9" s="1"/>
  <c r="K449" i="9"/>
  <c r="J449" i="9"/>
  <c r="L449" i="9"/>
  <c r="M449" i="9"/>
  <c r="N449" i="9"/>
  <c r="I451" i="9"/>
  <c r="J450" i="9" a="1"/>
  <c r="O449" i="9" l="1"/>
  <c r="R449" i="9" s="1"/>
  <c r="P448" i="9"/>
  <c r="Q446" i="9" s="1"/>
  <c r="S446" i="9" s="1"/>
  <c r="T446" i="9" s="1"/>
  <c r="U446" i="9" s="1"/>
  <c r="Q447" i="9"/>
  <c r="S447" i="9" s="1"/>
  <c r="T447" i="9" s="1"/>
  <c r="U447" i="9" s="1"/>
  <c r="Q443" i="9"/>
  <c r="S443" i="9" s="1"/>
  <c r="T443" i="9" s="1"/>
  <c r="U443" i="9" s="1"/>
  <c r="K450" i="9"/>
  <c r="M450" i="9"/>
  <c r="L450" i="9"/>
  <c r="J450" i="9"/>
  <c r="N450" i="9"/>
  <c r="I452" i="9"/>
  <c r="J451" i="9" a="1"/>
  <c r="Q451" i="9" l="1"/>
  <c r="Q444" i="9"/>
  <c r="S444" i="9" s="1"/>
  <c r="T444" i="9" s="1"/>
  <c r="U444" i="9" s="1"/>
  <c r="Q448" i="9"/>
  <c r="S448" i="9" s="1"/>
  <c r="T448" i="9" s="1"/>
  <c r="U448" i="9" s="1"/>
  <c r="Q445" i="9"/>
  <c r="S445" i="9" s="1"/>
  <c r="T445" i="9" s="1"/>
  <c r="U445" i="9" s="1"/>
  <c r="Q449" i="9"/>
  <c r="S449" i="9" s="1"/>
  <c r="T449" i="9" s="1"/>
  <c r="U449" i="9" s="1"/>
  <c r="Q450" i="9"/>
  <c r="O450" i="9"/>
  <c r="R450" i="9" s="1"/>
  <c r="I453" i="9"/>
  <c r="J451" i="9"/>
  <c r="L451" i="9"/>
  <c r="K451" i="9"/>
  <c r="M451" i="9"/>
  <c r="N451" i="9"/>
  <c r="J452" i="9" a="1"/>
  <c r="S450" i="9" l="1"/>
  <c r="T450" i="9" s="1"/>
  <c r="U450" i="9" s="1"/>
  <c r="O451" i="9"/>
  <c r="R451" i="9" s="1"/>
  <c r="S451" i="9" s="1"/>
  <c r="T451" i="9" s="1"/>
  <c r="U451" i="9" s="1"/>
  <c r="K452" i="9"/>
  <c r="J452" i="9"/>
  <c r="N452" i="9"/>
  <c r="L452" i="9"/>
  <c r="M452" i="9"/>
  <c r="I454" i="9"/>
  <c r="J453" i="9" a="1"/>
  <c r="O452" i="9" l="1"/>
  <c r="R452" i="9" s="1"/>
  <c r="I455" i="9"/>
  <c r="J453" i="9"/>
  <c r="K453" i="9"/>
  <c r="M453" i="9"/>
  <c r="N453" i="9"/>
  <c r="L453" i="9"/>
  <c r="J454" i="9" a="1"/>
  <c r="O453" i="9" l="1"/>
  <c r="R453" i="9" s="1"/>
  <c r="J454" i="9"/>
  <c r="K454" i="9"/>
  <c r="N454" i="9"/>
  <c r="L454" i="9"/>
  <c r="M454" i="9"/>
  <c r="I456" i="9"/>
  <c r="J455" i="9" a="1"/>
  <c r="O454" i="9" l="1"/>
  <c r="R454" i="9" s="1"/>
  <c r="N455" i="9"/>
  <c r="K455" i="9"/>
  <c r="J455" i="9"/>
  <c r="L455" i="9"/>
  <c r="M455" i="9"/>
  <c r="I457" i="9"/>
  <c r="J456" i="9" a="1"/>
  <c r="O455" i="9" l="1"/>
  <c r="R455" i="9" s="1"/>
  <c r="I458" i="9"/>
  <c r="N456" i="9"/>
  <c r="J456" i="9"/>
  <c r="M456" i="9"/>
  <c r="K456" i="9"/>
  <c r="L456" i="9"/>
  <c r="J457" i="9" a="1"/>
  <c r="O456" i="9" l="1"/>
  <c r="R456" i="9" s="1"/>
  <c r="J457" i="9"/>
  <c r="K457" i="9"/>
  <c r="L457" i="9"/>
  <c r="M457" i="9"/>
  <c r="N457" i="9"/>
  <c r="I459" i="9"/>
  <c r="J458" i="9" a="1"/>
  <c r="O457" i="9" l="1"/>
  <c r="R457" i="9" s="1"/>
  <c r="N458" i="9"/>
  <c r="L458" i="9"/>
  <c r="K458" i="9"/>
  <c r="J458" i="9"/>
  <c r="M458" i="9"/>
  <c r="I460" i="9"/>
  <c r="J459" i="9" a="1"/>
  <c r="O458" i="9" l="1"/>
  <c r="R458" i="9" s="1"/>
  <c r="P457" i="9"/>
  <c r="Q457" i="9" s="1"/>
  <c r="S457" i="9" s="1"/>
  <c r="T457" i="9" s="1"/>
  <c r="U457" i="9" s="1"/>
  <c r="Q458" i="9"/>
  <c r="S458" i="9" s="1"/>
  <c r="T458" i="9" s="1"/>
  <c r="U458" i="9" s="1"/>
  <c r="Q453" i="9"/>
  <c r="S453" i="9" s="1"/>
  <c r="T453" i="9" s="1"/>
  <c r="U453" i="9" s="1"/>
  <c r="Q452" i="9"/>
  <c r="S452" i="9" s="1"/>
  <c r="T452" i="9" s="1"/>
  <c r="U452" i="9" s="1"/>
  <c r="I461" i="9"/>
  <c r="N459" i="9"/>
  <c r="L459" i="9"/>
  <c r="M459" i="9"/>
  <c r="J459" i="9"/>
  <c r="K459" i="9"/>
  <c r="J460" i="9" a="1"/>
  <c r="Q455" i="9" l="1"/>
  <c r="S455" i="9" s="1"/>
  <c r="T455" i="9" s="1"/>
  <c r="U455" i="9" s="1"/>
  <c r="Q459" i="9"/>
  <c r="Q460" i="9"/>
  <c r="Q456" i="9"/>
  <c r="S456" i="9" s="1"/>
  <c r="T456" i="9" s="1"/>
  <c r="U456" i="9" s="1"/>
  <c r="Q454" i="9"/>
  <c r="S454" i="9" s="1"/>
  <c r="T454" i="9" s="1"/>
  <c r="U454" i="9" s="1"/>
  <c r="O459" i="9"/>
  <c r="R459" i="9" s="1"/>
  <c r="I462" i="9"/>
  <c r="N460" i="9"/>
  <c r="J460" i="9"/>
  <c r="K460" i="9"/>
  <c r="M460" i="9"/>
  <c r="L460" i="9"/>
  <c r="J461" i="9" a="1"/>
  <c r="S459" i="9" l="1"/>
  <c r="T459" i="9" s="1"/>
  <c r="U459" i="9" s="1"/>
  <c r="O460" i="9"/>
  <c r="R460" i="9" s="1"/>
  <c r="S460" i="9" s="1"/>
  <c r="T460" i="9" s="1"/>
  <c r="U460" i="9" s="1"/>
  <c r="N461" i="9"/>
  <c r="L461" i="9"/>
  <c r="J461" i="9"/>
  <c r="K461" i="9"/>
  <c r="M461" i="9"/>
  <c r="I463" i="9"/>
  <c r="J462" i="9" a="1"/>
  <c r="O461" i="9" l="1"/>
  <c r="R461" i="9" s="1"/>
  <c r="I464" i="9"/>
  <c r="N462" i="9"/>
  <c r="K462" i="9"/>
  <c r="L462" i="9"/>
  <c r="M462" i="9"/>
  <c r="J462" i="9"/>
  <c r="J463" i="9" a="1"/>
  <c r="O462" i="9" l="1"/>
  <c r="R462" i="9" s="1"/>
  <c r="M463" i="9"/>
  <c r="L463" i="9"/>
  <c r="J463" i="9"/>
  <c r="K463" i="9"/>
  <c r="N463" i="9"/>
  <c r="I465" i="9"/>
  <c r="J464" i="9" a="1"/>
  <c r="O463" i="9" l="1"/>
  <c r="R463" i="9" s="1"/>
  <c r="I466" i="9"/>
  <c r="N464" i="9"/>
  <c r="M464" i="9"/>
  <c r="J464" i="9"/>
  <c r="K464" i="9"/>
  <c r="L464" i="9"/>
  <c r="J465" i="9" a="1"/>
  <c r="O464" i="9" l="1"/>
  <c r="R464" i="9" s="1"/>
  <c r="K465" i="9"/>
  <c r="L465" i="9"/>
  <c r="J465" i="9"/>
  <c r="N465" i="9"/>
  <c r="M465" i="9"/>
  <c r="I467" i="9"/>
  <c r="J466" i="9" a="1"/>
  <c r="O465" i="9" l="1"/>
  <c r="R465" i="9" s="1"/>
  <c r="I468" i="9"/>
  <c r="J466" i="9"/>
  <c r="K466" i="9"/>
  <c r="L466" i="9"/>
  <c r="N466" i="9"/>
  <c r="M466" i="9"/>
  <c r="J467" i="9" a="1"/>
  <c r="O466" i="9" l="1"/>
  <c r="R466" i="9" s="1"/>
  <c r="L467" i="9"/>
  <c r="N467" i="9"/>
  <c r="J467" i="9"/>
  <c r="K467" i="9"/>
  <c r="M467" i="9"/>
  <c r="I469" i="9"/>
  <c r="J468" i="9" a="1"/>
  <c r="P466" i="9" l="1"/>
  <c r="Q467" i="9" s="1"/>
  <c r="S467" i="9" s="1"/>
  <c r="T467" i="9" s="1"/>
  <c r="U467" i="9" s="1"/>
  <c r="O467" i="9"/>
  <c r="R467" i="9" s="1"/>
  <c r="J468" i="9"/>
  <c r="N468" i="9"/>
  <c r="K468" i="9"/>
  <c r="M468" i="9"/>
  <c r="L468" i="9"/>
  <c r="Q465" i="9"/>
  <c r="S465" i="9" s="1"/>
  <c r="T465" i="9" s="1"/>
  <c r="U465" i="9" s="1"/>
  <c r="I470" i="9"/>
  <c r="J469" i="9" a="1"/>
  <c r="Q461" i="9" l="1"/>
  <c r="S461" i="9" s="1"/>
  <c r="T461" i="9" s="1"/>
  <c r="U461" i="9" s="1"/>
  <c r="Q468" i="9"/>
  <c r="Q464" i="9"/>
  <c r="S464" i="9" s="1"/>
  <c r="T464" i="9" s="1"/>
  <c r="U464" i="9" s="1"/>
  <c r="Q463" i="9"/>
  <c r="S463" i="9" s="1"/>
  <c r="T463" i="9" s="1"/>
  <c r="U463" i="9" s="1"/>
  <c r="Q466" i="9"/>
  <c r="S466" i="9" s="1"/>
  <c r="T466" i="9" s="1"/>
  <c r="U466" i="9" s="1"/>
  <c r="Q469" i="9"/>
  <c r="Q462" i="9"/>
  <c r="S462" i="9" s="1"/>
  <c r="T462" i="9" s="1"/>
  <c r="U462" i="9" s="1"/>
  <c r="O468" i="9"/>
  <c r="R468" i="9" s="1"/>
  <c r="K469" i="9"/>
  <c r="L469" i="9"/>
  <c r="J469" i="9"/>
  <c r="M469" i="9"/>
  <c r="N469" i="9"/>
  <c r="I471" i="9"/>
  <c r="J470" i="9" a="1"/>
  <c r="S468" i="9" l="1"/>
  <c r="T468" i="9" s="1"/>
  <c r="U468" i="9" s="1"/>
  <c r="O469" i="9"/>
  <c r="R469" i="9" s="1"/>
  <c r="S469" i="9" s="1"/>
  <c r="T469" i="9" s="1"/>
  <c r="U469" i="9" s="1"/>
  <c r="I472" i="9"/>
  <c r="M470" i="9"/>
  <c r="J470" i="9"/>
  <c r="N470" i="9"/>
  <c r="K470" i="9"/>
  <c r="L470" i="9"/>
  <c r="J471" i="9" a="1"/>
  <c r="O470" i="9" l="1"/>
  <c r="R470" i="9" s="1"/>
  <c r="K471" i="9"/>
  <c r="N471" i="9"/>
  <c r="J471" i="9"/>
  <c r="L471" i="9"/>
  <c r="M471" i="9"/>
  <c r="I473" i="9"/>
  <c r="J472" i="9" a="1"/>
  <c r="O471" i="9" l="1"/>
  <c r="R471" i="9" s="1"/>
  <c r="I474" i="9"/>
  <c r="K472" i="9"/>
  <c r="J472" i="9"/>
  <c r="L472" i="9"/>
  <c r="M472" i="9"/>
  <c r="N472" i="9"/>
  <c r="J473" i="9" a="1"/>
  <c r="O472" i="9" l="1"/>
  <c r="R472" i="9" s="1"/>
  <c r="J473" i="9"/>
  <c r="M473" i="9"/>
  <c r="K473" i="9"/>
  <c r="L473" i="9"/>
  <c r="N473" i="9"/>
  <c r="I475" i="9"/>
  <c r="J474" i="9" a="1"/>
  <c r="O473" i="9" l="1"/>
  <c r="R473" i="9" s="1"/>
  <c r="J474" i="9"/>
  <c r="M474" i="9"/>
  <c r="K474" i="9"/>
  <c r="L474" i="9"/>
  <c r="N474" i="9"/>
  <c r="I476" i="9"/>
  <c r="J475" i="9" a="1"/>
  <c r="O474" i="9" l="1"/>
  <c r="R474" i="9" s="1"/>
  <c r="L475" i="9"/>
  <c r="K475" i="9"/>
  <c r="N475" i="9"/>
  <c r="J475" i="9"/>
  <c r="M475" i="9"/>
  <c r="I477" i="9"/>
  <c r="J476" i="9" a="1"/>
  <c r="O475" i="9" l="1"/>
  <c r="R475" i="9" s="1"/>
  <c r="I478" i="9"/>
  <c r="N476" i="9"/>
  <c r="J476" i="9"/>
  <c r="K476" i="9"/>
  <c r="M476" i="9"/>
  <c r="L476" i="9"/>
  <c r="J477" i="9" a="1"/>
  <c r="P475" i="9" l="1"/>
  <c r="Q470" i="9" s="1"/>
  <c r="S470" i="9" s="1"/>
  <c r="T470" i="9" s="1"/>
  <c r="U470" i="9" s="1"/>
  <c r="O476" i="9"/>
  <c r="R476" i="9" s="1"/>
  <c r="Q472" i="9"/>
  <c r="S472" i="9" s="1"/>
  <c r="T472" i="9" s="1"/>
  <c r="U472" i="9" s="1"/>
  <c r="Q478" i="9"/>
  <c r="Q476" i="9"/>
  <c r="Q477" i="9"/>
  <c r="Q473" i="9"/>
  <c r="S473" i="9" s="1"/>
  <c r="T473" i="9" s="1"/>
  <c r="U473" i="9" s="1"/>
  <c r="M477" i="9"/>
  <c r="N477" i="9"/>
  <c r="J477" i="9"/>
  <c r="K477" i="9"/>
  <c r="L477" i="9"/>
  <c r="I479" i="9"/>
  <c r="J478" i="9" a="1"/>
  <c r="S476" i="9" l="1"/>
  <c r="T476" i="9" s="1"/>
  <c r="U476" i="9" s="1"/>
  <c r="Q471" i="9"/>
  <c r="S471" i="9" s="1"/>
  <c r="T471" i="9" s="1"/>
  <c r="U471" i="9" s="1"/>
  <c r="Q474" i="9"/>
  <c r="S474" i="9" s="1"/>
  <c r="T474" i="9" s="1"/>
  <c r="U474" i="9" s="1"/>
  <c r="Q475" i="9"/>
  <c r="S475" i="9" s="1"/>
  <c r="T475" i="9" s="1"/>
  <c r="U475" i="9" s="1"/>
  <c r="O477" i="9"/>
  <c r="R477" i="9" s="1"/>
  <c r="S477" i="9" s="1"/>
  <c r="T477" i="9" s="1"/>
  <c r="U477" i="9" s="1"/>
  <c r="I480" i="9"/>
  <c r="N478" i="9"/>
  <c r="J478" i="9"/>
  <c r="L478" i="9"/>
  <c r="K478" i="9"/>
  <c r="M478" i="9"/>
  <c r="J479" i="9" a="1"/>
  <c r="O478" i="9" l="1"/>
  <c r="R478" i="9" s="1"/>
  <c r="S478" i="9" s="1"/>
  <c r="T478" i="9" s="1"/>
  <c r="U478" i="9" s="1"/>
  <c r="L479" i="9"/>
  <c r="M479" i="9"/>
  <c r="N479" i="9"/>
  <c r="J479" i="9"/>
  <c r="K479" i="9"/>
  <c r="I481" i="9"/>
  <c r="J480" i="9" a="1"/>
  <c r="O479" i="9" l="1"/>
  <c r="R479" i="9" s="1"/>
  <c r="I482" i="9"/>
  <c r="M480" i="9"/>
  <c r="L480" i="9"/>
  <c r="N480" i="9"/>
  <c r="K480" i="9"/>
  <c r="J480" i="9"/>
  <c r="J481" i="9" a="1"/>
  <c r="O480" i="9" l="1"/>
  <c r="R480" i="9" s="1"/>
  <c r="K481" i="9"/>
  <c r="M481" i="9"/>
  <c r="N481" i="9"/>
  <c r="J481" i="9"/>
  <c r="L481" i="9"/>
  <c r="I483" i="9"/>
  <c r="J482" i="9" a="1"/>
  <c r="O481" i="9" l="1"/>
  <c r="R481" i="9" s="1"/>
  <c r="I484" i="9"/>
  <c r="M482" i="9"/>
  <c r="N482" i="9"/>
  <c r="J482" i="9"/>
  <c r="K482" i="9"/>
  <c r="L482" i="9"/>
  <c r="J483" i="9" a="1"/>
  <c r="O482" i="9" l="1"/>
  <c r="R482" i="9" s="1"/>
  <c r="M483" i="9"/>
  <c r="J483" i="9"/>
  <c r="N483" i="9"/>
  <c r="K483" i="9"/>
  <c r="L483" i="9"/>
  <c r="I485" i="9"/>
  <c r="J484" i="9" a="1"/>
  <c r="O483" i="9" l="1"/>
  <c r="R483" i="9" s="1"/>
  <c r="I486" i="9"/>
  <c r="N484" i="9"/>
  <c r="L484" i="9"/>
  <c r="J484" i="9"/>
  <c r="M484" i="9"/>
  <c r="K484" i="9"/>
  <c r="J485" i="9" a="1"/>
  <c r="O484" i="9" l="1"/>
  <c r="P484" i="9" s="1"/>
  <c r="N485" i="9"/>
  <c r="J485" i="9"/>
  <c r="K485" i="9"/>
  <c r="M485" i="9"/>
  <c r="L485" i="9"/>
  <c r="I487" i="9"/>
  <c r="J486" i="9" a="1"/>
  <c r="R484" i="9" l="1"/>
  <c r="O485" i="9"/>
  <c r="R485" i="9" s="1"/>
  <c r="N486" i="9"/>
  <c r="M486" i="9"/>
  <c r="K486" i="9"/>
  <c r="J486" i="9"/>
  <c r="L486" i="9"/>
  <c r="I488" i="9"/>
  <c r="Q482" i="9"/>
  <c r="S482" i="9" s="1"/>
  <c r="T482" i="9" s="1"/>
  <c r="U482" i="9" s="1"/>
  <c r="Q486" i="9"/>
  <c r="Q479" i="9"/>
  <c r="S479" i="9" s="1"/>
  <c r="T479" i="9" s="1"/>
  <c r="U479" i="9" s="1"/>
  <c r="Q483" i="9"/>
  <c r="S483" i="9" s="1"/>
  <c r="T483" i="9" s="1"/>
  <c r="U483" i="9" s="1"/>
  <c r="Q487" i="9"/>
  <c r="Q480" i="9"/>
  <c r="S480" i="9" s="1"/>
  <c r="T480" i="9" s="1"/>
  <c r="U480" i="9" s="1"/>
  <c r="Q484" i="9"/>
  <c r="S484" i="9" s="1"/>
  <c r="T484" i="9" s="1"/>
  <c r="U484" i="9" s="1"/>
  <c r="Q481" i="9"/>
  <c r="S481" i="9" s="1"/>
  <c r="T481" i="9" s="1"/>
  <c r="U481" i="9" s="1"/>
  <c r="Q485" i="9"/>
  <c r="J487" i="9" a="1"/>
  <c r="S485" i="9" l="1"/>
  <c r="T485" i="9" s="1"/>
  <c r="U485" i="9" s="1"/>
  <c r="O486" i="9"/>
  <c r="R486" i="9" s="1"/>
  <c r="S486" i="9" s="1"/>
  <c r="T486" i="9" s="1"/>
  <c r="U486" i="9" s="1"/>
  <c r="I489" i="9"/>
  <c r="M487" i="9"/>
  <c r="N487" i="9"/>
  <c r="L487" i="9"/>
  <c r="K487" i="9"/>
  <c r="J487" i="9"/>
  <c r="J488" i="9" a="1"/>
  <c r="O487" i="9" l="1"/>
  <c r="R487" i="9" s="1"/>
  <c r="S487" i="9" s="1"/>
  <c r="T487" i="9" s="1"/>
  <c r="U487" i="9" s="1"/>
  <c r="J488" i="9"/>
  <c r="K488" i="9"/>
  <c r="L488" i="9"/>
  <c r="M488" i="9"/>
  <c r="N488" i="9"/>
  <c r="I490" i="9"/>
  <c r="J489" i="9" a="1"/>
  <c r="O488" i="9" l="1"/>
  <c r="R488" i="9" s="1"/>
  <c r="L489" i="9"/>
  <c r="M489" i="9"/>
  <c r="N489" i="9"/>
  <c r="J489" i="9"/>
  <c r="K489" i="9"/>
  <c r="I491" i="9"/>
  <c r="J490" i="9" a="1"/>
  <c r="O489" i="9" l="1"/>
  <c r="R489" i="9" s="1"/>
  <c r="I492" i="9"/>
  <c r="L490" i="9"/>
  <c r="M490" i="9"/>
  <c r="N490" i="9"/>
  <c r="J490" i="9"/>
  <c r="K490" i="9"/>
  <c r="J491" i="9" a="1"/>
  <c r="O490" i="9" l="1"/>
  <c r="R490" i="9" s="1"/>
  <c r="K491" i="9"/>
  <c r="M491" i="9"/>
  <c r="N491" i="9"/>
  <c r="L491" i="9"/>
  <c r="J491" i="9"/>
  <c r="I493" i="9"/>
  <c r="J492" i="9" a="1"/>
  <c r="O491" i="9" l="1"/>
  <c r="R491" i="9" s="1"/>
  <c r="I494" i="9"/>
  <c r="K492" i="9"/>
  <c r="L492" i="9"/>
  <c r="N492" i="9"/>
  <c r="M492" i="9"/>
  <c r="J492" i="9"/>
  <c r="J493" i="9" a="1"/>
  <c r="O492" i="9" l="1"/>
  <c r="R492" i="9" s="1"/>
  <c r="M493" i="9"/>
  <c r="N493" i="9"/>
  <c r="J493" i="9"/>
  <c r="K493" i="9"/>
  <c r="L493" i="9"/>
  <c r="I495" i="9"/>
  <c r="J494" i="9" a="1"/>
  <c r="O493" i="9" l="1"/>
  <c r="P493" i="9" s="1"/>
  <c r="I496" i="9"/>
  <c r="K494" i="9"/>
  <c r="L494" i="9"/>
  <c r="M494" i="9"/>
  <c r="N494" i="9"/>
  <c r="J494" i="9"/>
  <c r="J495" i="9" a="1"/>
  <c r="O494" i="9" l="1"/>
  <c r="R494" i="9" s="1"/>
  <c r="R493" i="9"/>
  <c r="J495" i="9"/>
  <c r="K495" i="9"/>
  <c r="M495" i="9"/>
  <c r="L495" i="9"/>
  <c r="N495" i="9"/>
  <c r="Q496" i="9"/>
  <c r="Q489" i="9"/>
  <c r="S489" i="9" s="1"/>
  <c r="T489" i="9" s="1"/>
  <c r="U489" i="9" s="1"/>
  <c r="Q488" i="9"/>
  <c r="S488" i="9" s="1"/>
  <c r="T488" i="9" s="1"/>
  <c r="U488" i="9" s="1"/>
  <c r="Q492" i="9"/>
  <c r="S492" i="9" s="1"/>
  <c r="T492" i="9" s="1"/>
  <c r="U492" i="9" s="1"/>
  <c r="Q490" i="9"/>
  <c r="S490" i="9" s="1"/>
  <c r="T490" i="9" s="1"/>
  <c r="U490" i="9" s="1"/>
  <c r="Q494" i="9"/>
  <c r="S494" i="9" s="1"/>
  <c r="T494" i="9" s="1"/>
  <c r="U494" i="9" s="1"/>
  <c r="Q493" i="9"/>
  <c r="S493" i="9" s="1"/>
  <c r="T493" i="9" s="1"/>
  <c r="U493" i="9" s="1"/>
  <c r="Q491" i="9"/>
  <c r="S491" i="9" s="1"/>
  <c r="T491" i="9" s="1"/>
  <c r="U491" i="9" s="1"/>
  <c r="Q495" i="9"/>
  <c r="I497" i="9"/>
  <c r="J496" i="9" a="1"/>
  <c r="O495" i="9" l="1"/>
  <c r="R495" i="9" s="1"/>
  <c r="S495" i="9" s="1"/>
  <c r="T495" i="9" s="1"/>
  <c r="U495" i="9" s="1"/>
  <c r="K496" i="9"/>
  <c r="L496" i="9"/>
  <c r="M496" i="9"/>
  <c r="N496" i="9"/>
  <c r="J496" i="9"/>
  <c r="I498" i="9"/>
  <c r="J497" i="9" a="1"/>
  <c r="O496" i="9" l="1"/>
  <c r="R496" i="9" s="1"/>
  <c r="S496" i="9" s="1"/>
  <c r="T496" i="9" s="1"/>
  <c r="U496" i="9" s="1"/>
  <c r="K497" i="9"/>
  <c r="L497" i="9"/>
  <c r="M497" i="9"/>
  <c r="N497" i="9"/>
  <c r="J497" i="9"/>
  <c r="I499" i="9"/>
  <c r="J498" i="9" a="1"/>
  <c r="O497" i="9" l="1"/>
  <c r="R497" i="9" s="1"/>
  <c r="I500" i="9"/>
  <c r="N498" i="9"/>
  <c r="K498" i="9"/>
  <c r="L498" i="9"/>
  <c r="M498" i="9"/>
  <c r="J498" i="9"/>
  <c r="J499" i="9" a="1"/>
  <c r="O498" i="9" l="1"/>
  <c r="R498" i="9" s="1"/>
  <c r="J499" i="9"/>
  <c r="K499" i="9"/>
  <c r="M499" i="9"/>
  <c r="N499" i="9"/>
  <c r="L499" i="9"/>
  <c r="I501" i="9"/>
  <c r="J500" i="9" a="1"/>
  <c r="O499" i="9" l="1"/>
  <c r="R499" i="9" s="1"/>
  <c r="N500" i="9"/>
  <c r="K500" i="9"/>
  <c r="L500" i="9"/>
  <c r="M500" i="9"/>
  <c r="J500" i="9"/>
  <c r="I502" i="9"/>
  <c r="J501" i="9" a="1"/>
  <c r="O500" i="9" l="1"/>
  <c r="R500" i="9" s="1"/>
  <c r="I503" i="9"/>
  <c r="K501" i="9"/>
  <c r="L501" i="9"/>
  <c r="M501" i="9"/>
  <c r="N501" i="9"/>
  <c r="J501" i="9"/>
  <c r="J502" i="9" a="1"/>
  <c r="O501" i="9" l="1"/>
  <c r="R501" i="9" s="1"/>
  <c r="J502" i="9"/>
  <c r="K502" i="9"/>
  <c r="L502" i="9"/>
  <c r="M502" i="9"/>
  <c r="N502" i="9"/>
  <c r="I504" i="9"/>
  <c r="J503" i="9" a="1"/>
  <c r="O502" i="9" l="1"/>
  <c r="P502" i="9" s="1"/>
  <c r="I505" i="9"/>
  <c r="J503" i="9"/>
  <c r="L503" i="9"/>
  <c r="K503" i="9"/>
  <c r="M503" i="9"/>
  <c r="N503" i="9"/>
  <c r="J504" i="9" a="1"/>
  <c r="R502" i="9" l="1"/>
  <c r="O503" i="9"/>
  <c r="R503" i="9" s="1"/>
  <c r="J504" i="9"/>
  <c r="K504" i="9"/>
  <c r="L504" i="9"/>
  <c r="M504" i="9"/>
  <c r="N504" i="9"/>
  <c r="Q497" i="9"/>
  <c r="S497" i="9" s="1"/>
  <c r="T497" i="9" s="1"/>
  <c r="U497" i="9" s="1"/>
  <c r="Q498" i="9"/>
  <c r="S498" i="9" s="1"/>
  <c r="T498" i="9" s="1"/>
  <c r="U498" i="9" s="1"/>
  <c r="Q499" i="9"/>
  <c r="S499" i="9" s="1"/>
  <c r="T499" i="9" s="1"/>
  <c r="U499" i="9" s="1"/>
  <c r="Q504" i="9"/>
  <c r="Q500" i="9"/>
  <c r="S500" i="9" s="1"/>
  <c r="T500" i="9" s="1"/>
  <c r="U500" i="9" s="1"/>
  <c r="Q505" i="9"/>
  <c r="Q501" i="9"/>
  <c r="S501" i="9" s="1"/>
  <c r="T501" i="9" s="1"/>
  <c r="U501" i="9" s="1"/>
  <c r="Q503" i="9"/>
  <c r="S503" i="9" s="1"/>
  <c r="T503" i="9" s="1"/>
  <c r="U503" i="9" s="1"/>
  <c r="Q502" i="9"/>
  <c r="S502" i="9" s="1"/>
  <c r="T502" i="9" s="1"/>
  <c r="U502" i="9" s="1"/>
  <c r="I506" i="9"/>
  <c r="J505" i="9" a="1"/>
  <c r="O504" i="9" l="1"/>
  <c r="R504" i="9" s="1"/>
  <c r="S504" i="9" s="1"/>
  <c r="T504" i="9" s="1"/>
  <c r="U504" i="9" s="1"/>
  <c r="M505" i="9"/>
  <c r="N505" i="9"/>
  <c r="J505" i="9"/>
  <c r="K505" i="9"/>
  <c r="L505" i="9"/>
  <c r="I507" i="9"/>
  <c r="J506" i="9" a="1"/>
  <c r="O505" i="9" l="1"/>
  <c r="R505" i="9" s="1"/>
  <c r="S505" i="9" s="1"/>
  <c r="T505" i="9" s="1"/>
  <c r="U505" i="9" s="1"/>
  <c r="N506" i="9"/>
  <c r="K506" i="9"/>
  <c r="J506" i="9"/>
  <c r="L506" i="9"/>
  <c r="M506" i="9"/>
  <c r="I508" i="9"/>
  <c r="J507" i="9" a="1"/>
  <c r="O506" i="9" l="1"/>
  <c r="R506" i="9" s="1"/>
  <c r="I509" i="9"/>
  <c r="L507" i="9"/>
  <c r="J507" i="9"/>
  <c r="K507" i="9"/>
  <c r="M507" i="9"/>
  <c r="N507" i="9"/>
  <c r="J508" i="9" a="1"/>
  <c r="O507" i="9" l="1"/>
  <c r="R507" i="9" s="1"/>
  <c r="K508" i="9"/>
  <c r="L508" i="9"/>
  <c r="M508" i="9"/>
  <c r="N508" i="9"/>
  <c r="J508" i="9"/>
  <c r="I510" i="9"/>
  <c r="J509" i="9" a="1"/>
  <c r="O508" i="9" l="1"/>
  <c r="R508" i="9" s="1"/>
  <c r="I511" i="9"/>
  <c r="K509" i="9"/>
  <c r="L509" i="9"/>
  <c r="M509" i="9"/>
  <c r="N509" i="9"/>
  <c r="J509" i="9"/>
  <c r="J510" i="9" a="1"/>
  <c r="O509" i="9" l="1"/>
  <c r="R509" i="9" s="1"/>
  <c r="J510" i="9"/>
  <c r="K510" i="9"/>
  <c r="L510" i="9"/>
  <c r="M510" i="9"/>
  <c r="N510" i="9"/>
  <c r="I512" i="9"/>
  <c r="J511" i="9" a="1"/>
  <c r="O510" i="9" l="1"/>
  <c r="R510" i="9" s="1"/>
  <c r="J511" i="9"/>
  <c r="K511" i="9"/>
  <c r="M511" i="9"/>
  <c r="N511" i="9"/>
  <c r="L511" i="9"/>
  <c r="I513" i="9"/>
  <c r="J512" i="9" a="1"/>
  <c r="O511" i="9" l="1"/>
  <c r="R511" i="9" s="1"/>
  <c r="I514" i="9"/>
  <c r="J512" i="9"/>
  <c r="K512" i="9"/>
  <c r="N512" i="9"/>
  <c r="M512" i="9"/>
  <c r="L512" i="9"/>
  <c r="J513" i="9" a="1"/>
  <c r="P511" i="9" l="1"/>
  <c r="Q512" i="9" s="1"/>
  <c r="S512" i="9" s="1"/>
  <c r="T512" i="9" s="1"/>
  <c r="U512" i="9" s="1"/>
  <c r="O512" i="9"/>
  <c r="R512" i="9" s="1"/>
  <c r="K513" i="9"/>
  <c r="L513" i="9"/>
  <c r="M513" i="9"/>
  <c r="N513" i="9"/>
  <c r="J513" i="9"/>
  <c r="I515" i="9"/>
  <c r="J514" i="9" a="1"/>
  <c r="Q513" i="9" l="1"/>
  <c r="Q507" i="9"/>
  <c r="S507" i="9" s="1"/>
  <c r="T507" i="9" s="1"/>
  <c r="U507" i="9" s="1"/>
  <c r="Q510" i="9"/>
  <c r="S510" i="9" s="1"/>
  <c r="T510" i="9" s="1"/>
  <c r="U510" i="9" s="1"/>
  <c r="Q509" i="9"/>
  <c r="S509" i="9" s="1"/>
  <c r="T509" i="9" s="1"/>
  <c r="U509" i="9" s="1"/>
  <c r="Q506" i="9"/>
  <c r="S506" i="9" s="1"/>
  <c r="T506" i="9" s="1"/>
  <c r="U506" i="9" s="1"/>
  <c r="Q508" i="9"/>
  <c r="S508" i="9" s="1"/>
  <c r="T508" i="9" s="1"/>
  <c r="U508" i="9" s="1"/>
  <c r="Q514" i="9"/>
  <c r="Q511" i="9"/>
  <c r="S511" i="9" s="1"/>
  <c r="T511" i="9" s="1"/>
  <c r="U511" i="9" s="1"/>
  <c r="O513" i="9"/>
  <c r="R513" i="9" s="1"/>
  <c r="J514" i="9"/>
  <c r="K514" i="9"/>
  <c r="L514" i="9"/>
  <c r="M514" i="9"/>
  <c r="N514" i="9"/>
  <c r="I516" i="9"/>
  <c r="J515" i="9" a="1"/>
  <c r="S513" i="9" l="1"/>
  <c r="T513" i="9" s="1"/>
  <c r="U513" i="9" s="1"/>
  <c r="O514" i="9"/>
  <c r="R514" i="9" s="1"/>
  <c r="S514" i="9" s="1"/>
  <c r="T514" i="9" s="1"/>
  <c r="U514" i="9" s="1"/>
  <c r="I517" i="9"/>
  <c r="N515" i="9"/>
  <c r="J515" i="9"/>
  <c r="K515" i="9"/>
  <c r="L515" i="9"/>
  <c r="M515" i="9"/>
  <c r="J516" i="9" a="1"/>
  <c r="O515" i="9" l="1"/>
  <c r="R515" i="9" s="1"/>
  <c r="N516" i="9"/>
  <c r="J516" i="9"/>
  <c r="K516" i="9"/>
  <c r="L516" i="9"/>
  <c r="M516" i="9"/>
  <c r="I518" i="9"/>
  <c r="J517" i="9" a="1"/>
  <c r="O516" i="9" l="1"/>
  <c r="R516" i="9" s="1"/>
  <c r="I519" i="9"/>
  <c r="J517" i="9"/>
  <c r="K517" i="9"/>
  <c r="L517" i="9"/>
  <c r="M517" i="9"/>
  <c r="N517" i="9"/>
  <c r="J518" i="9" a="1"/>
  <c r="O517" i="9" l="1"/>
  <c r="R517" i="9" s="1"/>
  <c r="M518" i="9"/>
  <c r="N518" i="9"/>
  <c r="K518" i="9"/>
  <c r="L518" i="9"/>
  <c r="J518" i="9"/>
  <c r="I520" i="9"/>
  <c r="J519" i="9" a="1"/>
  <c r="O518" i="9" l="1"/>
  <c r="R518" i="9" s="1"/>
  <c r="I521" i="9"/>
  <c r="L519" i="9"/>
  <c r="J519" i="9"/>
  <c r="K519" i="9"/>
  <c r="M519" i="9"/>
  <c r="N519" i="9"/>
  <c r="J520" i="9" a="1"/>
  <c r="O519" i="9" l="1"/>
  <c r="R519" i="9" s="1"/>
  <c r="K520" i="9"/>
  <c r="L520" i="9"/>
  <c r="M520" i="9"/>
  <c r="J520" i="9"/>
  <c r="N520" i="9"/>
  <c r="I522" i="9"/>
  <c r="J521" i="9" a="1"/>
  <c r="O520" i="9" l="1"/>
  <c r="R520" i="9" s="1"/>
  <c r="I523" i="9"/>
  <c r="M521" i="9"/>
  <c r="N521" i="9"/>
  <c r="J521" i="9"/>
  <c r="K521" i="9"/>
  <c r="L521" i="9"/>
  <c r="J522" i="9" a="1"/>
  <c r="P520" i="9" l="1"/>
  <c r="Q522" i="9" s="1"/>
  <c r="O521" i="9"/>
  <c r="Q519" i="9"/>
  <c r="S519" i="9" s="1"/>
  <c r="T519" i="9" s="1"/>
  <c r="U519" i="9" s="1"/>
  <c r="Q520" i="9"/>
  <c r="S520" i="9" s="1"/>
  <c r="T520" i="9" s="1"/>
  <c r="U520" i="9" s="1"/>
  <c r="Q516" i="9"/>
  <c r="S516" i="9" s="1"/>
  <c r="T516" i="9" s="1"/>
  <c r="U516" i="9" s="1"/>
  <c r="Q521" i="9"/>
  <c r="N522" i="9"/>
  <c r="J522" i="9"/>
  <c r="K522" i="9"/>
  <c r="L522" i="9"/>
  <c r="M522" i="9"/>
  <c r="R521" i="9"/>
  <c r="I524" i="9"/>
  <c r="J523" i="9" a="1"/>
  <c r="Q523" i="9" l="1"/>
  <c r="Q515" i="9"/>
  <c r="S515" i="9" s="1"/>
  <c r="T515" i="9" s="1"/>
  <c r="U515" i="9" s="1"/>
  <c r="Q517" i="9"/>
  <c r="S517" i="9" s="1"/>
  <c r="T517" i="9" s="1"/>
  <c r="U517" i="9" s="1"/>
  <c r="Q518" i="9"/>
  <c r="S518" i="9" s="1"/>
  <c r="T518" i="9" s="1"/>
  <c r="U518" i="9" s="1"/>
  <c r="S521" i="9"/>
  <c r="T521" i="9" s="1"/>
  <c r="U521" i="9" s="1"/>
  <c r="O522" i="9"/>
  <c r="R522" i="9" s="1"/>
  <c r="S522" i="9" s="1"/>
  <c r="T522" i="9" s="1"/>
  <c r="U522" i="9" s="1"/>
  <c r="I525" i="9"/>
  <c r="L523" i="9"/>
  <c r="J523" i="9"/>
  <c r="K523" i="9"/>
  <c r="M523" i="9"/>
  <c r="N523" i="9"/>
  <c r="J524" i="9" a="1"/>
  <c r="O523" i="9" l="1"/>
  <c r="R523" i="9" s="1"/>
  <c r="S523" i="9" s="1"/>
  <c r="T523" i="9" s="1"/>
  <c r="U523" i="9" s="1"/>
  <c r="N524" i="9"/>
  <c r="M524" i="9"/>
  <c r="J524" i="9"/>
  <c r="K524" i="9"/>
  <c r="L524" i="9"/>
  <c r="I526" i="9"/>
  <c r="J525" i="9" a="1"/>
  <c r="O524" i="9" l="1"/>
  <c r="R524" i="9" s="1"/>
  <c r="I527" i="9"/>
  <c r="J525" i="9"/>
  <c r="K525" i="9"/>
  <c r="L525" i="9"/>
  <c r="M525" i="9"/>
  <c r="N525" i="9"/>
  <c r="J526" i="9" a="1"/>
  <c r="O525" i="9" l="1"/>
  <c r="R525" i="9" s="1"/>
  <c r="M526" i="9"/>
  <c r="N526" i="9"/>
  <c r="J526" i="9"/>
  <c r="K526" i="9"/>
  <c r="L526" i="9"/>
  <c r="I528" i="9"/>
  <c r="J527" i="9" a="1"/>
  <c r="O526" i="9" l="1"/>
  <c r="R526" i="9" s="1"/>
  <c r="I529" i="9"/>
  <c r="M527" i="9"/>
  <c r="L527" i="9"/>
  <c r="N527" i="9"/>
  <c r="K527" i="9"/>
  <c r="J527" i="9"/>
  <c r="J528" i="9" a="1"/>
  <c r="O527" i="9" l="1"/>
  <c r="R527" i="9" s="1"/>
  <c r="M528" i="9"/>
  <c r="N528" i="9"/>
  <c r="J528" i="9"/>
  <c r="K528" i="9"/>
  <c r="L528" i="9"/>
  <c r="I530" i="9"/>
  <c r="J529" i="9" a="1"/>
  <c r="O528" i="9" l="1"/>
  <c r="R528" i="9" s="1"/>
  <c r="I531" i="9"/>
  <c r="M529" i="9"/>
  <c r="N529" i="9"/>
  <c r="J529" i="9"/>
  <c r="K529" i="9"/>
  <c r="L529" i="9"/>
  <c r="J530" i="9" a="1"/>
  <c r="O529" i="9" l="1"/>
  <c r="P529" i="9" s="1"/>
  <c r="L530" i="9"/>
  <c r="M530" i="9"/>
  <c r="J530" i="9"/>
  <c r="N530" i="9"/>
  <c r="K530" i="9"/>
  <c r="I532" i="9"/>
  <c r="J531" i="9" a="1"/>
  <c r="R529" i="9" l="1"/>
  <c r="O530" i="9"/>
  <c r="R530" i="9" s="1"/>
  <c r="M531" i="9"/>
  <c r="N531" i="9"/>
  <c r="L531" i="9"/>
  <c r="J531" i="9"/>
  <c r="K531" i="9"/>
  <c r="I533" i="9"/>
  <c r="Q528" i="9"/>
  <c r="S528" i="9" s="1"/>
  <c r="T528" i="9" s="1"/>
  <c r="U528" i="9" s="1"/>
  <c r="Q525" i="9"/>
  <c r="S525" i="9" s="1"/>
  <c r="T525" i="9" s="1"/>
  <c r="U525" i="9" s="1"/>
  <c r="Q529" i="9"/>
  <c r="S529" i="9" s="1"/>
  <c r="T529" i="9" s="1"/>
  <c r="U529" i="9" s="1"/>
  <c r="Q532" i="9"/>
  <c r="Q531" i="9"/>
  <c r="Q530" i="9"/>
  <c r="S530" i="9" s="1"/>
  <c r="T530" i="9" s="1"/>
  <c r="U530" i="9" s="1"/>
  <c r="Q526" i="9"/>
  <c r="S526" i="9" s="1"/>
  <c r="T526" i="9" s="1"/>
  <c r="U526" i="9" s="1"/>
  <c r="Q527" i="9"/>
  <c r="S527" i="9" s="1"/>
  <c r="T527" i="9" s="1"/>
  <c r="U527" i="9" s="1"/>
  <c r="Q524" i="9"/>
  <c r="S524" i="9" s="1"/>
  <c r="T524" i="9" s="1"/>
  <c r="U524" i="9" s="1"/>
  <c r="J532" i="9" a="1"/>
  <c r="O531" i="9" l="1"/>
  <c r="R531" i="9" s="1"/>
  <c r="S531" i="9" s="1"/>
  <c r="T531" i="9" s="1"/>
  <c r="U531" i="9" s="1"/>
  <c r="I534" i="9"/>
  <c r="K532" i="9"/>
  <c r="L532" i="9"/>
  <c r="M532" i="9"/>
  <c r="J532" i="9"/>
  <c r="N532" i="9"/>
  <c r="J533" i="9" a="1"/>
  <c r="O532" i="9" l="1"/>
  <c r="R532" i="9" s="1"/>
  <c r="S532" i="9" s="1"/>
  <c r="T532" i="9" s="1"/>
  <c r="U532" i="9" s="1"/>
  <c r="M533" i="9"/>
  <c r="N533" i="9"/>
  <c r="J533" i="9"/>
  <c r="K533" i="9"/>
  <c r="L533" i="9"/>
  <c r="I535" i="9"/>
  <c r="J534" i="9" a="1"/>
  <c r="O533" i="9" l="1"/>
  <c r="R533" i="9" s="1"/>
  <c r="I536" i="9"/>
  <c r="L534" i="9"/>
  <c r="M534" i="9"/>
  <c r="N534" i="9"/>
  <c r="J534" i="9"/>
  <c r="K534" i="9"/>
  <c r="J535" i="9" a="1"/>
  <c r="O534" i="9" l="1"/>
  <c r="R534" i="9" s="1"/>
  <c r="L535" i="9"/>
  <c r="K535" i="9"/>
  <c r="M535" i="9"/>
  <c r="N535" i="9"/>
  <c r="J535" i="9"/>
  <c r="I537" i="9"/>
  <c r="J536" i="9" a="1"/>
  <c r="O535" i="9" l="1"/>
  <c r="R535" i="9" s="1"/>
  <c r="I538" i="9"/>
  <c r="L536" i="9"/>
  <c r="M536" i="9"/>
  <c r="N536" i="9"/>
  <c r="J536" i="9"/>
  <c r="K536" i="9"/>
  <c r="J537" i="9" a="1"/>
  <c r="O536" i="9" l="1"/>
  <c r="R536" i="9" s="1"/>
  <c r="J537" i="9"/>
  <c r="K537" i="9"/>
  <c r="L537" i="9"/>
  <c r="M537" i="9"/>
  <c r="N537" i="9"/>
  <c r="I539" i="9"/>
  <c r="J538" i="9" a="1"/>
  <c r="O537" i="9" l="1"/>
  <c r="R537" i="9" s="1"/>
  <c r="J538" i="9"/>
  <c r="L538" i="9"/>
  <c r="M538" i="9"/>
  <c r="N538" i="9"/>
  <c r="K538" i="9"/>
  <c r="I540" i="9"/>
  <c r="J539" i="9" a="1"/>
  <c r="O538" i="9" l="1"/>
  <c r="R538" i="9" s="1"/>
  <c r="K539" i="9"/>
  <c r="M539" i="9"/>
  <c r="N539" i="9"/>
  <c r="L539" i="9"/>
  <c r="J539" i="9"/>
  <c r="I541" i="9"/>
  <c r="J540" i="9" a="1"/>
  <c r="O539" i="9" l="1"/>
  <c r="R539" i="9" s="1"/>
  <c r="P538" i="9"/>
  <c r="Q539" i="9" s="1"/>
  <c r="I542" i="9"/>
  <c r="Q533" i="9"/>
  <c r="S533" i="9" s="1"/>
  <c r="T533" i="9" s="1"/>
  <c r="U533" i="9" s="1"/>
  <c r="Q538" i="9"/>
  <c r="S538" i="9" s="1"/>
  <c r="T538" i="9" s="1"/>
  <c r="U538" i="9" s="1"/>
  <c r="Q535" i="9"/>
  <c r="S535" i="9" s="1"/>
  <c r="T535" i="9" s="1"/>
  <c r="U535" i="9" s="1"/>
  <c r="Q534" i="9"/>
  <c r="S534" i="9" s="1"/>
  <c r="T534" i="9" s="1"/>
  <c r="U534" i="9" s="1"/>
  <c r="M540" i="9"/>
  <c r="N540" i="9"/>
  <c r="J540" i="9"/>
  <c r="K540" i="9"/>
  <c r="L540" i="9"/>
  <c r="J541" i="9" a="1"/>
  <c r="Q537" i="9" l="1"/>
  <c r="S537" i="9" s="1"/>
  <c r="T537" i="9" s="1"/>
  <c r="U537" i="9" s="1"/>
  <c r="Q540" i="9"/>
  <c r="Q541" i="9"/>
  <c r="S539" i="9"/>
  <c r="T539" i="9" s="1"/>
  <c r="U539" i="9" s="1"/>
  <c r="Q536" i="9"/>
  <c r="S536" i="9" s="1"/>
  <c r="T536" i="9" s="1"/>
  <c r="U536" i="9" s="1"/>
  <c r="O540" i="9"/>
  <c r="R540" i="9" s="1"/>
  <c r="L541" i="9"/>
  <c r="M541" i="9"/>
  <c r="N541" i="9"/>
  <c r="J541" i="9"/>
  <c r="K541" i="9"/>
  <c r="I543" i="9"/>
  <c r="J542" i="9" a="1"/>
  <c r="S540" i="9" l="1"/>
  <c r="T540" i="9" s="1"/>
  <c r="U540" i="9" s="1"/>
  <c r="O541" i="9"/>
  <c r="R541" i="9" s="1"/>
  <c r="S541" i="9" s="1"/>
  <c r="T541" i="9" s="1"/>
  <c r="U541" i="9" s="1"/>
  <c r="K542" i="9"/>
  <c r="L542" i="9"/>
  <c r="M542" i="9"/>
  <c r="N542" i="9"/>
  <c r="J542" i="9"/>
  <c r="I544" i="9"/>
  <c r="J543" i="9" a="1"/>
  <c r="O542" i="9" l="1"/>
  <c r="R542" i="9" s="1"/>
  <c r="I545" i="9"/>
  <c r="M543" i="9"/>
  <c r="N543" i="9"/>
  <c r="L543" i="9"/>
  <c r="K543" i="9"/>
  <c r="J543" i="9"/>
  <c r="J544" i="9" a="1"/>
  <c r="O543" i="9" l="1"/>
  <c r="R543" i="9" s="1"/>
  <c r="N544" i="9"/>
  <c r="L544" i="9"/>
  <c r="M544" i="9"/>
  <c r="K544" i="9"/>
  <c r="J544" i="9"/>
  <c r="I546" i="9"/>
  <c r="J545" i="9" a="1"/>
  <c r="O544" i="9" l="1"/>
  <c r="R544" i="9" s="1"/>
  <c r="I547" i="9"/>
  <c r="M545" i="9"/>
  <c r="N545" i="9"/>
  <c r="J545" i="9"/>
  <c r="K545" i="9"/>
  <c r="L545" i="9"/>
  <c r="J546" i="9" a="1"/>
  <c r="O545" i="9" l="1"/>
  <c r="R545" i="9" s="1"/>
  <c r="L546" i="9"/>
  <c r="M546" i="9"/>
  <c r="N546" i="9"/>
  <c r="J546" i="9"/>
  <c r="K546" i="9"/>
  <c r="I548" i="9"/>
  <c r="J547" i="9" a="1"/>
  <c r="O546" i="9" l="1"/>
  <c r="R546" i="9" s="1"/>
  <c r="I549" i="9"/>
  <c r="K547" i="9"/>
  <c r="L547" i="9"/>
  <c r="M547" i="9"/>
  <c r="N547" i="9"/>
  <c r="J547" i="9"/>
  <c r="J548" i="9" a="1"/>
  <c r="O547" i="9" l="1"/>
  <c r="P547" i="9" s="1"/>
  <c r="K548" i="9"/>
  <c r="L548" i="9"/>
  <c r="M548" i="9"/>
  <c r="N548" i="9"/>
  <c r="J548" i="9"/>
  <c r="I550" i="9"/>
  <c r="J549" i="9" a="1"/>
  <c r="O548" i="9" l="1"/>
  <c r="R548" i="9" s="1"/>
  <c r="R547" i="9"/>
  <c r="I551" i="9"/>
  <c r="N549" i="9"/>
  <c r="J549" i="9"/>
  <c r="K549" i="9"/>
  <c r="L549" i="9"/>
  <c r="M549" i="9"/>
  <c r="Q548" i="9"/>
  <c r="S548" i="9" s="1"/>
  <c r="T548" i="9" s="1"/>
  <c r="U548" i="9" s="1"/>
  <c r="Q543" i="9"/>
  <c r="S543" i="9" s="1"/>
  <c r="T543" i="9" s="1"/>
  <c r="U543" i="9" s="1"/>
  <c r="Q549" i="9"/>
  <c r="Q547" i="9"/>
  <c r="S547" i="9" s="1"/>
  <c r="T547" i="9" s="1"/>
  <c r="U547" i="9" s="1"/>
  <c r="Q546" i="9"/>
  <c r="S546" i="9" s="1"/>
  <c r="T546" i="9" s="1"/>
  <c r="U546" i="9" s="1"/>
  <c r="Q542" i="9"/>
  <c r="S542" i="9" s="1"/>
  <c r="T542" i="9" s="1"/>
  <c r="U542" i="9" s="1"/>
  <c r="Q544" i="9"/>
  <c r="S544" i="9" s="1"/>
  <c r="T544" i="9" s="1"/>
  <c r="U544" i="9" s="1"/>
  <c r="Q545" i="9"/>
  <c r="S545" i="9" s="1"/>
  <c r="T545" i="9" s="1"/>
  <c r="U545" i="9" s="1"/>
  <c r="Q550" i="9"/>
  <c r="J550" i="9" a="1"/>
  <c r="O549" i="9" l="1"/>
  <c r="R549" i="9" s="1"/>
  <c r="S549" i="9" s="1"/>
  <c r="T549" i="9" s="1"/>
  <c r="U549" i="9" s="1"/>
  <c r="K550" i="9"/>
  <c r="L550" i="9"/>
  <c r="J550" i="9"/>
  <c r="M550" i="9"/>
  <c r="N550" i="9"/>
  <c r="I552" i="9"/>
  <c r="J551" i="9" a="1"/>
  <c r="O550" i="9" l="1"/>
  <c r="R550" i="9" s="1"/>
  <c r="S550" i="9" s="1"/>
  <c r="T550" i="9" s="1"/>
  <c r="U550" i="9" s="1"/>
  <c r="J551" i="9"/>
  <c r="K551" i="9"/>
  <c r="M551" i="9"/>
  <c r="N551" i="9"/>
  <c r="L551" i="9"/>
  <c r="I553" i="9"/>
  <c r="J552" i="9" a="1"/>
  <c r="O551" i="9" l="1"/>
  <c r="R551" i="9" s="1"/>
  <c r="J552" i="9"/>
  <c r="K552" i="9"/>
  <c r="L552" i="9"/>
  <c r="M552" i="9"/>
  <c r="N552" i="9"/>
  <c r="I554" i="9"/>
  <c r="J553" i="9" a="1"/>
  <c r="O552" i="9" l="1"/>
  <c r="R552" i="9" s="1"/>
  <c r="J553" i="9"/>
  <c r="K553" i="9"/>
  <c r="L553" i="9"/>
  <c r="M553" i="9"/>
  <c r="N553" i="9"/>
  <c r="I555" i="9"/>
  <c r="J554" i="9" a="1"/>
  <c r="O553" i="9" l="1"/>
  <c r="R553" i="9" s="1"/>
  <c r="J554" i="9"/>
  <c r="K554" i="9"/>
  <c r="L554" i="9"/>
  <c r="M554" i="9"/>
  <c r="N554" i="9"/>
  <c r="I556" i="9"/>
  <c r="J555" i="9" a="1"/>
  <c r="O554" i="9" l="1"/>
  <c r="R554" i="9" s="1"/>
  <c r="L555" i="9"/>
  <c r="J555" i="9"/>
  <c r="K555" i="9"/>
  <c r="M555" i="9"/>
  <c r="N555" i="9"/>
  <c r="I557" i="9"/>
  <c r="J556" i="9" a="1"/>
  <c r="O555" i="9" l="1"/>
  <c r="R555" i="9" s="1"/>
  <c r="I558" i="9"/>
  <c r="M556" i="9"/>
  <c r="J556" i="9"/>
  <c r="K556" i="9"/>
  <c r="L556" i="9"/>
  <c r="N556" i="9"/>
  <c r="J557" i="9" a="1"/>
  <c r="O556" i="9" l="1"/>
  <c r="R556" i="9" s="1"/>
  <c r="K557" i="9"/>
  <c r="L557" i="9"/>
  <c r="M557" i="9"/>
  <c r="N557" i="9"/>
  <c r="J557" i="9"/>
  <c r="I559" i="9"/>
  <c r="J558" i="9" a="1"/>
  <c r="P556" i="9" l="1"/>
  <c r="Q553" i="9" s="1"/>
  <c r="S553" i="9" s="1"/>
  <c r="T553" i="9" s="1"/>
  <c r="U553" i="9" s="1"/>
  <c r="O557" i="9"/>
  <c r="R557" i="9" s="1"/>
  <c r="J558" i="9"/>
  <c r="K558" i="9"/>
  <c r="M558" i="9"/>
  <c r="N558" i="9"/>
  <c r="L558" i="9"/>
  <c r="I560" i="9"/>
  <c r="J559" i="9" a="1"/>
  <c r="Q557" i="9" l="1"/>
  <c r="S557" i="9" s="1"/>
  <c r="T557" i="9" s="1"/>
  <c r="U557" i="9" s="1"/>
  <c r="Q555" i="9"/>
  <c r="S555" i="9" s="1"/>
  <c r="T555" i="9" s="1"/>
  <c r="U555" i="9" s="1"/>
  <c r="Q559" i="9"/>
  <c r="Q554" i="9"/>
  <c r="S554" i="9" s="1"/>
  <c r="T554" i="9" s="1"/>
  <c r="U554" i="9" s="1"/>
  <c r="Q552" i="9"/>
  <c r="S552" i="9" s="1"/>
  <c r="T552" i="9" s="1"/>
  <c r="U552" i="9" s="1"/>
  <c r="Q558" i="9"/>
  <c r="Q551" i="9"/>
  <c r="S551" i="9" s="1"/>
  <c r="T551" i="9" s="1"/>
  <c r="U551" i="9" s="1"/>
  <c r="Q556" i="9"/>
  <c r="S556" i="9" s="1"/>
  <c r="T556" i="9" s="1"/>
  <c r="U556" i="9" s="1"/>
  <c r="O558" i="9"/>
  <c r="R558" i="9" s="1"/>
  <c r="I561" i="9"/>
  <c r="L559" i="9"/>
  <c r="N559" i="9"/>
  <c r="J559" i="9"/>
  <c r="K559" i="9"/>
  <c r="M559" i="9"/>
  <c r="J560" i="9" a="1"/>
  <c r="S558" i="9" l="1"/>
  <c r="T558" i="9" s="1"/>
  <c r="U558" i="9" s="1"/>
  <c r="O559" i="9"/>
  <c r="R559" i="9" s="1"/>
  <c r="S559" i="9" s="1"/>
  <c r="T559" i="9" s="1"/>
  <c r="U559" i="9" s="1"/>
  <c r="K560" i="9"/>
  <c r="L560" i="9"/>
  <c r="M560" i="9"/>
  <c r="N560" i="9"/>
  <c r="J560" i="9"/>
  <c r="I562" i="9"/>
  <c r="J561" i="9" a="1"/>
  <c r="O560" i="9" l="1"/>
  <c r="R560" i="9" s="1"/>
  <c r="I563" i="9"/>
  <c r="L561" i="9"/>
  <c r="K561" i="9"/>
  <c r="M561" i="9"/>
  <c r="J561" i="9"/>
  <c r="N561" i="9"/>
  <c r="J562" i="9" a="1"/>
  <c r="O561" i="9" l="1"/>
  <c r="R561" i="9" s="1"/>
  <c r="J562" i="9"/>
  <c r="N562" i="9"/>
  <c r="K562" i="9"/>
  <c r="L562" i="9"/>
  <c r="M562" i="9"/>
  <c r="I564" i="9"/>
  <c r="J563" i="9" a="1"/>
  <c r="O562" i="9" l="1"/>
  <c r="R562" i="9" s="1"/>
  <c r="J563" i="9"/>
  <c r="K563" i="9"/>
  <c r="M563" i="9"/>
  <c r="N563" i="9"/>
  <c r="L563" i="9"/>
  <c r="I565" i="9"/>
  <c r="J564" i="9" a="1"/>
  <c r="O563" i="9" l="1"/>
  <c r="R563" i="9" s="1"/>
  <c r="J564" i="9"/>
  <c r="L564" i="9"/>
  <c r="N564" i="9"/>
  <c r="K564" i="9"/>
  <c r="M564" i="9"/>
  <c r="I566" i="9"/>
  <c r="J565" i="9" a="1"/>
  <c r="O564" i="9" l="1"/>
  <c r="R564" i="9" s="1"/>
  <c r="N565" i="9"/>
  <c r="J565" i="9"/>
  <c r="K565" i="9"/>
  <c r="L565" i="9"/>
  <c r="M565" i="9"/>
  <c r="I567" i="9"/>
  <c r="J566" i="9" a="1"/>
  <c r="O565" i="9" l="1"/>
  <c r="R565" i="9" s="1"/>
  <c r="I568" i="9"/>
  <c r="K566" i="9"/>
  <c r="L566" i="9"/>
  <c r="M566" i="9"/>
  <c r="N566" i="9"/>
  <c r="J566" i="9"/>
  <c r="J567" i="9" a="1"/>
  <c r="P565" i="9" l="1"/>
  <c r="O566" i="9"/>
  <c r="R566" i="9" s="1"/>
  <c r="Q568" i="9"/>
  <c r="Q566" i="9"/>
  <c r="S566" i="9" s="1"/>
  <c r="T566" i="9" s="1"/>
  <c r="U566" i="9" s="1"/>
  <c r="Q567" i="9"/>
  <c r="Q564" i="9"/>
  <c r="S564" i="9" s="1"/>
  <c r="T564" i="9" s="1"/>
  <c r="U564" i="9" s="1"/>
  <c r="Q562" i="9"/>
  <c r="S562" i="9" s="1"/>
  <c r="T562" i="9" s="1"/>
  <c r="U562" i="9" s="1"/>
  <c r="Q563" i="9"/>
  <c r="S563" i="9" s="1"/>
  <c r="T563" i="9" s="1"/>
  <c r="U563" i="9" s="1"/>
  <c r="Q560" i="9"/>
  <c r="S560" i="9" s="1"/>
  <c r="T560" i="9" s="1"/>
  <c r="U560" i="9" s="1"/>
  <c r="Q565" i="9"/>
  <c r="S565" i="9" s="1"/>
  <c r="T565" i="9" s="1"/>
  <c r="U565" i="9" s="1"/>
  <c r="Q561" i="9"/>
  <c r="S561" i="9" s="1"/>
  <c r="T561" i="9" s="1"/>
  <c r="U561" i="9" s="1"/>
  <c r="N567" i="9"/>
  <c r="J567" i="9"/>
  <c r="M567" i="9"/>
  <c r="L567" i="9"/>
  <c r="K567" i="9"/>
  <c r="I569" i="9"/>
  <c r="J568" i="9" a="1"/>
  <c r="O567" i="9" l="1"/>
  <c r="R567" i="9" s="1"/>
  <c r="S567" i="9" s="1"/>
  <c r="T567" i="9" s="1"/>
  <c r="U567" i="9" s="1"/>
  <c r="N568" i="9"/>
  <c r="J568" i="9"/>
  <c r="K568" i="9"/>
  <c r="L568" i="9"/>
  <c r="M568" i="9"/>
  <c r="I570" i="9"/>
  <c r="J569" i="9" a="1"/>
  <c r="O568" i="9" l="1"/>
  <c r="R568" i="9" s="1"/>
  <c r="S568" i="9" s="1"/>
  <c r="T568" i="9" s="1"/>
  <c r="U568" i="9" s="1"/>
  <c r="I571" i="9"/>
  <c r="L569" i="9"/>
  <c r="M569" i="9"/>
  <c r="N569" i="9"/>
  <c r="J569" i="9"/>
  <c r="K569" i="9"/>
  <c r="J570" i="9" a="1"/>
  <c r="O569" i="9" l="1"/>
  <c r="R569" i="9" s="1"/>
  <c r="L570" i="9"/>
  <c r="N570" i="9"/>
  <c r="K570" i="9"/>
  <c r="M570" i="9"/>
  <c r="J570" i="9"/>
  <c r="I572" i="9"/>
  <c r="J571" i="9" a="1"/>
  <c r="O570" i="9" l="1"/>
  <c r="R570" i="9" s="1"/>
  <c r="I573" i="9"/>
  <c r="N571" i="9"/>
  <c r="L571" i="9"/>
  <c r="J571" i="9"/>
  <c r="K571" i="9"/>
  <c r="M571" i="9"/>
  <c r="J572" i="9" a="1"/>
  <c r="O571" i="9" l="1"/>
  <c r="R571" i="9" s="1"/>
  <c r="N572" i="9"/>
  <c r="K572" i="9"/>
  <c r="L572" i="9"/>
  <c r="M572" i="9"/>
  <c r="J572" i="9"/>
  <c r="I574" i="9"/>
  <c r="J573" i="9" a="1"/>
  <c r="O572" i="9" l="1"/>
  <c r="R572" i="9" s="1"/>
  <c r="I575" i="9"/>
  <c r="J573" i="9"/>
  <c r="K573" i="9"/>
  <c r="M573" i="9"/>
  <c r="L573" i="9"/>
  <c r="N573" i="9"/>
  <c r="J574" i="9" a="1"/>
  <c r="O573" i="9" l="1"/>
  <c r="R573" i="9" s="1"/>
  <c r="M574" i="9"/>
  <c r="N574" i="9"/>
  <c r="J574" i="9"/>
  <c r="K574" i="9"/>
  <c r="L574" i="9"/>
  <c r="I576" i="9"/>
  <c r="J575" i="9" a="1"/>
  <c r="O574" i="9" l="1"/>
  <c r="R574" i="9" s="1"/>
  <c r="I577" i="9"/>
  <c r="L575" i="9"/>
  <c r="K575" i="9"/>
  <c r="M575" i="9"/>
  <c r="N575" i="9"/>
  <c r="J575" i="9"/>
  <c r="J576" i="9" a="1"/>
  <c r="P574" i="9" l="1"/>
  <c r="Q577" i="9" s="1"/>
  <c r="O575" i="9"/>
  <c r="R575" i="9" s="1"/>
  <c r="L576" i="9"/>
  <c r="J576" i="9"/>
  <c r="K576" i="9"/>
  <c r="M576" i="9"/>
  <c r="N576" i="9"/>
  <c r="Q569" i="9"/>
  <c r="S569" i="9" s="1"/>
  <c r="T569" i="9" s="1"/>
  <c r="U569" i="9" s="1"/>
  <c r="Q570" i="9"/>
  <c r="S570" i="9" s="1"/>
  <c r="T570" i="9" s="1"/>
  <c r="U570" i="9" s="1"/>
  <c r="Q575" i="9"/>
  <c r="S575" i="9" s="1"/>
  <c r="T575" i="9" s="1"/>
  <c r="U575" i="9" s="1"/>
  <c r="Q571" i="9"/>
  <c r="S571" i="9" s="1"/>
  <c r="T571" i="9" s="1"/>
  <c r="U571" i="9" s="1"/>
  <c r="Q574" i="9"/>
  <c r="S574" i="9" s="1"/>
  <c r="T574" i="9" s="1"/>
  <c r="U574" i="9" s="1"/>
  <c r="Q576" i="9"/>
  <c r="I578" i="9"/>
  <c r="J577" i="9" a="1"/>
  <c r="Q573" i="9" l="1"/>
  <c r="S573" i="9" s="1"/>
  <c r="T573" i="9" s="1"/>
  <c r="U573" i="9" s="1"/>
  <c r="Q572" i="9"/>
  <c r="S572" i="9" s="1"/>
  <c r="T572" i="9" s="1"/>
  <c r="U572" i="9" s="1"/>
  <c r="O576" i="9"/>
  <c r="R576" i="9" s="1"/>
  <c r="S576" i="9" s="1"/>
  <c r="T576" i="9" s="1"/>
  <c r="U576" i="9" s="1"/>
  <c r="J577" i="9"/>
  <c r="K577" i="9"/>
  <c r="L577" i="9"/>
  <c r="M577" i="9"/>
  <c r="N577" i="9"/>
  <c r="I579" i="9"/>
  <c r="J578" i="9" a="1"/>
  <c r="O577" i="9" l="1"/>
  <c r="R577" i="9" s="1"/>
  <c r="S577" i="9" s="1"/>
  <c r="T577" i="9" s="1"/>
  <c r="U577" i="9" s="1"/>
  <c r="K578" i="9"/>
  <c r="J578" i="9"/>
  <c r="L578" i="9"/>
  <c r="M578" i="9"/>
  <c r="N578" i="9"/>
  <c r="I580" i="9"/>
  <c r="J579" i="9" a="1"/>
  <c r="O578" i="9" l="1"/>
  <c r="R578" i="9" s="1"/>
  <c r="L579" i="9"/>
  <c r="M579" i="9"/>
  <c r="J579" i="9"/>
  <c r="K579" i="9"/>
  <c r="N579" i="9"/>
  <c r="I581" i="9"/>
  <c r="J580" i="9" a="1"/>
  <c r="O579" i="9" l="1"/>
  <c r="R579" i="9" s="1"/>
  <c r="I582" i="9"/>
  <c r="M580" i="9"/>
  <c r="N580" i="9"/>
  <c r="J580" i="9"/>
  <c r="L580" i="9"/>
  <c r="K580" i="9"/>
  <c r="J581" i="9" a="1"/>
  <c r="O580" i="9" l="1"/>
  <c r="R580" i="9" s="1"/>
  <c r="J581" i="9"/>
  <c r="L581" i="9"/>
  <c r="M581" i="9"/>
  <c r="N581" i="9"/>
  <c r="K581" i="9"/>
  <c r="I583" i="9"/>
  <c r="J582" i="9" a="1"/>
  <c r="O581" i="9" l="1"/>
  <c r="R581" i="9" s="1"/>
  <c r="J582" i="9"/>
  <c r="M582" i="9"/>
  <c r="K582" i="9"/>
  <c r="L582" i="9"/>
  <c r="N582" i="9"/>
  <c r="I584" i="9"/>
  <c r="J583" i="9" a="1"/>
  <c r="O582" i="9" l="1"/>
  <c r="R582" i="9" s="1"/>
  <c r="M583" i="9"/>
  <c r="N583" i="9"/>
  <c r="L583" i="9"/>
  <c r="J583" i="9"/>
  <c r="K583" i="9"/>
  <c r="I585" i="9"/>
  <c r="J584" i="9" a="1"/>
  <c r="O583" i="9" l="1"/>
  <c r="R583" i="9" s="1"/>
  <c r="I586" i="9"/>
  <c r="N584" i="9"/>
  <c r="J584" i="9"/>
  <c r="L584" i="9"/>
  <c r="M584" i="9"/>
  <c r="K584" i="9"/>
  <c r="J585" i="9" a="1"/>
  <c r="P583" i="9" l="1"/>
  <c r="Q585" i="9" s="1"/>
  <c r="O584" i="9"/>
  <c r="R584" i="9" s="1"/>
  <c r="N585" i="9"/>
  <c r="M585" i="9"/>
  <c r="J585" i="9"/>
  <c r="K585" i="9"/>
  <c r="L585" i="9"/>
  <c r="Q584" i="9"/>
  <c r="S584" i="9" s="1"/>
  <c r="T584" i="9" s="1"/>
  <c r="U584" i="9" s="1"/>
  <c r="Q580" i="9"/>
  <c r="S580" i="9" s="1"/>
  <c r="T580" i="9" s="1"/>
  <c r="U580" i="9" s="1"/>
  <c r="Q581" i="9"/>
  <c r="S581" i="9" s="1"/>
  <c r="T581" i="9" s="1"/>
  <c r="U581" i="9" s="1"/>
  <c r="I587" i="9"/>
  <c r="J586" i="9" a="1"/>
  <c r="Q583" i="9" l="1"/>
  <c r="S583" i="9" s="1"/>
  <c r="T583" i="9" s="1"/>
  <c r="U583" i="9" s="1"/>
  <c r="Q582" i="9"/>
  <c r="S582" i="9" s="1"/>
  <c r="T582" i="9" s="1"/>
  <c r="U582" i="9" s="1"/>
  <c r="Q586" i="9"/>
  <c r="Q578" i="9"/>
  <c r="S578" i="9" s="1"/>
  <c r="T578" i="9" s="1"/>
  <c r="U578" i="9" s="1"/>
  <c r="Q579" i="9"/>
  <c r="S579" i="9" s="1"/>
  <c r="T579" i="9" s="1"/>
  <c r="U579" i="9" s="1"/>
  <c r="O585" i="9"/>
  <c r="R585" i="9" s="1"/>
  <c r="S585" i="9" s="1"/>
  <c r="T585" i="9" s="1"/>
  <c r="U585" i="9" s="1"/>
  <c r="L586" i="9"/>
  <c r="M586" i="9"/>
  <c r="N586" i="9"/>
  <c r="J586" i="9"/>
  <c r="K586" i="9"/>
  <c r="I588" i="9"/>
  <c r="J587" i="9" a="1"/>
  <c r="O586" i="9" l="1"/>
  <c r="R586" i="9" s="1"/>
  <c r="S586" i="9" s="1"/>
  <c r="T586" i="9" s="1"/>
  <c r="U586" i="9" s="1"/>
  <c r="K587" i="9"/>
  <c r="L587" i="9"/>
  <c r="J587" i="9"/>
  <c r="M587" i="9"/>
  <c r="N587" i="9"/>
  <c r="I589" i="9"/>
  <c r="J588" i="9" a="1"/>
  <c r="O587" i="9" l="1"/>
  <c r="R587" i="9" s="1"/>
  <c r="I590" i="9"/>
  <c r="K588" i="9"/>
  <c r="L588" i="9"/>
  <c r="N588" i="9"/>
  <c r="M588" i="9"/>
  <c r="J588" i="9"/>
  <c r="J589" i="9" a="1"/>
  <c r="O588" i="9" l="1"/>
  <c r="R588" i="9" s="1"/>
  <c r="J589" i="9"/>
  <c r="K589" i="9"/>
  <c r="L589" i="9"/>
  <c r="M589" i="9"/>
  <c r="N589" i="9"/>
  <c r="I591" i="9"/>
  <c r="J590" i="9" a="1"/>
  <c r="O589" i="9" l="1"/>
  <c r="R589" i="9" s="1"/>
  <c r="J590" i="9"/>
  <c r="K590" i="9"/>
  <c r="M590" i="9"/>
  <c r="N590" i="9"/>
  <c r="L590" i="9"/>
  <c r="I592" i="9"/>
  <c r="J591" i="9" a="1"/>
  <c r="O590" i="9" l="1"/>
  <c r="R590" i="9" s="1"/>
  <c r="J591" i="9"/>
  <c r="K591" i="9"/>
  <c r="M591" i="9"/>
  <c r="L591" i="9"/>
  <c r="N591" i="9"/>
  <c r="I593" i="9"/>
  <c r="J592" i="9" a="1"/>
  <c r="O591" i="9" l="1"/>
  <c r="R591" i="9" s="1"/>
  <c r="M592" i="9"/>
  <c r="K592" i="9"/>
  <c r="N592" i="9"/>
  <c r="J592" i="9"/>
  <c r="L592" i="9"/>
  <c r="I594" i="9"/>
  <c r="J593" i="9" a="1"/>
  <c r="O592" i="9" l="1"/>
  <c r="R592" i="9" s="1"/>
  <c r="I595" i="9"/>
  <c r="K593" i="9"/>
  <c r="M593" i="9"/>
  <c r="J593" i="9"/>
  <c r="L593" i="9"/>
  <c r="N593" i="9"/>
  <c r="J594" i="9" a="1"/>
  <c r="P592" i="9" l="1"/>
  <c r="Q587" i="9" s="1"/>
  <c r="S587" i="9" s="1"/>
  <c r="T587" i="9" s="1"/>
  <c r="U587" i="9" s="1"/>
  <c r="O593" i="9"/>
  <c r="R593" i="9" s="1"/>
  <c r="N594" i="9"/>
  <c r="K594" i="9"/>
  <c r="L594" i="9"/>
  <c r="M594" i="9"/>
  <c r="J594" i="9"/>
  <c r="Q592" i="9"/>
  <c r="S592" i="9" s="1"/>
  <c r="T592" i="9" s="1"/>
  <c r="U592" i="9" s="1"/>
  <c r="Q588" i="9"/>
  <c r="S588" i="9" s="1"/>
  <c r="T588" i="9" s="1"/>
  <c r="U588" i="9" s="1"/>
  <c r="I596" i="9"/>
  <c r="J595" i="9" a="1"/>
  <c r="Q590" i="9" l="1"/>
  <c r="S590" i="9" s="1"/>
  <c r="T590" i="9" s="1"/>
  <c r="U590" i="9" s="1"/>
  <c r="Q595" i="9"/>
  <c r="Q593" i="9"/>
  <c r="S593" i="9" s="1"/>
  <c r="T593" i="9" s="1"/>
  <c r="U593" i="9" s="1"/>
  <c r="Q589" i="9"/>
  <c r="S589" i="9" s="1"/>
  <c r="T589" i="9" s="1"/>
  <c r="U589" i="9" s="1"/>
  <c r="Q591" i="9"/>
  <c r="S591" i="9" s="1"/>
  <c r="T591" i="9" s="1"/>
  <c r="U591" i="9" s="1"/>
  <c r="Q594" i="9"/>
  <c r="O594" i="9"/>
  <c r="R594" i="9" s="1"/>
  <c r="L595" i="9"/>
  <c r="J595" i="9"/>
  <c r="M595" i="9"/>
  <c r="N595" i="9"/>
  <c r="K595" i="9"/>
  <c r="I597" i="9"/>
  <c r="J596" i="9" a="1"/>
  <c r="S594" i="9" l="1"/>
  <c r="T594" i="9" s="1"/>
  <c r="U594" i="9" s="1"/>
  <c r="O595" i="9"/>
  <c r="R595" i="9" s="1"/>
  <c r="S595" i="9" s="1"/>
  <c r="T595" i="9" s="1"/>
  <c r="U595" i="9" s="1"/>
  <c r="N596" i="9"/>
  <c r="K596" i="9"/>
  <c r="M596" i="9"/>
  <c r="J596" i="9"/>
  <c r="L596" i="9"/>
  <c r="I598" i="9"/>
  <c r="J597" i="9" a="1"/>
  <c r="O596" i="9" l="1"/>
  <c r="R596" i="9" s="1"/>
  <c r="M597" i="9"/>
  <c r="N597" i="9"/>
  <c r="J597" i="9"/>
  <c r="K597" i="9"/>
  <c r="L597" i="9"/>
  <c r="I599" i="9"/>
  <c r="J598" i="9" a="1"/>
  <c r="O597" i="9" l="1"/>
  <c r="R597" i="9" s="1"/>
  <c r="I600" i="9"/>
  <c r="N598" i="9"/>
  <c r="L598" i="9"/>
  <c r="J598" i="9"/>
  <c r="K598" i="9"/>
  <c r="M598" i="9"/>
  <c r="J599" i="9" a="1"/>
  <c r="O598" i="9" l="1"/>
  <c r="R598" i="9" s="1"/>
  <c r="M599" i="9"/>
  <c r="L599" i="9"/>
  <c r="K599" i="9"/>
  <c r="N599" i="9"/>
  <c r="J599" i="9"/>
  <c r="I601" i="9"/>
  <c r="J600" i="9" a="1"/>
  <c r="O599" i="9" l="1"/>
  <c r="R599" i="9" s="1"/>
  <c r="I602" i="9"/>
  <c r="K600" i="9"/>
  <c r="L600" i="9"/>
  <c r="M600" i="9"/>
  <c r="N600" i="9"/>
  <c r="J600" i="9"/>
  <c r="J601" i="9" a="1"/>
  <c r="O600" i="9" l="1"/>
  <c r="R600" i="9" s="1"/>
  <c r="J601" i="9"/>
  <c r="L601" i="9"/>
  <c r="K601" i="9"/>
  <c r="M601" i="9"/>
  <c r="N601" i="9"/>
  <c r="I603" i="9"/>
  <c r="J602" i="9" a="1"/>
  <c r="O601" i="9" l="1"/>
  <c r="R601" i="9" s="1"/>
  <c r="M602" i="9"/>
  <c r="K602" i="9"/>
  <c r="J602" i="9"/>
  <c r="L602" i="9"/>
  <c r="N602" i="9"/>
  <c r="I604" i="9"/>
  <c r="J603" i="9" a="1"/>
  <c r="P601" i="9" l="1"/>
  <c r="Q599" i="9" s="1"/>
  <c r="S599" i="9" s="1"/>
  <c r="T599" i="9" s="1"/>
  <c r="U599" i="9" s="1"/>
  <c r="O602" i="9"/>
  <c r="R602" i="9" s="1"/>
  <c r="Q601" i="9"/>
  <c r="S601" i="9" s="1"/>
  <c r="T601" i="9" s="1"/>
  <c r="U601" i="9" s="1"/>
  <c r="I605" i="9"/>
  <c r="L603" i="9"/>
  <c r="J603" i="9"/>
  <c r="K603" i="9"/>
  <c r="M603" i="9"/>
  <c r="N603" i="9"/>
  <c r="J604" i="9" a="1"/>
  <c r="Q600" i="9" l="1"/>
  <c r="S600" i="9" s="1"/>
  <c r="T600" i="9" s="1"/>
  <c r="U600" i="9" s="1"/>
  <c r="Q597" i="9"/>
  <c r="S597" i="9" s="1"/>
  <c r="T597" i="9" s="1"/>
  <c r="U597" i="9" s="1"/>
  <c r="Q598" i="9"/>
  <c r="S598" i="9" s="1"/>
  <c r="T598" i="9" s="1"/>
  <c r="U598" i="9" s="1"/>
  <c r="Q604" i="9"/>
  <c r="Q596" i="9"/>
  <c r="S596" i="9" s="1"/>
  <c r="T596" i="9" s="1"/>
  <c r="U596" i="9" s="1"/>
  <c r="Q602" i="9"/>
  <c r="S602" i="9" s="1"/>
  <c r="T602" i="9" s="1"/>
  <c r="U602" i="9" s="1"/>
  <c r="Q603" i="9"/>
  <c r="O603" i="9"/>
  <c r="R603" i="9" s="1"/>
  <c r="I606" i="9"/>
  <c r="M604" i="9"/>
  <c r="J604" i="9"/>
  <c r="L604" i="9"/>
  <c r="K604" i="9"/>
  <c r="N604" i="9"/>
  <c r="J605" i="9" a="1"/>
  <c r="S603" i="9" l="1"/>
  <c r="T603" i="9" s="1"/>
  <c r="U603" i="9" s="1"/>
  <c r="O604" i="9"/>
  <c r="R604" i="9" s="1"/>
  <c r="S604" i="9" s="1"/>
  <c r="T604" i="9" s="1"/>
  <c r="U604" i="9" s="1"/>
  <c r="M605" i="9"/>
  <c r="L605" i="9"/>
  <c r="N605" i="9"/>
  <c r="J605" i="9"/>
  <c r="K605" i="9"/>
  <c r="I607" i="9"/>
  <c r="J606" i="9" a="1"/>
  <c r="O605" i="9" l="1"/>
  <c r="R605" i="9" s="1"/>
  <c r="I608" i="9"/>
  <c r="M606" i="9"/>
  <c r="N606" i="9"/>
  <c r="J606" i="9"/>
  <c r="K606" i="9"/>
  <c r="L606" i="9"/>
  <c r="J607" i="9" a="1"/>
  <c r="O606" i="9" l="1"/>
  <c r="R606" i="9" s="1"/>
  <c r="K607" i="9"/>
  <c r="N607" i="9"/>
  <c r="J607" i="9"/>
  <c r="M607" i="9"/>
  <c r="L607" i="9"/>
  <c r="I609" i="9"/>
  <c r="J608" i="9" a="1"/>
  <c r="O607" i="9" l="1"/>
  <c r="R607" i="9" s="1"/>
  <c r="I610" i="9"/>
  <c r="K608" i="9"/>
  <c r="M608" i="9"/>
  <c r="N608" i="9"/>
  <c r="L608" i="9"/>
  <c r="J608" i="9"/>
  <c r="J609" i="9" a="1"/>
  <c r="O608" i="9" l="1"/>
  <c r="R608" i="9" s="1"/>
  <c r="L609" i="9"/>
  <c r="M609" i="9"/>
  <c r="J609" i="9"/>
  <c r="N609" i="9"/>
  <c r="K609" i="9"/>
  <c r="I611" i="9"/>
  <c r="J610" i="9" a="1"/>
  <c r="O609" i="9" l="1"/>
  <c r="R609" i="9" s="1"/>
  <c r="I612" i="9"/>
  <c r="J610" i="9"/>
  <c r="L610" i="9"/>
  <c r="N610" i="9"/>
  <c r="M610" i="9"/>
  <c r="K610" i="9"/>
  <c r="J611" i="9" a="1"/>
  <c r="O610" i="9" l="1"/>
  <c r="R610" i="9" s="1"/>
  <c r="J611" i="9"/>
  <c r="K611" i="9"/>
  <c r="N611" i="9"/>
  <c r="L611" i="9"/>
  <c r="M611" i="9"/>
  <c r="I613" i="9"/>
  <c r="J612" i="9" a="1"/>
  <c r="P610" i="9" l="1"/>
  <c r="Q609" i="9" s="1"/>
  <c r="S609" i="9" s="1"/>
  <c r="T609" i="9" s="1"/>
  <c r="U609" i="9" s="1"/>
  <c r="O611" i="9"/>
  <c r="N612" i="9"/>
  <c r="K612" i="9"/>
  <c r="L612" i="9"/>
  <c r="M612" i="9"/>
  <c r="J612" i="9"/>
  <c r="I614" i="9"/>
  <c r="Q612" i="9"/>
  <c r="Q605" i="9"/>
  <c r="S605" i="9" s="1"/>
  <c r="T605" i="9" s="1"/>
  <c r="U605" i="9" s="1"/>
  <c r="Q606" i="9"/>
  <c r="S606" i="9" s="1"/>
  <c r="T606" i="9" s="1"/>
  <c r="U606" i="9" s="1"/>
  <c r="Q613" i="9"/>
  <c r="Q608" i="9"/>
  <c r="S608" i="9" s="1"/>
  <c r="T608" i="9" s="1"/>
  <c r="U608" i="9" s="1"/>
  <c r="R611" i="9"/>
  <c r="J613" i="9" a="1"/>
  <c r="Q611" i="9" l="1"/>
  <c r="S611" i="9" s="1"/>
  <c r="T611" i="9" s="1"/>
  <c r="U611" i="9" s="1"/>
  <c r="Q610" i="9"/>
  <c r="S610" i="9" s="1"/>
  <c r="T610" i="9" s="1"/>
  <c r="U610" i="9" s="1"/>
  <c r="Q607" i="9"/>
  <c r="S607" i="9" s="1"/>
  <c r="T607" i="9" s="1"/>
  <c r="U607" i="9" s="1"/>
  <c r="O612" i="9"/>
  <c r="R612" i="9" s="1"/>
  <c r="S612" i="9" s="1"/>
  <c r="T612" i="9" s="1"/>
  <c r="U612" i="9" s="1"/>
  <c r="I615" i="9"/>
  <c r="J613" i="9"/>
  <c r="L613" i="9"/>
  <c r="N613" i="9"/>
  <c r="K613" i="9"/>
  <c r="M613" i="9"/>
  <c r="J614" i="9" a="1"/>
  <c r="O613" i="9" l="1"/>
  <c r="R613" i="9" s="1"/>
  <c r="S613" i="9" s="1"/>
  <c r="T613" i="9" s="1"/>
  <c r="U613" i="9" s="1"/>
  <c r="M614" i="9"/>
  <c r="K614" i="9"/>
  <c r="N614" i="9"/>
  <c r="L614" i="9"/>
  <c r="J614" i="9"/>
  <c r="I616" i="9"/>
  <c r="J615" i="9" a="1"/>
  <c r="O614" i="9" l="1"/>
  <c r="R614" i="9" s="1"/>
  <c r="I617" i="9"/>
  <c r="L615" i="9"/>
  <c r="K615" i="9"/>
  <c r="M615" i="9"/>
  <c r="N615" i="9"/>
  <c r="J615" i="9"/>
  <c r="J616" i="9" a="1"/>
  <c r="O615" i="9" l="1"/>
  <c r="R615" i="9" s="1"/>
  <c r="M616" i="9"/>
  <c r="N616" i="9"/>
  <c r="J616" i="9"/>
  <c r="L616" i="9"/>
  <c r="K616" i="9"/>
  <c r="I618" i="9"/>
  <c r="J617" i="9" a="1"/>
  <c r="O616" i="9" l="1"/>
  <c r="R616" i="9" s="1"/>
  <c r="I619" i="9"/>
  <c r="M617" i="9"/>
  <c r="J617" i="9"/>
  <c r="K617" i="9"/>
  <c r="L617" i="9"/>
  <c r="N617" i="9"/>
  <c r="J618" i="9" a="1"/>
  <c r="O617" i="9" l="1"/>
  <c r="R617" i="9" s="1"/>
  <c r="K618" i="9"/>
  <c r="J618" i="9"/>
  <c r="L618" i="9"/>
  <c r="M618" i="9"/>
  <c r="N618" i="9"/>
  <c r="I620" i="9"/>
  <c r="J619" i="9" a="1"/>
  <c r="O618" i="9" l="1"/>
  <c r="R618" i="9" s="1"/>
  <c r="I621" i="9"/>
  <c r="L619" i="9"/>
  <c r="J619" i="9"/>
  <c r="M619" i="9"/>
  <c r="K619" i="9"/>
  <c r="N619" i="9"/>
  <c r="J620" i="9" a="1"/>
  <c r="O619" i="9" l="1"/>
  <c r="R619" i="9" s="1"/>
  <c r="N620" i="9"/>
  <c r="M620" i="9"/>
  <c r="J620" i="9"/>
  <c r="L620" i="9"/>
  <c r="K620" i="9"/>
  <c r="I622" i="9"/>
  <c r="J621" i="9" a="1"/>
  <c r="O620" i="9" l="1"/>
  <c r="R620" i="9" s="1"/>
  <c r="P619" i="9"/>
  <c r="Q614" i="9" s="1"/>
  <c r="S614" i="9" s="1"/>
  <c r="T614" i="9" s="1"/>
  <c r="U614" i="9" s="1"/>
  <c r="J621" i="9"/>
  <c r="L621" i="9"/>
  <c r="M621" i="9"/>
  <c r="N621" i="9"/>
  <c r="K621" i="9"/>
  <c r="Q622" i="9"/>
  <c r="Q618" i="9"/>
  <c r="S618" i="9" s="1"/>
  <c r="T618" i="9" s="1"/>
  <c r="U618" i="9" s="1"/>
  <c r="Q619" i="9"/>
  <c r="S619" i="9" s="1"/>
  <c r="T619" i="9" s="1"/>
  <c r="U619" i="9" s="1"/>
  <c r="Q616" i="9"/>
  <c r="S616" i="9" s="1"/>
  <c r="T616" i="9" s="1"/>
  <c r="U616" i="9" s="1"/>
  <c r="Q621" i="9"/>
  <c r="I623" i="9"/>
  <c r="J622" i="9" a="1"/>
  <c r="Q620" i="9" l="1"/>
  <c r="S620" i="9" s="1"/>
  <c r="T620" i="9" s="1"/>
  <c r="U620" i="9" s="1"/>
  <c r="Q617" i="9"/>
  <c r="S617" i="9" s="1"/>
  <c r="T617" i="9" s="1"/>
  <c r="U617" i="9" s="1"/>
  <c r="Q615" i="9"/>
  <c r="S615" i="9" s="1"/>
  <c r="T615" i="9" s="1"/>
  <c r="U615" i="9" s="1"/>
  <c r="O621" i="9"/>
  <c r="R621" i="9" s="1"/>
  <c r="S621" i="9" s="1"/>
  <c r="T621" i="9" s="1"/>
  <c r="U621" i="9" s="1"/>
  <c r="L622" i="9"/>
  <c r="J622" i="9"/>
  <c r="K622" i="9"/>
  <c r="M622" i="9"/>
  <c r="N622" i="9"/>
  <c r="I624" i="9"/>
  <c r="J623" i="9" a="1"/>
  <c r="O622" i="9" l="1"/>
  <c r="R622" i="9" s="1"/>
  <c r="S622" i="9" s="1"/>
  <c r="T622" i="9" s="1"/>
  <c r="U622" i="9" s="1"/>
  <c r="M623" i="9"/>
  <c r="L623" i="9"/>
  <c r="N623" i="9"/>
  <c r="J623" i="9"/>
  <c r="K623" i="9"/>
  <c r="I625" i="9"/>
  <c r="J624" i="9" a="1"/>
  <c r="O623" i="9" l="1"/>
  <c r="R623" i="9" s="1"/>
  <c r="I626" i="9"/>
  <c r="N624" i="9"/>
  <c r="J624" i="9"/>
  <c r="L624" i="9"/>
  <c r="M624" i="9"/>
  <c r="K624" i="9"/>
  <c r="J625" i="9" a="1"/>
  <c r="O624" i="9" l="1"/>
  <c r="R624" i="9" s="1"/>
  <c r="J625" i="9"/>
  <c r="L625" i="9"/>
  <c r="N625" i="9"/>
  <c r="K625" i="9"/>
  <c r="M625" i="9"/>
  <c r="I627" i="9"/>
  <c r="J626" i="9" a="1"/>
  <c r="O625" i="9" l="1"/>
  <c r="R625" i="9" s="1"/>
  <c r="L626" i="9"/>
  <c r="M626" i="9"/>
  <c r="J626" i="9"/>
  <c r="N626" i="9"/>
  <c r="K626" i="9"/>
  <c r="I628" i="9"/>
  <c r="J627" i="9" a="1"/>
  <c r="O626" i="9" l="1"/>
  <c r="R626" i="9" s="1"/>
  <c r="I629" i="9"/>
  <c r="L627" i="9"/>
  <c r="J627" i="9"/>
  <c r="M627" i="9"/>
  <c r="N627" i="9"/>
  <c r="K627" i="9"/>
  <c r="J628" i="9" a="1"/>
  <c r="O627" i="9" l="1"/>
  <c r="R627" i="9" s="1"/>
  <c r="K628" i="9"/>
  <c r="M628" i="9"/>
  <c r="L628" i="9"/>
  <c r="J628" i="9"/>
  <c r="N628" i="9"/>
  <c r="I630" i="9"/>
  <c r="J629" i="9" a="1"/>
  <c r="O628" i="9" l="1"/>
  <c r="R628" i="9" s="1"/>
  <c r="I631" i="9"/>
  <c r="M629" i="9"/>
  <c r="N629" i="9"/>
  <c r="J629" i="9"/>
  <c r="K629" i="9"/>
  <c r="L629" i="9"/>
  <c r="J630" i="9" a="1"/>
  <c r="P628" i="9" l="1"/>
  <c r="Q630" i="9" s="1"/>
  <c r="O629" i="9"/>
  <c r="Q628" i="9"/>
  <c r="S628" i="9" s="1"/>
  <c r="T628" i="9" s="1"/>
  <c r="U628" i="9" s="1"/>
  <c r="Q631" i="9"/>
  <c r="Q629" i="9"/>
  <c r="Q625" i="9"/>
  <c r="S625" i="9" s="1"/>
  <c r="T625" i="9" s="1"/>
  <c r="U625" i="9" s="1"/>
  <c r="Q626" i="9"/>
  <c r="S626" i="9" s="1"/>
  <c r="T626" i="9" s="1"/>
  <c r="U626" i="9" s="1"/>
  <c r="Q623" i="9"/>
  <c r="S623" i="9" s="1"/>
  <c r="T623" i="9" s="1"/>
  <c r="U623" i="9" s="1"/>
  <c r="Q627" i="9"/>
  <c r="S627" i="9" s="1"/>
  <c r="T627" i="9" s="1"/>
  <c r="U627" i="9" s="1"/>
  <c r="N630" i="9"/>
  <c r="L630" i="9"/>
  <c r="J630" i="9"/>
  <c r="K630" i="9"/>
  <c r="M630" i="9"/>
  <c r="R629" i="9"/>
  <c r="I632" i="9"/>
  <c r="J631" i="9" a="1"/>
  <c r="Q624" i="9" l="1"/>
  <c r="S624" i="9" s="1"/>
  <c r="T624" i="9" s="1"/>
  <c r="U624" i="9" s="1"/>
  <c r="O630" i="9"/>
  <c r="R630" i="9" s="1"/>
  <c r="S630" i="9" s="1"/>
  <c r="T630" i="9" s="1"/>
  <c r="U630" i="9" s="1"/>
  <c r="L631" i="9"/>
  <c r="K631" i="9"/>
  <c r="N631" i="9"/>
  <c r="M631" i="9"/>
  <c r="J631" i="9"/>
  <c r="I633" i="9"/>
  <c r="S629" i="9"/>
  <c r="T629" i="9" s="1"/>
  <c r="U629" i="9" s="1"/>
  <c r="J632" i="9" a="1"/>
  <c r="O631" i="9" l="1"/>
  <c r="R631" i="9" s="1"/>
  <c r="S631" i="9" s="1"/>
  <c r="T631" i="9" s="1"/>
  <c r="U631" i="9" s="1"/>
  <c r="I634" i="9"/>
  <c r="L632" i="9"/>
  <c r="M632" i="9"/>
  <c r="N632" i="9"/>
  <c r="J632" i="9"/>
  <c r="K632" i="9"/>
  <c r="J633" i="9" a="1"/>
  <c r="O632" i="9" l="1"/>
  <c r="R632" i="9" s="1"/>
  <c r="K633" i="9"/>
  <c r="M633" i="9"/>
  <c r="N633" i="9"/>
  <c r="J633" i="9"/>
  <c r="L633" i="9"/>
  <c r="I635" i="9"/>
  <c r="J634" i="9" a="1"/>
  <c r="O633" i="9" l="1"/>
  <c r="R633" i="9" s="1"/>
  <c r="I636" i="9"/>
  <c r="J634" i="9"/>
  <c r="L634" i="9"/>
  <c r="N634" i="9"/>
  <c r="K634" i="9"/>
  <c r="M634" i="9"/>
  <c r="J635" i="9" a="1"/>
  <c r="O634" i="9" l="1"/>
  <c r="R634" i="9" s="1"/>
  <c r="N635" i="9"/>
  <c r="L635" i="9"/>
  <c r="J635" i="9"/>
  <c r="K635" i="9"/>
  <c r="M635" i="9"/>
  <c r="I637" i="9"/>
  <c r="J636" i="9" a="1"/>
  <c r="O635" i="9" l="1"/>
  <c r="R635" i="9" s="1"/>
  <c r="I638" i="9"/>
  <c r="J636" i="9"/>
  <c r="N636" i="9"/>
  <c r="K636" i="9"/>
  <c r="M636" i="9"/>
  <c r="L636" i="9"/>
  <c r="J637" i="9" a="1"/>
  <c r="O636" i="9" l="1"/>
  <c r="R636" i="9" s="1"/>
  <c r="L637" i="9"/>
  <c r="N637" i="9"/>
  <c r="J637" i="9"/>
  <c r="K637" i="9"/>
  <c r="M637" i="9"/>
  <c r="I639" i="9"/>
  <c r="J638" i="9" a="1"/>
  <c r="O637" i="9" l="1"/>
  <c r="R637" i="9" s="1"/>
  <c r="I640" i="9"/>
  <c r="M638" i="9"/>
  <c r="N638" i="9"/>
  <c r="J638" i="9"/>
  <c r="K638" i="9"/>
  <c r="L638" i="9"/>
  <c r="J639" i="9" a="1"/>
  <c r="P637" i="9" l="1"/>
  <c r="Q635" i="9" s="1"/>
  <c r="S635" i="9" s="1"/>
  <c r="T635" i="9" s="1"/>
  <c r="U635" i="9" s="1"/>
  <c r="O638" i="9"/>
  <c r="R638" i="9" s="1"/>
  <c r="M639" i="9"/>
  <c r="J639" i="9"/>
  <c r="L639" i="9"/>
  <c r="K639" i="9"/>
  <c r="N639" i="9"/>
  <c r="Q640" i="9"/>
  <c r="Q638" i="9"/>
  <c r="Q633" i="9"/>
  <c r="S633" i="9" s="1"/>
  <c r="T633" i="9" s="1"/>
  <c r="U633" i="9" s="1"/>
  <c r="Q632" i="9"/>
  <c r="S632" i="9" s="1"/>
  <c r="T632" i="9" s="1"/>
  <c r="U632" i="9" s="1"/>
  <c r="I641" i="9"/>
  <c r="J640" i="9" a="1"/>
  <c r="Q634" i="9" l="1"/>
  <c r="S634" i="9" s="1"/>
  <c r="T634" i="9" s="1"/>
  <c r="U634" i="9" s="1"/>
  <c r="Q639" i="9"/>
  <c r="Q637" i="9"/>
  <c r="S637" i="9" s="1"/>
  <c r="T637" i="9" s="1"/>
  <c r="U637" i="9" s="1"/>
  <c r="Q636" i="9"/>
  <c r="S636" i="9" s="1"/>
  <c r="T636" i="9" s="1"/>
  <c r="U636" i="9" s="1"/>
  <c r="S638" i="9"/>
  <c r="T638" i="9" s="1"/>
  <c r="U638" i="9" s="1"/>
  <c r="O639" i="9"/>
  <c r="R639" i="9" s="1"/>
  <c r="N640" i="9"/>
  <c r="L640" i="9"/>
  <c r="J640" i="9"/>
  <c r="M640" i="9"/>
  <c r="K640" i="9"/>
  <c r="I642" i="9"/>
  <c r="J641" i="9" a="1"/>
  <c r="S639" i="9" l="1"/>
  <c r="T639" i="9" s="1"/>
  <c r="U639" i="9" s="1"/>
  <c r="O640" i="9"/>
  <c r="R640" i="9" s="1"/>
  <c r="S640" i="9" s="1"/>
  <c r="T640" i="9" s="1"/>
  <c r="U640" i="9" s="1"/>
  <c r="J641" i="9"/>
  <c r="N641" i="9"/>
  <c r="K641" i="9"/>
  <c r="L641" i="9"/>
  <c r="M641" i="9"/>
  <c r="I643" i="9"/>
  <c r="J642" i="9" a="1"/>
  <c r="O641" i="9" l="1"/>
  <c r="R641" i="9" s="1"/>
  <c r="N642" i="9"/>
  <c r="M642" i="9"/>
  <c r="K642" i="9"/>
  <c r="J642" i="9"/>
  <c r="L642" i="9"/>
  <c r="I644" i="9"/>
  <c r="J643" i="9" a="1"/>
  <c r="O642" i="9" l="1"/>
  <c r="R642" i="9" s="1"/>
  <c r="I645" i="9"/>
  <c r="K643" i="9"/>
  <c r="L643" i="9"/>
  <c r="M643" i="9"/>
  <c r="J643" i="9"/>
  <c r="N643" i="9"/>
  <c r="J644" i="9" a="1"/>
  <c r="O643" i="9" l="1"/>
  <c r="R643" i="9" s="1"/>
  <c r="L644" i="9"/>
  <c r="M644" i="9"/>
  <c r="J644" i="9"/>
  <c r="N644" i="9"/>
  <c r="K644" i="9"/>
  <c r="I646" i="9"/>
  <c r="J645" i="9" a="1"/>
  <c r="O644" i="9" l="1"/>
  <c r="R644" i="9" s="1"/>
  <c r="I647" i="9"/>
  <c r="L645" i="9"/>
  <c r="N645" i="9"/>
  <c r="K645" i="9"/>
  <c r="M645" i="9"/>
  <c r="J645" i="9"/>
  <c r="J646" i="9" a="1"/>
  <c r="O645" i="9" l="1"/>
  <c r="R645" i="9" s="1"/>
  <c r="L646" i="9"/>
  <c r="N646" i="9"/>
  <c r="J646" i="9"/>
  <c r="K646" i="9"/>
  <c r="M646" i="9"/>
  <c r="I648" i="9"/>
  <c r="J647" i="9" a="1"/>
  <c r="O646" i="9" l="1"/>
  <c r="R646" i="9" s="1"/>
  <c r="I649" i="9"/>
  <c r="K647" i="9"/>
  <c r="M647" i="9"/>
  <c r="N647" i="9"/>
  <c r="J647" i="9"/>
  <c r="L647" i="9"/>
  <c r="J648" i="9" a="1"/>
  <c r="P646" i="9" l="1"/>
  <c r="O647" i="9"/>
  <c r="R647" i="9" s="1"/>
  <c r="Q648" i="9"/>
  <c r="Q649" i="9"/>
  <c r="Q644" i="9"/>
  <c r="S644" i="9" s="1"/>
  <c r="T644" i="9" s="1"/>
  <c r="U644" i="9" s="1"/>
  <c r="Q643" i="9"/>
  <c r="S643" i="9" s="1"/>
  <c r="T643" i="9" s="1"/>
  <c r="U643" i="9" s="1"/>
  <c r="Q645" i="9"/>
  <c r="S645" i="9" s="1"/>
  <c r="T645" i="9" s="1"/>
  <c r="U645" i="9" s="1"/>
  <c r="Q646" i="9"/>
  <c r="S646" i="9" s="1"/>
  <c r="T646" i="9" s="1"/>
  <c r="U646" i="9" s="1"/>
  <c r="Q641" i="9"/>
  <c r="S641" i="9" s="1"/>
  <c r="T641" i="9" s="1"/>
  <c r="U641" i="9" s="1"/>
  <c r="Q647" i="9"/>
  <c r="S647" i="9" s="1"/>
  <c r="T647" i="9" s="1"/>
  <c r="U647" i="9" s="1"/>
  <c r="Q642" i="9"/>
  <c r="S642" i="9" s="1"/>
  <c r="T642" i="9" s="1"/>
  <c r="U642" i="9" s="1"/>
  <c r="K648" i="9"/>
  <c r="N648" i="9"/>
  <c r="J648" i="9"/>
  <c r="M648" i="9"/>
  <c r="L648" i="9"/>
  <c r="I650" i="9"/>
  <c r="J649" i="9" a="1"/>
  <c r="O648" i="9" l="1"/>
  <c r="R648" i="9" s="1"/>
  <c r="S648" i="9" s="1"/>
  <c r="T648" i="9" s="1"/>
  <c r="U648" i="9" s="1"/>
  <c r="I651" i="9"/>
  <c r="K649" i="9"/>
  <c r="L649" i="9"/>
  <c r="N649" i="9"/>
  <c r="M649" i="9"/>
  <c r="J649" i="9"/>
  <c r="J650" i="9" a="1"/>
  <c r="O649" i="9" l="1"/>
  <c r="R649" i="9" s="1"/>
  <c r="S649" i="9" s="1"/>
  <c r="T649" i="9" s="1"/>
  <c r="U649" i="9" s="1"/>
  <c r="J650" i="9"/>
  <c r="L650" i="9"/>
  <c r="M650" i="9"/>
  <c r="N650" i="9"/>
  <c r="K650" i="9"/>
  <c r="I652" i="9"/>
  <c r="J651" i="9" a="1"/>
  <c r="O650" i="9" l="1"/>
  <c r="R650" i="9" s="1"/>
  <c r="L651" i="9"/>
  <c r="J651" i="9"/>
  <c r="M651" i="9"/>
  <c r="K651" i="9"/>
  <c r="N651" i="9"/>
  <c r="I653" i="9"/>
  <c r="J652" i="9" a="1"/>
  <c r="O651" i="9" l="1"/>
  <c r="R651" i="9" s="1"/>
  <c r="I654" i="9"/>
  <c r="M652" i="9"/>
  <c r="J652" i="9"/>
  <c r="K652" i="9"/>
  <c r="L652" i="9"/>
  <c r="N652" i="9"/>
  <c r="J653" i="9" a="1"/>
  <c r="O652" i="9" l="1"/>
  <c r="R652" i="9" s="1"/>
  <c r="J653" i="9"/>
  <c r="K653" i="9"/>
  <c r="L653" i="9"/>
  <c r="M653" i="9"/>
  <c r="N653" i="9"/>
  <c r="I655" i="9"/>
  <c r="J654" i="9" a="1"/>
  <c r="O653" i="9" l="1"/>
  <c r="R653" i="9" s="1"/>
  <c r="N654" i="9"/>
  <c r="J654" i="9"/>
  <c r="K654" i="9"/>
  <c r="M654" i="9"/>
  <c r="L654" i="9"/>
  <c r="I656" i="9"/>
  <c r="J655" i="9" a="1"/>
  <c r="O654" i="9" l="1"/>
  <c r="R654" i="9" s="1"/>
  <c r="L655" i="9"/>
  <c r="N655" i="9"/>
  <c r="K655" i="9"/>
  <c r="J655" i="9"/>
  <c r="M655" i="9"/>
  <c r="I657" i="9"/>
  <c r="J656" i="9" a="1"/>
  <c r="O655" i="9" l="1"/>
  <c r="R655" i="9" s="1"/>
  <c r="I658" i="9"/>
  <c r="J656" i="9"/>
  <c r="K656" i="9"/>
  <c r="N656" i="9"/>
  <c r="L656" i="9"/>
  <c r="M656" i="9"/>
  <c r="J657" i="9" a="1"/>
  <c r="P655" i="9" l="1"/>
  <c r="Q650" i="9" s="1"/>
  <c r="S650" i="9" s="1"/>
  <c r="T650" i="9" s="1"/>
  <c r="U650" i="9" s="1"/>
  <c r="O656" i="9"/>
  <c r="R656" i="9" s="1"/>
  <c r="Q656" i="9"/>
  <c r="S656" i="9" s="1"/>
  <c r="T656" i="9" s="1"/>
  <c r="U656" i="9" s="1"/>
  <c r="Q652" i="9"/>
  <c r="S652" i="9" s="1"/>
  <c r="T652" i="9" s="1"/>
  <c r="U652" i="9" s="1"/>
  <c r="Q655" i="9"/>
  <c r="S655" i="9" s="1"/>
  <c r="T655" i="9" s="1"/>
  <c r="U655" i="9" s="1"/>
  <c r="Q653" i="9"/>
  <c r="S653" i="9" s="1"/>
  <c r="T653" i="9" s="1"/>
  <c r="U653" i="9" s="1"/>
  <c r="Q654" i="9"/>
  <c r="S654" i="9" s="1"/>
  <c r="T654" i="9" s="1"/>
  <c r="U654" i="9" s="1"/>
  <c r="L657" i="9"/>
  <c r="K657" i="9"/>
  <c r="J657" i="9"/>
  <c r="M657" i="9"/>
  <c r="N657" i="9"/>
  <c r="I659" i="9"/>
  <c r="J658" i="9" a="1"/>
  <c r="Q657" i="9" l="1"/>
  <c r="Q651" i="9"/>
  <c r="S651" i="9" s="1"/>
  <c r="T651" i="9" s="1"/>
  <c r="U651" i="9" s="1"/>
  <c r="Q658" i="9"/>
  <c r="O657" i="9"/>
  <c r="R657" i="9" s="1"/>
  <c r="J658" i="9"/>
  <c r="N658" i="9"/>
  <c r="L658" i="9"/>
  <c r="K658" i="9"/>
  <c r="M658" i="9"/>
  <c r="I660" i="9"/>
  <c r="J659" i="9" a="1"/>
  <c r="S657" i="9" l="1"/>
  <c r="T657" i="9" s="1"/>
  <c r="U657" i="9" s="1"/>
  <c r="O658" i="9"/>
  <c r="R658" i="9" s="1"/>
  <c r="S658" i="9" s="1"/>
  <c r="T658" i="9" s="1"/>
  <c r="U658" i="9" s="1"/>
  <c r="K659" i="9"/>
  <c r="J659" i="9"/>
  <c r="N659" i="9"/>
  <c r="L659" i="9"/>
  <c r="M659" i="9"/>
  <c r="I661" i="9"/>
  <c r="J660" i="9" a="1"/>
  <c r="O659" i="9" l="1"/>
  <c r="R659" i="9" s="1"/>
  <c r="I662" i="9"/>
  <c r="L660" i="9"/>
  <c r="M660" i="9"/>
  <c r="N660" i="9"/>
  <c r="K660" i="9"/>
  <c r="J660" i="9"/>
  <c r="J661" i="9" a="1"/>
  <c r="O660" i="9" l="1"/>
  <c r="R660" i="9" s="1"/>
  <c r="L661" i="9"/>
  <c r="K661" i="9"/>
  <c r="N661" i="9"/>
  <c r="J661" i="9"/>
  <c r="M661" i="9"/>
  <c r="I663" i="9"/>
  <c r="J662" i="9" a="1"/>
  <c r="O661" i="9" l="1"/>
  <c r="R661" i="9" s="1"/>
  <c r="I664" i="9"/>
  <c r="J662" i="9"/>
  <c r="M662" i="9"/>
  <c r="K662" i="9"/>
  <c r="L662" i="9"/>
  <c r="N662" i="9"/>
  <c r="J663" i="9" a="1"/>
  <c r="O662" i="9" l="1"/>
  <c r="R662" i="9" s="1"/>
  <c r="N663" i="9"/>
  <c r="M663" i="9"/>
  <c r="J663" i="9"/>
  <c r="L663" i="9"/>
  <c r="K663" i="9"/>
  <c r="I665" i="9"/>
  <c r="J664" i="9" a="1"/>
  <c r="O663" i="9" l="1"/>
  <c r="R663" i="9" s="1"/>
  <c r="I666" i="9"/>
  <c r="M664" i="9"/>
  <c r="N664" i="9"/>
  <c r="J664" i="9"/>
  <c r="K664" i="9"/>
  <c r="L664" i="9"/>
  <c r="J665" i="9" a="1"/>
  <c r="O664" i="9" l="1"/>
  <c r="P664" i="9" s="1"/>
  <c r="N665" i="9"/>
  <c r="L665" i="9"/>
  <c r="K665" i="9"/>
  <c r="J665" i="9"/>
  <c r="M665" i="9"/>
  <c r="I667" i="9"/>
  <c r="J666" i="9" a="1"/>
  <c r="R664" i="9" l="1"/>
  <c r="O665" i="9"/>
  <c r="R665" i="9" s="1"/>
  <c r="I668" i="9"/>
  <c r="K666" i="9"/>
  <c r="M666" i="9"/>
  <c r="N666" i="9"/>
  <c r="J666" i="9"/>
  <c r="L666" i="9"/>
  <c r="Q663" i="9"/>
  <c r="S663" i="9" s="1"/>
  <c r="T663" i="9" s="1"/>
  <c r="U663" i="9" s="1"/>
  <c r="Q659" i="9"/>
  <c r="S659" i="9" s="1"/>
  <c r="T659" i="9" s="1"/>
  <c r="U659" i="9" s="1"/>
  <c r="Q666" i="9"/>
  <c r="Q660" i="9"/>
  <c r="S660" i="9" s="1"/>
  <c r="T660" i="9" s="1"/>
  <c r="U660" i="9" s="1"/>
  <c r="Q667" i="9"/>
  <c r="Q661" i="9"/>
  <c r="S661" i="9" s="1"/>
  <c r="T661" i="9" s="1"/>
  <c r="U661" i="9" s="1"/>
  <c r="Q665" i="9"/>
  <c r="S665" i="9" s="1"/>
  <c r="T665" i="9" s="1"/>
  <c r="U665" i="9" s="1"/>
  <c r="Q662" i="9"/>
  <c r="S662" i="9" s="1"/>
  <c r="T662" i="9" s="1"/>
  <c r="U662" i="9" s="1"/>
  <c r="Q664" i="9"/>
  <c r="S664" i="9" s="1"/>
  <c r="T664" i="9" s="1"/>
  <c r="U664" i="9" s="1"/>
  <c r="J667" i="9" a="1"/>
  <c r="O666" i="9" l="1"/>
  <c r="R666" i="9" s="1"/>
  <c r="S666" i="9" s="1"/>
  <c r="T666" i="9" s="1"/>
  <c r="U666" i="9" s="1"/>
  <c r="K667" i="9"/>
  <c r="L667" i="9"/>
  <c r="J667" i="9"/>
  <c r="N667" i="9"/>
  <c r="M667" i="9"/>
  <c r="I669" i="9"/>
  <c r="J668" i="9" a="1"/>
  <c r="O667" i="9" l="1"/>
  <c r="R667" i="9" s="1"/>
  <c r="S667" i="9" s="1"/>
  <c r="T667" i="9" s="1"/>
  <c r="U667" i="9" s="1"/>
  <c r="I670" i="9"/>
  <c r="N668" i="9"/>
  <c r="M668" i="9"/>
  <c r="K668" i="9"/>
  <c r="L668" i="9"/>
  <c r="J668" i="9"/>
  <c r="J669" i="9" a="1"/>
  <c r="O668" i="9" l="1"/>
  <c r="R668" i="9" s="1"/>
  <c r="M669" i="9"/>
  <c r="J669" i="9"/>
  <c r="K669" i="9"/>
  <c r="L669" i="9"/>
  <c r="N669" i="9"/>
  <c r="I671" i="9"/>
  <c r="J670" i="9" a="1"/>
  <c r="O669" i="9" l="1"/>
  <c r="R669" i="9" s="1"/>
  <c r="I672" i="9"/>
  <c r="K670" i="9"/>
  <c r="L670" i="9"/>
  <c r="M670" i="9"/>
  <c r="N670" i="9"/>
  <c r="J670" i="9"/>
  <c r="J671" i="9" a="1"/>
  <c r="O670" i="9" l="1"/>
  <c r="R670" i="9" s="1"/>
  <c r="L671" i="9"/>
  <c r="N671" i="9"/>
  <c r="M671" i="9"/>
  <c r="J671" i="9"/>
  <c r="K671" i="9"/>
  <c r="I673" i="9"/>
  <c r="J672" i="9" a="1"/>
  <c r="O671" i="9" l="1"/>
  <c r="R671" i="9" s="1"/>
  <c r="I674" i="9"/>
  <c r="M672" i="9"/>
  <c r="J672" i="9"/>
  <c r="N672" i="9"/>
  <c r="K672" i="9"/>
  <c r="L672" i="9"/>
  <c r="J673" i="9" a="1"/>
  <c r="O672" i="9" l="1"/>
  <c r="R672" i="9" s="1"/>
  <c r="K673" i="9"/>
  <c r="M673" i="9"/>
  <c r="L673" i="9"/>
  <c r="J673" i="9"/>
  <c r="N673" i="9"/>
  <c r="I675" i="9"/>
  <c r="J674" i="9" a="1"/>
  <c r="O673" i="9" l="1"/>
  <c r="R673" i="9" s="1"/>
  <c r="I676" i="9"/>
  <c r="J674" i="9"/>
  <c r="N674" i="9"/>
  <c r="K674" i="9"/>
  <c r="L674" i="9"/>
  <c r="M674" i="9"/>
  <c r="J675" i="9" a="1"/>
  <c r="P673" i="9" l="1"/>
  <c r="Q673" i="9" s="1"/>
  <c r="S673" i="9" s="1"/>
  <c r="T673" i="9" s="1"/>
  <c r="U673" i="9" s="1"/>
  <c r="O674" i="9"/>
  <c r="R674" i="9" s="1"/>
  <c r="Q668" i="9"/>
  <c r="S668" i="9" s="1"/>
  <c r="T668" i="9" s="1"/>
  <c r="U668" i="9" s="1"/>
  <c r="Q676" i="9"/>
  <c r="Q669" i="9"/>
  <c r="S669" i="9" s="1"/>
  <c r="T669" i="9" s="1"/>
  <c r="U669" i="9" s="1"/>
  <c r="Q674" i="9"/>
  <c r="S674" i="9" s="1"/>
  <c r="T674" i="9" s="1"/>
  <c r="U674" i="9" s="1"/>
  <c r="Q675" i="9"/>
  <c r="L675" i="9"/>
  <c r="K675" i="9"/>
  <c r="N675" i="9"/>
  <c r="J675" i="9"/>
  <c r="M675" i="9"/>
  <c r="I677" i="9"/>
  <c r="J676" i="9" a="1"/>
  <c r="Q671" i="9" l="1"/>
  <c r="S671" i="9" s="1"/>
  <c r="T671" i="9" s="1"/>
  <c r="U671" i="9" s="1"/>
  <c r="Q672" i="9"/>
  <c r="S672" i="9" s="1"/>
  <c r="T672" i="9" s="1"/>
  <c r="U672" i="9" s="1"/>
  <c r="Q670" i="9"/>
  <c r="S670" i="9" s="1"/>
  <c r="T670" i="9" s="1"/>
  <c r="U670" i="9" s="1"/>
  <c r="O675" i="9"/>
  <c r="R675" i="9" s="1"/>
  <c r="S675" i="9" s="1"/>
  <c r="T675" i="9" s="1"/>
  <c r="U675" i="9" s="1"/>
  <c r="J676" i="9"/>
  <c r="L676" i="9"/>
  <c r="M676" i="9"/>
  <c r="N676" i="9"/>
  <c r="K676" i="9"/>
  <c r="I678" i="9"/>
  <c r="J677" i="9" a="1"/>
  <c r="O676" i="9" l="1"/>
  <c r="R676" i="9" s="1"/>
  <c r="S676" i="9" s="1"/>
  <c r="T676" i="9" s="1"/>
  <c r="U676" i="9" s="1"/>
  <c r="M677" i="9"/>
  <c r="K677" i="9"/>
  <c r="N677" i="9"/>
  <c r="J677" i="9"/>
  <c r="L677" i="9"/>
  <c r="I679" i="9"/>
  <c r="J678" i="9" a="1"/>
  <c r="O677" i="9" l="1"/>
  <c r="R677" i="9" s="1"/>
  <c r="I680" i="9"/>
  <c r="N678" i="9"/>
  <c r="M678" i="9"/>
  <c r="K678" i="9"/>
  <c r="L678" i="9"/>
  <c r="J678" i="9"/>
  <c r="J679" i="9" a="1"/>
  <c r="O678" i="9" l="1"/>
  <c r="R678" i="9" s="1"/>
  <c r="K679" i="9"/>
  <c r="J679" i="9"/>
  <c r="M679" i="9"/>
  <c r="N679" i="9"/>
  <c r="L679" i="9"/>
  <c r="I681" i="9"/>
  <c r="J680" i="9" a="1"/>
  <c r="O679" i="9" l="1"/>
  <c r="R679" i="9" s="1"/>
  <c r="I682" i="9"/>
  <c r="N680" i="9"/>
  <c r="L680" i="9"/>
  <c r="K680" i="9"/>
  <c r="J680" i="9"/>
  <c r="M680" i="9"/>
  <c r="J681" i="9" a="1"/>
  <c r="O680" i="9" l="1"/>
  <c r="R680" i="9" s="1"/>
  <c r="N681" i="9"/>
  <c r="J681" i="9"/>
  <c r="K681" i="9"/>
  <c r="L681" i="9"/>
  <c r="M681" i="9"/>
  <c r="I683" i="9"/>
  <c r="J682" i="9" a="1"/>
  <c r="O681" i="9" l="1"/>
  <c r="R681" i="9" s="1"/>
  <c r="I684" i="9"/>
  <c r="M682" i="9"/>
  <c r="N682" i="9"/>
  <c r="L682" i="9"/>
  <c r="K682" i="9"/>
  <c r="J682" i="9"/>
  <c r="J683" i="9" a="1"/>
  <c r="O682" i="9" l="1"/>
  <c r="P682" i="9" s="1"/>
  <c r="L683" i="9"/>
  <c r="N683" i="9"/>
  <c r="M683" i="9"/>
  <c r="J683" i="9"/>
  <c r="K683" i="9"/>
  <c r="I685" i="9"/>
  <c r="J684" i="9" a="1"/>
  <c r="R682" i="9" l="1"/>
  <c r="O683" i="9"/>
  <c r="R683" i="9" s="1"/>
  <c r="M684" i="9"/>
  <c r="N684" i="9"/>
  <c r="J684" i="9"/>
  <c r="K684" i="9"/>
  <c r="L684" i="9"/>
  <c r="I686" i="9"/>
  <c r="Q678" i="9"/>
  <c r="S678" i="9" s="1"/>
  <c r="T678" i="9" s="1"/>
  <c r="U678" i="9" s="1"/>
  <c r="Q679" i="9"/>
  <c r="S679" i="9" s="1"/>
  <c r="T679" i="9" s="1"/>
  <c r="U679" i="9" s="1"/>
  <c r="Q680" i="9"/>
  <c r="S680" i="9" s="1"/>
  <c r="T680" i="9" s="1"/>
  <c r="U680" i="9" s="1"/>
  <c r="Q681" i="9"/>
  <c r="S681" i="9" s="1"/>
  <c r="T681" i="9" s="1"/>
  <c r="U681" i="9" s="1"/>
  <c r="Q684" i="9"/>
  <c r="Q682" i="9"/>
  <c r="S682" i="9" s="1"/>
  <c r="T682" i="9" s="1"/>
  <c r="U682" i="9" s="1"/>
  <c r="Q677" i="9"/>
  <c r="S677" i="9" s="1"/>
  <c r="T677" i="9" s="1"/>
  <c r="U677" i="9" s="1"/>
  <c r="Q683" i="9"/>
  <c r="S683" i="9" s="1"/>
  <c r="T683" i="9" s="1"/>
  <c r="U683" i="9" s="1"/>
  <c r="Q685" i="9"/>
  <c r="J685" i="9" a="1"/>
  <c r="O684" i="9" l="1"/>
  <c r="R684" i="9" s="1"/>
  <c r="S684" i="9" s="1"/>
  <c r="T684" i="9" s="1"/>
  <c r="U684" i="9" s="1"/>
  <c r="I687" i="9"/>
  <c r="M685" i="9"/>
  <c r="N685" i="9"/>
  <c r="J685" i="9"/>
  <c r="L685" i="9"/>
  <c r="K685" i="9"/>
  <c r="J686" i="9" a="1"/>
  <c r="O685" i="9" l="1"/>
  <c r="R685" i="9" s="1"/>
  <c r="S685" i="9" s="1"/>
  <c r="T685" i="9" s="1"/>
  <c r="U685" i="9" s="1"/>
  <c r="J686" i="9"/>
  <c r="N686" i="9"/>
  <c r="M686" i="9"/>
  <c r="L686" i="9"/>
  <c r="K686" i="9"/>
  <c r="I688" i="9"/>
  <c r="J687" i="9" a="1"/>
  <c r="O686" i="9" l="1"/>
  <c r="R686" i="9" s="1"/>
  <c r="K687" i="9"/>
  <c r="M687" i="9"/>
  <c r="N687" i="9"/>
  <c r="L687" i="9"/>
  <c r="J687" i="9"/>
  <c r="I689" i="9"/>
  <c r="J688" i="9" a="1"/>
  <c r="O687" i="9" l="1"/>
  <c r="R687" i="9" s="1"/>
  <c r="I690" i="9"/>
  <c r="J688" i="9"/>
  <c r="L688" i="9"/>
  <c r="N688" i="9"/>
  <c r="K688" i="9"/>
  <c r="M688" i="9"/>
  <c r="J689" i="9" a="1"/>
  <c r="O688" i="9" l="1"/>
  <c r="R688" i="9" s="1"/>
  <c r="J689" i="9"/>
  <c r="M689" i="9"/>
  <c r="K689" i="9"/>
  <c r="L689" i="9"/>
  <c r="N689" i="9"/>
  <c r="I691" i="9"/>
  <c r="J690" i="9" a="1"/>
  <c r="O689" i="9" l="1"/>
  <c r="R689" i="9" s="1"/>
  <c r="N690" i="9"/>
  <c r="J690" i="9"/>
  <c r="K690" i="9"/>
  <c r="L690" i="9"/>
  <c r="M690" i="9"/>
  <c r="I692" i="9"/>
  <c r="J691" i="9" a="1"/>
  <c r="O690" i="9" l="1"/>
  <c r="R690" i="9" s="1"/>
  <c r="I693" i="9"/>
  <c r="M691" i="9"/>
  <c r="N691" i="9"/>
  <c r="J691" i="9"/>
  <c r="L691" i="9"/>
  <c r="K691" i="9"/>
  <c r="J692" i="9" a="1"/>
  <c r="O691" i="9" l="1"/>
  <c r="R691" i="9" s="1"/>
  <c r="J692" i="9"/>
  <c r="M692" i="9"/>
  <c r="L692" i="9"/>
  <c r="K692" i="9"/>
  <c r="N692" i="9"/>
  <c r="I694" i="9"/>
  <c r="J693" i="9" a="1"/>
  <c r="P691" i="9" l="1"/>
  <c r="Q692" i="9" s="1"/>
  <c r="O692" i="9"/>
  <c r="R692" i="9" s="1"/>
  <c r="J693" i="9"/>
  <c r="K693" i="9"/>
  <c r="N693" i="9"/>
  <c r="L693" i="9"/>
  <c r="M693" i="9"/>
  <c r="Q686" i="9"/>
  <c r="S686" i="9" s="1"/>
  <c r="T686" i="9" s="1"/>
  <c r="U686" i="9" s="1"/>
  <c r="Q690" i="9"/>
  <c r="S690" i="9" s="1"/>
  <c r="T690" i="9" s="1"/>
  <c r="U690" i="9" s="1"/>
  <c r="Q693" i="9"/>
  <c r="I695" i="9"/>
  <c r="J694" i="9" a="1"/>
  <c r="Q691" i="9" l="1"/>
  <c r="S691" i="9" s="1"/>
  <c r="T691" i="9" s="1"/>
  <c r="U691" i="9" s="1"/>
  <c r="Q687" i="9"/>
  <c r="S687" i="9" s="1"/>
  <c r="T687" i="9" s="1"/>
  <c r="U687" i="9" s="1"/>
  <c r="Q688" i="9"/>
  <c r="S688" i="9" s="1"/>
  <c r="T688" i="9" s="1"/>
  <c r="U688" i="9" s="1"/>
  <c r="Q689" i="9"/>
  <c r="S689" i="9" s="1"/>
  <c r="T689" i="9" s="1"/>
  <c r="U689" i="9" s="1"/>
  <c r="Q694" i="9"/>
  <c r="O693" i="9"/>
  <c r="R693" i="9" s="1"/>
  <c r="S693" i="9" s="1"/>
  <c r="T693" i="9" s="1"/>
  <c r="U693" i="9" s="1"/>
  <c r="S692" i="9"/>
  <c r="T692" i="9" s="1"/>
  <c r="U692" i="9" s="1"/>
  <c r="M694" i="9"/>
  <c r="J694" i="9"/>
  <c r="N694" i="9"/>
  <c r="K694" i="9"/>
  <c r="L694" i="9"/>
  <c r="I696" i="9"/>
  <c r="J695" i="9" a="1"/>
  <c r="O694" i="9" l="1"/>
  <c r="R694" i="9" s="1"/>
  <c r="S694" i="9" s="1"/>
  <c r="T694" i="9" s="1"/>
  <c r="U694" i="9" s="1"/>
  <c r="I697" i="9"/>
  <c r="L695" i="9"/>
  <c r="K695" i="9"/>
  <c r="M695" i="9"/>
  <c r="N695" i="9"/>
  <c r="J695" i="9"/>
  <c r="J696" i="9" a="1"/>
  <c r="O695" i="9" l="1"/>
  <c r="R695" i="9" s="1"/>
  <c r="K696" i="9"/>
  <c r="N696" i="9"/>
  <c r="M696" i="9"/>
  <c r="L696" i="9"/>
  <c r="J696" i="9"/>
  <c r="I698" i="9"/>
  <c r="J697" i="9" a="1"/>
  <c r="O696" i="9" l="1"/>
  <c r="R696" i="9" s="1"/>
  <c r="I699" i="9"/>
  <c r="M697" i="9"/>
  <c r="J697" i="9"/>
  <c r="K697" i="9"/>
  <c r="N697" i="9"/>
  <c r="L697" i="9"/>
  <c r="J698" i="9" a="1"/>
  <c r="O697" i="9" l="1"/>
  <c r="R697" i="9" s="1"/>
  <c r="L698" i="9"/>
  <c r="M698" i="9"/>
  <c r="J698" i="9"/>
  <c r="N698" i="9"/>
  <c r="K698" i="9"/>
  <c r="I700" i="9"/>
  <c r="J699" i="9" a="1"/>
  <c r="O698" i="9" l="1"/>
  <c r="R698" i="9" s="1"/>
  <c r="I701" i="9"/>
  <c r="N699" i="9"/>
  <c r="J699" i="9"/>
  <c r="L699" i="9"/>
  <c r="K699" i="9"/>
  <c r="M699" i="9"/>
  <c r="J700" i="9" a="1"/>
  <c r="O699" i="9" l="1"/>
  <c r="R699" i="9" s="1"/>
  <c r="J700" i="9"/>
  <c r="K700" i="9"/>
  <c r="N700" i="9"/>
  <c r="M700" i="9"/>
  <c r="L700" i="9"/>
  <c r="I702" i="9"/>
  <c r="J701" i="9" a="1"/>
  <c r="O700" i="9" l="1"/>
  <c r="R700" i="9" s="1"/>
  <c r="L701" i="9"/>
  <c r="M701" i="9"/>
  <c r="J701" i="9"/>
  <c r="K701" i="9"/>
  <c r="N701" i="9"/>
  <c r="I703" i="9"/>
  <c r="J702" i="9" a="1"/>
  <c r="P700" i="9" l="1"/>
  <c r="O701" i="9"/>
  <c r="R701" i="9" s="1"/>
  <c r="Q699" i="9"/>
  <c r="S699" i="9" s="1"/>
  <c r="T699" i="9" s="1"/>
  <c r="U699" i="9" s="1"/>
  <c r="Q695" i="9"/>
  <c r="S695" i="9" s="1"/>
  <c r="T695" i="9" s="1"/>
  <c r="U695" i="9" s="1"/>
  <c r="Q698" i="9"/>
  <c r="S698" i="9" s="1"/>
  <c r="T698" i="9" s="1"/>
  <c r="U698" i="9" s="1"/>
  <c r="Q701" i="9"/>
  <c r="S701" i="9" s="1"/>
  <c r="T701" i="9" s="1"/>
  <c r="U701" i="9" s="1"/>
  <c r="Q696" i="9"/>
  <c r="S696" i="9" s="1"/>
  <c r="T696" i="9" s="1"/>
  <c r="U696" i="9" s="1"/>
  <c r="Q697" i="9"/>
  <c r="S697" i="9" s="1"/>
  <c r="T697" i="9" s="1"/>
  <c r="U697" i="9" s="1"/>
  <c r="Q700" i="9"/>
  <c r="S700" i="9" s="1"/>
  <c r="T700" i="9" s="1"/>
  <c r="U700" i="9" s="1"/>
  <c r="Q702" i="9"/>
  <c r="Q703" i="9"/>
  <c r="I704" i="9"/>
  <c r="K702" i="9"/>
  <c r="L702" i="9"/>
  <c r="M702" i="9"/>
  <c r="N702" i="9"/>
  <c r="J702" i="9"/>
  <c r="J703" i="9" a="1"/>
  <c r="O702" i="9" l="1"/>
  <c r="R702" i="9" s="1"/>
  <c r="S702" i="9" s="1"/>
  <c r="T702" i="9" s="1"/>
  <c r="U702" i="9" s="1"/>
  <c r="N703" i="9"/>
  <c r="J703" i="9"/>
  <c r="L703" i="9"/>
  <c r="K703" i="9"/>
  <c r="M703" i="9"/>
  <c r="I705" i="9"/>
  <c r="J704" i="9" a="1"/>
  <c r="O703" i="9" l="1"/>
  <c r="R703" i="9" s="1"/>
  <c r="S703" i="9" s="1"/>
  <c r="T703" i="9" s="1"/>
  <c r="U703" i="9" s="1"/>
  <c r="L704" i="9"/>
  <c r="J704" i="9"/>
  <c r="K704" i="9"/>
  <c r="N704" i="9"/>
  <c r="M704" i="9"/>
  <c r="I706" i="9"/>
  <c r="J705" i="9" a="1"/>
  <c r="O704" i="9" l="1"/>
  <c r="R704" i="9" s="1"/>
  <c r="I707" i="9"/>
  <c r="N705" i="9"/>
  <c r="L705" i="9"/>
  <c r="M705" i="9"/>
  <c r="J705" i="9"/>
  <c r="K705" i="9"/>
  <c r="J706" i="9" a="1"/>
  <c r="O705" i="9" l="1"/>
  <c r="R705" i="9" s="1"/>
  <c r="K706" i="9"/>
  <c r="L706" i="9"/>
  <c r="M706" i="9"/>
  <c r="N706" i="9"/>
  <c r="J706" i="9"/>
  <c r="I708" i="9"/>
  <c r="J707" i="9" a="1"/>
  <c r="O706" i="9" l="1"/>
  <c r="R706" i="9" s="1"/>
  <c r="I709" i="9"/>
  <c r="K707" i="9"/>
  <c r="M707" i="9"/>
  <c r="N707" i="9"/>
  <c r="J707" i="9"/>
  <c r="L707" i="9"/>
  <c r="J708" i="9" a="1"/>
  <c r="O707" i="9" l="1"/>
  <c r="R707" i="9" s="1"/>
  <c r="M708" i="9"/>
  <c r="L708" i="9"/>
  <c r="J708" i="9"/>
  <c r="K708" i="9"/>
  <c r="N708" i="9"/>
  <c r="I710" i="9"/>
  <c r="J709" i="9" a="1"/>
  <c r="O708" i="9" l="1"/>
  <c r="R708" i="9" s="1"/>
  <c r="I711" i="9"/>
  <c r="K709" i="9"/>
  <c r="N709" i="9"/>
  <c r="M709" i="9"/>
  <c r="L709" i="9"/>
  <c r="J709" i="9"/>
  <c r="J710" i="9" a="1"/>
  <c r="O709" i="9" l="1"/>
  <c r="P709" i="9" s="1"/>
  <c r="N710" i="9"/>
  <c r="K710" i="9"/>
  <c r="L710" i="9"/>
  <c r="M710" i="9"/>
  <c r="J710" i="9"/>
  <c r="I712" i="9"/>
  <c r="J711" i="9" a="1"/>
  <c r="O710" i="9" l="1"/>
  <c r="R710" i="9" s="1"/>
  <c r="R709" i="9"/>
  <c r="I713" i="9"/>
  <c r="J711" i="9"/>
  <c r="L711" i="9"/>
  <c r="K711" i="9"/>
  <c r="M711" i="9"/>
  <c r="N711" i="9"/>
  <c r="Q709" i="9"/>
  <c r="S709" i="9" s="1"/>
  <c r="T709" i="9" s="1"/>
  <c r="U709" i="9" s="1"/>
  <c r="Q704" i="9"/>
  <c r="S704" i="9" s="1"/>
  <c r="T704" i="9" s="1"/>
  <c r="U704" i="9" s="1"/>
  <c r="Q710" i="9"/>
  <c r="S710" i="9" s="1"/>
  <c r="T710" i="9" s="1"/>
  <c r="U710" i="9" s="1"/>
  <c r="Q711" i="9"/>
  <c r="Q706" i="9"/>
  <c r="S706" i="9" s="1"/>
  <c r="T706" i="9" s="1"/>
  <c r="U706" i="9" s="1"/>
  <c r="Q708" i="9"/>
  <c r="S708" i="9" s="1"/>
  <c r="T708" i="9" s="1"/>
  <c r="U708" i="9" s="1"/>
  <c r="Q712" i="9"/>
  <c r="Q705" i="9"/>
  <c r="S705" i="9" s="1"/>
  <c r="T705" i="9" s="1"/>
  <c r="U705" i="9" s="1"/>
  <c r="Q707" i="9"/>
  <c r="S707" i="9" s="1"/>
  <c r="T707" i="9" s="1"/>
  <c r="U707" i="9" s="1"/>
  <c r="J712" i="9" a="1"/>
  <c r="O711" i="9" l="1"/>
  <c r="R711" i="9" s="1"/>
  <c r="S711" i="9" s="1"/>
  <c r="T711" i="9" s="1"/>
  <c r="U711" i="9" s="1"/>
  <c r="M712" i="9"/>
  <c r="L712" i="9"/>
  <c r="J712" i="9"/>
  <c r="K712" i="9"/>
  <c r="N712" i="9"/>
  <c r="I714" i="9"/>
  <c r="J713" i="9" a="1"/>
  <c r="O712" i="9" l="1"/>
  <c r="R712" i="9" s="1"/>
  <c r="S712" i="9" s="1"/>
  <c r="T712" i="9" s="1"/>
  <c r="U712" i="9" s="1"/>
  <c r="J713" i="9"/>
  <c r="K713" i="9"/>
  <c r="N713" i="9"/>
  <c r="M713" i="9"/>
  <c r="L713" i="9"/>
  <c r="I715" i="9"/>
  <c r="J714" i="9" a="1"/>
  <c r="O713" i="9" l="1"/>
  <c r="R713" i="9" s="1"/>
  <c r="J714" i="9"/>
  <c r="N714" i="9"/>
  <c r="K714" i="9"/>
  <c r="L714" i="9"/>
  <c r="M714" i="9"/>
  <c r="I716" i="9"/>
  <c r="J715" i="9" a="1"/>
  <c r="O714" i="9" l="1"/>
  <c r="R714" i="9" s="1"/>
  <c r="J715" i="9"/>
  <c r="L715" i="9"/>
  <c r="K715" i="9"/>
  <c r="M715" i="9"/>
  <c r="N715" i="9"/>
  <c r="I717" i="9"/>
  <c r="J716" i="9" a="1"/>
  <c r="O715" i="9" l="1"/>
  <c r="R715" i="9" s="1"/>
  <c r="K716" i="9"/>
  <c r="M716" i="9"/>
  <c r="L716" i="9"/>
  <c r="J716" i="9"/>
  <c r="N716" i="9"/>
  <c r="I718" i="9"/>
  <c r="J717" i="9" a="1"/>
  <c r="O716" i="9" l="1"/>
  <c r="R716" i="9" s="1"/>
  <c r="I719" i="9"/>
  <c r="J717" i="9"/>
  <c r="K717" i="9"/>
  <c r="N717" i="9"/>
  <c r="L717" i="9"/>
  <c r="M717" i="9"/>
  <c r="J718" i="9" a="1"/>
  <c r="O717" i="9" l="1"/>
  <c r="R717" i="9" s="1"/>
  <c r="M718" i="9"/>
  <c r="J718" i="9"/>
  <c r="N718" i="9"/>
  <c r="K718" i="9"/>
  <c r="L718" i="9"/>
  <c r="I720" i="9"/>
  <c r="J719" i="9" a="1"/>
  <c r="O718" i="9" l="1"/>
  <c r="R718" i="9" s="1"/>
  <c r="I721" i="9"/>
  <c r="M719" i="9"/>
  <c r="N719" i="9"/>
  <c r="J719" i="9"/>
  <c r="L719" i="9"/>
  <c r="K719" i="9"/>
  <c r="J720" i="9" a="1"/>
  <c r="P718" i="9" l="1"/>
  <c r="O719" i="9"/>
  <c r="Q716" i="9"/>
  <c r="S716" i="9" s="1"/>
  <c r="T716" i="9" s="1"/>
  <c r="U716" i="9" s="1"/>
  <c r="Q720" i="9"/>
  <c r="Q718" i="9"/>
  <c r="S718" i="9" s="1"/>
  <c r="T718" i="9" s="1"/>
  <c r="U718" i="9" s="1"/>
  <c r="Q719" i="9"/>
  <c r="Q721" i="9"/>
  <c r="Q717" i="9"/>
  <c r="S717" i="9" s="1"/>
  <c r="T717" i="9" s="1"/>
  <c r="U717" i="9" s="1"/>
  <c r="Q713" i="9"/>
  <c r="S713" i="9" s="1"/>
  <c r="T713" i="9" s="1"/>
  <c r="U713" i="9" s="1"/>
  <c r="Q715" i="9"/>
  <c r="S715" i="9" s="1"/>
  <c r="T715" i="9" s="1"/>
  <c r="U715" i="9" s="1"/>
  <c r="Q714" i="9"/>
  <c r="S714" i="9" s="1"/>
  <c r="T714" i="9" s="1"/>
  <c r="U714" i="9" s="1"/>
  <c r="K720" i="9"/>
  <c r="J720" i="9"/>
  <c r="M720" i="9"/>
  <c r="L720" i="9"/>
  <c r="N720" i="9"/>
  <c r="R719" i="9"/>
  <c r="I722" i="9"/>
  <c r="J721" i="9" a="1"/>
  <c r="O720" i="9" l="1"/>
  <c r="R720" i="9" s="1"/>
  <c r="S720" i="9" s="1"/>
  <c r="T720" i="9" s="1"/>
  <c r="U720" i="9" s="1"/>
  <c r="I723" i="9"/>
  <c r="S719" i="9"/>
  <c r="T719" i="9" s="1"/>
  <c r="U719" i="9" s="1"/>
  <c r="M721" i="9"/>
  <c r="J721" i="9"/>
  <c r="K721" i="9"/>
  <c r="N721" i="9"/>
  <c r="L721" i="9"/>
  <c r="J722" i="9" a="1"/>
  <c r="O721" i="9" l="1"/>
  <c r="R721" i="9" s="1"/>
  <c r="S721" i="9" s="1"/>
  <c r="T721" i="9" s="1"/>
  <c r="U721" i="9" s="1"/>
  <c r="L722" i="9"/>
  <c r="M722" i="9"/>
  <c r="J722" i="9"/>
  <c r="N722" i="9"/>
  <c r="K722" i="9"/>
  <c r="I724" i="9"/>
  <c r="J723" i="9" a="1"/>
  <c r="O722" i="9" l="1"/>
  <c r="R722" i="9" s="1"/>
  <c r="I725" i="9"/>
  <c r="K723" i="9"/>
  <c r="M723" i="9"/>
  <c r="N723" i="9"/>
  <c r="J723" i="9"/>
  <c r="L723" i="9"/>
  <c r="J724" i="9" a="1"/>
  <c r="O723" i="9" l="1"/>
  <c r="R723" i="9" s="1"/>
  <c r="K724" i="9"/>
  <c r="N724" i="9"/>
  <c r="J724" i="9"/>
  <c r="M724" i="9"/>
  <c r="L724" i="9"/>
  <c r="I726" i="9"/>
  <c r="J725" i="9" a="1"/>
  <c r="O724" i="9" l="1"/>
  <c r="R724" i="9" s="1"/>
  <c r="I727" i="9"/>
  <c r="L725" i="9"/>
  <c r="M725" i="9"/>
  <c r="J725" i="9"/>
  <c r="K725" i="9"/>
  <c r="N725" i="9"/>
  <c r="J726" i="9" a="1"/>
  <c r="O725" i="9" l="1"/>
  <c r="R725" i="9" s="1"/>
  <c r="L726" i="9"/>
  <c r="M726" i="9"/>
  <c r="J726" i="9"/>
  <c r="K726" i="9"/>
  <c r="N726" i="9"/>
  <c r="I728" i="9"/>
  <c r="J727" i="9" a="1"/>
  <c r="O726" i="9" l="1"/>
  <c r="R726" i="9" s="1"/>
  <c r="I729" i="9"/>
  <c r="N727" i="9"/>
  <c r="J727" i="9"/>
  <c r="L727" i="9"/>
  <c r="M727" i="9"/>
  <c r="K727" i="9"/>
  <c r="J728" i="9" a="1"/>
  <c r="O727" i="9" l="1"/>
  <c r="P727" i="9" s="1"/>
  <c r="L728" i="9"/>
  <c r="J728" i="9"/>
  <c r="K728" i="9"/>
  <c r="N728" i="9"/>
  <c r="M728" i="9"/>
  <c r="I730" i="9"/>
  <c r="J729" i="9" a="1"/>
  <c r="R727" i="9" l="1"/>
  <c r="O728" i="9"/>
  <c r="R728" i="9" s="1"/>
  <c r="J729" i="9"/>
  <c r="K729" i="9"/>
  <c r="N729" i="9"/>
  <c r="M729" i="9"/>
  <c r="L729" i="9"/>
  <c r="I731" i="9"/>
  <c r="Q727" i="9"/>
  <c r="S727" i="9" s="1"/>
  <c r="T727" i="9" s="1"/>
  <c r="U727" i="9" s="1"/>
  <c r="Q723" i="9"/>
  <c r="S723" i="9" s="1"/>
  <c r="T723" i="9" s="1"/>
  <c r="U723" i="9" s="1"/>
  <c r="Q728" i="9"/>
  <c r="S728" i="9" s="1"/>
  <c r="T728" i="9" s="1"/>
  <c r="U728" i="9" s="1"/>
  <c r="Q722" i="9"/>
  <c r="S722" i="9" s="1"/>
  <c r="T722" i="9" s="1"/>
  <c r="U722" i="9" s="1"/>
  <c r="Q730" i="9"/>
  <c r="Q725" i="9"/>
  <c r="S725" i="9" s="1"/>
  <c r="T725" i="9" s="1"/>
  <c r="U725" i="9" s="1"/>
  <c r="Q726" i="9"/>
  <c r="S726" i="9" s="1"/>
  <c r="T726" i="9" s="1"/>
  <c r="U726" i="9" s="1"/>
  <c r="Q729" i="9"/>
  <c r="Q724" i="9"/>
  <c r="S724" i="9" s="1"/>
  <c r="T724" i="9" s="1"/>
  <c r="U724" i="9" s="1"/>
  <c r="J730" i="9" a="1"/>
  <c r="O729" i="9" l="1"/>
  <c r="R729" i="9" s="1"/>
  <c r="S729" i="9" s="1"/>
  <c r="T729" i="9" s="1"/>
  <c r="U729" i="9" s="1"/>
  <c r="I732" i="9"/>
  <c r="L730" i="9"/>
  <c r="M730" i="9"/>
  <c r="J730" i="9"/>
  <c r="K730" i="9"/>
  <c r="N730" i="9"/>
  <c r="J731" i="9" a="1"/>
  <c r="O730" i="9" l="1"/>
  <c r="R730" i="9" s="1"/>
  <c r="S730" i="9" s="1"/>
  <c r="T730" i="9" s="1"/>
  <c r="U730" i="9" s="1"/>
  <c r="J731" i="9"/>
  <c r="L731" i="9"/>
  <c r="M731" i="9"/>
  <c r="K731" i="9"/>
  <c r="N731" i="9"/>
  <c r="I733" i="9"/>
  <c r="J732" i="9" a="1"/>
  <c r="O731" i="9" l="1"/>
  <c r="R731" i="9" s="1"/>
  <c r="M732" i="9"/>
  <c r="L732" i="9"/>
  <c r="N732" i="9"/>
  <c r="K732" i="9"/>
  <c r="J732" i="9"/>
  <c r="I734" i="9"/>
  <c r="J733" i="9" a="1"/>
  <c r="O732" i="9" l="1"/>
  <c r="R732" i="9" s="1"/>
  <c r="I735" i="9"/>
  <c r="J733" i="9"/>
  <c r="K733" i="9"/>
  <c r="N733" i="9"/>
  <c r="L733" i="9"/>
  <c r="M733" i="9"/>
  <c r="J734" i="9" a="1"/>
  <c r="O733" i="9" l="1"/>
  <c r="R733" i="9" s="1"/>
  <c r="N734" i="9"/>
  <c r="L734" i="9"/>
  <c r="M734" i="9"/>
  <c r="J734" i="9"/>
  <c r="K734" i="9"/>
  <c r="I736" i="9"/>
  <c r="J735" i="9" a="1"/>
  <c r="O734" i="9" l="1"/>
  <c r="R734" i="9" s="1"/>
  <c r="I737" i="9"/>
  <c r="K735" i="9"/>
  <c r="N735" i="9"/>
  <c r="J735" i="9"/>
  <c r="L735" i="9"/>
  <c r="M735" i="9"/>
  <c r="J736" i="9" a="1"/>
  <c r="O735" i="9" l="1"/>
  <c r="R735" i="9" s="1"/>
  <c r="M736" i="9"/>
  <c r="L736" i="9"/>
  <c r="J736" i="9"/>
  <c r="K736" i="9"/>
  <c r="N736" i="9"/>
  <c r="I738" i="9"/>
  <c r="J737" i="9" a="1"/>
  <c r="O736" i="9" l="1"/>
  <c r="R736" i="9" s="1"/>
  <c r="I739" i="9"/>
  <c r="L737" i="9"/>
  <c r="J737" i="9"/>
  <c r="K737" i="9"/>
  <c r="N737" i="9"/>
  <c r="M737" i="9"/>
  <c r="J738" i="9" a="1"/>
  <c r="P736" i="9" l="1"/>
  <c r="O737" i="9"/>
  <c r="R737" i="9" s="1"/>
  <c r="Q738" i="9"/>
  <c r="Q733" i="9"/>
  <c r="S733" i="9" s="1"/>
  <c r="T733" i="9" s="1"/>
  <c r="U733" i="9" s="1"/>
  <c r="Q736" i="9"/>
  <c r="S736" i="9" s="1"/>
  <c r="T736" i="9" s="1"/>
  <c r="U736" i="9" s="1"/>
  <c r="Q735" i="9"/>
  <c r="S735" i="9" s="1"/>
  <c r="T735" i="9" s="1"/>
  <c r="U735" i="9" s="1"/>
  <c r="Q739" i="9"/>
  <c r="Q732" i="9"/>
  <c r="S732" i="9" s="1"/>
  <c r="T732" i="9" s="1"/>
  <c r="U732" i="9" s="1"/>
  <c r="Q731" i="9"/>
  <c r="S731" i="9" s="1"/>
  <c r="T731" i="9" s="1"/>
  <c r="U731" i="9" s="1"/>
  <c r="Q737" i="9"/>
  <c r="S737" i="9" s="1"/>
  <c r="T737" i="9" s="1"/>
  <c r="U737" i="9" s="1"/>
  <c r="Q734" i="9"/>
  <c r="S734" i="9" s="1"/>
  <c r="T734" i="9" s="1"/>
  <c r="U734" i="9" s="1"/>
  <c r="K738" i="9"/>
  <c r="N738" i="9"/>
  <c r="L738" i="9"/>
  <c r="M738" i="9"/>
  <c r="J738" i="9"/>
  <c r="I740" i="9"/>
  <c r="J739" i="9" a="1"/>
  <c r="O738" i="9" l="1"/>
  <c r="R738" i="9" s="1"/>
  <c r="S738" i="9" s="1"/>
  <c r="T738" i="9" s="1"/>
  <c r="U738" i="9" s="1"/>
  <c r="I741" i="9"/>
  <c r="N739" i="9"/>
  <c r="J739" i="9"/>
  <c r="L739" i="9"/>
  <c r="M739" i="9"/>
  <c r="K739" i="9"/>
  <c r="J740" i="9" a="1"/>
  <c r="O739" i="9" l="1"/>
  <c r="R739" i="9" s="1"/>
  <c r="S739" i="9" s="1"/>
  <c r="T739" i="9" s="1"/>
  <c r="U739" i="9" s="1"/>
  <c r="J740" i="9"/>
  <c r="M740" i="9"/>
  <c r="L740" i="9"/>
  <c r="N740" i="9"/>
  <c r="K740" i="9"/>
  <c r="I742" i="9"/>
  <c r="J741" i="9" a="1"/>
  <c r="O740" i="9" l="1"/>
  <c r="R740" i="9" s="1"/>
  <c r="M741" i="9"/>
  <c r="J741" i="9"/>
  <c r="N741" i="9"/>
  <c r="L741" i="9"/>
  <c r="K741" i="9"/>
  <c r="I743" i="9"/>
  <c r="J742" i="9" a="1"/>
  <c r="O741" i="9" l="1"/>
  <c r="R741" i="9" s="1"/>
  <c r="I744" i="9"/>
  <c r="J742" i="9"/>
  <c r="M742" i="9"/>
  <c r="K742" i="9"/>
  <c r="L742" i="9"/>
  <c r="N742" i="9"/>
  <c r="J743" i="9" a="1"/>
  <c r="O742" i="9" l="1"/>
  <c r="R742" i="9" s="1"/>
  <c r="L743" i="9"/>
  <c r="M743" i="9"/>
  <c r="N743" i="9"/>
  <c r="J743" i="9"/>
  <c r="K743" i="9"/>
  <c r="I745" i="9"/>
  <c r="J744" i="9" a="1"/>
  <c r="O743" i="9" l="1"/>
  <c r="R743" i="9" s="1"/>
  <c r="I746" i="9"/>
  <c r="K744" i="9"/>
  <c r="J744" i="9"/>
  <c r="L744" i="9"/>
  <c r="M744" i="9"/>
  <c r="N744" i="9"/>
  <c r="J745" i="9" a="1"/>
  <c r="O744" i="9" l="1"/>
  <c r="R744" i="9" s="1"/>
  <c r="K745" i="9"/>
  <c r="L745" i="9"/>
  <c r="M745" i="9"/>
  <c r="J745" i="9"/>
  <c r="N745" i="9"/>
  <c r="I747" i="9"/>
  <c r="J746" i="9" a="1"/>
  <c r="O745" i="9" l="1"/>
  <c r="R745" i="9" s="1"/>
  <c r="I748" i="9"/>
  <c r="N746" i="9"/>
  <c r="J746" i="9"/>
  <c r="L746" i="9"/>
  <c r="K746" i="9"/>
  <c r="M746" i="9"/>
  <c r="J747" i="9" a="1"/>
  <c r="O746" i="9" l="1"/>
  <c r="R746" i="9" s="1"/>
  <c r="P745" i="9"/>
  <c r="Q746" i="9" s="1"/>
  <c r="S746" i="9" s="1"/>
  <c r="T746" i="9" s="1"/>
  <c r="U746" i="9" s="1"/>
  <c r="N747" i="9"/>
  <c r="J747" i="9"/>
  <c r="K747" i="9"/>
  <c r="L747" i="9"/>
  <c r="M747" i="9"/>
  <c r="Q741" i="9"/>
  <c r="S741" i="9" s="1"/>
  <c r="T741" i="9" s="1"/>
  <c r="U741" i="9" s="1"/>
  <c r="Q744" i="9"/>
  <c r="S744" i="9" s="1"/>
  <c r="T744" i="9" s="1"/>
  <c r="U744" i="9" s="1"/>
  <c r="Q745" i="9"/>
  <c r="S745" i="9" s="1"/>
  <c r="T745" i="9" s="1"/>
  <c r="U745" i="9" s="1"/>
  <c r="Q747" i="9"/>
  <c r="Q743" i="9"/>
  <c r="S743" i="9" s="1"/>
  <c r="T743" i="9" s="1"/>
  <c r="U743" i="9" s="1"/>
  <c r="I749" i="9"/>
  <c r="J748" i="9" a="1"/>
  <c r="Q748" i="9" l="1"/>
  <c r="Q740" i="9"/>
  <c r="S740" i="9" s="1"/>
  <c r="T740" i="9" s="1"/>
  <c r="U740" i="9" s="1"/>
  <c r="Q742" i="9"/>
  <c r="S742" i="9" s="1"/>
  <c r="T742" i="9" s="1"/>
  <c r="U742" i="9" s="1"/>
  <c r="O747" i="9"/>
  <c r="R747" i="9" s="1"/>
  <c r="S747" i="9" s="1"/>
  <c r="T747" i="9" s="1"/>
  <c r="U747" i="9" s="1"/>
  <c r="L748" i="9"/>
  <c r="J748" i="9"/>
  <c r="K748" i="9"/>
  <c r="M748" i="9"/>
  <c r="N748" i="9"/>
  <c r="I750" i="9"/>
  <c r="J749" i="9" a="1"/>
  <c r="O748" i="9" l="1"/>
  <c r="R748" i="9" s="1"/>
  <c r="S748" i="9" s="1"/>
  <c r="T748" i="9" s="1"/>
  <c r="U748" i="9" s="1"/>
  <c r="J749" i="9"/>
  <c r="N749" i="9"/>
  <c r="K749" i="9"/>
  <c r="M749" i="9"/>
  <c r="L749" i="9"/>
  <c r="I751" i="9"/>
  <c r="J750" i="9" a="1"/>
  <c r="O749" i="9" l="1"/>
  <c r="R749" i="9" s="1"/>
  <c r="I752" i="9"/>
  <c r="J750" i="9"/>
  <c r="K750" i="9"/>
  <c r="M750" i="9"/>
  <c r="N750" i="9"/>
  <c r="L750" i="9"/>
  <c r="J751" i="9" a="1"/>
  <c r="O750" i="9" l="1"/>
  <c r="R750" i="9" s="1"/>
  <c r="M751" i="9"/>
  <c r="L751" i="9"/>
  <c r="K751" i="9"/>
  <c r="N751" i="9"/>
  <c r="J751" i="9"/>
  <c r="I753" i="9"/>
  <c r="J752" i="9" a="1"/>
  <c r="O751" i="9" l="1"/>
  <c r="R751" i="9" s="1"/>
  <c r="I754" i="9"/>
  <c r="K752" i="9"/>
  <c r="M752" i="9"/>
  <c r="N752" i="9"/>
  <c r="L752" i="9"/>
  <c r="J752" i="9"/>
  <c r="J753" i="9" a="1"/>
  <c r="O752" i="9" l="1"/>
  <c r="R752" i="9" s="1"/>
  <c r="L753" i="9"/>
  <c r="M753" i="9"/>
  <c r="K753" i="9"/>
  <c r="J753" i="9"/>
  <c r="N753" i="9"/>
  <c r="I755" i="9"/>
  <c r="J754" i="9" a="1"/>
  <c r="O753" i="9" l="1"/>
  <c r="R753" i="9" s="1"/>
  <c r="I756" i="9"/>
  <c r="J754" i="9"/>
  <c r="K754" i="9"/>
  <c r="M754" i="9"/>
  <c r="N754" i="9"/>
  <c r="L754" i="9"/>
  <c r="J755" i="9" a="1"/>
  <c r="O754" i="9" l="1"/>
  <c r="R754" i="9" s="1"/>
  <c r="M755" i="9"/>
  <c r="N755" i="9"/>
  <c r="J755" i="9"/>
  <c r="K755" i="9"/>
  <c r="L755" i="9"/>
  <c r="I757" i="9"/>
  <c r="J756" i="9" a="1"/>
  <c r="P754" i="9" l="1"/>
  <c r="O755" i="9"/>
  <c r="R755" i="9" s="1"/>
  <c r="Q756" i="9"/>
  <c r="Q757" i="9"/>
  <c r="Q755" i="9"/>
  <c r="S755" i="9" s="1"/>
  <c r="T755" i="9" s="1"/>
  <c r="U755" i="9" s="1"/>
  <c r="Q749" i="9"/>
  <c r="S749" i="9" s="1"/>
  <c r="T749" i="9" s="1"/>
  <c r="U749" i="9" s="1"/>
  <c r="Q750" i="9"/>
  <c r="S750" i="9" s="1"/>
  <c r="T750" i="9" s="1"/>
  <c r="U750" i="9" s="1"/>
  <c r="Q754" i="9"/>
  <c r="S754" i="9" s="1"/>
  <c r="T754" i="9" s="1"/>
  <c r="U754" i="9" s="1"/>
  <c r="Q751" i="9"/>
  <c r="S751" i="9" s="1"/>
  <c r="T751" i="9" s="1"/>
  <c r="U751" i="9" s="1"/>
  <c r="Q753" i="9"/>
  <c r="S753" i="9" s="1"/>
  <c r="T753" i="9" s="1"/>
  <c r="U753" i="9" s="1"/>
  <c r="Q752" i="9"/>
  <c r="S752" i="9" s="1"/>
  <c r="T752" i="9" s="1"/>
  <c r="U752" i="9" s="1"/>
  <c r="L756" i="9"/>
  <c r="J756" i="9"/>
  <c r="K756" i="9"/>
  <c r="N756" i="9"/>
  <c r="M756" i="9"/>
  <c r="I758" i="9"/>
  <c r="J757" i="9" a="1"/>
  <c r="O756" i="9" l="1"/>
  <c r="R756" i="9" s="1"/>
  <c r="S756" i="9" s="1"/>
  <c r="T756" i="9" s="1"/>
  <c r="U756" i="9" s="1"/>
  <c r="J757" i="9"/>
  <c r="N757" i="9"/>
  <c r="K757" i="9"/>
  <c r="L757" i="9"/>
  <c r="M757" i="9"/>
  <c r="I759" i="9"/>
  <c r="J758" i="9" a="1"/>
  <c r="O757" i="9" l="1"/>
  <c r="R757" i="9" s="1"/>
  <c r="S757" i="9" s="1"/>
  <c r="T757" i="9" s="1"/>
  <c r="U757" i="9" s="1"/>
  <c r="I760" i="9"/>
  <c r="L758" i="9"/>
  <c r="N758" i="9"/>
  <c r="J758" i="9"/>
  <c r="M758" i="9"/>
  <c r="K758" i="9"/>
  <c r="J759" i="9" a="1"/>
  <c r="O758" i="9" l="1"/>
  <c r="R758" i="9" s="1"/>
  <c r="J759" i="9"/>
  <c r="K759" i="9"/>
  <c r="L759" i="9"/>
  <c r="M759" i="9"/>
  <c r="N759" i="9"/>
  <c r="I761" i="9"/>
  <c r="J760" i="9" a="1"/>
  <c r="O759" i="9" l="1"/>
  <c r="R759" i="9" s="1"/>
  <c r="M760" i="9"/>
  <c r="N760" i="9"/>
  <c r="K760" i="9"/>
  <c r="J760" i="9"/>
  <c r="L760" i="9"/>
  <c r="I762" i="9"/>
  <c r="J761" i="9" a="1"/>
  <c r="O760" i="9" l="1"/>
  <c r="R760" i="9" s="1"/>
  <c r="I763" i="9"/>
  <c r="J761" i="9"/>
  <c r="N761" i="9"/>
  <c r="K761" i="9"/>
  <c r="L761" i="9"/>
  <c r="M761" i="9"/>
  <c r="J762" i="9" a="1"/>
  <c r="O761" i="9" l="1"/>
  <c r="R761" i="9" s="1"/>
  <c r="N762" i="9"/>
  <c r="J762" i="9"/>
  <c r="L762" i="9"/>
  <c r="K762" i="9"/>
  <c r="M762" i="9"/>
  <c r="I764" i="9"/>
  <c r="J763" i="9" a="1"/>
  <c r="O762" i="9" l="1"/>
  <c r="R762" i="9" s="1"/>
  <c r="I765" i="9"/>
  <c r="M763" i="9"/>
  <c r="N763" i="9"/>
  <c r="J763" i="9"/>
  <c r="K763" i="9"/>
  <c r="L763" i="9"/>
  <c r="J764" i="9" a="1"/>
  <c r="O763" i="9" l="1"/>
  <c r="R763" i="9" s="1"/>
  <c r="M764" i="9"/>
  <c r="N764" i="9"/>
  <c r="L764" i="9"/>
  <c r="J764" i="9"/>
  <c r="K764" i="9"/>
  <c r="I766" i="9"/>
  <c r="J765" i="9" a="1"/>
  <c r="P763" i="9" l="1"/>
  <c r="O764" i="9"/>
  <c r="R764" i="9" s="1"/>
  <c r="Q758" i="9"/>
  <c r="S758" i="9" s="1"/>
  <c r="T758" i="9" s="1"/>
  <c r="U758" i="9" s="1"/>
  <c r="Q761" i="9"/>
  <c r="S761" i="9" s="1"/>
  <c r="T761" i="9" s="1"/>
  <c r="U761" i="9" s="1"/>
  <c r="Q763" i="9"/>
  <c r="S763" i="9" s="1"/>
  <c r="T763" i="9" s="1"/>
  <c r="U763" i="9" s="1"/>
  <c r="Q765" i="9"/>
  <c r="Q766" i="9"/>
  <c r="Q762" i="9"/>
  <c r="S762" i="9" s="1"/>
  <c r="T762" i="9" s="1"/>
  <c r="U762" i="9" s="1"/>
  <c r="Q760" i="9"/>
  <c r="S760" i="9" s="1"/>
  <c r="T760" i="9" s="1"/>
  <c r="U760" i="9" s="1"/>
  <c r="Q764" i="9"/>
  <c r="S764" i="9" s="1"/>
  <c r="T764" i="9" s="1"/>
  <c r="U764" i="9" s="1"/>
  <c r="Q759" i="9"/>
  <c r="S759" i="9" s="1"/>
  <c r="T759" i="9" s="1"/>
  <c r="U759" i="9" s="1"/>
  <c r="L765" i="9"/>
  <c r="J765" i="9"/>
  <c r="N765" i="9"/>
  <c r="K765" i="9"/>
  <c r="M765" i="9"/>
  <c r="I767" i="9"/>
  <c r="J766" i="9" a="1"/>
  <c r="O765" i="9" l="1"/>
  <c r="R765" i="9" s="1"/>
  <c r="S765" i="9" s="1"/>
  <c r="T765" i="9" s="1"/>
  <c r="U765" i="9" s="1"/>
  <c r="I768" i="9"/>
  <c r="L766" i="9"/>
  <c r="J766" i="9"/>
  <c r="K766" i="9"/>
  <c r="M766" i="9"/>
  <c r="N766" i="9"/>
  <c r="J767" i="9" a="1"/>
  <c r="O766" i="9" l="1"/>
  <c r="R766" i="9" s="1"/>
  <c r="S766" i="9" s="1"/>
  <c r="T766" i="9" s="1"/>
  <c r="U766" i="9" s="1"/>
  <c r="N767" i="9"/>
  <c r="J767" i="9"/>
  <c r="M767" i="9"/>
  <c r="L767" i="9"/>
  <c r="K767" i="9"/>
  <c r="I769" i="9"/>
  <c r="J768" i="9" a="1"/>
  <c r="O767" i="9" l="1"/>
  <c r="R767" i="9" s="1"/>
  <c r="I770" i="9"/>
  <c r="L768" i="9"/>
  <c r="J768" i="9"/>
  <c r="K768" i="9"/>
  <c r="M768" i="9"/>
  <c r="N768" i="9"/>
  <c r="J769" i="9" a="1"/>
  <c r="O768" i="9" l="1"/>
  <c r="R768" i="9" s="1"/>
  <c r="J769" i="9"/>
  <c r="N769" i="9"/>
  <c r="L769" i="9"/>
  <c r="M769" i="9"/>
  <c r="K769" i="9"/>
  <c r="I771" i="9"/>
  <c r="J770" i="9" a="1"/>
  <c r="O769" i="9" l="1"/>
  <c r="R769" i="9" s="1"/>
  <c r="L770" i="9"/>
  <c r="J770" i="9"/>
  <c r="K770" i="9"/>
  <c r="M770" i="9"/>
  <c r="N770" i="9"/>
  <c r="I772" i="9"/>
  <c r="J771" i="9" a="1"/>
  <c r="O770" i="9" l="1"/>
  <c r="R770" i="9" s="1"/>
  <c r="I773" i="9"/>
  <c r="K771" i="9"/>
  <c r="M771" i="9"/>
  <c r="L771" i="9"/>
  <c r="N771" i="9"/>
  <c r="J771" i="9"/>
  <c r="J772" i="9" a="1"/>
  <c r="O771" i="9" l="1"/>
  <c r="R771" i="9" s="1"/>
  <c r="K772" i="9"/>
  <c r="M772" i="9"/>
  <c r="L772" i="9"/>
  <c r="J772" i="9"/>
  <c r="N772" i="9"/>
  <c r="I774" i="9"/>
  <c r="J773" i="9" a="1"/>
  <c r="O772" i="9" l="1"/>
  <c r="R772" i="9" s="1"/>
  <c r="I775" i="9"/>
  <c r="K773" i="9"/>
  <c r="J773" i="9"/>
  <c r="N773" i="9"/>
  <c r="L773" i="9"/>
  <c r="M773" i="9"/>
  <c r="J774" i="9" a="1"/>
  <c r="P772" i="9" l="1"/>
  <c r="Q768" i="9" s="1"/>
  <c r="S768" i="9" s="1"/>
  <c r="T768" i="9" s="1"/>
  <c r="U768" i="9" s="1"/>
  <c r="O773" i="9"/>
  <c r="R773" i="9" s="1"/>
  <c r="K774" i="9"/>
  <c r="J774" i="9"/>
  <c r="L774" i="9"/>
  <c r="N774" i="9"/>
  <c r="M774" i="9"/>
  <c r="Q770" i="9"/>
  <c r="S770" i="9" s="1"/>
  <c r="T770" i="9" s="1"/>
  <c r="U770" i="9" s="1"/>
  <c r="Q767" i="9"/>
  <c r="S767" i="9" s="1"/>
  <c r="T767" i="9" s="1"/>
  <c r="U767" i="9" s="1"/>
  <c r="Q775" i="9"/>
  <c r="Q774" i="9"/>
  <c r="Q772" i="9"/>
  <c r="S772" i="9" s="1"/>
  <c r="T772" i="9" s="1"/>
  <c r="U772" i="9" s="1"/>
  <c r="I776" i="9"/>
  <c r="J775" i="9" a="1"/>
  <c r="Q771" i="9" l="1"/>
  <c r="S771" i="9" s="1"/>
  <c r="T771" i="9" s="1"/>
  <c r="U771" i="9" s="1"/>
  <c r="Q769" i="9"/>
  <c r="S769" i="9" s="1"/>
  <c r="T769" i="9" s="1"/>
  <c r="U769" i="9" s="1"/>
  <c r="Q773" i="9"/>
  <c r="S773" i="9" s="1"/>
  <c r="T773" i="9" s="1"/>
  <c r="U773" i="9" s="1"/>
  <c r="O774" i="9"/>
  <c r="R774" i="9" s="1"/>
  <c r="S774" i="9" s="1"/>
  <c r="T774" i="9" s="1"/>
  <c r="U774" i="9" s="1"/>
  <c r="M775" i="9"/>
  <c r="N775" i="9"/>
  <c r="J775" i="9"/>
  <c r="K775" i="9"/>
  <c r="L775" i="9"/>
  <c r="I777" i="9"/>
  <c r="J776" i="9" a="1"/>
  <c r="O775" i="9" l="1"/>
  <c r="R775" i="9" s="1"/>
  <c r="S775" i="9" s="1"/>
  <c r="T775" i="9" s="1"/>
  <c r="U775" i="9" s="1"/>
  <c r="I778" i="9"/>
  <c r="N776" i="9"/>
  <c r="L776" i="9"/>
  <c r="M776" i="9"/>
  <c r="K776" i="9"/>
  <c r="J776" i="9"/>
  <c r="J777" i="9" a="1"/>
  <c r="O776" i="9" l="1"/>
  <c r="R776" i="9" s="1"/>
  <c r="M777" i="9"/>
  <c r="J777" i="9"/>
  <c r="N777" i="9"/>
  <c r="K777" i="9"/>
  <c r="L777" i="9"/>
  <c r="I779" i="9"/>
  <c r="J778" i="9" a="1"/>
  <c r="O777" i="9" l="1"/>
  <c r="R777" i="9" s="1"/>
  <c r="I780" i="9"/>
  <c r="M778" i="9"/>
  <c r="L778" i="9"/>
  <c r="K778" i="9"/>
  <c r="N778" i="9"/>
  <c r="J778" i="9"/>
  <c r="J779" i="9" a="1"/>
  <c r="O778" i="9" l="1"/>
  <c r="R778" i="9" s="1"/>
  <c r="K779" i="9"/>
  <c r="L779" i="9"/>
  <c r="M779" i="9"/>
  <c r="N779" i="9"/>
  <c r="J779" i="9"/>
  <c r="I781" i="9"/>
  <c r="J780" i="9" a="1"/>
  <c r="O779" i="9" l="1"/>
  <c r="R779" i="9" s="1"/>
  <c r="I782" i="9"/>
  <c r="J780" i="9"/>
  <c r="M780" i="9"/>
  <c r="N780" i="9"/>
  <c r="K780" i="9"/>
  <c r="L780" i="9"/>
  <c r="J781" i="9" a="1"/>
  <c r="O780" i="9" l="1"/>
  <c r="R780" i="9" s="1"/>
  <c r="M781" i="9"/>
  <c r="K781" i="9"/>
  <c r="L781" i="9"/>
  <c r="J781" i="9"/>
  <c r="N781" i="9"/>
  <c r="I783" i="9"/>
  <c r="J782" i="9" a="1"/>
  <c r="O781" i="9" l="1"/>
  <c r="R781" i="9" s="1"/>
  <c r="I784" i="9"/>
  <c r="N782" i="9"/>
  <c r="J782" i="9"/>
  <c r="L782" i="9"/>
  <c r="M782" i="9"/>
  <c r="K782" i="9"/>
  <c r="J783" i="9" a="1"/>
  <c r="P781" i="9" l="1"/>
  <c r="Q783" i="9" s="1"/>
  <c r="O782" i="9"/>
  <c r="R782" i="9" s="1"/>
  <c r="L783" i="9"/>
  <c r="K783" i="9"/>
  <c r="N783" i="9"/>
  <c r="J783" i="9"/>
  <c r="M783" i="9"/>
  <c r="Q781" i="9"/>
  <c r="S781" i="9" s="1"/>
  <c r="T781" i="9" s="1"/>
  <c r="U781" i="9" s="1"/>
  <c r="I785" i="9"/>
  <c r="J784" i="9" a="1"/>
  <c r="Q784" i="9" l="1"/>
  <c r="Q778" i="9"/>
  <c r="S778" i="9" s="1"/>
  <c r="T778" i="9" s="1"/>
  <c r="U778" i="9" s="1"/>
  <c r="Q776" i="9"/>
  <c r="S776" i="9" s="1"/>
  <c r="T776" i="9" s="1"/>
  <c r="U776" i="9" s="1"/>
  <c r="Q782" i="9"/>
  <c r="S782" i="9" s="1"/>
  <c r="T782" i="9" s="1"/>
  <c r="U782" i="9" s="1"/>
  <c r="Q780" i="9"/>
  <c r="S780" i="9" s="1"/>
  <c r="T780" i="9" s="1"/>
  <c r="U780" i="9" s="1"/>
  <c r="Q779" i="9"/>
  <c r="S779" i="9" s="1"/>
  <c r="T779" i="9" s="1"/>
  <c r="U779" i="9" s="1"/>
  <c r="Q777" i="9"/>
  <c r="S777" i="9" s="1"/>
  <c r="T777" i="9" s="1"/>
  <c r="U777" i="9" s="1"/>
  <c r="O783" i="9"/>
  <c r="R783" i="9" s="1"/>
  <c r="S783" i="9" s="1"/>
  <c r="T783" i="9" s="1"/>
  <c r="U783" i="9" s="1"/>
  <c r="J784" i="9"/>
  <c r="K784" i="9"/>
  <c r="M784" i="9"/>
  <c r="N784" i="9"/>
  <c r="L784" i="9"/>
  <c r="I786" i="9"/>
  <c r="J785" i="9" a="1"/>
  <c r="O784" i="9" l="1"/>
  <c r="R784" i="9" s="1"/>
  <c r="S784" i="9" s="1"/>
  <c r="T784" i="9" s="1"/>
  <c r="U784" i="9" s="1"/>
  <c r="K785" i="9"/>
  <c r="M785" i="9"/>
  <c r="J785" i="9"/>
  <c r="N785" i="9"/>
  <c r="L785" i="9"/>
  <c r="I787" i="9"/>
  <c r="J786" i="9" a="1"/>
  <c r="O785" i="9" l="1"/>
  <c r="R785" i="9" s="1"/>
  <c r="I788" i="9"/>
  <c r="M786" i="9"/>
  <c r="N786" i="9"/>
  <c r="L786" i="9"/>
  <c r="J786" i="9"/>
  <c r="K786" i="9"/>
  <c r="J787" i="9" a="1"/>
  <c r="O786" i="9" l="1"/>
  <c r="R786" i="9" s="1"/>
  <c r="N787" i="9"/>
  <c r="J787" i="9"/>
  <c r="K787" i="9"/>
  <c r="M787" i="9"/>
  <c r="L787" i="9"/>
  <c r="I789" i="9"/>
  <c r="J788" i="9" a="1"/>
  <c r="O787" i="9" l="1"/>
  <c r="R787" i="9" s="1"/>
  <c r="I790" i="9"/>
  <c r="J788" i="9"/>
  <c r="N788" i="9"/>
  <c r="M788" i="9"/>
  <c r="K788" i="9"/>
  <c r="L788" i="9"/>
  <c r="J789" i="9" a="1"/>
  <c r="O788" i="9" l="1"/>
  <c r="R788" i="9" s="1"/>
  <c r="L789" i="9"/>
  <c r="M789" i="9"/>
  <c r="K789" i="9"/>
  <c r="J789" i="9"/>
  <c r="N789" i="9"/>
  <c r="I791" i="9"/>
  <c r="J790" i="9" a="1"/>
  <c r="O789" i="9" l="1"/>
  <c r="R789" i="9" s="1"/>
  <c r="I792" i="9"/>
  <c r="N790" i="9"/>
  <c r="M790" i="9"/>
  <c r="J790" i="9"/>
  <c r="K790" i="9"/>
  <c r="L790" i="9"/>
  <c r="J791" i="9" a="1"/>
  <c r="O790" i="9" l="1"/>
  <c r="P790" i="9" s="1"/>
  <c r="K791" i="9"/>
  <c r="L791" i="9"/>
  <c r="M791" i="9"/>
  <c r="N791" i="9"/>
  <c r="J791" i="9"/>
  <c r="I793" i="9"/>
  <c r="J792" i="9" a="1"/>
  <c r="O791" i="9" l="1"/>
  <c r="R791" i="9" s="1"/>
  <c r="R790" i="9"/>
  <c r="I794" i="9"/>
  <c r="K792" i="9"/>
  <c r="J792" i="9"/>
  <c r="N792" i="9"/>
  <c r="L792" i="9"/>
  <c r="M792" i="9"/>
  <c r="Q792" i="9"/>
  <c r="Q788" i="9"/>
  <c r="S788" i="9" s="1"/>
  <c r="T788" i="9" s="1"/>
  <c r="U788" i="9" s="1"/>
  <c r="Q793" i="9"/>
  <c r="Q791" i="9"/>
  <c r="S791" i="9" s="1"/>
  <c r="T791" i="9" s="1"/>
  <c r="U791" i="9" s="1"/>
  <c r="Q790" i="9"/>
  <c r="S790" i="9" s="1"/>
  <c r="T790" i="9" s="1"/>
  <c r="U790" i="9" s="1"/>
  <c r="Q787" i="9"/>
  <c r="S787" i="9" s="1"/>
  <c r="T787" i="9" s="1"/>
  <c r="U787" i="9" s="1"/>
  <c r="Q785" i="9"/>
  <c r="S785" i="9" s="1"/>
  <c r="T785" i="9" s="1"/>
  <c r="U785" i="9" s="1"/>
  <c r="Q789" i="9"/>
  <c r="S789" i="9" s="1"/>
  <c r="T789" i="9" s="1"/>
  <c r="U789" i="9" s="1"/>
  <c r="Q786" i="9"/>
  <c r="S786" i="9" s="1"/>
  <c r="T786" i="9" s="1"/>
  <c r="U786" i="9" s="1"/>
  <c r="J793" i="9" a="1"/>
  <c r="O792" i="9" l="1"/>
  <c r="R792" i="9" s="1"/>
  <c r="S792" i="9" s="1"/>
  <c r="T792" i="9" s="1"/>
  <c r="U792" i="9" s="1"/>
  <c r="K793" i="9"/>
  <c r="L793" i="9"/>
  <c r="M793" i="9"/>
  <c r="N793" i="9"/>
  <c r="J793" i="9"/>
  <c r="I795" i="9"/>
  <c r="J794" i="9" a="1"/>
  <c r="O793" i="9" l="1"/>
  <c r="R793" i="9" s="1"/>
  <c r="S793" i="9" s="1"/>
  <c r="T793" i="9" s="1"/>
  <c r="U793" i="9" s="1"/>
  <c r="I796" i="9"/>
  <c r="J794" i="9"/>
  <c r="M794" i="9"/>
  <c r="L794" i="9"/>
  <c r="K794" i="9"/>
  <c r="N794" i="9"/>
  <c r="J795" i="9" a="1"/>
  <c r="O794" i="9" l="1"/>
  <c r="R794" i="9" s="1"/>
  <c r="N795" i="9"/>
  <c r="J795" i="9"/>
  <c r="K795" i="9"/>
  <c r="L795" i="9"/>
  <c r="M795" i="9"/>
  <c r="I797" i="9"/>
  <c r="J796" i="9" a="1"/>
  <c r="O795" i="9" l="1"/>
  <c r="R795" i="9" s="1"/>
  <c r="I798" i="9"/>
  <c r="L796" i="9"/>
  <c r="J796" i="9"/>
  <c r="M796" i="9"/>
  <c r="N796" i="9"/>
  <c r="K796" i="9"/>
  <c r="J797" i="9" a="1"/>
  <c r="O796" i="9" l="1"/>
  <c r="R796" i="9" s="1"/>
  <c r="J797" i="9"/>
  <c r="N797" i="9"/>
  <c r="M797" i="9"/>
  <c r="K797" i="9"/>
  <c r="L797" i="9"/>
  <c r="I799" i="9"/>
  <c r="J798" i="9" a="1"/>
  <c r="O797" i="9" l="1"/>
  <c r="R797" i="9" s="1"/>
  <c r="K798" i="9"/>
  <c r="M798" i="9"/>
  <c r="N798" i="9"/>
  <c r="J798" i="9"/>
  <c r="L798" i="9"/>
  <c r="I800" i="9"/>
  <c r="J799" i="9" a="1"/>
  <c r="O798" i="9" l="1"/>
  <c r="R798" i="9" s="1"/>
  <c r="I801" i="9"/>
  <c r="M799" i="9"/>
  <c r="L799" i="9"/>
  <c r="K799" i="9"/>
  <c r="N799" i="9"/>
  <c r="J799" i="9"/>
  <c r="J800" i="9" a="1"/>
  <c r="O799" i="9" l="1"/>
  <c r="P799" i="9" s="1"/>
  <c r="M800" i="9"/>
  <c r="N800" i="9"/>
  <c r="L800" i="9"/>
  <c r="J800" i="9"/>
  <c r="K800" i="9"/>
  <c r="I802" i="9"/>
  <c r="J801" i="9" a="1"/>
  <c r="R799" i="9" l="1"/>
  <c r="O800" i="9"/>
  <c r="R800" i="9" s="1"/>
  <c r="I803" i="9"/>
  <c r="N801" i="9"/>
  <c r="L801" i="9"/>
  <c r="K801" i="9"/>
  <c r="M801" i="9"/>
  <c r="J801" i="9"/>
  <c r="Q798" i="9"/>
  <c r="S798" i="9" s="1"/>
  <c r="T798" i="9" s="1"/>
  <c r="U798" i="9" s="1"/>
  <c r="Q799" i="9"/>
  <c r="S799" i="9" s="1"/>
  <c r="T799" i="9" s="1"/>
  <c r="U799" i="9" s="1"/>
  <c r="Q794" i="9"/>
  <c r="S794" i="9" s="1"/>
  <c r="T794" i="9" s="1"/>
  <c r="U794" i="9" s="1"/>
  <c r="Q800" i="9"/>
  <c r="S800" i="9" s="1"/>
  <c r="T800" i="9" s="1"/>
  <c r="U800" i="9" s="1"/>
  <c r="Q802" i="9"/>
  <c r="Q796" i="9"/>
  <c r="S796" i="9" s="1"/>
  <c r="T796" i="9" s="1"/>
  <c r="U796" i="9" s="1"/>
  <c r="Q801" i="9"/>
  <c r="Q795" i="9"/>
  <c r="S795" i="9" s="1"/>
  <c r="T795" i="9" s="1"/>
  <c r="U795" i="9" s="1"/>
  <c r="Q797" i="9"/>
  <c r="S797" i="9" s="1"/>
  <c r="T797" i="9" s="1"/>
  <c r="U797" i="9" s="1"/>
  <c r="J802" i="9" a="1"/>
  <c r="O801" i="9" l="1"/>
  <c r="R801" i="9" s="1"/>
  <c r="S801" i="9" s="1"/>
  <c r="T801" i="9" s="1"/>
  <c r="U801" i="9" s="1"/>
  <c r="J802" i="9"/>
  <c r="K802" i="9"/>
  <c r="N802" i="9"/>
  <c r="M802" i="9"/>
  <c r="L802" i="9"/>
  <c r="I804" i="9"/>
  <c r="J803" i="9" a="1"/>
  <c r="O802" i="9" l="1"/>
  <c r="R802" i="9" s="1"/>
  <c r="S802" i="9" s="1"/>
  <c r="T802" i="9" s="1"/>
  <c r="U802" i="9" s="1"/>
  <c r="L803" i="9"/>
  <c r="N803" i="9"/>
  <c r="J803" i="9"/>
  <c r="K803" i="9"/>
  <c r="M803" i="9"/>
  <c r="I805" i="9"/>
  <c r="J804" i="9" a="1"/>
  <c r="O803" i="9" l="1"/>
  <c r="R803" i="9" s="1"/>
  <c r="I806" i="9"/>
  <c r="L804" i="9"/>
  <c r="J804" i="9"/>
  <c r="N804" i="9"/>
  <c r="K804" i="9"/>
  <c r="M804" i="9"/>
  <c r="J805" i="9" a="1"/>
  <c r="O804" i="9" l="1"/>
  <c r="R804" i="9" s="1"/>
  <c r="J805" i="9"/>
  <c r="N805" i="9"/>
  <c r="L805" i="9"/>
  <c r="M805" i="9"/>
  <c r="K805" i="9"/>
  <c r="I807" i="9"/>
  <c r="J806" i="9" a="1"/>
  <c r="O805" i="9" l="1"/>
  <c r="R805" i="9" s="1"/>
  <c r="L806" i="9"/>
  <c r="N806" i="9"/>
  <c r="M806" i="9"/>
  <c r="J806" i="9"/>
  <c r="K806" i="9"/>
  <c r="I808" i="9"/>
  <c r="J807" i="9" a="1"/>
  <c r="O806" i="9" l="1"/>
  <c r="R806" i="9" s="1"/>
  <c r="I809" i="9"/>
  <c r="J807" i="9"/>
  <c r="K807" i="9"/>
  <c r="L807" i="9"/>
  <c r="M807" i="9"/>
  <c r="N807" i="9"/>
  <c r="J808" i="9" a="1"/>
  <c r="O807" i="9" l="1"/>
  <c r="R807" i="9" s="1"/>
  <c r="L808" i="9"/>
  <c r="M808" i="9"/>
  <c r="K808" i="9"/>
  <c r="J808" i="9"/>
  <c r="N808" i="9"/>
  <c r="I810" i="9"/>
  <c r="J809" i="9" a="1"/>
  <c r="O808" i="9" l="1"/>
  <c r="R808" i="9" s="1"/>
  <c r="I811" i="9"/>
  <c r="J809" i="9"/>
  <c r="N809" i="9"/>
  <c r="K809" i="9"/>
  <c r="L809" i="9"/>
  <c r="M809" i="9"/>
  <c r="J810" i="9" a="1"/>
  <c r="P808" i="9" l="1"/>
  <c r="Q803" i="9" s="1"/>
  <c r="S803" i="9" s="1"/>
  <c r="T803" i="9" s="1"/>
  <c r="U803" i="9" s="1"/>
  <c r="O809" i="9"/>
  <c r="R809" i="9" s="1"/>
  <c r="Q809" i="9"/>
  <c r="S809" i="9" s="1"/>
  <c r="T809" i="9" s="1"/>
  <c r="U809" i="9" s="1"/>
  <c r="Q804" i="9"/>
  <c r="S804" i="9" s="1"/>
  <c r="T804" i="9" s="1"/>
  <c r="U804" i="9" s="1"/>
  <c r="K810" i="9"/>
  <c r="N810" i="9"/>
  <c r="J810" i="9"/>
  <c r="M810" i="9"/>
  <c r="L810" i="9"/>
  <c r="I812" i="9"/>
  <c r="J811" i="9" a="1"/>
  <c r="Q811" i="9" l="1"/>
  <c r="Q805" i="9"/>
  <c r="S805" i="9" s="1"/>
  <c r="T805" i="9" s="1"/>
  <c r="U805" i="9" s="1"/>
  <c r="Q806" i="9"/>
  <c r="S806" i="9" s="1"/>
  <c r="T806" i="9" s="1"/>
  <c r="U806" i="9" s="1"/>
  <c r="Q807" i="9"/>
  <c r="S807" i="9" s="1"/>
  <c r="T807" i="9" s="1"/>
  <c r="U807" i="9" s="1"/>
  <c r="Q808" i="9"/>
  <c r="S808" i="9" s="1"/>
  <c r="T808" i="9" s="1"/>
  <c r="U808" i="9" s="1"/>
  <c r="Q810" i="9"/>
  <c r="O810" i="9"/>
  <c r="R810" i="9" s="1"/>
  <c r="M811" i="9"/>
  <c r="N811" i="9"/>
  <c r="J811" i="9"/>
  <c r="K811" i="9"/>
  <c r="L811" i="9"/>
  <c r="I813" i="9"/>
  <c r="J812" i="9" a="1"/>
  <c r="S810" i="9" l="1"/>
  <c r="T810" i="9" s="1"/>
  <c r="U810" i="9" s="1"/>
  <c r="O811" i="9"/>
  <c r="R811" i="9" s="1"/>
  <c r="S811" i="9" s="1"/>
  <c r="T811" i="9" s="1"/>
  <c r="U811" i="9" s="1"/>
  <c r="I814" i="9"/>
  <c r="N812" i="9"/>
  <c r="K812" i="9"/>
  <c r="L812" i="9"/>
  <c r="J812" i="9"/>
  <c r="M812" i="9"/>
  <c r="J813" i="9" a="1"/>
  <c r="O812" i="9" l="1"/>
  <c r="R812" i="9" s="1"/>
  <c r="L813" i="9"/>
  <c r="J813" i="9"/>
  <c r="N813" i="9"/>
  <c r="M813" i="9"/>
  <c r="K813" i="9"/>
  <c r="I815" i="9"/>
  <c r="J814" i="9" a="1"/>
  <c r="O813" i="9" l="1"/>
  <c r="R813" i="9" s="1"/>
  <c r="I816" i="9"/>
  <c r="L814" i="9"/>
  <c r="K814" i="9"/>
  <c r="M814" i="9"/>
  <c r="N814" i="9"/>
  <c r="J814" i="9"/>
  <c r="J815" i="9" a="1"/>
  <c r="O814" i="9" l="1"/>
  <c r="R814" i="9" s="1"/>
  <c r="N815" i="9"/>
  <c r="J815" i="9"/>
  <c r="M815" i="9"/>
  <c r="L815" i="9"/>
  <c r="K815" i="9"/>
  <c r="I817" i="9"/>
  <c r="J816" i="9" a="1"/>
  <c r="O815" i="9" l="1"/>
  <c r="R815" i="9" s="1"/>
  <c r="I818" i="9"/>
  <c r="K816" i="9"/>
  <c r="M816" i="9"/>
  <c r="N816" i="9"/>
  <c r="L816" i="9"/>
  <c r="J816" i="9"/>
  <c r="J817" i="9" a="1"/>
  <c r="O816" i="9" l="1"/>
  <c r="R816" i="9" s="1"/>
  <c r="J817" i="9"/>
  <c r="N817" i="9"/>
  <c r="L817" i="9"/>
  <c r="K817" i="9"/>
  <c r="M817" i="9"/>
  <c r="I819" i="9"/>
  <c r="J818" i="9" a="1"/>
  <c r="O817" i="9" l="1"/>
  <c r="R817" i="9" s="1"/>
  <c r="L818" i="9"/>
  <c r="J818" i="9"/>
  <c r="K818" i="9"/>
  <c r="M818" i="9"/>
  <c r="N818" i="9"/>
  <c r="I820" i="9"/>
  <c r="J819" i="9" a="1"/>
  <c r="P817" i="9" l="1"/>
  <c r="O818" i="9"/>
  <c r="R818" i="9" s="1"/>
  <c r="Q815" i="9"/>
  <c r="S815" i="9" s="1"/>
  <c r="T815" i="9" s="1"/>
  <c r="U815" i="9" s="1"/>
  <c r="Q819" i="9"/>
  <c r="Q816" i="9"/>
  <c r="S816" i="9" s="1"/>
  <c r="T816" i="9" s="1"/>
  <c r="U816" i="9" s="1"/>
  <c r="Q812" i="9"/>
  <c r="S812" i="9" s="1"/>
  <c r="T812" i="9" s="1"/>
  <c r="U812" i="9" s="1"/>
  <c r="Q817" i="9"/>
  <c r="S817" i="9" s="1"/>
  <c r="T817" i="9" s="1"/>
  <c r="U817" i="9" s="1"/>
  <c r="Q814" i="9"/>
  <c r="S814" i="9" s="1"/>
  <c r="T814" i="9" s="1"/>
  <c r="U814" i="9" s="1"/>
  <c r="Q818" i="9"/>
  <c r="S818" i="9" s="1"/>
  <c r="T818" i="9" s="1"/>
  <c r="U818" i="9" s="1"/>
  <c r="Q820" i="9"/>
  <c r="Q813" i="9"/>
  <c r="S813" i="9" s="1"/>
  <c r="T813" i="9" s="1"/>
  <c r="U813" i="9" s="1"/>
  <c r="I821" i="9"/>
  <c r="K819" i="9"/>
  <c r="M819" i="9"/>
  <c r="L819" i="9"/>
  <c r="N819" i="9"/>
  <c r="J819" i="9"/>
  <c r="J820" i="9" a="1"/>
  <c r="O819" i="9" l="1"/>
  <c r="R819" i="9" s="1"/>
  <c r="S819" i="9" s="1"/>
  <c r="T819" i="9" s="1"/>
  <c r="U819" i="9" s="1"/>
  <c r="I822" i="9"/>
  <c r="K820" i="9"/>
  <c r="M820" i="9"/>
  <c r="L820" i="9"/>
  <c r="J820" i="9"/>
  <c r="N820" i="9"/>
  <c r="J821" i="9" a="1"/>
  <c r="O820" i="9" l="1"/>
  <c r="R820" i="9" s="1"/>
  <c r="S820" i="9" s="1"/>
  <c r="T820" i="9" s="1"/>
  <c r="U820" i="9" s="1"/>
  <c r="K821" i="9"/>
  <c r="J821" i="9"/>
  <c r="N821" i="9"/>
  <c r="L821" i="9"/>
  <c r="M821" i="9"/>
  <c r="I823" i="9"/>
  <c r="J822" i="9" a="1"/>
  <c r="O821" i="9" l="1"/>
  <c r="R821" i="9" s="1"/>
  <c r="I824" i="9"/>
  <c r="J822" i="9"/>
  <c r="K822" i="9"/>
  <c r="L822" i="9"/>
  <c r="N822" i="9"/>
  <c r="M822" i="9"/>
  <c r="J823" i="9" a="1"/>
  <c r="O822" i="9" l="1"/>
  <c r="R822" i="9" s="1"/>
  <c r="K823" i="9"/>
  <c r="L823" i="9"/>
  <c r="M823" i="9"/>
  <c r="N823" i="9"/>
  <c r="J823" i="9"/>
  <c r="I825" i="9"/>
  <c r="J824" i="9" a="1"/>
  <c r="O823" i="9" l="1"/>
  <c r="R823" i="9" s="1"/>
  <c r="I826" i="9"/>
  <c r="K824" i="9"/>
  <c r="J824" i="9"/>
  <c r="N824" i="9"/>
  <c r="L824" i="9"/>
  <c r="M824" i="9"/>
  <c r="J825" i="9" a="1"/>
  <c r="O824" i="9" l="1"/>
  <c r="R824" i="9" s="1"/>
  <c r="M825" i="9"/>
  <c r="J825" i="9"/>
  <c r="N825" i="9"/>
  <c r="K825" i="9"/>
  <c r="L825" i="9"/>
  <c r="I827" i="9"/>
  <c r="J826" i="9" a="1"/>
  <c r="O825" i="9" l="1"/>
  <c r="R825" i="9" s="1"/>
  <c r="I828" i="9"/>
  <c r="K826" i="9"/>
  <c r="N826" i="9"/>
  <c r="J826" i="9"/>
  <c r="M826" i="9"/>
  <c r="L826" i="9"/>
  <c r="J827" i="9" a="1"/>
  <c r="O826" i="9" l="1"/>
  <c r="R826" i="9" s="1"/>
  <c r="K827" i="9"/>
  <c r="L827" i="9"/>
  <c r="M827" i="9"/>
  <c r="N827" i="9"/>
  <c r="J827" i="9"/>
  <c r="I829" i="9"/>
  <c r="J828" i="9" a="1"/>
  <c r="P826" i="9" l="1"/>
  <c r="Q823" i="9" s="1"/>
  <c r="S823" i="9" s="1"/>
  <c r="T823" i="9" s="1"/>
  <c r="U823" i="9" s="1"/>
  <c r="O827" i="9"/>
  <c r="J828" i="9"/>
  <c r="M828" i="9"/>
  <c r="N828" i="9"/>
  <c r="K828" i="9"/>
  <c r="L828" i="9"/>
  <c r="I830" i="9"/>
  <c r="Q822" i="9"/>
  <c r="S822" i="9" s="1"/>
  <c r="T822" i="9" s="1"/>
  <c r="U822" i="9" s="1"/>
  <c r="Q827" i="9"/>
  <c r="Q821" i="9"/>
  <c r="S821" i="9" s="1"/>
  <c r="T821" i="9" s="1"/>
  <c r="U821" i="9" s="1"/>
  <c r="Q828" i="9"/>
  <c r="Q829" i="9"/>
  <c r="R827" i="9"/>
  <c r="J829" i="9" a="1"/>
  <c r="Q824" i="9" l="1"/>
  <c r="S824" i="9" s="1"/>
  <c r="T824" i="9" s="1"/>
  <c r="U824" i="9" s="1"/>
  <c r="Q826" i="9"/>
  <c r="S826" i="9" s="1"/>
  <c r="T826" i="9" s="1"/>
  <c r="U826" i="9" s="1"/>
  <c r="Q825" i="9"/>
  <c r="S825" i="9" s="1"/>
  <c r="T825" i="9" s="1"/>
  <c r="U825" i="9" s="1"/>
  <c r="O828" i="9"/>
  <c r="R828" i="9" s="1"/>
  <c r="S828" i="9" s="1"/>
  <c r="T828" i="9" s="1"/>
  <c r="U828" i="9" s="1"/>
  <c r="S827" i="9"/>
  <c r="T827" i="9" s="1"/>
  <c r="U827" i="9" s="1"/>
  <c r="I831" i="9"/>
  <c r="M829" i="9"/>
  <c r="K829" i="9"/>
  <c r="L829" i="9"/>
  <c r="J829" i="9"/>
  <c r="N829" i="9"/>
  <c r="J830" i="9" a="1"/>
  <c r="O829" i="9" l="1"/>
  <c r="R829" i="9" s="1"/>
  <c r="S829" i="9" s="1"/>
  <c r="T829" i="9" s="1"/>
  <c r="U829" i="9" s="1"/>
  <c r="N830" i="9"/>
  <c r="J830" i="9"/>
  <c r="L830" i="9"/>
  <c r="K830" i="9"/>
  <c r="M830" i="9"/>
  <c r="I832" i="9"/>
  <c r="J831" i="9" a="1"/>
  <c r="O830" i="9" l="1"/>
  <c r="R830" i="9" s="1"/>
  <c r="I833" i="9"/>
  <c r="N831" i="9"/>
  <c r="J831" i="9"/>
  <c r="M831" i="9"/>
  <c r="L831" i="9"/>
  <c r="K831" i="9"/>
  <c r="J832" i="9" a="1"/>
  <c r="O831" i="9" l="1"/>
  <c r="R831" i="9" s="1"/>
  <c r="J832" i="9"/>
  <c r="K832" i="9"/>
  <c r="M832" i="9"/>
  <c r="N832" i="9"/>
  <c r="L832" i="9"/>
  <c r="I834" i="9"/>
  <c r="J833" i="9" a="1"/>
  <c r="O832" i="9" l="1"/>
  <c r="R832" i="9" s="1"/>
  <c r="N833" i="9"/>
  <c r="L833" i="9"/>
  <c r="K833" i="9"/>
  <c r="M833" i="9"/>
  <c r="J833" i="9"/>
  <c r="I835" i="9"/>
  <c r="J834" i="9" a="1"/>
  <c r="O833" i="9" l="1"/>
  <c r="R833" i="9" s="1"/>
  <c r="I836" i="9"/>
  <c r="M834" i="9"/>
  <c r="N834" i="9"/>
  <c r="L834" i="9"/>
  <c r="J834" i="9"/>
  <c r="K834" i="9"/>
  <c r="J835" i="9" a="1"/>
  <c r="O834" i="9" l="1"/>
  <c r="R834" i="9" s="1"/>
  <c r="N835" i="9"/>
  <c r="J835" i="9"/>
  <c r="K835" i="9"/>
  <c r="M835" i="9"/>
  <c r="L835" i="9"/>
  <c r="I837" i="9"/>
  <c r="J836" i="9" a="1"/>
  <c r="O835" i="9" l="1"/>
  <c r="R835" i="9" s="1"/>
  <c r="I838" i="9"/>
  <c r="J836" i="9"/>
  <c r="N836" i="9"/>
  <c r="K836" i="9"/>
  <c r="M836" i="9"/>
  <c r="L836" i="9"/>
  <c r="J837" i="9" a="1"/>
  <c r="P835" i="9" l="1"/>
  <c r="Q836" i="9" s="1"/>
  <c r="S836" i="9" s="1"/>
  <c r="T836" i="9" s="1"/>
  <c r="U836" i="9" s="1"/>
  <c r="O836" i="9"/>
  <c r="R836" i="9" s="1"/>
  <c r="Q833" i="9"/>
  <c r="S833" i="9" s="1"/>
  <c r="T833" i="9" s="1"/>
  <c r="U833" i="9" s="1"/>
  <c r="Q837" i="9"/>
  <c r="Q831" i="9"/>
  <c r="S831" i="9" s="1"/>
  <c r="T831" i="9" s="1"/>
  <c r="U831" i="9" s="1"/>
  <c r="Q830" i="9"/>
  <c r="S830" i="9" s="1"/>
  <c r="T830" i="9" s="1"/>
  <c r="U830" i="9" s="1"/>
  <c r="Q832" i="9"/>
  <c r="S832" i="9" s="1"/>
  <c r="T832" i="9" s="1"/>
  <c r="U832" i="9" s="1"/>
  <c r="Q838" i="9"/>
  <c r="Q835" i="9"/>
  <c r="S835" i="9" s="1"/>
  <c r="T835" i="9" s="1"/>
  <c r="U835" i="9" s="1"/>
  <c r="L837" i="9"/>
  <c r="M837" i="9"/>
  <c r="K837" i="9"/>
  <c r="J837" i="9"/>
  <c r="N837" i="9"/>
  <c r="I839" i="9"/>
  <c r="J838" i="9" a="1"/>
  <c r="Q834" i="9" l="1"/>
  <c r="S834" i="9" s="1"/>
  <c r="T834" i="9" s="1"/>
  <c r="U834" i="9" s="1"/>
  <c r="O837" i="9"/>
  <c r="R837" i="9" s="1"/>
  <c r="S837" i="9" s="1"/>
  <c r="T837" i="9" s="1"/>
  <c r="U837" i="9" s="1"/>
  <c r="I840" i="9"/>
  <c r="N838" i="9"/>
  <c r="M838" i="9"/>
  <c r="J838" i="9"/>
  <c r="K838" i="9"/>
  <c r="L838" i="9"/>
  <c r="J839" i="9" a="1"/>
  <c r="O838" i="9" l="1"/>
  <c r="R838" i="9" s="1"/>
  <c r="S838" i="9" s="1"/>
  <c r="T838" i="9" s="1"/>
  <c r="U838" i="9" s="1"/>
  <c r="N839" i="9"/>
  <c r="J839" i="9"/>
  <c r="K839" i="9"/>
  <c r="L839" i="9"/>
  <c r="M839" i="9"/>
  <c r="I841" i="9"/>
  <c r="J840" i="9" a="1"/>
  <c r="O839" i="9" l="1"/>
  <c r="R839" i="9" s="1"/>
  <c r="I842" i="9"/>
  <c r="M840" i="9"/>
  <c r="K840" i="9"/>
  <c r="N840" i="9"/>
  <c r="J840" i="9"/>
  <c r="L840" i="9"/>
  <c r="J841" i="9" a="1"/>
  <c r="O840" i="9" l="1"/>
  <c r="R840" i="9" s="1"/>
  <c r="K841" i="9"/>
  <c r="L841" i="9"/>
  <c r="M841" i="9"/>
  <c r="J841" i="9"/>
  <c r="N841" i="9"/>
  <c r="I843" i="9"/>
  <c r="J842" i="9" a="1"/>
  <c r="O841" i="9" l="1"/>
  <c r="R841" i="9" s="1"/>
  <c r="I844" i="9"/>
  <c r="K842" i="9"/>
  <c r="N842" i="9"/>
  <c r="J842" i="9"/>
  <c r="M842" i="9"/>
  <c r="L842" i="9"/>
  <c r="J843" i="9" a="1"/>
  <c r="O842" i="9" l="1"/>
  <c r="R842" i="9" s="1"/>
  <c r="N843" i="9"/>
  <c r="J843" i="9"/>
  <c r="K843" i="9"/>
  <c r="L843" i="9"/>
  <c r="M843" i="9"/>
  <c r="I845" i="9"/>
  <c r="J844" i="9" a="1"/>
  <c r="O843" i="9" l="1"/>
  <c r="R843" i="9" s="1"/>
  <c r="I846" i="9"/>
  <c r="L844" i="9"/>
  <c r="J844" i="9"/>
  <c r="M844" i="9"/>
  <c r="N844" i="9"/>
  <c r="K844" i="9"/>
  <c r="J845" i="9" a="1"/>
  <c r="O844" i="9" l="1"/>
  <c r="P844" i="9" s="1"/>
  <c r="J845" i="9"/>
  <c r="N845" i="9"/>
  <c r="M845" i="9"/>
  <c r="L845" i="9"/>
  <c r="K845" i="9"/>
  <c r="I847" i="9"/>
  <c r="J846" i="9" a="1"/>
  <c r="R844" i="9" l="1"/>
  <c r="O845" i="9"/>
  <c r="R845" i="9" s="1"/>
  <c r="K846" i="9"/>
  <c r="M846" i="9"/>
  <c r="N846" i="9"/>
  <c r="J846" i="9"/>
  <c r="L846" i="9"/>
  <c r="I848" i="9"/>
  <c r="Q839" i="9"/>
  <c r="S839" i="9" s="1"/>
  <c r="T839" i="9" s="1"/>
  <c r="U839" i="9" s="1"/>
  <c r="Q847" i="9"/>
  <c r="Q846" i="9"/>
  <c r="Q843" i="9"/>
  <c r="S843" i="9" s="1"/>
  <c r="T843" i="9" s="1"/>
  <c r="U843" i="9" s="1"/>
  <c r="Q841" i="9"/>
  <c r="S841" i="9" s="1"/>
  <c r="T841" i="9" s="1"/>
  <c r="U841" i="9" s="1"/>
  <c r="Q844" i="9"/>
  <c r="S844" i="9" s="1"/>
  <c r="T844" i="9" s="1"/>
  <c r="U844" i="9" s="1"/>
  <c r="Q840" i="9"/>
  <c r="S840" i="9" s="1"/>
  <c r="T840" i="9" s="1"/>
  <c r="U840" i="9" s="1"/>
  <c r="Q842" i="9"/>
  <c r="S842" i="9" s="1"/>
  <c r="T842" i="9" s="1"/>
  <c r="U842" i="9" s="1"/>
  <c r="Q845" i="9"/>
  <c r="J847" i="9" a="1"/>
  <c r="O846" i="9" l="1"/>
  <c r="R846" i="9" s="1"/>
  <c r="S846" i="9" s="1"/>
  <c r="T846" i="9" s="1"/>
  <c r="U846" i="9" s="1"/>
  <c r="S845" i="9"/>
  <c r="T845" i="9" s="1"/>
  <c r="U845" i="9" s="1"/>
  <c r="I849" i="9"/>
  <c r="N847" i="9"/>
  <c r="J847" i="9"/>
  <c r="M847" i="9"/>
  <c r="L847" i="9"/>
  <c r="K847" i="9"/>
  <c r="J848" i="9" a="1"/>
  <c r="O847" i="9" l="1"/>
  <c r="R847" i="9" s="1"/>
  <c r="S847" i="9" s="1"/>
  <c r="T847" i="9" s="1"/>
  <c r="U847" i="9" s="1"/>
  <c r="L848" i="9"/>
  <c r="J848" i="9"/>
  <c r="K848" i="9"/>
  <c r="M848" i="9"/>
  <c r="N848" i="9"/>
  <c r="I850" i="9"/>
  <c r="J849" i="9" a="1"/>
  <c r="O848" i="9" l="1"/>
  <c r="R848" i="9" s="1"/>
  <c r="I851" i="9"/>
  <c r="J849" i="9"/>
  <c r="N849" i="9"/>
  <c r="L849" i="9"/>
  <c r="K849" i="9"/>
  <c r="M849" i="9"/>
  <c r="J850" i="9" a="1"/>
  <c r="O849" i="9" l="1"/>
  <c r="R849" i="9" s="1"/>
  <c r="J850" i="9"/>
  <c r="K850" i="9"/>
  <c r="M850" i="9"/>
  <c r="N850" i="9"/>
  <c r="L850" i="9"/>
  <c r="I852" i="9"/>
  <c r="J851" i="9" a="1"/>
  <c r="O850" i="9" l="1"/>
  <c r="R850" i="9" s="1"/>
  <c r="L851" i="9"/>
  <c r="N851" i="9"/>
  <c r="J851" i="9"/>
  <c r="K851" i="9"/>
  <c r="M851" i="9"/>
  <c r="I853" i="9"/>
  <c r="J852" i="9" a="1"/>
  <c r="O851" i="9" l="1"/>
  <c r="R851" i="9" s="1"/>
  <c r="I854" i="9"/>
  <c r="L852" i="9"/>
  <c r="J852" i="9"/>
  <c r="N852" i="9"/>
  <c r="K852" i="9"/>
  <c r="M852" i="9"/>
  <c r="J853" i="9" a="1"/>
  <c r="O852" i="9" l="1"/>
  <c r="R852" i="9" s="1"/>
  <c r="J853" i="9"/>
  <c r="N853" i="9"/>
  <c r="L853" i="9"/>
  <c r="M853" i="9"/>
  <c r="K853" i="9"/>
  <c r="I855" i="9"/>
  <c r="J854" i="9" a="1"/>
  <c r="O853" i="9" l="1"/>
  <c r="R853" i="9" s="1"/>
  <c r="I856" i="9"/>
  <c r="L854" i="9"/>
  <c r="N854" i="9"/>
  <c r="M854" i="9"/>
  <c r="J854" i="9"/>
  <c r="K854" i="9"/>
  <c r="J855" i="9" a="1"/>
  <c r="P853" i="9" l="1"/>
  <c r="O854" i="9"/>
  <c r="R854" i="9" s="1"/>
  <c r="N855" i="9"/>
  <c r="J855" i="9"/>
  <c r="K855" i="9"/>
  <c r="L855" i="9"/>
  <c r="M855" i="9"/>
  <c r="Q853" i="9"/>
  <c r="S853" i="9" s="1"/>
  <c r="T853" i="9" s="1"/>
  <c r="U853" i="9" s="1"/>
  <c r="Q851" i="9"/>
  <c r="S851" i="9" s="1"/>
  <c r="T851" i="9" s="1"/>
  <c r="U851" i="9" s="1"/>
  <c r="Q854" i="9"/>
  <c r="S854" i="9" s="1"/>
  <c r="T854" i="9" s="1"/>
  <c r="U854" i="9" s="1"/>
  <c r="Q849" i="9"/>
  <c r="S849" i="9" s="1"/>
  <c r="T849" i="9" s="1"/>
  <c r="U849" i="9" s="1"/>
  <c r="Q855" i="9"/>
  <c r="Q852" i="9"/>
  <c r="S852" i="9" s="1"/>
  <c r="T852" i="9" s="1"/>
  <c r="U852" i="9" s="1"/>
  <c r="Q848" i="9"/>
  <c r="S848" i="9" s="1"/>
  <c r="T848" i="9" s="1"/>
  <c r="U848" i="9" s="1"/>
  <c r="Q850" i="9"/>
  <c r="S850" i="9" s="1"/>
  <c r="T850" i="9" s="1"/>
  <c r="U850" i="9" s="1"/>
  <c r="Q856" i="9"/>
  <c r="I857" i="9"/>
  <c r="J856" i="9" a="1"/>
  <c r="O855" i="9" l="1"/>
  <c r="R855" i="9" s="1"/>
  <c r="S855" i="9" s="1"/>
  <c r="T855" i="9" s="1"/>
  <c r="U855" i="9" s="1"/>
  <c r="K856" i="9"/>
  <c r="M856" i="9"/>
  <c r="N856" i="9"/>
  <c r="J856" i="9"/>
  <c r="L856" i="9"/>
  <c r="I858" i="9"/>
  <c r="J857" i="9" a="1"/>
  <c r="O856" i="9" l="1"/>
  <c r="R856" i="9" s="1"/>
  <c r="S856" i="9" s="1"/>
  <c r="T856" i="9" s="1"/>
  <c r="U856" i="9" s="1"/>
  <c r="I859" i="9"/>
  <c r="N857" i="9"/>
  <c r="M857" i="9"/>
  <c r="L857" i="9"/>
  <c r="J857" i="9"/>
  <c r="K857" i="9"/>
  <c r="J858" i="9" a="1"/>
  <c r="O857" i="9" l="1"/>
  <c r="R857" i="9" s="1"/>
  <c r="J858" i="9"/>
  <c r="K858" i="9"/>
  <c r="N858" i="9"/>
  <c r="M858" i="9"/>
  <c r="L858" i="9"/>
  <c r="I860" i="9"/>
  <c r="J859" i="9" a="1"/>
  <c r="O858" i="9" l="1"/>
  <c r="R858" i="9" s="1"/>
  <c r="I861" i="9"/>
  <c r="K859" i="9"/>
  <c r="L859" i="9"/>
  <c r="M859" i="9"/>
  <c r="J859" i="9"/>
  <c r="N859" i="9"/>
  <c r="J860" i="9" a="1"/>
  <c r="O859" i="9" l="1"/>
  <c r="R859" i="9" s="1"/>
  <c r="K860" i="9"/>
  <c r="M860" i="9"/>
  <c r="N860" i="9"/>
  <c r="J860" i="9"/>
  <c r="L860" i="9"/>
  <c r="I862" i="9"/>
  <c r="J861" i="9" a="1"/>
  <c r="O860" i="9" l="1"/>
  <c r="R860" i="9" s="1"/>
  <c r="I863" i="9"/>
  <c r="K861" i="9"/>
  <c r="N861" i="9"/>
  <c r="M861" i="9"/>
  <c r="L861" i="9"/>
  <c r="J861" i="9"/>
  <c r="J862" i="9" a="1"/>
  <c r="O861" i="9" l="1"/>
  <c r="R861" i="9" s="1"/>
  <c r="J862" i="9"/>
  <c r="K862" i="9"/>
  <c r="N862" i="9"/>
  <c r="L862" i="9"/>
  <c r="M862" i="9"/>
  <c r="I864" i="9"/>
  <c r="J863" i="9" a="1"/>
  <c r="O862" i="9" l="1"/>
  <c r="R862" i="9" s="1"/>
  <c r="I865" i="9"/>
  <c r="N863" i="9"/>
  <c r="K863" i="9"/>
  <c r="L863" i="9"/>
  <c r="J863" i="9"/>
  <c r="M863" i="9"/>
  <c r="J864" i="9" a="1"/>
  <c r="P862" i="9" l="1"/>
  <c r="O863" i="9"/>
  <c r="R863" i="9" s="1"/>
  <c r="Q864" i="9"/>
  <c r="Q858" i="9"/>
  <c r="S858" i="9" s="1"/>
  <c r="T858" i="9" s="1"/>
  <c r="U858" i="9" s="1"/>
  <c r="Q861" i="9"/>
  <c r="S861" i="9" s="1"/>
  <c r="T861" i="9" s="1"/>
  <c r="U861" i="9" s="1"/>
  <c r="Q862" i="9"/>
  <c r="S862" i="9" s="1"/>
  <c r="T862" i="9" s="1"/>
  <c r="U862" i="9" s="1"/>
  <c r="Q865" i="9"/>
  <c r="Q860" i="9"/>
  <c r="S860" i="9" s="1"/>
  <c r="T860" i="9" s="1"/>
  <c r="U860" i="9" s="1"/>
  <c r="Q863" i="9"/>
  <c r="S863" i="9" s="1"/>
  <c r="T863" i="9" s="1"/>
  <c r="U863" i="9" s="1"/>
  <c r="Q859" i="9"/>
  <c r="S859" i="9" s="1"/>
  <c r="T859" i="9" s="1"/>
  <c r="U859" i="9" s="1"/>
  <c r="Q857" i="9"/>
  <c r="S857" i="9" s="1"/>
  <c r="T857" i="9" s="1"/>
  <c r="U857" i="9" s="1"/>
  <c r="L864" i="9"/>
  <c r="K864" i="9"/>
  <c r="M864" i="9"/>
  <c r="N864" i="9"/>
  <c r="J864" i="9"/>
  <c r="I866" i="9"/>
  <c r="J865" i="9" a="1"/>
  <c r="O864" i="9" l="1"/>
  <c r="R864" i="9" s="1"/>
  <c r="S864" i="9" s="1"/>
  <c r="T864" i="9" s="1"/>
  <c r="U864" i="9" s="1"/>
  <c r="N865" i="9"/>
  <c r="J865" i="9"/>
  <c r="K865" i="9"/>
  <c r="M865" i="9"/>
  <c r="L865" i="9"/>
  <c r="I867" i="9"/>
  <c r="J866" i="9" a="1"/>
  <c r="O865" i="9" l="1"/>
  <c r="R865" i="9" s="1"/>
  <c r="S865" i="9" s="1"/>
  <c r="T865" i="9" s="1"/>
  <c r="U865" i="9" s="1"/>
  <c r="M866" i="9"/>
  <c r="J866" i="9"/>
  <c r="K866" i="9"/>
  <c r="N866" i="9"/>
  <c r="L866" i="9"/>
  <c r="I868" i="9"/>
  <c r="J867" i="9" a="1"/>
  <c r="O866" i="9" l="1"/>
  <c r="R866" i="9" s="1"/>
  <c r="I869" i="9"/>
  <c r="J867" i="9"/>
  <c r="N867" i="9"/>
  <c r="K867" i="9"/>
  <c r="L867" i="9"/>
  <c r="M867" i="9"/>
  <c r="J868" i="9" a="1"/>
  <c r="O867" i="9" l="1"/>
  <c r="R867" i="9" s="1"/>
  <c r="K868" i="9"/>
  <c r="M868" i="9"/>
  <c r="N868" i="9"/>
  <c r="J868" i="9"/>
  <c r="L868" i="9"/>
  <c r="I870" i="9"/>
  <c r="J869" i="9" a="1"/>
  <c r="O868" i="9" l="1"/>
  <c r="R868" i="9" s="1"/>
  <c r="I871" i="9"/>
  <c r="L869" i="9"/>
  <c r="K869" i="9"/>
  <c r="N869" i="9"/>
  <c r="J869" i="9"/>
  <c r="M869" i="9"/>
  <c r="J870" i="9" a="1"/>
  <c r="O869" i="9" l="1"/>
  <c r="R869" i="9" s="1"/>
  <c r="L870" i="9"/>
  <c r="M870" i="9"/>
  <c r="J870" i="9"/>
  <c r="N870" i="9"/>
  <c r="K870" i="9"/>
  <c r="I872" i="9"/>
  <c r="J871" i="9" a="1"/>
  <c r="O870" i="9" l="1"/>
  <c r="R870" i="9" s="1"/>
  <c r="I873" i="9"/>
  <c r="M871" i="9"/>
  <c r="J871" i="9"/>
  <c r="N871" i="9"/>
  <c r="K871" i="9"/>
  <c r="L871" i="9"/>
  <c r="J872" i="9" a="1"/>
  <c r="O871" i="9" l="1"/>
  <c r="R871" i="9" s="1"/>
  <c r="K872" i="9"/>
  <c r="M872" i="9"/>
  <c r="N872" i="9"/>
  <c r="J872" i="9"/>
  <c r="L872" i="9"/>
  <c r="I874" i="9"/>
  <c r="J873" i="9" a="1"/>
  <c r="P871" i="9" l="1"/>
  <c r="O872" i="9"/>
  <c r="R872" i="9" s="1"/>
  <c r="I875" i="9"/>
  <c r="M873" i="9"/>
  <c r="L873" i="9"/>
  <c r="J873" i="9"/>
  <c r="K873" i="9"/>
  <c r="N873" i="9"/>
  <c r="Q872" i="9"/>
  <c r="Q868" i="9"/>
  <c r="S868" i="9" s="1"/>
  <c r="T868" i="9" s="1"/>
  <c r="U868" i="9" s="1"/>
  <c r="Q873" i="9"/>
  <c r="Q867" i="9"/>
  <c r="S867" i="9" s="1"/>
  <c r="T867" i="9" s="1"/>
  <c r="U867" i="9" s="1"/>
  <c r="Q866" i="9"/>
  <c r="S866" i="9" s="1"/>
  <c r="T866" i="9" s="1"/>
  <c r="U866" i="9" s="1"/>
  <c r="Q871" i="9"/>
  <c r="S871" i="9" s="1"/>
  <c r="T871" i="9" s="1"/>
  <c r="U871" i="9" s="1"/>
  <c r="Q870" i="9"/>
  <c r="S870" i="9" s="1"/>
  <c r="T870" i="9" s="1"/>
  <c r="U870" i="9" s="1"/>
  <c r="Q874" i="9"/>
  <c r="Q869" i="9"/>
  <c r="S869" i="9" s="1"/>
  <c r="T869" i="9" s="1"/>
  <c r="U869" i="9" s="1"/>
  <c r="J874" i="9" a="1"/>
  <c r="S872" i="9" l="1"/>
  <c r="T872" i="9" s="1"/>
  <c r="U872" i="9" s="1"/>
  <c r="O873" i="9"/>
  <c r="R873" i="9" s="1"/>
  <c r="S873" i="9" s="1"/>
  <c r="T873" i="9" s="1"/>
  <c r="U873" i="9" s="1"/>
  <c r="N874" i="9"/>
  <c r="L874" i="9"/>
  <c r="M874" i="9"/>
  <c r="J874" i="9"/>
  <c r="K874" i="9"/>
  <c r="I876" i="9"/>
  <c r="J875" i="9" a="1"/>
  <c r="O874" i="9" l="1"/>
  <c r="R874" i="9" s="1"/>
  <c r="S874" i="9" s="1"/>
  <c r="T874" i="9" s="1"/>
  <c r="U874" i="9" s="1"/>
  <c r="I877" i="9"/>
  <c r="L875" i="9"/>
  <c r="M875" i="9"/>
  <c r="J875" i="9"/>
  <c r="N875" i="9"/>
  <c r="K875" i="9"/>
  <c r="J876" i="9" a="1"/>
  <c r="O875" i="9" l="1"/>
  <c r="R875" i="9" s="1"/>
  <c r="K876" i="9"/>
  <c r="M876" i="9"/>
  <c r="N876" i="9"/>
  <c r="J876" i="9"/>
  <c r="L876" i="9"/>
  <c r="I878" i="9"/>
  <c r="J877" i="9" a="1"/>
  <c r="O876" i="9" l="1"/>
  <c r="R876" i="9" s="1"/>
  <c r="I879" i="9"/>
  <c r="M877" i="9"/>
  <c r="L877" i="9"/>
  <c r="J877" i="9"/>
  <c r="K877" i="9"/>
  <c r="N877" i="9"/>
  <c r="J878" i="9" a="1"/>
  <c r="O877" i="9" l="1"/>
  <c r="R877" i="9" s="1"/>
  <c r="J878" i="9"/>
  <c r="K878" i="9"/>
  <c r="N878" i="9"/>
  <c r="L878" i="9"/>
  <c r="M878" i="9"/>
  <c r="I880" i="9"/>
  <c r="J879" i="9" a="1"/>
  <c r="O878" i="9" l="1"/>
  <c r="R878" i="9" s="1"/>
  <c r="K879" i="9"/>
  <c r="L879" i="9"/>
  <c r="M879" i="9"/>
  <c r="J879" i="9"/>
  <c r="N879" i="9"/>
  <c r="I881" i="9"/>
  <c r="J880" i="9" a="1"/>
  <c r="O879" i="9" l="1"/>
  <c r="R879" i="9" s="1"/>
  <c r="I882" i="9"/>
  <c r="J880" i="9"/>
  <c r="L880" i="9"/>
  <c r="K880" i="9"/>
  <c r="M880" i="9"/>
  <c r="N880" i="9"/>
  <c r="J881" i="9" a="1"/>
  <c r="O880" i="9" l="1"/>
  <c r="P880" i="9" s="1"/>
  <c r="N881" i="9"/>
  <c r="M881" i="9"/>
  <c r="L881" i="9"/>
  <c r="J881" i="9"/>
  <c r="K881" i="9"/>
  <c r="I883" i="9"/>
  <c r="J882" i="9" a="1"/>
  <c r="O881" i="9" l="1"/>
  <c r="R881" i="9" s="1"/>
  <c r="R880" i="9"/>
  <c r="I884" i="9"/>
  <c r="L882" i="9"/>
  <c r="M882" i="9"/>
  <c r="J882" i="9"/>
  <c r="K882" i="9"/>
  <c r="N882" i="9"/>
  <c r="Q881" i="9"/>
  <c r="S881" i="9" s="1"/>
  <c r="T881" i="9" s="1"/>
  <c r="U881" i="9" s="1"/>
  <c r="Q882" i="9"/>
  <c r="Q876" i="9"/>
  <c r="S876" i="9" s="1"/>
  <c r="T876" i="9" s="1"/>
  <c r="U876" i="9" s="1"/>
  <c r="Q879" i="9"/>
  <c r="S879" i="9" s="1"/>
  <c r="T879" i="9" s="1"/>
  <c r="U879" i="9" s="1"/>
  <c r="Q877" i="9"/>
  <c r="S877" i="9" s="1"/>
  <c r="T877" i="9" s="1"/>
  <c r="U877" i="9" s="1"/>
  <c r="Q875" i="9"/>
  <c r="S875" i="9" s="1"/>
  <c r="T875" i="9" s="1"/>
  <c r="U875" i="9" s="1"/>
  <c r="Q880" i="9"/>
  <c r="S880" i="9" s="1"/>
  <c r="T880" i="9" s="1"/>
  <c r="U880" i="9" s="1"/>
  <c r="Q883" i="9"/>
  <c r="Q878" i="9"/>
  <c r="S878" i="9" s="1"/>
  <c r="T878" i="9" s="1"/>
  <c r="U878" i="9" s="1"/>
  <c r="J883" i="9" a="1"/>
  <c r="O882" i="9" l="1"/>
  <c r="R882" i="9" s="1"/>
  <c r="S882" i="9" s="1"/>
  <c r="T882" i="9" s="1"/>
  <c r="U882" i="9" s="1"/>
  <c r="K883" i="9"/>
  <c r="L883" i="9"/>
  <c r="M883" i="9"/>
  <c r="N883" i="9"/>
  <c r="J883" i="9"/>
  <c r="I885" i="9"/>
  <c r="J884" i="9" a="1"/>
  <c r="O883" i="9" l="1"/>
  <c r="R883" i="9" s="1"/>
  <c r="S883" i="9" s="1"/>
  <c r="T883" i="9" s="1"/>
  <c r="U883" i="9" s="1"/>
  <c r="K884" i="9"/>
  <c r="M884" i="9"/>
  <c r="N884" i="9"/>
  <c r="J884" i="9"/>
  <c r="L884" i="9"/>
  <c r="I886" i="9"/>
  <c r="J885" i="9" a="1"/>
  <c r="O884" i="9" l="1"/>
  <c r="R884" i="9" s="1"/>
  <c r="I887" i="9"/>
  <c r="K885" i="9"/>
  <c r="N885" i="9"/>
  <c r="M885" i="9"/>
  <c r="L885" i="9"/>
  <c r="J885" i="9"/>
  <c r="J886" i="9" a="1"/>
  <c r="O885" i="9" l="1"/>
  <c r="R885" i="9" s="1"/>
  <c r="N886" i="9"/>
  <c r="L886" i="9"/>
  <c r="M886" i="9"/>
  <c r="J886" i="9"/>
  <c r="K886" i="9"/>
  <c r="I888" i="9"/>
  <c r="J887" i="9" a="1"/>
  <c r="O886" i="9" l="1"/>
  <c r="R886" i="9" s="1"/>
  <c r="I889" i="9"/>
  <c r="N887" i="9"/>
  <c r="K887" i="9"/>
  <c r="L887" i="9"/>
  <c r="M887" i="9"/>
  <c r="J887" i="9"/>
  <c r="J888" i="9" a="1"/>
  <c r="O887" i="9" l="1"/>
  <c r="R887" i="9" s="1"/>
  <c r="L888" i="9"/>
  <c r="K888" i="9"/>
  <c r="M888" i="9"/>
  <c r="N888" i="9"/>
  <c r="J888" i="9"/>
  <c r="I890" i="9"/>
  <c r="J889" i="9" a="1"/>
  <c r="O888" i="9" l="1"/>
  <c r="R888" i="9" s="1"/>
  <c r="I891" i="9"/>
  <c r="J889" i="9"/>
  <c r="K889" i="9"/>
  <c r="N889" i="9"/>
  <c r="M889" i="9"/>
  <c r="L889" i="9"/>
  <c r="J890" i="9" a="1"/>
  <c r="O889" i="9" l="1"/>
  <c r="P889" i="9" s="1"/>
  <c r="K890" i="9"/>
  <c r="N890" i="9"/>
  <c r="M890" i="9"/>
  <c r="L890" i="9"/>
  <c r="J890" i="9"/>
  <c r="I892" i="9"/>
  <c r="J891" i="9" a="1"/>
  <c r="O890" i="9" l="1"/>
  <c r="R890" i="9" s="1"/>
  <c r="R889" i="9"/>
  <c r="I893" i="9"/>
  <c r="N891" i="9"/>
  <c r="J891" i="9"/>
  <c r="L891" i="9"/>
  <c r="K891" i="9"/>
  <c r="M891" i="9"/>
  <c r="Q887" i="9"/>
  <c r="S887" i="9" s="1"/>
  <c r="T887" i="9" s="1"/>
  <c r="U887" i="9" s="1"/>
  <c r="Q889" i="9"/>
  <c r="S889" i="9" s="1"/>
  <c r="T889" i="9" s="1"/>
  <c r="U889" i="9" s="1"/>
  <c r="Q892" i="9"/>
  <c r="Q890" i="9"/>
  <c r="S890" i="9" s="1"/>
  <c r="T890" i="9" s="1"/>
  <c r="U890" i="9" s="1"/>
  <c r="Q884" i="9"/>
  <c r="S884" i="9" s="1"/>
  <c r="T884" i="9" s="1"/>
  <c r="U884" i="9" s="1"/>
  <c r="Q891" i="9"/>
  <c r="Q885" i="9"/>
  <c r="S885" i="9" s="1"/>
  <c r="T885" i="9" s="1"/>
  <c r="U885" i="9" s="1"/>
  <c r="Q888" i="9"/>
  <c r="S888" i="9" s="1"/>
  <c r="T888" i="9" s="1"/>
  <c r="U888" i="9" s="1"/>
  <c r="Q886" i="9"/>
  <c r="S886" i="9" s="1"/>
  <c r="T886" i="9" s="1"/>
  <c r="U886" i="9" s="1"/>
  <c r="J892" i="9" a="1"/>
  <c r="O891" i="9" l="1"/>
  <c r="R891" i="9" s="1"/>
  <c r="S891" i="9" s="1"/>
  <c r="T891" i="9" s="1"/>
  <c r="U891" i="9" s="1"/>
  <c r="L892" i="9"/>
  <c r="M892" i="9"/>
  <c r="K892" i="9"/>
  <c r="N892" i="9"/>
  <c r="J892" i="9"/>
  <c r="I894" i="9"/>
  <c r="J893" i="9" a="1"/>
  <c r="O892" i="9" l="1"/>
  <c r="R892" i="9" s="1"/>
  <c r="S892" i="9" s="1"/>
  <c r="T892" i="9" s="1"/>
  <c r="U892" i="9" s="1"/>
  <c r="L893" i="9"/>
  <c r="K893" i="9"/>
  <c r="J893" i="9"/>
  <c r="N893" i="9"/>
  <c r="M893" i="9"/>
  <c r="I895" i="9"/>
  <c r="J894" i="9" a="1"/>
  <c r="O893" i="9" l="1"/>
  <c r="R893" i="9" s="1"/>
  <c r="I896" i="9"/>
  <c r="L894" i="9"/>
  <c r="M894" i="9"/>
  <c r="J894" i="9"/>
  <c r="K894" i="9"/>
  <c r="N894" i="9"/>
  <c r="J895" i="9" a="1"/>
  <c r="O894" i="9" l="1"/>
  <c r="R894" i="9" s="1"/>
  <c r="J895" i="9"/>
  <c r="K895" i="9"/>
  <c r="N895" i="9"/>
  <c r="L895" i="9"/>
  <c r="M895" i="9"/>
  <c r="I897" i="9"/>
  <c r="J896" i="9" a="1"/>
  <c r="O895" i="9" l="1"/>
  <c r="R895" i="9" s="1"/>
  <c r="J896" i="9"/>
  <c r="M896" i="9"/>
  <c r="L896" i="9"/>
  <c r="K896" i="9"/>
  <c r="N896" i="9"/>
  <c r="I898" i="9"/>
  <c r="J897" i="9" a="1"/>
  <c r="O896" i="9" l="1"/>
  <c r="R896" i="9" s="1"/>
  <c r="M897" i="9"/>
  <c r="L897" i="9"/>
  <c r="J897" i="9"/>
  <c r="K897" i="9"/>
  <c r="N897" i="9"/>
  <c r="I899" i="9"/>
  <c r="J898" i="9" a="1"/>
  <c r="O897" i="9" l="1"/>
  <c r="R897" i="9" s="1"/>
  <c r="I900" i="9"/>
  <c r="L898" i="9"/>
  <c r="J898" i="9"/>
  <c r="K898" i="9"/>
  <c r="N898" i="9"/>
  <c r="M898" i="9"/>
  <c r="J899" i="9" a="1"/>
  <c r="O898" i="9" l="1"/>
  <c r="R898" i="9" s="1"/>
  <c r="M899" i="9"/>
  <c r="K899" i="9"/>
  <c r="N899" i="9"/>
  <c r="J899" i="9"/>
  <c r="L899" i="9"/>
  <c r="I901" i="9"/>
  <c r="J900" i="9" a="1"/>
  <c r="P898" i="9" l="1"/>
  <c r="Q895" i="9" s="1"/>
  <c r="S895" i="9" s="1"/>
  <c r="T895" i="9" s="1"/>
  <c r="U895" i="9" s="1"/>
  <c r="O899" i="9"/>
  <c r="R899" i="9" s="1"/>
  <c r="J900" i="9"/>
  <c r="L900" i="9"/>
  <c r="M900" i="9"/>
  <c r="K900" i="9"/>
  <c r="N900" i="9"/>
  <c r="I902" i="9"/>
  <c r="Q893" i="9"/>
  <c r="S893" i="9" s="1"/>
  <c r="T893" i="9" s="1"/>
  <c r="U893" i="9" s="1"/>
  <c r="Q897" i="9"/>
  <c r="S897" i="9" s="1"/>
  <c r="T897" i="9" s="1"/>
  <c r="U897" i="9" s="1"/>
  <c r="Q899" i="9"/>
  <c r="S899" i="9" s="1"/>
  <c r="T899" i="9" s="1"/>
  <c r="U899" i="9" s="1"/>
  <c r="Q898" i="9"/>
  <c r="S898" i="9" s="1"/>
  <c r="T898" i="9" s="1"/>
  <c r="U898" i="9" s="1"/>
  <c r="Q901" i="9"/>
  <c r="Q900" i="9"/>
  <c r="J901" i="9" a="1"/>
  <c r="Q894" i="9" l="1"/>
  <c r="S894" i="9" s="1"/>
  <c r="T894" i="9" s="1"/>
  <c r="U894" i="9" s="1"/>
  <c r="Q896" i="9"/>
  <c r="S896" i="9" s="1"/>
  <c r="T896" i="9" s="1"/>
  <c r="U896" i="9" s="1"/>
  <c r="O900" i="9"/>
  <c r="R900" i="9" s="1"/>
  <c r="S900" i="9" s="1"/>
  <c r="T900" i="9" s="1"/>
  <c r="U900" i="9" s="1"/>
  <c r="I903" i="9"/>
  <c r="M901" i="9"/>
  <c r="L901" i="9"/>
  <c r="K901" i="9"/>
  <c r="J901" i="9"/>
  <c r="N901" i="9"/>
  <c r="J902" i="9" a="1"/>
  <c r="O901" i="9" l="1"/>
  <c r="R901" i="9" s="1"/>
  <c r="S901" i="9" s="1"/>
  <c r="T901" i="9" s="1"/>
  <c r="U901" i="9" s="1"/>
  <c r="N902" i="9"/>
  <c r="L902" i="9"/>
  <c r="M902" i="9"/>
  <c r="J902" i="9"/>
  <c r="K902" i="9"/>
  <c r="I904" i="9"/>
  <c r="J903" i="9" a="1"/>
  <c r="O902" i="9" l="1"/>
  <c r="R902" i="9" s="1"/>
  <c r="I905" i="9"/>
  <c r="L903" i="9"/>
  <c r="M903" i="9"/>
  <c r="J903" i="9"/>
  <c r="K903" i="9"/>
  <c r="N903" i="9"/>
  <c r="J904" i="9" a="1"/>
  <c r="O903" i="9" l="1"/>
  <c r="R903" i="9" s="1"/>
  <c r="I906" i="9"/>
  <c r="J904" i="9"/>
  <c r="L904" i="9"/>
  <c r="M904" i="9"/>
  <c r="K904" i="9"/>
  <c r="N904" i="9"/>
  <c r="J905" i="9" a="1"/>
  <c r="O904" i="9" l="1"/>
  <c r="R904" i="9" s="1"/>
  <c r="N905" i="9"/>
  <c r="L905" i="9"/>
  <c r="J905" i="9"/>
  <c r="K905" i="9"/>
  <c r="M905" i="9"/>
  <c r="I907" i="9"/>
  <c r="J906" i="9" a="1"/>
  <c r="O905" i="9" l="1"/>
  <c r="R905" i="9" s="1"/>
  <c r="I908" i="9"/>
  <c r="J906" i="9"/>
  <c r="N906" i="9"/>
  <c r="L906" i="9"/>
  <c r="M906" i="9"/>
  <c r="K906" i="9"/>
  <c r="J907" i="9" a="1"/>
  <c r="O906" i="9" l="1"/>
  <c r="R906" i="9" s="1"/>
  <c r="N907" i="9"/>
  <c r="J907" i="9"/>
  <c r="K907" i="9"/>
  <c r="M907" i="9"/>
  <c r="L907" i="9"/>
  <c r="I909" i="9"/>
  <c r="J908" i="9" a="1"/>
  <c r="O907" i="9" l="1"/>
  <c r="R907" i="9" s="1"/>
  <c r="I910" i="9"/>
  <c r="N908" i="9"/>
  <c r="J908" i="9"/>
  <c r="K908" i="9"/>
  <c r="L908" i="9"/>
  <c r="M908" i="9"/>
  <c r="J909" i="9" a="1"/>
  <c r="P907" i="9" l="1"/>
  <c r="O908" i="9"/>
  <c r="R908" i="9" s="1"/>
  <c r="N909" i="9"/>
  <c r="L909" i="9"/>
  <c r="M909" i="9"/>
  <c r="J909" i="9"/>
  <c r="K909" i="9"/>
  <c r="I911" i="9"/>
  <c r="Q906" i="9"/>
  <c r="S906" i="9" s="1"/>
  <c r="T906" i="9" s="1"/>
  <c r="U906" i="9" s="1"/>
  <c r="Q907" i="9"/>
  <c r="S907" i="9" s="1"/>
  <c r="T907" i="9" s="1"/>
  <c r="U907" i="9" s="1"/>
  <c r="Q909" i="9"/>
  <c r="Q903" i="9"/>
  <c r="S903" i="9" s="1"/>
  <c r="T903" i="9" s="1"/>
  <c r="U903" i="9" s="1"/>
  <c r="Q908" i="9"/>
  <c r="S908" i="9" s="1"/>
  <c r="T908" i="9" s="1"/>
  <c r="U908" i="9" s="1"/>
  <c r="Q905" i="9"/>
  <c r="S905" i="9" s="1"/>
  <c r="T905" i="9" s="1"/>
  <c r="U905" i="9" s="1"/>
  <c r="Q904" i="9"/>
  <c r="S904" i="9" s="1"/>
  <c r="T904" i="9" s="1"/>
  <c r="U904" i="9" s="1"/>
  <c r="Q902" i="9"/>
  <c r="S902" i="9" s="1"/>
  <c r="T902" i="9" s="1"/>
  <c r="U902" i="9" s="1"/>
  <c r="Q910" i="9"/>
  <c r="J910" i="9" a="1"/>
  <c r="O909" i="9" l="1"/>
  <c r="R909" i="9" s="1"/>
  <c r="S909" i="9" s="1"/>
  <c r="T909" i="9" s="1"/>
  <c r="U909" i="9" s="1"/>
  <c r="I912" i="9"/>
  <c r="N910" i="9"/>
  <c r="K910" i="9"/>
  <c r="L910" i="9"/>
  <c r="M910" i="9"/>
  <c r="J910" i="9"/>
  <c r="J911" i="9" a="1"/>
  <c r="O910" i="9" l="1"/>
  <c r="R910" i="9" s="1"/>
  <c r="S910" i="9" s="1"/>
  <c r="T910" i="9" s="1"/>
  <c r="U910" i="9" s="1"/>
  <c r="J911" i="9"/>
  <c r="M911" i="9"/>
  <c r="L911" i="9"/>
  <c r="K911" i="9"/>
  <c r="N911" i="9"/>
  <c r="I913" i="9"/>
  <c r="J912" i="9" a="1"/>
  <c r="O911" i="9" l="1"/>
  <c r="R911" i="9" s="1"/>
  <c r="N912" i="9"/>
  <c r="J912" i="9"/>
  <c r="K912" i="9"/>
  <c r="L912" i="9"/>
  <c r="M912" i="9"/>
  <c r="I914" i="9"/>
  <c r="J913" i="9" a="1"/>
  <c r="O912" i="9" l="1"/>
  <c r="R912" i="9" s="1"/>
  <c r="I915" i="9"/>
  <c r="L913" i="9"/>
  <c r="J913" i="9"/>
  <c r="M913" i="9"/>
  <c r="N913" i="9"/>
  <c r="K913" i="9"/>
  <c r="J914" i="9" a="1"/>
  <c r="O913" i="9" l="1"/>
  <c r="R913" i="9" s="1"/>
  <c r="J914" i="9"/>
  <c r="N914" i="9"/>
  <c r="K914" i="9"/>
  <c r="L914" i="9"/>
  <c r="M914" i="9"/>
  <c r="I916" i="9"/>
  <c r="J915" i="9" a="1"/>
  <c r="O914" i="9" l="1"/>
  <c r="R914" i="9" s="1"/>
  <c r="L915" i="9"/>
  <c r="K915" i="9"/>
  <c r="M915" i="9"/>
  <c r="N915" i="9"/>
  <c r="J915" i="9"/>
  <c r="I917" i="9"/>
  <c r="J916" i="9" a="1"/>
  <c r="O915" i="9" l="1"/>
  <c r="R915" i="9" s="1"/>
  <c r="I918" i="9"/>
  <c r="K916" i="9"/>
  <c r="L916" i="9"/>
  <c r="N916" i="9"/>
  <c r="J916" i="9"/>
  <c r="M916" i="9"/>
  <c r="J917" i="9" a="1"/>
  <c r="O916" i="9" l="1"/>
  <c r="P916" i="9" s="1"/>
  <c r="N917" i="9"/>
  <c r="L917" i="9"/>
  <c r="J917" i="9"/>
  <c r="K917" i="9"/>
  <c r="M917" i="9"/>
  <c r="I919" i="9"/>
  <c r="J918" i="9" a="1"/>
  <c r="O917" i="9" l="1"/>
  <c r="R917" i="9" s="1"/>
  <c r="R916" i="9"/>
  <c r="L918" i="9"/>
  <c r="K918" i="9"/>
  <c r="M918" i="9"/>
  <c r="J918" i="9"/>
  <c r="N918" i="9"/>
  <c r="I920" i="9"/>
  <c r="Q916" i="9"/>
  <c r="S916" i="9" s="1"/>
  <c r="T916" i="9" s="1"/>
  <c r="U916" i="9" s="1"/>
  <c r="Q911" i="9"/>
  <c r="S911" i="9" s="1"/>
  <c r="T911" i="9" s="1"/>
  <c r="U911" i="9" s="1"/>
  <c r="Q912" i="9"/>
  <c r="S912" i="9" s="1"/>
  <c r="T912" i="9" s="1"/>
  <c r="U912" i="9" s="1"/>
  <c r="Q919" i="9"/>
  <c r="Q917" i="9"/>
  <c r="S917" i="9" s="1"/>
  <c r="T917" i="9" s="1"/>
  <c r="U917" i="9" s="1"/>
  <c r="Q918" i="9"/>
  <c r="Q914" i="9"/>
  <c r="S914" i="9" s="1"/>
  <c r="T914" i="9" s="1"/>
  <c r="U914" i="9" s="1"/>
  <c r="Q913" i="9"/>
  <c r="S913" i="9" s="1"/>
  <c r="T913" i="9" s="1"/>
  <c r="U913" i="9" s="1"/>
  <c r="Q915" i="9"/>
  <c r="S915" i="9" s="1"/>
  <c r="T915" i="9" s="1"/>
  <c r="U915" i="9" s="1"/>
  <c r="J919" i="9" a="1"/>
  <c r="O918" i="9" l="1"/>
  <c r="R918" i="9" s="1"/>
  <c r="S918" i="9" s="1"/>
  <c r="T918" i="9" s="1"/>
  <c r="U918" i="9" s="1"/>
  <c r="I921" i="9"/>
  <c r="L919" i="9"/>
  <c r="J919" i="9"/>
  <c r="K919" i="9"/>
  <c r="M919" i="9"/>
  <c r="N919" i="9"/>
  <c r="J920" i="9" a="1"/>
  <c r="O919" i="9" l="1"/>
  <c r="R919" i="9" s="1"/>
  <c r="S919" i="9" s="1"/>
  <c r="T919" i="9" s="1"/>
  <c r="U919" i="9" s="1"/>
  <c r="N920" i="9"/>
  <c r="J920" i="9"/>
  <c r="K920" i="9"/>
  <c r="M920" i="9"/>
  <c r="L920" i="9"/>
  <c r="I922" i="9"/>
  <c r="J921" i="9" a="1"/>
  <c r="O920" i="9" l="1"/>
  <c r="R920" i="9" s="1"/>
  <c r="I923" i="9"/>
  <c r="N921" i="9"/>
  <c r="L921" i="9"/>
  <c r="J921" i="9"/>
  <c r="K921" i="9"/>
  <c r="M921" i="9"/>
  <c r="J922" i="9" a="1"/>
  <c r="O921" i="9" l="1"/>
  <c r="R921" i="9" s="1"/>
  <c r="K922" i="9"/>
  <c r="J922" i="9"/>
  <c r="N922" i="9"/>
  <c r="L922" i="9"/>
  <c r="M922" i="9"/>
  <c r="I924" i="9"/>
  <c r="J923" i="9" a="1"/>
  <c r="O922" i="9" l="1"/>
  <c r="R922" i="9" s="1"/>
  <c r="I925" i="9"/>
  <c r="L923" i="9"/>
  <c r="N923" i="9"/>
  <c r="J923" i="9"/>
  <c r="K923" i="9"/>
  <c r="M923" i="9"/>
  <c r="J924" i="9" a="1"/>
  <c r="O923" i="9" l="1"/>
  <c r="R923" i="9" s="1"/>
  <c r="M924" i="9"/>
  <c r="N924" i="9"/>
  <c r="J924" i="9"/>
  <c r="K924" i="9"/>
  <c r="L924" i="9"/>
  <c r="I926" i="9"/>
  <c r="J925" i="9" a="1"/>
  <c r="O924" i="9" l="1"/>
  <c r="R924" i="9" s="1"/>
  <c r="I927" i="9"/>
  <c r="J925" i="9"/>
  <c r="K925" i="9"/>
  <c r="N925" i="9"/>
  <c r="L925" i="9"/>
  <c r="M925" i="9"/>
  <c r="J926" i="9" a="1"/>
  <c r="O925" i="9" l="1"/>
  <c r="R925" i="9" s="1"/>
  <c r="J926" i="9"/>
  <c r="N926" i="9"/>
  <c r="K926" i="9"/>
  <c r="L926" i="9"/>
  <c r="M926" i="9"/>
  <c r="I928" i="9"/>
  <c r="J927" i="9" a="1"/>
  <c r="P925" i="9" l="1"/>
  <c r="Q922" i="9" s="1"/>
  <c r="S922" i="9" s="1"/>
  <c r="T922" i="9" s="1"/>
  <c r="U922" i="9" s="1"/>
  <c r="O926" i="9"/>
  <c r="R926" i="9" s="1"/>
  <c r="K927" i="9"/>
  <c r="N927" i="9"/>
  <c r="J927" i="9"/>
  <c r="M927" i="9"/>
  <c r="L927" i="9"/>
  <c r="Q926" i="9"/>
  <c r="Q921" i="9"/>
  <c r="S921" i="9" s="1"/>
  <c r="T921" i="9" s="1"/>
  <c r="U921" i="9" s="1"/>
  <c r="Q925" i="9"/>
  <c r="S925" i="9" s="1"/>
  <c r="T925" i="9" s="1"/>
  <c r="U925" i="9" s="1"/>
  <c r="I929" i="9"/>
  <c r="J928" i="9" a="1"/>
  <c r="Q927" i="9" l="1"/>
  <c r="Q923" i="9"/>
  <c r="S923" i="9" s="1"/>
  <c r="T923" i="9" s="1"/>
  <c r="U923" i="9" s="1"/>
  <c r="Q924" i="9"/>
  <c r="S924" i="9" s="1"/>
  <c r="T924" i="9" s="1"/>
  <c r="U924" i="9" s="1"/>
  <c r="Q928" i="9"/>
  <c r="Q920" i="9"/>
  <c r="S920" i="9" s="1"/>
  <c r="T920" i="9" s="1"/>
  <c r="U920" i="9" s="1"/>
  <c r="O927" i="9"/>
  <c r="R927" i="9" s="1"/>
  <c r="S926" i="9"/>
  <c r="T926" i="9" s="1"/>
  <c r="U926" i="9" s="1"/>
  <c r="L928" i="9"/>
  <c r="M928" i="9"/>
  <c r="N928" i="9"/>
  <c r="J928" i="9"/>
  <c r="K928" i="9"/>
  <c r="I930" i="9"/>
  <c r="J929" i="9" a="1"/>
  <c r="S927" i="9" l="1"/>
  <c r="T927" i="9" s="1"/>
  <c r="U927" i="9" s="1"/>
  <c r="O928" i="9"/>
  <c r="R928" i="9" s="1"/>
  <c r="S928" i="9" s="1"/>
  <c r="T928" i="9" s="1"/>
  <c r="U928" i="9" s="1"/>
  <c r="I931" i="9"/>
  <c r="M929" i="9"/>
  <c r="N929" i="9"/>
  <c r="K929" i="9"/>
  <c r="L929" i="9"/>
  <c r="J929" i="9"/>
  <c r="J930" i="9" a="1"/>
  <c r="O929" i="9" l="1"/>
  <c r="R929" i="9" s="1"/>
  <c r="M930" i="9"/>
  <c r="J930" i="9"/>
  <c r="N930" i="9"/>
  <c r="K930" i="9"/>
  <c r="L930" i="9"/>
  <c r="I932" i="9"/>
  <c r="J931" i="9" a="1"/>
  <c r="O930" i="9" l="1"/>
  <c r="R930" i="9" s="1"/>
  <c r="I933" i="9"/>
  <c r="N931" i="9"/>
  <c r="J931" i="9"/>
  <c r="L931" i="9"/>
  <c r="K931" i="9"/>
  <c r="M931" i="9"/>
  <c r="J932" i="9" a="1"/>
  <c r="O931" i="9" l="1"/>
  <c r="R931" i="9" s="1"/>
  <c r="J932" i="9"/>
  <c r="M932" i="9"/>
  <c r="K932" i="9"/>
  <c r="L932" i="9"/>
  <c r="N932" i="9"/>
  <c r="I934" i="9"/>
  <c r="J933" i="9" a="1"/>
  <c r="O932" i="9" l="1"/>
  <c r="R932" i="9" s="1"/>
  <c r="L933" i="9"/>
  <c r="J933" i="9"/>
  <c r="K933" i="9"/>
  <c r="M933" i="9"/>
  <c r="N933" i="9"/>
  <c r="I935" i="9"/>
  <c r="J934" i="9" a="1"/>
  <c r="O933" i="9" l="1"/>
  <c r="R933" i="9" s="1"/>
  <c r="I936" i="9"/>
  <c r="J934" i="9"/>
  <c r="N934" i="9"/>
  <c r="L934" i="9"/>
  <c r="K934" i="9"/>
  <c r="M934" i="9"/>
  <c r="J935" i="9" a="1"/>
  <c r="O934" i="9" l="1"/>
  <c r="P934" i="9" s="1"/>
  <c r="N935" i="9"/>
  <c r="L935" i="9"/>
  <c r="J935" i="9"/>
  <c r="K935" i="9"/>
  <c r="M935" i="9"/>
  <c r="I937" i="9"/>
  <c r="J936" i="9" a="1"/>
  <c r="R934" i="9" l="1"/>
  <c r="O935" i="9"/>
  <c r="R935" i="9" s="1"/>
  <c r="J936" i="9"/>
  <c r="K936" i="9"/>
  <c r="M936" i="9"/>
  <c r="L936" i="9"/>
  <c r="N936" i="9"/>
  <c r="I938" i="9"/>
  <c r="Q936" i="9"/>
  <c r="Q929" i="9"/>
  <c r="S929" i="9" s="1"/>
  <c r="T929" i="9" s="1"/>
  <c r="U929" i="9" s="1"/>
  <c r="Q930" i="9"/>
  <c r="S930" i="9" s="1"/>
  <c r="T930" i="9" s="1"/>
  <c r="U930" i="9" s="1"/>
  <c r="Q932" i="9"/>
  <c r="S932" i="9" s="1"/>
  <c r="T932" i="9" s="1"/>
  <c r="U932" i="9" s="1"/>
  <c r="Q937" i="9"/>
  <c r="Q934" i="9"/>
  <c r="Q933" i="9"/>
  <c r="S933" i="9" s="1"/>
  <c r="T933" i="9" s="1"/>
  <c r="U933" i="9" s="1"/>
  <c r="Q935" i="9"/>
  <c r="S935" i="9" s="1"/>
  <c r="T935" i="9" s="1"/>
  <c r="U935" i="9" s="1"/>
  <c r="Q931" i="9"/>
  <c r="S931" i="9" s="1"/>
  <c r="T931" i="9" s="1"/>
  <c r="U931" i="9" s="1"/>
  <c r="J937" i="9" a="1"/>
  <c r="S934" i="9" l="1"/>
  <c r="T934" i="9" s="1"/>
  <c r="U934" i="9" s="1"/>
  <c r="O936" i="9"/>
  <c r="R936" i="9" s="1"/>
  <c r="S936" i="9" s="1"/>
  <c r="T936" i="9" s="1"/>
  <c r="U936" i="9" s="1"/>
  <c r="I939" i="9"/>
  <c r="K937" i="9"/>
  <c r="M937" i="9"/>
  <c r="N937" i="9"/>
  <c r="L937" i="9"/>
  <c r="J937" i="9"/>
  <c r="J938" i="9" a="1"/>
  <c r="O937" i="9" l="1"/>
  <c r="R937" i="9" s="1"/>
  <c r="S937" i="9" s="1"/>
  <c r="T937" i="9" s="1"/>
  <c r="U937" i="9" s="1"/>
  <c r="I940" i="9"/>
  <c r="L938" i="9"/>
  <c r="M938" i="9"/>
  <c r="K938" i="9"/>
  <c r="J938" i="9"/>
  <c r="N938" i="9"/>
  <c r="J939" i="9" a="1"/>
  <c r="O938" i="9" l="1"/>
  <c r="R938" i="9" s="1"/>
  <c r="K939" i="9"/>
  <c r="M939" i="9"/>
  <c r="L939" i="9"/>
  <c r="N939" i="9"/>
  <c r="J939" i="9"/>
  <c r="I941" i="9"/>
  <c r="J940" i="9" a="1"/>
  <c r="O939" i="9" l="1"/>
  <c r="R939" i="9" s="1"/>
  <c r="I942" i="9"/>
  <c r="M940" i="9"/>
  <c r="N940" i="9"/>
  <c r="J940" i="9"/>
  <c r="K940" i="9"/>
  <c r="L940" i="9"/>
  <c r="J941" i="9" a="1"/>
  <c r="O940" i="9" l="1"/>
  <c r="R940" i="9" s="1"/>
  <c r="L941" i="9"/>
  <c r="M941" i="9"/>
  <c r="J941" i="9"/>
  <c r="K941" i="9"/>
  <c r="N941" i="9"/>
  <c r="I943" i="9"/>
  <c r="J942" i="9" a="1"/>
  <c r="O941" i="9" l="1"/>
  <c r="R941" i="9" s="1"/>
  <c r="I944" i="9"/>
  <c r="L942" i="9"/>
  <c r="M942" i="9"/>
  <c r="J942" i="9"/>
  <c r="N942" i="9"/>
  <c r="K942" i="9"/>
  <c r="J943" i="9" a="1"/>
  <c r="O942" i="9" l="1"/>
  <c r="R942" i="9" s="1"/>
  <c r="L943" i="9"/>
  <c r="K943" i="9"/>
  <c r="N943" i="9"/>
  <c r="J943" i="9"/>
  <c r="M943" i="9"/>
  <c r="I945" i="9"/>
  <c r="J944" i="9" a="1"/>
  <c r="O943" i="9" l="1"/>
  <c r="R943" i="9" s="1"/>
  <c r="J944" i="9"/>
  <c r="K944" i="9"/>
  <c r="L944" i="9"/>
  <c r="M944" i="9"/>
  <c r="N944" i="9"/>
  <c r="I946" i="9"/>
  <c r="J945" i="9" a="1"/>
  <c r="P943" i="9" l="1"/>
  <c r="Q939" i="9" s="1"/>
  <c r="S939" i="9" s="1"/>
  <c r="T939" i="9" s="1"/>
  <c r="U939" i="9" s="1"/>
  <c r="O944" i="9"/>
  <c r="R944" i="9" s="1"/>
  <c r="L945" i="9"/>
  <c r="J945" i="9"/>
  <c r="M945" i="9"/>
  <c r="N945" i="9"/>
  <c r="K945" i="9"/>
  <c r="I947" i="9"/>
  <c r="Q946" i="9"/>
  <c r="Q943" i="9"/>
  <c r="S943" i="9" s="1"/>
  <c r="T943" i="9" s="1"/>
  <c r="U943" i="9" s="1"/>
  <c r="Q942" i="9"/>
  <c r="S942" i="9" s="1"/>
  <c r="T942" i="9" s="1"/>
  <c r="U942" i="9" s="1"/>
  <c r="Q944" i="9"/>
  <c r="Q938" i="9"/>
  <c r="S938" i="9" s="1"/>
  <c r="T938" i="9" s="1"/>
  <c r="U938" i="9" s="1"/>
  <c r="Q945" i="9"/>
  <c r="Q940" i="9"/>
  <c r="S940" i="9" s="1"/>
  <c r="T940" i="9" s="1"/>
  <c r="U940" i="9" s="1"/>
  <c r="J946" i="9" a="1"/>
  <c r="Q941" i="9" l="1"/>
  <c r="S941" i="9" s="1"/>
  <c r="T941" i="9" s="1"/>
  <c r="U941" i="9" s="1"/>
  <c r="O945" i="9"/>
  <c r="R945" i="9" s="1"/>
  <c r="S945" i="9" s="1"/>
  <c r="T945" i="9" s="1"/>
  <c r="U945" i="9" s="1"/>
  <c r="I948" i="9"/>
  <c r="S944" i="9"/>
  <c r="T944" i="9" s="1"/>
  <c r="U944" i="9" s="1"/>
  <c r="K946" i="9"/>
  <c r="L946" i="9"/>
  <c r="M946" i="9"/>
  <c r="J946" i="9"/>
  <c r="N946" i="9"/>
  <c r="J947" i="9" a="1"/>
  <c r="O946" i="9" l="1"/>
  <c r="R946" i="9" s="1"/>
  <c r="S946" i="9" s="1"/>
  <c r="T946" i="9" s="1"/>
  <c r="U946" i="9" s="1"/>
  <c r="K947" i="9"/>
  <c r="M947" i="9"/>
  <c r="N947" i="9"/>
  <c r="J947" i="9"/>
  <c r="L947" i="9"/>
  <c r="I949" i="9"/>
  <c r="J948" i="9" a="1"/>
  <c r="O947" i="9" l="1"/>
  <c r="R947" i="9" s="1"/>
  <c r="N948" i="9"/>
  <c r="J948" i="9"/>
  <c r="M948" i="9"/>
  <c r="K948" i="9"/>
  <c r="L948" i="9"/>
  <c r="I950" i="9"/>
  <c r="J949" i="9" a="1"/>
  <c r="O948" i="9" l="1"/>
  <c r="R948" i="9" s="1"/>
  <c r="I951" i="9"/>
  <c r="K949" i="9"/>
  <c r="M949" i="9"/>
  <c r="N949" i="9"/>
  <c r="L949" i="9"/>
  <c r="J949" i="9"/>
  <c r="J950" i="9" a="1"/>
  <c r="O949" i="9" l="1"/>
  <c r="R949" i="9" s="1"/>
  <c r="M950" i="9"/>
  <c r="J950" i="9"/>
  <c r="N950" i="9"/>
  <c r="L950" i="9"/>
  <c r="K950" i="9"/>
  <c r="I952" i="9"/>
  <c r="J951" i="9" a="1"/>
  <c r="O950" i="9" l="1"/>
  <c r="R950" i="9" s="1"/>
  <c r="I953" i="9"/>
  <c r="K951" i="9"/>
  <c r="M951" i="9"/>
  <c r="N951" i="9"/>
  <c r="L951" i="9"/>
  <c r="J951" i="9"/>
  <c r="J952" i="9" a="1"/>
  <c r="O951" i="9" l="1"/>
  <c r="R951" i="9" s="1"/>
  <c r="L952" i="9"/>
  <c r="N952" i="9"/>
  <c r="J952" i="9"/>
  <c r="K952" i="9"/>
  <c r="M952" i="9"/>
  <c r="I954" i="9"/>
  <c r="J953" i="9" a="1"/>
  <c r="O952" i="9" l="1"/>
  <c r="P952" i="9" s="1"/>
  <c r="I955" i="9"/>
  <c r="L953" i="9"/>
  <c r="J953" i="9"/>
  <c r="K953" i="9"/>
  <c r="M953" i="9"/>
  <c r="N953" i="9"/>
  <c r="J954" i="9" a="1"/>
  <c r="R952" i="9" l="1"/>
  <c r="O953" i="9"/>
  <c r="R953" i="9" s="1"/>
  <c r="J954" i="9"/>
  <c r="N954" i="9"/>
  <c r="L954" i="9"/>
  <c r="K954" i="9"/>
  <c r="M954" i="9"/>
  <c r="Q955" i="9"/>
  <c r="Q950" i="9"/>
  <c r="S950" i="9" s="1"/>
  <c r="T950" i="9" s="1"/>
  <c r="U950" i="9" s="1"/>
  <c r="Q948" i="9"/>
  <c r="S948" i="9" s="1"/>
  <c r="T948" i="9" s="1"/>
  <c r="U948" i="9" s="1"/>
  <c r="Q952" i="9"/>
  <c r="S952" i="9" s="1"/>
  <c r="T952" i="9" s="1"/>
  <c r="U952" i="9" s="1"/>
  <c r="Q947" i="9"/>
  <c r="S947" i="9" s="1"/>
  <c r="T947" i="9" s="1"/>
  <c r="U947" i="9" s="1"/>
  <c r="Q953" i="9"/>
  <c r="S953" i="9" s="1"/>
  <c r="T953" i="9" s="1"/>
  <c r="U953" i="9" s="1"/>
  <c r="Q949" i="9"/>
  <c r="S949" i="9" s="1"/>
  <c r="T949" i="9" s="1"/>
  <c r="U949" i="9" s="1"/>
  <c r="Q951" i="9"/>
  <c r="S951" i="9" s="1"/>
  <c r="T951" i="9" s="1"/>
  <c r="U951" i="9" s="1"/>
  <c r="Q954" i="9"/>
  <c r="I956" i="9"/>
  <c r="J955" i="9" a="1"/>
  <c r="O954" i="9" l="1"/>
  <c r="R954" i="9" s="1"/>
  <c r="S954" i="9" s="1"/>
  <c r="T954" i="9" s="1"/>
  <c r="U954" i="9" s="1"/>
  <c r="N955" i="9"/>
  <c r="J955" i="9"/>
  <c r="K955" i="9"/>
  <c r="M955" i="9"/>
  <c r="L955" i="9"/>
  <c r="I957" i="9"/>
  <c r="J956" i="9" a="1"/>
  <c r="O955" i="9" l="1"/>
  <c r="R955" i="9" s="1"/>
  <c r="S955" i="9" s="1"/>
  <c r="T955" i="9" s="1"/>
  <c r="U955" i="9" s="1"/>
  <c r="N956" i="9"/>
  <c r="J956" i="9"/>
  <c r="K956" i="9"/>
  <c r="M956" i="9"/>
  <c r="L956" i="9"/>
  <c r="I958" i="9"/>
  <c r="J957" i="9" a="1"/>
  <c r="O956" i="9" l="1"/>
  <c r="R956" i="9" s="1"/>
  <c r="I959" i="9"/>
  <c r="N957" i="9"/>
  <c r="L957" i="9"/>
  <c r="M957" i="9"/>
  <c r="J957" i="9"/>
  <c r="K957" i="9"/>
  <c r="J958" i="9" a="1"/>
  <c r="O957" i="9" l="1"/>
  <c r="R957" i="9" s="1"/>
  <c r="N958" i="9"/>
  <c r="L958" i="9"/>
  <c r="M958" i="9"/>
  <c r="K958" i="9"/>
  <c r="J958" i="9"/>
  <c r="I960" i="9"/>
  <c r="J959" i="9" a="1"/>
  <c r="O958" i="9" l="1"/>
  <c r="R958" i="9" s="1"/>
  <c r="I961" i="9"/>
  <c r="J959" i="9"/>
  <c r="M959" i="9"/>
  <c r="L959" i="9"/>
  <c r="K959" i="9"/>
  <c r="N959" i="9"/>
  <c r="J960" i="9" a="1"/>
  <c r="O959" i="9" l="1"/>
  <c r="R959" i="9" s="1"/>
  <c r="L960" i="9"/>
  <c r="M960" i="9"/>
  <c r="N960" i="9"/>
  <c r="J960" i="9"/>
  <c r="K960" i="9"/>
  <c r="I962" i="9"/>
  <c r="J961" i="9" a="1"/>
  <c r="O960" i="9" l="1"/>
  <c r="R960" i="9" s="1"/>
  <c r="I963" i="9"/>
  <c r="L961" i="9"/>
  <c r="J961" i="9"/>
  <c r="M961" i="9"/>
  <c r="N961" i="9"/>
  <c r="K961" i="9"/>
  <c r="J962" i="9" a="1"/>
  <c r="O961" i="9" l="1"/>
  <c r="P961" i="9" s="1"/>
  <c r="J962" i="9"/>
  <c r="N962" i="9"/>
  <c r="K962" i="9"/>
  <c r="L962" i="9"/>
  <c r="M962" i="9"/>
  <c r="I964" i="9"/>
  <c r="J963" i="9" a="1"/>
  <c r="R961" i="9" l="1"/>
  <c r="O962" i="9"/>
  <c r="R962" i="9" s="1"/>
  <c r="L963" i="9"/>
  <c r="K963" i="9"/>
  <c r="N963" i="9"/>
  <c r="J963" i="9"/>
  <c r="M963" i="9"/>
  <c r="I965" i="9"/>
  <c r="Q962" i="9"/>
  <c r="S962" i="9" s="1"/>
  <c r="T962" i="9" s="1"/>
  <c r="U962" i="9" s="1"/>
  <c r="Q960" i="9"/>
  <c r="S960" i="9" s="1"/>
  <c r="T960" i="9" s="1"/>
  <c r="U960" i="9" s="1"/>
  <c r="Q957" i="9"/>
  <c r="S957" i="9" s="1"/>
  <c r="T957" i="9" s="1"/>
  <c r="U957" i="9" s="1"/>
  <c r="Q964" i="9"/>
  <c r="Q956" i="9"/>
  <c r="S956" i="9" s="1"/>
  <c r="T956" i="9" s="1"/>
  <c r="U956" i="9" s="1"/>
  <c r="Q959" i="9"/>
  <c r="S959" i="9" s="1"/>
  <c r="T959" i="9" s="1"/>
  <c r="U959" i="9" s="1"/>
  <c r="Q958" i="9"/>
  <c r="S958" i="9" s="1"/>
  <c r="T958" i="9" s="1"/>
  <c r="U958" i="9" s="1"/>
  <c r="Q963" i="9"/>
  <c r="Q961" i="9"/>
  <c r="S961" i="9" s="1"/>
  <c r="T961" i="9" s="1"/>
  <c r="U961" i="9" s="1"/>
  <c r="J964" i="9" a="1"/>
  <c r="O963" i="9" l="1"/>
  <c r="R963" i="9" s="1"/>
  <c r="S963" i="9" s="1"/>
  <c r="T963" i="9" s="1"/>
  <c r="U963" i="9" s="1"/>
  <c r="I966" i="9"/>
  <c r="K964" i="9"/>
  <c r="M964" i="9"/>
  <c r="N964" i="9"/>
  <c r="L964" i="9"/>
  <c r="J964" i="9"/>
  <c r="J965" i="9" a="1"/>
  <c r="O964" i="9" l="1"/>
  <c r="R964" i="9" s="1"/>
  <c r="S964" i="9" s="1"/>
  <c r="T964" i="9" s="1"/>
  <c r="U964" i="9" s="1"/>
  <c r="K965" i="9"/>
  <c r="L965" i="9"/>
  <c r="M965" i="9"/>
  <c r="J965" i="9"/>
  <c r="N965" i="9"/>
  <c r="I967" i="9"/>
  <c r="J966" i="9" a="1"/>
  <c r="O965" i="9" l="1"/>
  <c r="R965" i="9" s="1"/>
  <c r="I968" i="9"/>
  <c r="M966" i="9"/>
  <c r="J966" i="9"/>
  <c r="L966" i="9"/>
  <c r="N966" i="9"/>
  <c r="K966" i="9"/>
  <c r="J967" i="9" a="1"/>
  <c r="O966" i="9" l="1"/>
  <c r="R966" i="9" s="1"/>
  <c r="J967" i="9"/>
  <c r="K967" i="9"/>
  <c r="N967" i="9"/>
  <c r="L967" i="9"/>
  <c r="M967" i="9"/>
  <c r="I969" i="9"/>
  <c r="J968" i="9" a="1"/>
  <c r="O967" i="9" l="1"/>
  <c r="R967" i="9" s="1"/>
  <c r="N968" i="9"/>
  <c r="K968" i="9"/>
  <c r="L968" i="9"/>
  <c r="M968" i="9"/>
  <c r="J968" i="9"/>
  <c r="I970" i="9"/>
  <c r="J969" i="9" a="1"/>
  <c r="O968" i="9" l="1"/>
  <c r="R968" i="9" s="1"/>
  <c r="I971" i="9"/>
  <c r="K969" i="9"/>
  <c r="M969" i="9"/>
  <c r="J969" i="9"/>
  <c r="L969" i="9"/>
  <c r="N969" i="9"/>
  <c r="J970" i="9" a="1"/>
  <c r="O969" i="9" l="1"/>
  <c r="R969" i="9" s="1"/>
  <c r="M970" i="9"/>
  <c r="K970" i="9"/>
  <c r="L970" i="9"/>
  <c r="N970" i="9"/>
  <c r="J970" i="9"/>
  <c r="I972" i="9"/>
  <c r="J971" i="9" a="1"/>
  <c r="O970" i="9" l="1"/>
  <c r="R970" i="9" s="1"/>
  <c r="I973" i="9"/>
  <c r="J971" i="9"/>
  <c r="L971" i="9"/>
  <c r="K971" i="9"/>
  <c r="M971" i="9"/>
  <c r="N971" i="9"/>
  <c r="J972" i="9" a="1"/>
  <c r="P970" i="9" l="1"/>
  <c r="O971" i="9"/>
  <c r="R971" i="9" s="1"/>
  <c r="Q972" i="9"/>
  <c r="Q973" i="9"/>
  <c r="Q966" i="9"/>
  <c r="S966" i="9" s="1"/>
  <c r="T966" i="9" s="1"/>
  <c r="U966" i="9" s="1"/>
  <c r="Q968" i="9"/>
  <c r="S968" i="9" s="1"/>
  <c r="T968" i="9" s="1"/>
  <c r="U968" i="9" s="1"/>
  <c r="Q969" i="9"/>
  <c r="S969" i="9" s="1"/>
  <c r="T969" i="9" s="1"/>
  <c r="U969" i="9" s="1"/>
  <c r="Q967" i="9"/>
  <c r="S967" i="9" s="1"/>
  <c r="T967" i="9" s="1"/>
  <c r="U967" i="9" s="1"/>
  <c r="Q965" i="9"/>
  <c r="S965" i="9" s="1"/>
  <c r="T965" i="9" s="1"/>
  <c r="U965" i="9" s="1"/>
  <c r="Q971" i="9"/>
  <c r="S971" i="9" s="1"/>
  <c r="T971" i="9" s="1"/>
  <c r="U971" i="9" s="1"/>
  <c r="Q970" i="9"/>
  <c r="S970" i="9" s="1"/>
  <c r="T970" i="9" s="1"/>
  <c r="U970" i="9" s="1"/>
  <c r="K972" i="9"/>
  <c r="M972" i="9"/>
  <c r="N972" i="9"/>
  <c r="J972" i="9"/>
  <c r="L972" i="9"/>
  <c r="I974" i="9"/>
  <c r="J973" i="9" a="1"/>
  <c r="O972" i="9" l="1"/>
  <c r="R972" i="9" s="1"/>
  <c r="S972" i="9" s="1"/>
  <c r="T972" i="9" s="1"/>
  <c r="U972" i="9" s="1"/>
  <c r="M973" i="9"/>
  <c r="J973" i="9"/>
  <c r="K973" i="9"/>
  <c r="L973" i="9"/>
  <c r="N973" i="9"/>
  <c r="I975" i="9"/>
  <c r="J974" i="9" a="1"/>
  <c r="O973" i="9" l="1"/>
  <c r="R973" i="9" s="1"/>
  <c r="S973" i="9" s="1"/>
  <c r="T973" i="9" s="1"/>
  <c r="U973" i="9" s="1"/>
  <c r="I976" i="9"/>
  <c r="N974" i="9"/>
  <c r="K974" i="9"/>
  <c r="J974" i="9"/>
  <c r="L974" i="9"/>
  <c r="M974" i="9"/>
  <c r="J975" i="9" a="1"/>
  <c r="O974" i="9" l="1"/>
  <c r="R974" i="9" s="1"/>
  <c r="L975" i="9"/>
  <c r="J975" i="9"/>
  <c r="M975" i="9"/>
  <c r="K975" i="9"/>
  <c r="N975" i="9"/>
  <c r="I977" i="9"/>
  <c r="J976" i="9" a="1"/>
  <c r="O975" i="9" l="1"/>
  <c r="R975" i="9" s="1"/>
  <c r="I978" i="9"/>
  <c r="L976" i="9"/>
  <c r="N976" i="9"/>
  <c r="M976" i="9"/>
  <c r="J976" i="9"/>
  <c r="K976" i="9"/>
  <c r="J977" i="9" a="1"/>
  <c r="O976" i="9" l="1"/>
  <c r="R976" i="9" s="1"/>
  <c r="J977" i="9"/>
  <c r="L977" i="9"/>
  <c r="M977" i="9"/>
  <c r="N977" i="9"/>
  <c r="K977" i="9"/>
  <c r="I979" i="9"/>
  <c r="J978" i="9" a="1"/>
  <c r="O977" i="9" l="1"/>
  <c r="R977" i="9" s="1"/>
  <c r="K978" i="9"/>
  <c r="M978" i="9"/>
  <c r="L978" i="9"/>
  <c r="N978" i="9"/>
  <c r="J978" i="9"/>
  <c r="I980" i="9"/>
  <c r="J979" i="9" a="1"/>
  <c r="O978" i="9" l="1"/>
  <c r="R978" i="9" s="1"/>
  <c r="I981" i="9"/>
  <c r="K979" i="9"/>
  <c r="M979" i="9"/>
  <c r="L979" i="9"/>
  <c r="N979" i="9"/>
  <c r="J979" i="9"/>
  <c r="J980" i="9" a="1"/>
  <c r="O979" i="9" l="1"/>
  <c r="P979" i="9" s="1"/>
  <c r="L980" i="9"/>
  <c r="M980" i="9"/>
  <c r="K980" i="9"/>
  <c r="N980" i="9"/>
  <c r="J980" i="9"/>
  <c r="I982" i="9"/>
  <c r="J981" i="9" a="1"/>
  <c r="O980" i="9" l="1"/>
  <c r="R980" i="9" s="1"/>
  <c r="R979" i="9"/>
  <c r="I983" i="9"/>
  <c r="L981" i="9"/>
  <c r="N981" i="9"/>
  <c r="J981" i="9"/>
  <c r="K981" i="9"/>
  <c r="M981" i="9"/>
  <c r="Q980" i="9"/>
  <c r="S980" i="9" s="1"/>
  <c r="T980" i="9" s="1"/>
  <c r="U980" i="9" s="1"/>
  <c r="Q978" i="9"/>
  <c r="S978" i="9" s="1"/>
  <c r="T978" i="9" s="1"/>
  <c r="U978" i="9" s="1"/>
  <c r="Q977" i="9"/>
  <c r="S977" i="9" s="1"/>
  <c r="T977" i="9" s="1"/>
  <c r="U977" i="9" s="1"/>
  <c r="Q982" i="9"/>
  <c r="Q975" i="9"/>
  <c r="S975" i="9" s="1"/>
  <c r="T975" i="9" s="1"/>
  <c r="U975" i="9" s="1"/>
  <c r="Q976" i="9"/>
  <c r="S976" i="9" s="1"/>
  <c r="T976" i="9" s="1"/>
  <c r="U976" i="9" s="1"/>
  <c r="Q974" i="9"/>
  <c r="S974" i="9" s="1"/>
  <c r="T974" i="9" s="1"/>
  <c r="U974" i="9" s="1"/>
  <c r="Q979" i="9"/>
  <c r="S979" i="9" s="1"/>
  <c r="T979" i="9" s="1"/>
  <c r="U979" i="9" s="1"/>
  <c r="Q981" i="9"/>
  <c r="J982" i="9" a="1"/>
  <c r="O981" i="9" l="1"/>
  <c r="R981" i="9" s="1"/>
  <c r="S981" i="9" s="1"/>
  <c r="T981" i="9" s="1"/>
  <c r="U981" i="9" s="1"/>
  <c r="K982" i="9"/>
  <c r="L982" i="9"/>
  <c r="M982" i="9"/>
  <c r="J982" i="9"/>
  <c r="N982" i="9"/>
  <c r="I984" i="9"/>
  <c r="J983" i="9" a="1"/>
  <c r="O982" i="9" l="1"/>
  <c r="R982" i="9" s="1"/>
  <c r="S982" i="9" s="1"/>
  <c r="T982" i="9" s="1"/>
  <c r="U982" i="9" s="1"/>
  <c r="K983" i="9"/>
  <c r="L983" i="9"/>
  <c r="J983" i="9"/>
  <c r="M983" i="9"/>
  <c r="N983" i="9"/>
  <c r="I985" i="9"/>
  <c r="J984" i="9" a="1"/>
  <c r="O983" i="9" l="1"/>
  <c r="R983" i="9" s="1"/>
  <c r="I986" i="9"/>
  <c r="K984" i="9"/>
  <c r="M984" i="9"/>
  <c r="J984" i="9"/>
  <c r="L984" i="9"/>
  <c r="N984" i="9"/>
  <c r="J985" i="9" a="1"/>
  <c r="O984" i="9" l="1"/>
  <c r="R984" i="9" s="1"/>
  <c r="J985" i="9"/>
  <c r="K985" i="9"/>
  <c r="L985" i="9"/>
  <c r="M985" i="9"/>
  <c r="N985" i="9"/>
  <c r="I987" i="9"/>
  <c r="J986" i="9" a="1"/>
  <c r="O985" i="9" l="1"/>
  <c r="R985" i="9" s="1"/>
  <c r="L986" i="9"/>
  <c r="J986" i="9"/>
  <c r="K986" i="9"/>
  <c r="M986" i="9"/>
  <c r="N986" i="9"/>
  <c r="I988" i="9"/>
  <c r="J987" i="9" a="1"/>
  <c r="O986" i="9" l="1"/>
  <c r="R986" i="9" s="1"/>
  <c r="I989" i="9"/>
  <c r="L987" i="9"/>
  <c r="K987" i="9"/>
  <c r="N987" i="9"/>
  <c r="M987" i="9"/>
  <c r="J987" i="9"/>
  <c r="J988" i="9" a="1"/>
  <c r="O987" i="9" l="1"/>
  <c r="R987" i="9" s="1"/>
  <c r="J988" i="9"/>
  <c r="K988" i="9"/>
  <c r="L988" i="9"/>
  <c r="M988" i="9"/>
  <c r="N988" i="9"/>
  <c r="I990" i="9"/>
  <c r="J989" i="9" a="1"/>
  <c r="O988" i="9" l="1"/>
  <c r="R988" i="9" s="1"/>
  <c r="I991" i="9"/>
  <c r="L989" i="9"/>
  <c r="J989" i="9"/>
  <c r="K989" i="9"/>
  <c r="M989" i="9"/>
  <c r="N989" i="9"/>
  <c r="J990" i="9" a="1"/>
  <c r="P988" i="9" l="1"/>
  <c r="O989" i="9"/>
  <c r="R989" i="9" s="1"/>
  <c r="J990" i="9"/>
  <c r="L990" i="9"/>
  <c r="N990" i="9"/>
  <c r="M990" i="9"/>
  <c r="K990" i="9"/>
  <c r="Q983" i="9"/>
  <c r="S983" i="9" s="1"/>
  <c r="T983" i="9" s="1"/>
  <c r="U983" i="9" s="1"/>
  <c r="Q989" i="9"/>
  <c r="S989" i="9" s="1"/>
  <c r="T989" i="9" s="1"/>
  <c r="U989" i="9" s="1"/>
  <c r="Q985" i="9"/>
  <c r="S985" i="9" s="1"/>
  <c r="T985" i="9" s="1"/>
  <c r="U985" i="9" s="1"/>
  <c r="Q986" i="9"/>
  <c r="S986" i="9" s="1"/>
  <c r="T986" i="9" s="1"/>
  <c r="U986" i="9" s="1"/>
  <c r="Q988" i="9"/>
  <c r="S988" i="9" s="1"/>
  <c r="T988" i="9" s="1"/>
  <c r="U988" i="9" s="1"/>
  <c r="Q984" i="9"/>
  <c r="S984" i="9" s="1"/>
  <c r="T984" i="9" s="1"/>
  <c r="U984" i="9" s="1"/>
  <c r="Q991" i="9"/>
  <c r="Q987" i="9"/>
  <c r="S987" i="9" s="1"/>
  <c r="T987" i="9" s="1"/>
  <c r="U987" i="9" s="1"/>
  <c r="Q990" i="9"/>
  <c r="I992" i="9"/>
  <c r="J991" i="9" a="1"/>
  <c r="O990" i="9" l="1"/>
  <c r="R990" i="9" s="1"/>
  <c r="S990" i="9" s="1"/>
  <c r="T990" i="9" s="1"/>
  <c r="U990" i="9" s="1"/>
  <c r="N991" i="9"/>
  <c r="L991" i="9"/>
  <c r="J991" i="9"/>
  <c r="K991" i="9"/>
  <c r="M991" i="9"/>
  <c r="I993" i="9"/>
  <c r="J992" i="9" a="1"/>
  <c r="O991" i="9" l="1"/>
  <c r="R991" i="9" s="1"/>
  <c r="S991" i="9" s="1"/>
  <c r="T991" i="9" s="1"/>
  <c r="U991" i="9" s="1"/>
  <c r="M992" i="9"/>
  <c r="J992" i="9"/>
  <c r="L992" i="9"/>
  <c r="N992" i="9"/>
  <c r="K992" i="9"/>
  <c r="I994" i="9"/>
  <c r="J993" i="9" a="1"/>
  <c r="O992" i="9" l="1"/>
  <c r="R992" i="9" s="1"/>
  <c r="I995" i="9"/>
  <c r="L993" i="9"/>
  <c r="N993" i="9"/>
  <c r="J993" i="9"/>
  <c r="M993" i="9"/>
  <c r="K993" i="9"/>
  <c r="J994" i="9" a="1"/>
  <c r="O993" i="9" l="1"/>
  <c r="R993" i="9" s="1"/>
  <c r="M994" i="9"/>
  <c r="N994" i="9"/>
  <c r="J994" i="9"/>
  <c r="K994" i="9"/>
  <c r="L994" i="9"/>
  <c r="I996" i="9"/>
  <c r="J995" i="9" a="1"/>
  <c r="O994" i="9" l="1"/>
  <c r="R994" i="9" s="1"/>
  <c r="I997" i="9"/>
  <c r="K995" i="9"/>
  <c r="N995" i="9"/>
  <c r="M995" i="9"/>
  <c r="J995" i="9"/>
  <c r="L995" i="9"/>
  <c r="J996" i="9" a="1"/>
  <c r="O995" i="9" l="1"/>
  <c r="R995" i="9" s="1"/>
  <c r="N996" i="9"/>
  <c r="L996" i="9"/>
  <c r="J996" i="9"/>
  <c r="K996" i="9"/>
  <c r="M996" i="9"/>
  <c r="I998" i="9"/>
  <c r="J997" i="9" a="1"/>
  <c r="O996" i="9" l="1"/>
  <c r="R996" i="9" s="1"/>
  <c r="I999" i="9"/>
  <c r="M997" i="9"/>
  <c r="N997" i="9"/>
  <c r="J997" i="9"/>
  <c r="K997" i="9"/>
  <c r="L997" i="9"/>
  <c r="J998" i="9" a="1"/>
  <c r="O997" i="9" l="1"/>
  <c r="R997" i="9" s="1"/>
  <c r="J998" i="9"/>
  <c r="L998" i="9"/>
  <c r="N998" i="9"/>
  <c r="M998" i="9"/>
  <c r="K998" i="9"/>
  <c r="I1000" i="9"/>
  <c r="J999" i="9" a="1"/>
  <c r="P997" i="9" l="1"/>
  <c r="O998" i="9"/>
  <c r="R998" i="9" s="1"/>
  <c r="K999" i="9"/>
  <c r="L999" i="9"/>
  <c r="M999" i="9"/>
  <c r="J999" i="9"/>
  <c r="N999" i="9"/>
  <c r="I1001" i="9"/>
  <c r="Q993" i="9"/>
  <c r="S993" i="9" s="1"/>
  <c r="T993" i="9" s="1"/>
  <c r="U993" i="9" s="1"/>
  <c r="Q996" i="9"/>
  <c r="S996" i="9" s="1"/>
  <c r="T996" i="9" s="1"/>
  <c r="U996" i="9" s="1"/>
  <c r="Q998" i="9"/>
  <c r="S998" i="9" s="1"/>
  <c r="T998" i="9" s="1"/>
  <c r="U998" i="9" s="1"/>
  <c r="Q994" i="9"/>
  <c r="S994" i="9" s="1"/>
  <c r="T994" i="9" s="1"/>
  <c r="U994" i="9" s="1"/>
  <c r="Q992" i="9"/>
  <c r="S992" i="9" s="1"/>
  <c r="T992" i="9" s="1"/>
  <c r="U992" i="9" s="1"/>
  <c r="Q999" i="9"/>
  <c r="Q997" i="9"/>
  <c r="S997" i="9" s="1"/>
  <c r="T997" i="9" s="1"/>
  <c r="U997" i="9" s="1"/>
  <c r="Q1000" i="9"/>
  <c r="Q995" i="9"/>
  <c r="S995" i="9" s="1"/>
  <c r="T995" i="9" s="1"/>
  <c r="U995" i="9" s="1"/>
  <c r="J1000" i="9" a="1"/>
  <c r="O999" i="9" l="1"/>
  <c r="R999" i="9" s="1"/>
  <c r="S999" i="9" s="1"/>
  <c r="T999" i="9" s="1"/>
  <c r="U999" i="9" s="1"/>
  <c r="I1002" i="9"/>
  <c r="K1000" i="9"/>
  <c r="L1000" i="9"/>
  <c r="M1000" i="9"/>
  <c r="J1000" i="9"/>
  <c r="N1000" i="9"/>
  <c r="J1001" i="9" a="1"/>
  <c r="O1000" i="9" l="1"/>
  <c r="R1000" i="9" s="1"/>
  <c r="S1000" i="9" s="1"/>
  <c r="T1000" i="9" s="1"/>
  <c r="U1000" i="9" s="1"/>
  <c r="I1003" i="9"/>
  <c r="K1001" i="9"/>
  <c r="J1001" i="9"/>
  <c r="L1001" i="9"/>
  <c r="N1001" i="9"/>
  <c r="M1001" i="9"/>
  <c r="J1002" i="9" a="1"/>
  <c r="O1001" i="9" l="1"/>
  <c r="R1001" i="9" s="1"/>
  <c r="N1002" i="9"/>
  <c r="L1002" i="9"/>
  <c r="J1002" i="9"/>
  <c r="M1002" i="9"/>
  <c r="K1002" i="9"/>
  <c r="I1004" i="9"/>
  <c r="J1003" i="9" a="1"/>
  <c r="O1002" i="9" l="1"/>
  <c r="R1002" i="9" s="1"/>
  <c r="I1005" i="9"/>
  <c r="L1003" i="9"/>
  <c r="K1003" i="9"/>
  <c r="M1003" i="9"/>
  <c r="N1003" i="9"/>
  <c r="J1003" i="9"/>
  <c r="J1004" i="9" a="1"/>
  <c r="O1003" i="9" l="1"/>
  <c r="R1003" i="9" s="1"/>
  <c r="K1004" i="9"/>
  <c r="M1004" i="9"/>
  <c r="N1004" i="9"/>
  <c r="J1004" i="9"/>
  <c r="L1004" i="9"/>
  <c r="I1006" i="9"/>
  <c r="J1005" i="9" a="1"/>
  <c r="O1004" i="9" l="1"/>
  <c r="R1004" i="9" s="1"/>
  <c r="I1007" i="9"/>
  <c r="J1005" i="9"/>
  <c r="K1005" i="9"/>
  <c r="N1005" i="9"/>
  <c r="L1005" i="9"/>
  <c r="M1005" i="9"/>
  <c r="J1006" i="9" a="1"/>
  <c r="O1005" i="9" l="1"/>
  <c r="R1005" i="9" s="1"/>
  <c r="J1006" i="9"/>
  <c r="L1006" i="9"/>
  <c r="M1006" i="9"/>
  <c r="N1006" i="9"/>
  <c r="K1006" i="9"/>
  <c r="I1008" i="9"/>
  <c r="J1007" i="9" a="1"/>
  <c r="O1006" i="9" l="1"/>
  <c r="R1006" i="9" s="1"/>
  <c r="N1007" i="9"/>
  <c r="K1007" i="9"/>
  <c r="L1007" i="9"/>
  <c r="J1007" i="9"/>
  <c r="M1007" i="9"/>
  <c r="I1009" i="9"/>
  <c r="J1008" i="9" a="1"/>
  <c r="O1007" i="9" l="1"/>
  <c r="R1007" i="9" s="1"/>
  <c r="P1006" i="9"/>
  <c r="Q1008" i="9"/>
  <c r="Q1009" i="9"/>
  <c r="Q1006" i="9"/>
  <c r="S1006" i="9" s="1"/>
  <c r="T1006" i="9" s="1"/>
  <c r="U1006" i="9" s="1"/>
  <c r="Q1005" i="9"/>
  <c r="S1005" i="9" s="1"/>
  <c r="T1005" i="9" s="1"/>
  <c r="U1005" i="9" s="1"/>
  <c r="Q1002" i="9"/>
  <c r="S1002" i="9" s="1"/>
  <c r="T1002" i="9" s="1"/>
  <c r="U1002" i="9" s="1"/>
  <c r="Q1004" i="9"/>
  <c r="S1004" i="9" s="1"/>
  <c r="T1004" i="9" s="1"/>
  <c r="U1004" i="9" s="1"/>
  <c r="Q1003" i="9"/>
  <c r="S1003" i="9" s="1"/>
  <c r="T1003" i="9" s="1"/>
  <c r="U1003" i="9" s="1"/>
  <c r="Q1007" i="9"/>
  <c r="S1007" i="9" s="1"/>
  <c r="T1007" i="9" s="1"/>
  <c r="U1007" i="9" s="1"/>
  <c r="Q1001" i="9"/>
  <c r="S1001" i="9" s="1"/>
  <c r="T1001" i="9" s="1"/>
  <c r="U1001" i="9" s="1"/>
  <c r="I1010" i="9"/>
  <c r="N1008" i="9"/>
  <c r="M1008" i="9"/>
  <c r="J1008" i="9"/>
  <c r="K1008" i="9"/>
  <c r="L1008" i="9"/>
  <c r="J1009" i="9" a="1"/>
  <c r="O1008" i="9" l="1"/>
  <c r="R1008" i="9" s="1"/>
  <c r="S1008" i="9" s="1"/>
  <c r="T1008" i="9" s="1"/>
  <c r="U1008" i="9" s="1"/>
  <c r="I1011" i="9"/>
  <c r="N1009" i="9"/>
  <c r="K1009" i="9"/>
  <c r="J1009" i="9"/>
  <c r="L1009" i="9"/>
  <c r="M1009" i="9"/>
  <c r="J1010" i="9" a="1"/>
  <c r="O1009" i="9" l="1"/>
  <c r="R1009" i="9" s="1"/>
  <c r="S1009" i="9" s="1"/>
  <c r="T1009" i="9" s="1"/>
  <c r="U1009" i="9" s="1"/>
  <c r="L1010" i="9"/>
  <c r="J1010" i="9"/>
  <c r="K1010" i="9"/>
  <c r="M1010" i="9"/>
  <c r="N1010" i="9"/>
  <c r="I1012" i="9"/>
  <c r="J1011" i="9" a="1"/>
  <c r="O1010" i="9" l="1"/>
  <c r="R1010" i="9" s="1"/>
  <c r="I1013" i="9"/>
  <c r="L1011" i="9"/>
  <c r="N1011" i="9"/>
  <c r="J1011" i="9"/>
  <c r="K1011" i="9"/>
  <c r="M1011" i="9"/>
  <c r="J1012" i="9" a="1"/>
  <c r="O1011" i="9" l="1"/>
  <c r="R1011" i="9" s="1"/>
  <c r="L1012" i="9"/>
  <c r="M1012" i="9"/>
  <c r="K1012" i="9"/>
  <c r="N1012" i="9"/>
  <c r="J1012" i="9"/>
  <c r="I1014" i="9"/>
  <c r="J1013" i="9" a="1"/>
  <c r="O1012" i="9" l="1"/>
  <c r="R1012" i="9" s="1"/>
  <c r="I1015" i="9"/>
  <c r="L1013" i="9"/>
  <c r="K1013" i="9"/>
  <c r="M1013" i="9"/>
  <c r="N1013" i="9"/>
  <c r="J1013" i="9"/>
  <c r="J1014" i="9" a="1"/>
  <c r="O1013" i="9" l="1"/>
  <c r="R1013" i="9" s="1"/>
  <c r="M1014" i="9"/>
  <c r="J1014" i="9"/>
  <c r="N1014" i="9"/>
  <c r="K1014" i="9"/>
  <c r="L1014" i="9"/>
  <c r="I1016" i="9"/>
  <c r="J1015" i="9" a="1"/>
  <c r="O1014" i="9" l="1"/>
  <c r="R1014" i="9" s="1"/>
  <c r="I1017" i="9"/>
  <c r="N1015" i="9"/>
  <c r="M1015" i="9"/>
  <c r="K1015" i="9"/>
  <c r="L1015" i="9"/>
  <c r="J1015" i="9"/>
  <c r="J1016" i="9" a="1"/>
  <c r="O1015" i="9" l="1"/>
  <c r="R1015" i="9" s="1"/>
  <c r="J1016" i="9"/>
  <c r="L1016" i="9"/>
  <c r="N1016" i="9"/>
  <c r="K1016" i="9"/>
  <c r="M1016" i="9"/>
  <c r="I1018" i="9"/>
  <c r="J1017" i="9" a="1"/>
  <c r="P1015" i="9" l="1"/>
  <c r="Q1012" i="9" s="1"/>
  <c r="S1012" i="9" s="1"/>
  <c r="T1012" i="9" s="1"/>
  <c r="U1012" i="9" s="1"/>
  <c r="O1016" i="9"/>
  <c r="Q1018" i="9"/>
  <c r="Q1017" i="9"/>
  <c r="Q1013" i="9"/>
  <c r="S1013" i="9" s="1"/>
  <c r="T1013" i="9" s="1"/>
  <c r="U1013" i="9" s="1"/>
  <c r="Q1010" i="9"/>
  <c r="S1010" i="9" s="1"/>
  <c r="T1010" i="9" s="1"/>
  <c r="U1010" i="9" s="1"/>
  <c r="N1017" i="9"/>
  <c r="K1017" i="9"/>
  <c r="L1017" i="9"/>
  <c r="J1017" i="9"/>
  <c r="M1017" i="9"/>
  <c r="I1019" i="9"/>
  <c r="R1016" i="9"/>
  <c r="J1018" i="9" a="1"/>
  <c r="Q1011" i="9" l="1"/>
  <c r="S1011" i="9" s="1"/>
  <c r="T1011" i="9" s="1"/>
  <c r="U1011" i="9" s="1"/>
  <c r="Q1015" i="9"/>
  <c r="S1015" i="9" s="1"/>
  <c r="T1015" i="9" s="1"/>
  <c r="U1015" i="9" s="1"/>
  <c r="Q1014" i="9"/>
  <c r="S1014" i="9" s="1"/>
  <c r="T1014" i="9" s="1"/>
  <c r="U1014" i="9" s="1"/>
  <c r="Q1016" i="9"/>
  <c r="S1016" i="9" s="1"/>
  <c r="T1016" i="9" s="1"/>
  <c r="U1016" i="9" s="1"/>
  <c r="O1017" i="9"/>
  <c r="R1017" i="9" s="1"/>
  <c r="S1017" i="9" s="1"/>
  <c r="T1017" i="9" s="1"/>
  <c r="U1017" i="9" s="1"/>
  <c r="I1020" i="9"/>
  <c r="M1018" i="9"/>
  <c r="N1018" i="9"/>
  <c r="L1018" i="9"/>
  <c r="K1018" i="9"/>
  <c r="J1018" i="9"/>
  <c r="J1019" i="9" a="1"/>
  <c r="O1018" i="9" l="1"/>
  <c r="R1018" i="9" s="1"/>
  <c r="S1018" i="9" s="1"/>
  <c r="T1018" i="9" s="1"/>
  <c r="U1018" i="9" s="1"/>
  <c r="J1019" i="9"/>
  <c r="L1019" i="9"/>
  <c r="N1019" i="9"/>
  <c r="K1019" i="9"/>
  <c r="M1019" i="9"/>
  <c r="I1021" i="9"/>
  <c r="J1020" i="9" a="1"/>
  <c r="O1019" i="9" l="1"/>
  <c r="R1019" i="9" s="1"/>
  <c r="I1022" i="9"/>
  <c r="J1020" i="9"/>
  <c r="M1020" i="9"/>
  <c r="K1020" i="9"/>
  <c r="L1020" i="9"/>
  <c r="N1020" i="9"/>
  <c r="J1021" i="9" a="1"/>
  <c r="O1020" i="9" l="1"/>
  <c r="R1020" i="9" s="1"/>
  <c r="J1021" i="9"/>
  <c r="M1021" i="9"/>
  <c r="N1021" i="9"/>
  <c r="K1021" i="9"/>
  <c r="L1021" i="9"/>
  <c r="I1023" i="9"/>
  <c r="J1022" i="9" a="1"/>
  <c r="O1021" i="9" l="1"/>
  <c r="R1021" i="9" s="1"/>
  <c r="N1022" i="9"/>
  <c r="L1022" i="9"/>
  <c r="K1022" i="9"/>
  <c r="J1022" i="9"/>
  <c r="M1022" i="9"/>
  <c r="I1024" i="9"/>
  <c r="J1023" i="9" a="1"/>
  <c r="O1022" i="9" l="1"/>
  <c r="R1022" i="9" s="1"/>
  <c r="I1025" i="9"/>
  <c r="K1023" i="9"/>
  <c r="N1023" i="9"/>
  <c r="M1023" i="9"/>
  <c r="J1023" i="9"/>
  <c r="L1023" i="9"/>
  <c r="J1024" i="9" a="1"/>
  <c r="O1023" i="9" l="1"/>
  <c r="R1023" i="9" s="1"/>
  <c r="N1024" i="9"/>
  <c r="J1024" i="9"/>
  <c r="K1024" i="9"/>
  <c r="M1024" i="9"/>
  <c r="L1024" i="9"/>
  <c r="I1026" i="9"/>
  <c r="J1025" i="9" a="1"/>
  <c r="O1024" i="9" l="1"/>
  <c r="R1024" i="9" s="1"/>
  <c r="I1027" i="9"/>
  <c r="J1025" i="9"/>
  <c r="M1025" i="9"/>
  <c r="N1025" i="9"/>
  <c r="K1025" i="9"/>
  <c r="L1025" i="9"/>
  <c r="J1026" i="9" a="1"/>
  <c r="P1024" i="9" l="1"/>
  <c r="O1025" i="9"/>
  <c r="R1025" i="9" s="1"/>
  <c r="Q1020" i="9"/>
  <c r="S1020" i="9" s="1"/>
  <c r="T1020" i="9" s="1"/>
  <c r="U1020" i="9" s="1"/>
  <c r="Q1025" i="9"/>
  <c r="Q1024" i="9"/>
  <c r="S1024" i="9" s="1"/>
  <c r="T1024" i="9" s="1"/>
  <c r="U1024" i="9" s="1"/>
  <c r="Q1022" i="9"/>
  <c r="S1022" i="9" s="1"/>
  <c r="T1022" i="9" s="1"/>
  <c r="U1022" i="9" s="1"/>
  <c r="Q1026" i="9"/>
  <c r="Q1019" i="9"/>
  <c r="S1019" i="9" s="1"/>
  <c r="T1019" i="9" s="1"/>
  <c r="U1019" i="9" s="1"/>
  <c r="Q1027" i="9"/>
  <c r="Q1021" i="9"/>
  <c r="S1021" i="9" s="1"/>
  <c r="T1021" i="9" s="1"/>
  <c r="U1021" i="9" s="1"/>
  <c r="Q1023" i="9"/>
  <c r="S1023" i="9" s="1"/>
  <c r="T1023" i="9" s="1"/>
  <c r="U1023" i="9" s="1"/>
  <c r="J1026" i="9"/>
  <c r="M1026" i="9"/>
  <c r="N1026" i="9"/>
  <c r="L1026" i="9"/>
  <c r="K1026" i="9"/>
  <c r="I1028" i="9"/>
  <c r="J1027" i="9" a="1"/>
  <c r="S1025" i="9" l="1"/>
  <c r="T1025" i="9" s="1"/>
  <c r="U1025" i="9" s="1"/>
  <c r="O1026" i="9"/>
  <c r="R1026" i="9" s="1"/>
  <c r="S1026" i="9" s="1"/>
  <c r="T1026" i="9" s="1"/>
  <c r="U1026" i="9" s="1"/>
  <c r="J1027" i="9"/>
  <c r="L1027" i="9"/>
  <c r="N1027" i="9"/>
  <c r="K1027" i="9"/>
  <c r="M1027" i="9"/>
  <c r="I1029" i="9"/>
  <c r="J1028" i="9" a="1"/>
  <c r="O1027" i="9" l="1"/>
  <c r="R1027" i="9" s="1"/>
  <c r="S1027" i="9" s="1"/>
  <c r="T1027" i="9" s="1"/>
  <c r="U1027" i="9" s="1"/>
  <c r="L1028" i="9"/>
  <c r="N1028" i="9"/>
  <c r="J1028" i="9"/>
  <c r="M1028" i="9"/>
  <c r="K1028" i="9"/>
  <c r="I1030" i="9"/>
  <c r="J1029" i="9" a="1"/>
  <c r="O1028" i="9" l="1"/>
  <c r="R1028" i="9" s="1"/>
  <c r="I1031" i="9"/>
  <c r="L1029" i="9"/>
  <c r="J1029" i="9"/>
  <c r="M1029" i="9"/>
  <c r="N1029" i="9"/>
  <c r="K1029" i="9"/>
  <c r="J1030" i="9" a="1"/>
  <c r="O1029" i="9" l="1"/>
  <c r="R1029" i="9" s="1"/>
  <c r="N1030" i="9"/>
  <c r="K1030" i="9"/>
  <c r="J1030" i="9"/>
  <c r="L1030" i="9"/>
  <c r="M1030" i="9"/>
  <c r="I1032" i="9"/>
  <c r="J1031" i="9" a="1"/>
  <c r="O1030" i="9" l="1"/>
  <c r="R1030" i="9" s="1"/>
  <c r="I1033" i="9"/>
  <c r="J1031" i="9"/>
  <c r="L1031" i="9"/>
  <c r="M1031" i="9"/>
  <c r="N1031" i="9"/>
  <c r="K1031" i="9"/>
  <c r="J1032" i="9" a="1"/>
  <c r="O1031" i="9" l="1"/>
  <c r="R1031" i="9" s="1"/>
  <c r="L1032" i="9"/>
  <c r="J1032" i="9"/>
  <c r="M1032" i="9"/>
  <c r="K1032" i="9"/>
  <c r="N1032" i="9"/>
  <c r="I1034" i="9"/>
  <c r="J1033" i="9" a="1"/>
  <c r="O1032" i="9" l="1"/>
  <c r="R1032" i="9" s="1"/>
  <c r="I1035" i="9"/>
  <c r="J1033" i="9"/>
  <c r="N1033" i="9"/>
  <c r="L1033" i="9"/>
  <c r="K1033" i="9"/>
  <c r="M1033" i="9"/>
  <c r="J1034" i="9" a="1"/>
  <c r="O1033" i="9" l="1"/>
  <c r="P1033" i="9" s="1"/>
  <c r="N1034" i="9"/>
  <c r="K1034" i="9"/>
  <c r="M1034" i="9"/>
  <c r="L1034" i="9"/>
  <c r="J1034" i="9"/>
  <c r="I1036" i="9"/>
  <c r="J1035" i="9" a="1"/>
  <c r="R1033" i="9" l="1"/>
  <c r="O1034" i="9"/>
  <c r="R1034" i="9" s="1"/>
  <c r="K1035" i="9"/>
  <c r="L1035" i="9"/>
  <c r="M1035" i="9"/>
  <c r="N1035" i="9"/>
  <c r="J1035" i="9"/>
  <c r="I1037" i="9"/>
  <c r="Q1032" i="9"/>
  <c r="S1032" i="9" s="1"/>
  <c r="T1032" i="9" s="1"/>
  <c r="U1032" i="9" s="1"/>
  <c r="Q1029" i="9"/>
  <c r="S1029" i="9" s="1"/>
  <c r="T1029" i="9" s="1"/>
  <c r="U1029" i="9" s="1"/>
  <c r="Q1033" i="9"/>
  <c r="S1033" i="9" s="1"/>
  <c r="T1033" i="9" s="1"/>
  <c r="U1033" i="9" s="1"/>
  <c r="Q1030" i="9"/>
  <c r="S1030" i="9" s="1"/>
  <c r="T1030" i="9" s="1"/>
  <c r="U1030" i="9" s="1"/>
  <c r="Q1028" i="9"/>
  <c r="S1028" i="9" s="1"/>
  <c r="T1028" i="9" s="1"/>
  <c r="U1028" i="9" s="1"/>
  <c r="Q1034" i="9"/>
  <c r="S1034" i="9" s="1"/>
  <c r="T1034" i="9" s="1"/>
  <c r="U1034" i="9" s="1"/>
  <c r="Q1035" i="9"/>
  <c r="Q1031" i="9"/>
  <c r="S1031" i="9" s="1"/>
  <c r="T1031" i="9" s="1"/>
  <c r="U1031" i="9" s="1"/>
  <c r="Q1036" i="9"/>
  <c r="J1036" i="9" a="1"/>
  <c r="O1035" i="9" l="1"/>
  <c r="R1035" i="9" s="1"/>
  <c r="S1035" i="9" s="1"/>
  <c r="T1035" i="9" s="1"/>
  <c r="U1035" i="9" s="1"/>
  <c r="I1038" i="9"/>
  <c r="K1036" i="9"/>
  <c r="N1036" i="9"/>
  <c r="L1036" i="9"/>
  <c r="J1036" i="9"/>
  <c r="M1036" i="9"/>
  <c r="J1037" i="9" a="1"/>
  <c r="O1036" i="9" l="1"/>
  <c r="R1036" i="9" s="1"/>
  <c r="S1036" i="9" s="1"/>
  <c r="T1036" i="9" s="1"/>
  <c r="U1036" i="9" s="1"/>
  <c r="L1037" i="9"/>
  <c r="J1037" i="9"/>
  <c r="K1037" i="9"/>
  <c r="M1037" i="9"/>
  <c r="N1037" i="9"/>
  <c r="I1039" i="9"/>
  <c r="J1038" i="9" a="1"/>
  <c r="O1037" i="9" l="1"/>
  <c r="R1037" i="9" s="1"/>
  <c r="I1040" i="9"/>
  <c r="M1038" i="9"/>
  <c r="L1038" i="9"/>
  <c r="J1038" i="9"/>
  <c r="N1038" i="9"/>
  <c r="K1038" i="9"/>
  <c r="J1039" i="9" a="1"/>
  <c r="O1038" i="9" l="1"/>
  <c r="R1038" i="9" s="1"/>
  <c r="N1039" i="9"/>
  <c r="J1039" i="9"/>
  <c r="M1039" i="9"/>
  <c r="K1039" i="9"/>
  <c r="L1039" i="9"/>
  <c r="I1041" i="9"/>
  <c r="J1040" i="9" a="1"/>
  <c r="O1039" i="9" l="1"/>
  <c r="R1039" i="9" s="1"/>
  <c r="I1042" i="9"/>
  <c r="N1040" i="9"/>
  <c r="K1040" i="9"/>
  <c r="L1040" i="9"/>
  <c r="J1040" i="9"/>
  <c r="M1040" i="9"/>
  <c r="J1041" i="9" a="1"/>
  <c r="O1040" i="9" l="1"/>
  <c r="R1040" i="9" s="1"/>
  <c r="N1041" i="9"/>
  <c r="L1041" i="9"/>
  <c r="K1041" i="9"/>
  <c r="J1041" i="9"/>
  <c r="M1041" i="9"/>
  <c r="I1043" i="9"/>
  <c r="J1042" i="9" a="1"/>
  <c r="O1041" i="9" l="1"/>
  <c r="R1041" i="9" s="1"/>
  <c r="I1044" i="9"/>
  <c r="L1042" i="9"/>
  <c r="M1042" i="9"/>
  <c r="J1042" i="9"/>
  <c r="N1042" i="9"/>
  <c r="K1042" i="9"/>
  <c r="J1043" i="9" a="1"/>
  <c r="O1042" i="9" l="1"/>
  <c r="R1042" i="9" s="1"/>
  <c r="N1043" i="9"/>
  <c r="L1043" i="9"/>
  <c r="J1043" i="9"/>
  <c r="K1043" i="9"/>
  <c r="M1043" i="9"/>
  <c r="I1045" i="9"/>
  <c r="J1044" i="9" a="1"/>
  <c r="P1042" i="9" l="1"/>
  <c r="O1043" i="9"/>
  <c r="R1043" i="9" s="1"/>
  <c r="L1044" i="9"/>
  <c r="J1044" i="9"/>
  <c r="K1044" i="9"/>
  <c r="M1044" i="9"/>
  <c r="N1044" i="9"/>
  <c r="I1046" i="9"/>
  <c r="Q1039" i="9"/>
  <c r="S1039" i="9" s="1"/>
  <c r="T1039" i="9" s="1"/>
  <c r="U1039" i="9" s="1"/>
  <c r="Q1040" i="9"/>
  <c r="S1040" i="9" s="1"/>
  <c r="T1040" i="9" s="1"/>
  <c r="U1040" i="9" s="1"/>
  <c r="Q1043" i="9"/>
  <c r="Q1044" i="9"/>
  <c r="Q1041" i="9"/>
  <c r="S1041" i="9" s="1"/>
  <c r="T1041" i="9" s="1"/>
  <c r="U1041" i="9" s="1"/>
  <c r="Q1045" i="9"/>
  <c r="Q1038" i="9"/>
  <c r="S1038" i="9" s="1"/>
  <c r="T1038" i="9" s="1"/>
  <c r="U1038" i="9" s="1"/>
  <c r="Q1037" i="9"/>
  <c r="S1037" i="9" s="1"/>
  <c r="T1037" i="9" s="1"/>
  <c r="U1037" i="9" s="1"/>
  <c r="Q1042" i="9"/>
  <c r="S1042" i="9" s="1"/>
  <c r="T1042" i="9" s="1"/>
  <c r="U1042" i="9" s="1"/>
  <c r="J1045" i="9" a="1"/>
  <c r="S1043" i="9" l="1"/>
  <c r="T1043" i="9" s="1"/>
  <c r="U1043" i="9" s="1"/>
  <c r="O1044" i="9"/>
  <c r="R1044" i="9" s="1"/>
  <c r="S1044" i="9" s="1"/>
  <c r="T1044" i="9" s="1"/>
  <c r="U1044" i="9" s="1"/>
  <c r="I1047" i="9"/>
  <c r="L1045" i="9"/>
  <c r="K1045" i="9"/>
  <c r="J1045" i="9"/>
  <c r="M1045" i="9"/>
  <c r="N1045" i="9"/>
  <c r="J1046" i="9" a="1"/>
  <c r="O1045" i="9" l="1"/>
  <c r="R1045" i="9" s="1"/>
  <c r="S1045" i="9" s="1"/>
  <c r="T1045" i="9" s="1"/>
  <c r="U1045" i="9" s="1"/>
  <c r="N1046" i="9"/>
  <c r="M1046" i="9"/>
  <c r="J1046" i="9"/>
  <c r="K1046" i="9"/>
  <c r="L1046" i="9"/>
  <c r="I1048" i="9"/>
  <c r="J1047" i="9" a="1"/>
  <c r="O1046" i="9" l="1"/>
  <c r="R1046" i="9" s="1"/>
  <c r="J1047" i="9"/>
  <c r="K1047" i="9"/>
  <c r="M1047" i="9"/>
  <c r="N1047" i="9"/>
  <c r="L1047" i="9"/>
  <c r="I1049" i="9"/>
  <c r="J1048" i="9" a="1"/>
  <c r="O1047" i="9" l="1"/>
  <c r="R1047" i="9" s="1"/>
  <c r="K1048" i="9"/>
  <c r="L1048" i="9"/>
  <c r="J1048" i="9"/>
  <c r="M1048" i="9"/>
  <c r="N1048" i="9"/>
  <c r="I1050" i="9"/>
  <c r="J1049" i="9" a="1"/>
  <c r="O1048" i="9" l="1"/>
  <c r="R1048" i="9" s="1"/>
  <c r="I1051" i="9"/>
  <c r="L1049" i="9"/>
  <c r="K1049" i="9"/>
  <c r="M1049" i="9"/>
  <c r="J1049" i="9"/>
  <c r="N1049" i="9"/>
  <c r="J1050" i="9" a="1"/>
  <c r="O1049" i="9" l="1"/>
  <c r="R1049" i="9" s="1"/>
  <c r="J1050" i="9"/>
  <c r="L1050" i="9"/>
  <c r="N1050" i="9"/>
  <c r="K1050" i="9"/>
  <c r="M1050" i="9"/>
  <c r="I1052" i="9"/>
  <c r="J1051" i="9" a="1"/>
  <c r="O1050" i="9" l="1"/>
  <c r="R1050" i="9" s="1"/>
  <c r="J1051" i="9"/>
  <c r="K1051" i="9"/>
  <c r="L1051" i="9"/>
  <c r="M1051" i="9"/>
  <c r="N1051" i="9"/>
  <c r="I1053" i="9"/>
  <c r="J1052" i="9" a="1"/>
  <c r="O1051" i="9" l="1"/>
  <c r="R1051" i="9" s="1"/>
  <c r="L1052" i="9"/>
  <c r="J1052" i="9"/>
  <c r="M1052" i="9"/>
  <c r="N1052" i="9"/>
  <c r="K1052" i="9"/>
  <c r="I1054" i="9"/>
  <c r="J1053" i="9" a="1"/>
  <c r="P1051" i="9" l="1"/>
  <c r="Q1048" i="9" s="1"/>
  <c r="S1048" i="9" s="1"/>
  <c r="T1048" i="9" s="1"/>
  <c r="U1048" i="9" s="1"/>
  <c r="O1052" i="9"/>
  <c r="Q1053" i="9"/>
  <c r="Q1051" i="9"/>
  <c r="S1051" i="9" s="1"/>
  <c r="T1051" i="9" s="1"/>
  <c r="U1051" i="9" s="1"/>
  <c r="Q1047" i="9"/>
  <c r="S1047" i="9" s="1"/>
  <c r="T1047" i="9" s="1"/>
  <c r="U1047" i="9" s="1"/>
  <c r="Q1046" i="9"/>
  <c r="S1046" i="9" s="1"/>
  <c r="T1046" i="9" s="1"/>
  <c r="U1046" i="9" s="1"/>
  <c r="Q1052" i="9"/>
  <c r="S1052" i="9" s="1"/>
  <c r="T1052" i="9" s="1"/>
  <c r="U1052" i="9" s="1"/>
  <c r="R1052" i="9"/>
  <c r="I1055" i="9"/>
  <c r="M1053" i="9"/>
  <c r="N1053" i="9"/>
  <c r="L1053" i="9"/>
  <c r="J1053" i="9"/>
  <c r="K1053" i="9"/>
  <c r="J1054" i="9" a="1"/>
  <c r="Q1054" i="9" l="1"/>
  <c r="Q1050" i="9"/>
  <c r="S1050" i="9" s="1"/>
  <c r="T1050" i="9" s="1"/>
  <c r="U1050" i="9" s="1"/>
  <c r="Q1049" i="9"/>
  <c r="S1049" i="9" s="1"/>
  <c r="T1049" i="9" s="1"/>
  <c r="U1049" i="9" s="1"/>
  <c r="O1053" i="9"/>
  <c r="R1053" i="9" s="1"/>
  <c r="S1053" i="9" s="1"/>
  <c r="T1053" i="9" s="1"/>
  <c r="U1053" i="9" s="1"/>
  <c r="N1054" i="9"/>
  <c r="K1054" i="9"/>
  <c r="M1054" i="9"/>
  <c r="J1054" i="9"/>
  <c r="L1054" i="9"/>
  <c r="I1056" i="9"/>
  <c r="J1055" i="9" a="1"/>
  <c r="O1054" i="9" l="1"/>
  <c r="R1054" i="9" s="1"/>
  <c r="S1054" i="9" s="1"/>
  <c r="T1054" i="9" s="1"/>
  <c r="U1054" i="9" s="1"/>
  <c r="I1057" i="9"/>
  <c r="L1055" i="9"/>
  <c r="N1055" i="9"/>
  <c r="J1055" i="9"/>
  <c r="M1055" i="9"/>
  <c r="K1055" i="9"/>
  <c r="J1056" i="9" a="1"/>
  <c r="O1055" i="9" l="1"/>
  <c r="R1055" i="9" s="1"/>
  <c r="L1056" i="9"/>
  <c r="J1056" i="9"/>
  <c r="M1056" i="9"/>
  <c r="N1056" i="9"/>
  <c r="K1056" i="9"/>
  <c r="I1058" i="9"/>
  <c r="J1057" i="9" a="1"/>
  <c r="O1056" i="9" l="1"/>
  <c r="R1056" i="9" s="1"/>
  <c r="I1059" i="9"/>
  <c r="K1057" i="9"/>
  <c r="M1057" i="9"/>
  <c r="J1057" i="9"/>
  <c r="N1057" i="9"/>
  <c r="L1057" i="9"/>
  <c r="J1058" i="9" a="1"/>
  <c r="O1057" i="9" l="1"/>
  <c r="R1057" i="9" s="1"/>
  <c r="N1058" i="9"/>
  <c r="K1058" i="9"/>
  <c r="L1058" i="9"/>
  <c r="M1058" i="9"/>
  <c r="J1058" i="9"/>
  <c r="I1060" i="9"/>
  <c r="J1059" i="9" a="1"/>
  <c r="O1058" i="9" l="1"/>
  <c r="R1058" i="9" s="1"/>
  <c r="I1061" i="9"/>
  <c r="J1059" i="9"/>
  <c r="K1059" i="9"/>
  <c r="M1059" i="9"/>
  <c r="L1059" i="9"/>
  <c r="N1059" i="9"/>
  <c r="J1060" i="9" a="1"/>
  <c r="O1059" i="9" l="1"/>
  <c r="R1059" i="9" s="1"/>
  <c r="M1060" i="9"/>
  <c r="N1060" i="9"/>
  <c r="L1060" i="9"/>
  <c r="J1060" i="9"/>
  <c r="K1060" i="9"/>
  <c r="I1062" i="9"/>
  <c r="J1061" i="9" a="1"/>
  <c r="O1060" i="9" l="1"/>
  <c r="R1060" i="9" s="1"/>
  <c r="I1063" i="9"/>
  <c r="M1061" i="9"/>
  <c r="N1061" i="9"/>
  <c r="L1061" i="9"/>
  <c r="K1061" i="9"/>
  <c r="J1061" i="9"/>
  <c r="J1062" i="9" a="1"/>
  <c r="P1060" i="9" l="1"/>
  <c r="Q1055" i="9" s="1"/>
  <c r="S1055" i="9" s="1"/>
  <c r="T1055" i="9" s="1"/>
  <c r="U1055" i="9" s="1"/>
  <c r="O1061" i="9"/>
  <c r="R1061" i="9" s="1"/>
  <c r="Q1061" i="9"/>
  <c r="J1062" i="9"/>
  <c r="K1062" i="9"/>
  <c r="L1062" i="9"/>
  <c r="N1062" i="9"/>
  <c r="M1062" i="9"/>
  <c r="I1064" i="9"/>
  <c r="J1063" i="9" a="1"/>
  <c r="Q1057" i="9" l="1"/>
  <c r="S1057" i="9" s="1"/>
  <c r="T1057" i="9" s="1"/>
  <c r="U1057" i="9" s="1"/>
  <c r="Q1056" i="9"/>
  <c r="S1056" i="9" s="1"/>
  <c r="T1056" i="9" s="1"/>
  <c r="U1056" i="9" s="1"/>
  <c r="Q1063" i="9"/>
  <c r="Q1060" i="9"/>
  <c r="S1060" i="9" s="1"/>
  <c r="T1060" i="9" s="1"/>
  <c r="U1060" i="9" s="1"/>
  <c r="Q1059" i="9"/>
  <c r="S1059" i="9" s="1"/>
  <c r="T1059" i="9" s="1"/>
  <c r="U1059" i="9" s="1"/>
  <c r="Q1058" i="9"/>
  <c r="S1058" i="9" s="1"/>
  <c r="T1058" i="9" s="1"/>
  <c r="U1058" i="9" s="1"/>
  <c r="Q1062" i="9"/>
  <c r="O1062" i="9"/>
  <c r="R1062" i="9" s="1"/>
  <c r="S1061" i="9"/>
  <c r="T1061" i="9" s="1"/>
  <c r="U1061" i="9" s="1"/>
  <c r="K1063" i="9"/>
  <c r="M1063" i="9"/>
  <c r="N1063" i="9"/>
  <c r="L1063" i="9"/>
  <c r="J1063" i="9"/>
  <c r="I1065" i="9"/>
  <c r="J1064" i="9" a="1"/>
  <c r="S1062" i="9" l="1"/>
  <c r="T1062" i="9" s="1"/>
  <c r="U1062" i="9" s="1"/>
  <c r="O1063" i="9"/>
  <c r="R1063" i="9" s="1"/>
  <c r="S1063" i="9" s="1"/>
  <c r="T1063" i="9" s="1"/>
  <c r="U1063" i="9" s="1"/>
  <c r="J1064" i="9"/>
  <c r="M1064" i="9"/>
  <c r="K1064" i="9"/>
  <c r="N1064" i="9"/>
  <c r="L1064" i="9"/>
  <c r="I1066" i="9"/>
  <c r="J1065" i="9" a="1"/>
  <c r="O1064" i="9" l="1"/>
  <c r="R1064" i="9" s="1"/>
  <c r="J1065" i="9"/>
  <c r="N1065" i="9"/>
  <c r="L1065" i="9"/>
  <c r="K1065" i="9"/>
  <c r="M1065" i="9"/>
  <c r="I1067" i="9"/>
  <c r="J1066" i="9" a="1"/>
  <c r="O1065" i="9" l="1"/>
  <c r="R1065" i="9" s="1"/>
  <c r="I1068" i="9"/>
  <c r="N1066" i="9"/>
  <c r="K1066" i="9"/>
  <c r="M1066" i="9"/>
  <c r="J1066" i="9"/>
  <c r="L1066" i="9"/>
  <c r="J1067" i="9" a="1"/>
  <c r="O1066" i="9" l="1"/>
  <c r="R1066" i="9" s="1"/>
  <c r="L1067" i="9"/>
  <c r="M1067" i="9"/>
  <c r="N1067" i="9"/>
  <c r="J1067" i="9"/>
  <c r="K1067" i="9"/>
  <c r="I1069" i="9"/>
  <c r="J1068" i="9" a="1"/>
  <c r="O1067" i="9" l="1"/>
  <c r="R1067" i="9" s="1"/>
  <c r="I1070" i="9"/>
  <c r="K1068" i="9"/>
  <c r="N1068" i="9"/>
  <c r="L1068" i="9"/>
  <c r="J1068" i="9"/>
  <c r="M1068" i="9"/>
  <c r="J1069" i="9" a="1"/>
  <c r="O1068" i="9" l="1"/>
  <c r="R1068" i="9" s="1"/>
  <c r="L1069" i="9"/>
  <c r="J1069" i="9"/>
  <c r="K1069" i="9"/>
  <c r="M1069" i="9"/>
  <c r="N1069" i="9"/>
  <c r="I1071" i="9"/>
  <c r="J1070" i="9" a="1"/>
  <c r="O1069" i="9" l="1"/>
  <c r="R1069" i="9" s="1"/>
  <c r="I1072" i="9"/>
  <c r="M1070" i="9"/>
  <c r="J1070" i="9"/>
  <c r="L1070" i="9"/>
  <c r="N1070" i="9"/>
  <c r="K1070" i="9"/>
  <c r="J1071" i="9" a="1"/>
  <c r="P1069" i="9" l="1"/>
  <c r="O1070" i="9"/>
  <c r="R1070" i="9" s="1"/>
  <c r="K1071" i="9"/>
  <c r="N1071" i="9"/>
  <c r="L1071" i="9"/>
  <c r="J1071" i="9"/>
  <c r="M1071" i="9"/>
  <c r="Q1072" i="9"/>
  <c r="Q1065" i="9"/>
  <c r="S1065" i="9" s="1"/>
  <c r="T1065" i="9" s="1"/>
  <c r="U1065" i="9" s="1"/>
  <c r="Q1066" i="9"/>
  <c r="S1066" i="9" s="1"/>
  <c r="T1066" i="9" s="1"/>
  <c r="U1066" i="9" s="1"/>
  <c r="Q1067" i="9"/>
  <c r="S1067" i="9" s="1"/>
  <c r="T1067" i="9" s="1"/>
  <c r="U1067" i="9" s="1"/>
  <c r="Q1068" i="9"/>
  <c r="S1068" i="9" s="1"/>
  <c r="T1068" i="9" s="1"/>
  <c r="U1068" i="9" s="1"/>
  <c r="Q1069" i="9"/>
  <c r="S1069" i="9" s="1"/>
  <c r="T1069" i="9" s="1"/>
  <c r="U1069" i="9" s="1"/>
  <c r="Q1071" i="9"/>
  <c r="Q1070" i="9"/>
  <c r="S1070" i="9" s="1"/>
  <c r="T1070" i="9" s="1"/>
  <c r="U1070" i="9" s="1"/>
  <c r="Q1064" i="9"/>
  <c r="S1064" i="9" s="1"/>
  <c r="T1064" i="9" s="1"/>
  <c r="U1064" i="9" s="1"/>
  <c r="I1073" i="9"/>
  <c r="J1072" i="9" a="1"/>
  <c r="O1071" i="9" l="1"/>
  <c r="R1071" i="9" s="1"/>
  <c r="S1071" i="9" s="1"/>
  <c r="T1071" i="9" s="1"/>
  <c r="U1071" i="9" s="1"/>
  <c r="N1072" i="9"/>
  <c r="K1072" i="9"/>
  <c r="L1072" i="9"/>
  <c r="J1072" i="9"/>
  <c r="M1072" i="9"/>
  <c r="I1074" i="9"/>
  <c r="J1073" i="9" a="1"/>
  <c r="O1072" i="9" l="1"/>
  <c r="R1072" i="9" s="1"/>
  <c r="S1072" i="9" s="1"/>
  <c r="T1072" i="9" s="1"/>
  <c r="U1072" i="9" s="1"/>
  <c r="N1073" i="9"/>
  <c r="L1073" i="9"/>
  <c r="K1073" i="9"/>
  <c r="J1073" i="9"/>
  <c r="M1073" i="9"/>
  <c r="I1075" i="9"/>
  <c r="J1074" i="9" a="1"/>
  <c r="O1073" i="9" l="1"/>
  <c r="R1073" i="9" s="1"/>
  <c r="I1076" i="9"/>
  <c r="L1074" i="9"/>
  <c r="M1074" i="9"/>
  <c r="J1074" i="9"/>
  <c r="N1074" i="9"/>
  <c r="K1074" i="9"/>
  <c r="J1075" i="9" a="1"/>
  <c r="O1074" i="9" l="1"/>
  <c r="R1074" i="9" s="1"/>
  <c r="N1075" i="9"/>
  <c r="J1075" i="9"/>
  <c r="K1075" i="9"/>
  <c r="M1075" i="9"/>
  <c r="L1075" i="9"/>
  <c r="I1077" i="9"/>
  <c r="J1076" i="9" a="1"/>
  <c r="O1075" i="9" l="1"/>
  <c r="R1075" i="9" s="1"/>
  <c r="I1078" i="9"/>
  <c r="L1076" i="9"/>
  <c r="J1076" i="9"/>
  <c r="K1076" i="9"/>
  <c r="M1076" i="9"/>
  <c r="N1076" i="9"/>
  <c r="J1077" i="9" a="1"/>
  <c r="O1076" i="9" l="1"/>
  <c r="R1076" i="9" s="1"/>
  <c r="L1077" i="9"/>
  <c r="K1077" i="9"/>
  <c r="J1077" i="9"/>
  <c r="M1077" i="9"/>
  <c r="N1077" i="9"/>
  <c r="I1079" i="9"/>
  <c r="J1078" i="9" a="1"/>
  <c r="O1077" i="9" l="1"/>
  <c r="R1077" i="9" s="1"/>
  <c r="I1080" i="9"/>
  <c r="N1078" i="9"/>
  <c r="M1078" i="9"/>
  <c r="J1078" i="9"/>
  <c r="K1078" i="9"/>
  <c r="L1078" i="9"/>
  <c r="J1079" i="9" a="1"/>
  <c r="O1078" i="9" l="1"/>
  <c r="P1078" i="9" s="1"/>
  <c r="M1079" i="9"/>
  <c r="N1079" i="9"/>
  <c r="L1079" i="9"/>
  <c r="J1079" i="9"/>
  <c r="K1079" i="9"/>
  <c r="I1081" i="9"/>
  <c r="J1080" i="9" a="1"/>
  <c r="R1078" i="9" l="1"/>
  <c r="O1079" i="9"/>
  <c r="R1079" i="9" s="1"/>
  <c r="N1080" i="9"/>
  <c r="L1080" i="9"/>
  <c r="J1080" i="9"/>
  <c r="M1080" i="9"/>
  <c r="K1080" i="9"/>
  <c r="I1082" i="9"/>
  <c r="Q1073" i="9"/>
  <c r="S1073" i="9" s="1"/>
  <c r="T1073" i="9" s="1"/>
  <c r="U1073" i="9" s="1"/>
  <c r="Q1076" i="9"/>
  <c r="S1076" i="9" s="1"/>
  <c r="T1076" i="9" s="1"/>
  <c r="U1076" i="9" s="1"/>
  <c r="Q1079" i="9"/>
  <c r="S1079" i="9" s="1"/>
  <c r="T1079" i="9" s="1"/>
  <c r="U1079" i="9" s="1"/>
  <c r="Q1081" i="9"/>
  <c r="Q1077" i="9"/>
  <c r="S1077" i="9" s="1"/>
  <c r="T1077" i="9" s="1"/>
  <c r="U1077" i="9" s="1"/>
  <c r="Q1080" i="9"/>
  <c r="Q1078" i="9"/>
  <c r="S1078" i="9" s="1"/>
  <c r="T1078" i="9" s="1"/>
  <c r="U1078" i="9" s="1"/>
  <c r="Q1074" i="9"/>
  <c r="S1074" i="9" s="1"/>
  <c r="T1074" i="9" s="1"/>
  <c r="U1074" i="9" s="1"/>
  <c r="Q1075" i="9"/>
  <c r="S1075" i="9" s="1"/>
  <c r="T1075" i="9" s="1"/>
  <c r="U1075" i="9" s="1"/>
  <c r="J1081" i="9" a="1"/>
  <c r="O1080" i="9" l="1"/>
  <c r="R1080" i="9" s="1"/>
  <c r="S1080" i="9" s="1"/>
  <c r="T1080" i="9" s="1"/>
  <c r="U1080" i="9" s="1"/>
  <c r="I1083" i="9"/>
  <c r="L1081" i="9"/>
  <c r="K1081" i="9"/>
  <c r="M1081" i="9"/>
  <c r="J1081" i="9"/>
  <c r="N1081" i="9"/>
  <c r="J1082" i="9" a="1"/>
  <c r="O1081" i="9" l="1"/>
  <c r="R1081" i="9" s="1"/>
  <c r="S1081" i="9" s="1"/>
  <c r="T1081" i="9" s="1"/>
  <c r="U1081" i="9" s="1"/>
  <c r="J1082" i="9"/>
  <c r="L1082" i="9"/>
  <c r="N1082" i="9"/>
  <c r="K1082" i="9"/>
  <c r="M1082" i="9"/>
  <c r="I1084" i="9"/>
  <c r="J1083" i="9" a="1"/>
  <c r="O1082" i="9" l="1"/>
  <c r="R1082" i="9" s="1"/>
  <c r="J1083" i="9"/>
  <c r="K1083" i="9"/>
  <c r="L1083" i="9"/>
  <c r="M1083" i="9"/>
  <c r="N1083" i="9"/>
  <c r="I1085" i="9"/>
  <c r="J1084" i="9" a="1"/>
  <c r="O1083" i="9" l="1"/>
  <c r="R1083" i="9" s="1"/>
  <c r="L1084" i="9"/>
  <c r="J1084" i="9"/>
  <c r="M1084" i="9"/>
  <c r="K1084" i="9"/>
  <c r="N1084" i="9"/>
  <c r="I1086" i="9"/>
  <c r="J1085" i="9" a="1"/>
  <c r="O1084" i="9" l="1"/>
  <c r="R1084" i="9" s="1"/>
  <c r="I1087" i="9"/>
  <c r="L1085" i="9"/>
  <c r="N1085" i="9"/>
  <c r="M1085" i="9"/>
  <c r="J1085" i="9"/>
  <c r="K1085" i="9"/>
  <c r="J1086" i="9" a="1"/>
  <c r="O1085" i="9" l="1"/>
  <c r="R1085" i="9" s="1"/>
  <c r="L1086" i="9"/>
  <c r="M1086" i="9"/>
  <c r="N1086" i="9"/>
  <c r="K1086" i="9"/>
  <c r="J1086" i="9"/>
  <c r="I1088" i="9"/>
  <c r="J1087" i="9" a="1"/>
  <c r="O1086" i="9" l="1"/>
  <c r="R1086" i="9" s="1"/>
  <c r="I1089" i="9"/>
  <c r="J1087" i="9"/>
  <c r="K1087" i="9"/>
  <c r="M1087" i="9"/>
  <c r="L1087" i="9"/>
  <c r="N1087" i="9"/>
  <c r="J1088" i="9" a="1"/>
  <c r="O1087" i="9" l="1"/>
  <c r="P1087" i="9" s="1"/>
  <c r="K1088" i="9"/>
  <c r="M1088" i="9"/>
  <c r="L1088" i="9"/>
  <c r="N1088" i="9"/>
  <c r="J1088" i="9"/>
  <c r="I1090" i="9"/>
  <c r="J1089" i="9" a="1"/>
  <c r="O1088" i="9" l="1"/>
  <c r="R1088" i="9" s="1"/>
  <c r="R1087" i="9"/>
  <c r="I1091" i="9"/>
  <c r="N1089" i="9"/>
  <c r="J1089" i="9"/>
  <c r="L1089" i="9"/>
  <c r="M1089" i="9"/>
  <c r="K1089" i="9"/>
  <c r="Q1083" i="9"/>
  <c r="S1083" i="9" s="1"/>
  <c r="T1083" i="9" s="1"/>
  <c r="U1083" i="9" s="1"/>
  <c r="Q1084" i="9"/>
  <c r="S1084" i="9" s="1"/>
  <c r="T1084" i="9" s="1"/>
  <c r="U1084" i="9" s="1"/>
  <c r="Q1089" i="9"/>
  <c r="Q1087" i="9"/>
  <c r="S1087" i="9" s="1"/>
  <c r="T1087" i="9" s="1"/>
  <c r="U1087" i="9" s="1"/>
  <c r="Q1082" i="9"/>
  <c r="S1082" i="9" s="1"/>
  <c r="T1082" i="9" s="1"/>
  <c r="U1082" i="9" s="1"/>
  <c r="Q1090" i="9"/>
  <c r="Q1086" i="9"/>
  <c r="S1086" i="9" s="1"/>
  <c r="T1086" i="9" s="1"/>
  <c r="U1086" i="9" s="1"/>
  <c r="Q1088" i="9"/>
  <c r="S1088" i="9" s="1"/>
  <c r="T1088" i="9" s="1"/>
  <c r="U1088" i="9" s="1"/>
  <c r="Q1085" i="9"/>
  <c r="S1085" i="9" s="1"/>
  <c r="T1085" i="9" s="1"/>
  <c r="U1085" i="9" s="1"/>
  <c r="J1090" i="9" a="1"/>
  <c r="O1089" i="9" l="1"/>
  <c r="R1089" i="9" s="1"/>
  <c r="S1089" i="9" s="1"/>
  <c r="T1089" i="9" s="1"/>
  <c r="U1089" i="9" s="1"/>
  <c r="L1090" i="9"/>
  <c r="N1090" i="9"/>
  <c r="J1090" i="9"/>
  <c r="K1090" i="9"/>
  <c r="M1090" i="9"/>
  <c r="I1092" i="9"/>
  <c r="J1091" i="9" a="1"/>
  <c r="O1090" i="9" l="1"/>
  <c r="R1090" i="9" s="1"/>
  <c r="S1090" i="9" s="1"/>
  <c r="T1090" i="9" s="1"/>
  <c r="U1090" i="9" s="1"/>
  <c r="K1091" i="9"/>
  <c r="L1091" i="9"/>
  <c r="M1091" i="9"/>
  <c r="J1091" i="9"/>
  <c r="N1091" i="9"/>
  <c r="I1093" i="9"/>
  <c r="J1092" i="9" a="1"/>
  <c r="O1091" i="9" l="1"/>
  <c r="R1091" i="9" s="1"/>
  <c r="I1094" i="9"/>
  <c r="J1092" i="9"/>
  <c r="M1092" i="9"/>
  <c r="N1092" i="9"/>
  <c r="K1092" i="9"/>
  <c r="L1092" i="9"/>
  <c r="J1093" i="9" a="1"/>
  <c r="O1092" i="9" l="1"/>
  <c r="R1092" i="9" s="1"/>
  <c r="K1093" i="9"/>
  <c r="M1093" i="9"/>
  <c r="J1093" i="9"/>
  <c r="L1093" i="9"/>
  <c r="N1093" i="9"/>
  <c r="I1095" i="9"/>
  <c r="J1094" i="9" a="1"/>
  <c r="O1093" i="9" l="1"/>
  <c r="R1093" i="9" s="1"/>
  <c r="I1096" i="9"/>
  <c r="N1094" i="9"/>
  <c r="J1094" i="9"/>
  <c r="K1094" i="9"/>
  <c r="L1094" i="9"/>
  <c r="M1094" i="9"/>
  <c r="J1095" i="9" a="1"/>
  <c r="O1094" i="9" l="1"/>
  <c r="R1094" i="9" s="1"/>
  <c r="K1095" i="9"/>
  <c r="M1095" i="9"/>
  <c r="N1095" i="9"/>
  <c r="J1095" i="9"/>
  <c r="L1095" i="9"/>
  <c r="I1097" i="9"/>
  <c r="J1096" i="9" a="1"/>
  <c r="O1095" i="9" l="1"/>
  <c r="R1095" i="9" s="1"/>
  <c r="I1098" i="9"/>
  <c r="L1096" i="9"/>
  <c r="K1096" i="9"/>
  <c r="N1096" i="9"/>
  <c r="J1096" i="9"/>
  <c r="M1096" i="9"/>
  <c r="J1097" i="9" a="1"/>
  <c r="O1096" i="9" l="1"/>
  <c r="P1096" i="9" s="1"/>
  <c r="M1097" i="9"/>
  <c r="N1097" i="9"/>
  <c r="J1097" i="9"/>
  <c r="K1097" i="9"/>
  <c r="L1097" i="9"/>
  <c r="I1099" i="9"/>
  <c r="J1098" i="9" a="1"/>
  <c r="R1096" i="9" l="1"/>
  <c r="O1097" i="9"/>
  <c r="R1097" i="9" s="1"/>
  <c r="K1098" i="9"/>
  <c r="M1098" i="9"/>
  <c r="N1098" i="9"/>
  <c r="L1098" i="9"/>
  <c r="J1098" i="9"/>
  <c r="I1100" i="9"/>
  <c r="Q1097" i="9"/>
  <c r="S1097" i="9" s="1"/>
  <c r="T1097" i="9" s="1"/>
  <c r="U1097" i="9" s="1"/>
  <c r="Q1098" i="9"/>
  <c r="Q1092" i="9"/>
  <c r="S1092" i="9" s="1"/>
  <c r="T1092" i="9" s="1"/>
  <c r="U1092" i="9" s="1"/>
  <c r="Q1091" i="9"/>
  <c r="S1091" i="9" s="1"/>
  <c r="T1091" i="9" s="1"/>
  <c r="U1091" i="9" s="1"/>
  <c r="Q1093" i="9"/>
  <c r="S1093" i="9" s="1"/>
  <c r="T1093" i="9" s="1"/>
  <c r="U1093" i="9" s="1"/>
  <c r="Q1094" i="9"/>
  <c r="S1094" i="9" s="1"/>
  <c r="T1094" i="9" s="1"/>
  <c r="U1094" i="9" s="1"/>
  <c r="Q1095" i="9"/>
  <c r="S1095" i="9" s="1"/>
  <c r="T1095" i="9" s="1"/>
  <c r="U1095" i="9" s="1"/>
  <c r="Q1099" i="9"/>
  <c r="Q1096" i="9"/>
  <c r="S1096" i="9" s="1"/>
  <c r="T1096" i="9" s="1"/>
  <c r="U1096" i="9" s="1"/>
  <c r="J1099" i="9" a="1"/>
  <c r="O1098" i="9" l="1"/>
  <c r="R1098" i="9" s="1"/>
  <c r="S1098" i="9" s="1"/>
  <c r="T1098" i="9" s="1"/>
  <c r="U1098" i="9" s="1"/>
  <c r="I1101" i="9"/>
  <c r="J1099" i="9"/>
  <c r="L1099" i="9"/>
  <c r="N1099" i="9"/>
  <c r="K1099" i="9"/>
  <c r="M1099" i="9"/>
  <c r="J1100" i="9" a="1"/>
  <c r="O1099" i="9" l="1"/>
  <c r="R1099" i="9" s="1"/>
  <c r="S1099" i="9" s="1"/>
  <c r="T1099" i="9" s="1"/>
  <c r="U1099" i="9" s="1"/>
  <c r="L1100" i="9"/>
  <c r="J1100" i="9"/>
  <c r="K1100" i="9"/>
  <c r="M1100" i="9"/>
  <c r="N1100" i="9"/>
  <c r="I1102" i="9"/>
  <c r="J1101" i="9" a="1"/>
  <c r="O1100" i="9" l="1"/>
  <c r="R1100" i="9" s="1"/>
  <c r="I1103" i="9"/>
  <c r="J1101" i="9"/>
  <c r="N1101" i="9"/>
  <c r="K1101" i="9"/>
  <c r="M1101" i="9"/>
  <c r="L1101" i="9"/>
  <c r="J1102" i="9" a="1"/>
  <c r="O1101" i="9" l="1"/>
  <c r="R1101" i="9" s="1"/>
  <c r="N1102" i="9"/>
  <c r="J1102" i="9"/>
  <c r="K1102" i="9"/>
  <c r="M1102" i="9"/>
  <c r="L1102" i="9"/>
  <c r="I1104" i="9"/>
  <c r="J1103" i="9" a="1"/>
  <c r="O1102" i="9" l="1"/>
  <c r="R1102" i="9" s="1"/>
  <c r="I1105" i="9"/>
  <c r="J1103" i="9"/>
  <c r="K1103" i="9"/>
  <c r="L1103" i="9"/>
  <c r="M1103" i="9"/>
  <c r="N1103" i="9"/>
  <c r="J1104" i="9" a="1"/>
  <c r="O1103" i="9" l="1"/>
  <c r="R1103" i="9" s="1"/>
  <c r="M1104" i="9"/>
  <c r="J1104" i="9"/>
  <c r="L1104" i="9"/>
  <c r="K1104" i="9"/>
  <c r="N1104" i="9"/>
  <c r="I1106" i="9"/>
  <c r="J1105" i="9" a="1"/>
  <c r="O1104" i="9" l="1"/>
  <c r="R1104" i="9" s="1"/>
  <c r="I1107" i="9"/>
  <c r="N1105" i="9"/>
  <c r="L1105" i="9"/>
  <c r="J1105" i="9"/>
  <c r="K1105" i="9"/>
  <c r="M1105" i="9"/>
  <c r="J1106" i="9" a="1"/>
  <c r="O1105" i="9" l="1"/>
  <c r="R1105" i="9" s="1"/>
  <c r="K1106" i="9"/>
  <c r="L1106" i="9"/>
  <c r="J1106" i="9"/>
  <c r="M1106" i="9"/>
  <c r="N1106" i="9"/>
  <c r="I1108" i="9"/>
  <c r="J1107" i="9" a="1"/>
  <c r="O1106" i="9" l="1"/>
  <c r="R1106" i="9" s="1"/>
  <c r="P1105" i="9"/>
  <c r="Q1105" i="9"/>
  <c r="S1105" i="9" s="1"/>
  <c r="T1105" i="9" s="1"/>
  <c r="U1105" i="9" s="1"/>
  <c r="Q1104" i="9"/>
  <c r="S1104" i="9" s="1"/>
  <c r="T1104" i="9" s="1"/>
  <c r="U1104" i="9" s="1"/>
  <c r="Q1106" i="9"/>
  <c r="S1106" i="9" s="1"/>
  <c r="T1106" i="9" s="1"/>
  <c r="U1106" i="9" s="1"/>
  <c r="Q1103" i="9"/>
  <c r="S1103" i="9" s="1"/>
  <c r="T1103" i="9" s="1"/>
  <c r="U1103" i="9" s="1"/>
  <c r="Q1102" i="9"/>
  <c r="S1102" i="9" s="1"/>
  <c r="T1102" i="9" s="1"/>
  <c r="U1102" i="9" s="1"/>
  <c r="Q1100" i="9"/>
  <c r="S1100" i="9" s="1"/>
  <c r="T1100" i="9" s="1"/>
  <c r="U1100" i="9" s="1"/>
  <c r="Q1108" i="9"/>
  <c r="Q1107" i="9"/>
  <c r="Q1101" i="9"/>
  <c r="S1101" i="9" s="1"/>
  <c r="T1101" i="9" s="1"/>
  <c r="U1101" i="9" s="1"/>
  <c r="N1107" i="9"/>
  <c r="M1107" i="9"/>
  <c r="K1107" i="9"/>
  <c r="J1107" i="9"/>
  <c r="L1107" i="9"/>
  <c r="I1109" i="9"/>
  <c r="J1108" i="9" a="1"/>
  <c r="O1107" i="9" l="1"/>
  <c r="R1107" i="9" s="1"/>
  <c r="S1107" i="9" s="1"/>
  <c r="T1107" i="9" s="1"/>
  <c r="U1107" i="9" s="1"/>
  <c r="L1108" i="9"/>
  <c r="M1108" i="9"/>
  <c r="J1108" i="9"/>
  <c r="K1108" i="9"/>
  <c r="N1108" i="9"/>
  <c r="I1110" i="9"/>
  <c r="J1109" i="9" a="1"/>
  <c r="O1108" i="9" l="1"/>
  <c r="R1108" i="9" s="1"/>
  <c r="S1108" i="9" s="1"/>
  <c r="T1108" i="9" s="1"/>
  <c r="U1108" i="9" s="1"/>
  <c r="I1111" i="9"/>
  <c r="N1109" i="9"/>
  <c r="K1109" i="9"/>
  <c r="L1109" i="9"/>
  <c r="J1109" i="9"/>
  <c r="M1109" i="9"/>
  <c r="J1110" i="9" a="1"/>
  <c r="O1109" i="9" l="1"/>
  <c r="R1109" i="9" s="1"/>
  <c r="M1110" i="9"/>
  <c r="K1110" i="9"/>
  <c r="J1110" i="9"/>
  <c r="L1110" i="9"/>
  <c r="N1110" i="9"/>
  <c r="I1112" i="9"/>
  <c r="J1111" i="9" a="1"/>
  <c r="O1110" i="9" l="1"/>
  <c r="R1110" i="9" s="1"/>
  <c r="I1113" i="9"/>
  <c r="M1111" i="9"/>
  <c r="L1111" i="9"/>
  <c r="N1111" i="9"/>
  <c r="J1111" i="9"/>
  <c r="K1111" i="9"/>
  <c r="J1112" i="9" a="1"/>
  <c r="O1111" i="9" l="1"/>
  <c r="R1111" i="9" s="1"/>
  <c r="M1112" i="9"/>
  <c r="N1112" i="9"/>
  <c r="J1112" i="9"/>
  <c r="K1112" i="9"/>
  <c r="L1112" i="9"/>
  <c r="I1114" i="9"/>
  <c r="J1113" i="9" a="1"/>
  <c r="O1112" i="9" l="1"/>
  <c r="R1112" i="9" s="1"/>
  <c r="I1115" i="9"/>
  <c r="M1113" i="9"/>
  <c r="N1113" i="9"/>
  <c r="K1113" i="9"/>
  <c r="J1113" i="9"/>
  <c r="L1113" i="9"/>
  <c r="J1114" i="9" a="1"/>
  <c r="O1113" i="9" l="1"/>
  <c r="R1113" i="9" s="1"/>
  <c r="J1114" i="9"/>
  <c r="L1114" i="9"/>
  <c r="N1114" i="9"/>
  <c r="K1114" i="9"/>
  <c r="M1114" i="9"/>
  <c r="I1116" i="9"/>
  <c r="J1115" i="9" a="1"/>
  <c r="O1114" i="9" l="1"/>
  <c r="R1114" i="9" s="1"/>
  <c r="K1115" i="9"/>
  <c r="M1115" i="9"/>
  <c r="L1115" i="9"/>
  <c r="N1115" i="9"/>
  <c r="J1115" i="9"/>
  <c r="I1117" i="9"/>
  <c r="J1116" i="9" a="1"/>
  <c r="O1115" i="9" l="1"/>
  <c r="R1115" i="9" s="1"/>
  <c r="P1114" i="9"/>
  <c r="Q1111" i="9"/>
  <c r="S1111" i="9" s="1"/>
  <c r="T1111" i="9" s="1"/>
  <c r="U1111" i="9" s="1"/>
  <c r="Q1109" i="9"/>
  <c r="S1109" i="9" s="1"/>
  <c r="T1109" i="9" s="1"/>
  <c r="U1109" i="9" s="1"/>
  <c r="Q1112" i="9"/>
  <c r="S1112" i="9" s="1"/>
  <c r="T1112" i="9" s="1"/>
  <c r="U1112" i="9" s="1"/>
  <c r="Q1117" i="9"/>
  <c r="Q1113" i="9"/>
  <c r="S1113" i="9" s="1"/>
  <c r="T1113" i="9" s="1"/>
  <c r="U1113" i="9" s="1"/>
  <c r="Q1114" i="9"/>
  <c r="S1114" i="9" s="1"/>
  <c r="T1114" i="9" s="1"/>
  <c r="U1114" i="9" s="1"/>
  <c r="Q1116" i="9"/>
  <c r="Q1115" i="9"/>
  <c r="S1115" i="9" s="1"/>
  <c r="T1115" i="9" s="1"/>
  <c r="U1115" i="9" s="1"/>
  <c r="Q1110" i="9"/>
  <c r="S1110" i="9" s="1"/>
  <c r="T1110" i="9" s="1"/>
  <c r="U1110" i="9" s="1"/>
  <c r="I1118" i="9"/>
  <c r="N1116" i="9"/>
  <c r="J1116" i="9"/>
  <c r="K1116" i="9"/>
  <c r="L1116" i="9"/>
  <c r="M1116" i="9"/>
  <c r="J1117" i="9" a="1"/>
  <c r="O1116" i="9" l="1"/>
  <c r="R1116" i="9" s="1"/>
  <c r="S1116" i="9" s="1"/>
  <c r="T1116" i="9" s="1"/>
  <c r="U1116" i="9" s="1"/>
  <c r="N1117" i="9"/>
  <c r="L1117" i="9"/>
  <c r="M1117" i="9"/>
  <c r="J1117" i="9"/>
  <c r="K1117" i="9"/>
  <c r="I1119" i="9"/>
  <c r="J1118" i="9" a="1"/>
  <c r="O1117" i="9" l="1"/>
  <c r="R1117" i="9" s="1"/>
  <c r="S1117" i="9" s="1"/>
  <c r="T1117" i="9" s="1"/>
  <c r="U1117" i="9" s="1"/>
  <c r="I1120" i="9"/>
  <c r="N1118" i="9"/>
  <c r="L1118" i="9"/>
  <c r="M1118" i="9"/>
  <c r="K1118" i="9"/>
  <c r="J1118" i="9"/>
  <c r="J1119" i="9" a="1"/>
  <c r="O1118" i="9" l="1"/>
  <c r="R1118" i="9" s="1"/>
  <c r="K1119" i="9"/>
  <c r="M1119" i="9"/>
  <c r="N1119" i="9"/>
  <c r="L1119" i="9"/>
  <c r="J1119" i="9"/>
  <c r="I1121" i="9"/>
  <c r="J1120" i="9" a="1"/>
  <c r="O1119" i="9" l="1"/>
  <c r="R1119" i="9" s="1"/>
  <c r="I1122" i="9"/>
  <c r="K1120" i="9"/>
  <c r="M1120" i="9"/>
  <c r="L1120" i="9"/>
  <c r="N1120" i="9"/>
  <c r="J1120" i="9"/>
  <c r="J1121" i="9" a="1"/>
  <c r="O1120" i="9" l="1"/>
  <c r="R1120" i="9" s="1"/>
  <c r="L1121" i="9"/>
  <c r="M1121" i="9"/>
  <c r="J1121" i="9"/>
  <c r="K1121" i="9"/>
  <c r="N1121" i="9"/>
  <c r="I1123" i="9"/>
  <c r="J1122" i="9" a="1"/>
  <c r="O1121" i="9" l="1"/>
  <c r="R1121" i="9" s="1"/>
  <c r="I1124" i="9"/>
  <c r="M1122" i="9"/>
  <c r="L1122" i="9"/>
  <c r="K1122" i="9"/>
  <c r="J1122" i="9"/>
  <c r="N1122" i="9"/>
  <c r="J1123" i="9" a="1"/>
  <c r="O1122" i="9" l="1"/>
  <c r="R1122" i="9" s="1"/>
  <c r="J1123" i="9"/>
  <c r="K1123" i="9"/>
  <c r="M1123" i="9"/>
  <c r="N1123" i="9"/>
  <c r="L1123" i="9"/>
  <c r="I1125" i="9"/>
  <c r="J1124" i="9" a="1"/>
  <c r="O1123" i="9" l="1"/>
  <c r="R1123" i="9" s="1"/>
  <c r="J1124" i="9"/>
  <c r="M1124" i="9"/>
  <c r="L1124" i="9"/>
  <c r="K1124" i="9"/>
  <c r="N1124" i="9"/>
  <c r="I1126" i="9"/>
  <c r="J1125" i="9" a="1"/>
  <c r="P1123" i="9" l="1"/>
  <c r="O1124" i="9"/>
  <c r="I1127" i="9"/>
  <c r="Q1122" i="9"/>
  <c r="S1122" i="9" s="1"/>
  <c r="T1122" i="9" s="1"/>
  <c r="U1122" i="9" s="1"/>
  <c r="Q1124" i="9"/>
  <c r="Q1120" i="9"/>
  <c r="S1120" i="9" s="1"/>
  <c r="T1120" i="9" s="1"/>
  <c r="U1120" i="9" s="1"/>
  <c r="Q1119" i="9"/>
  <c r="S1119" i="9" s="1"/>
  <c r="T1119" i="9" s="1"/>
  <c r="U1119" i="9" s="1"/>
  <c r="Q1126" i="9"/>
  <c r="Q1121" i="9"/>
  <c r="S1121" i="9" s="1"/>
  <c r="T1121" i="9" s="1"/>
  <c r="U1121" i="9" s="1"/>
  <c r="Q1118" i="9"/>
  <c r="S1118" i="9" s="1"/>
  <c r="T1118" i="9" s="1"/>
  <c r="U1118" i="9" s="1"/>
  <c r="Q1123" i="9"/>
  <c r="S1123" i="9" s="1"/>
  <c r="T1123" i="9" s="1"/>
  <c r="U1123" i="9" s="1"/>
  <c r="Q1125" i="9"/>
  <c r="N1125" i="9"/>
  <c r="L1125" i="9"/>
  <c r="J1125" i="9"/>
  <c r="K1125" i="9"/>
  <c r="M1125" i="9"/>
  <c r="R1124" i="9"/>
  <c r="J1126" i="9" a="1"/>
  <c r="O1125" i="9" l="1"/>
  <c r="R1125" i="9" s="1"/>
  <c r="S1125" i="9" s="1"/>
  <c r="T1125" i="9" s="1"/>
  <c r="U1125" i="9" s="1"/>
  <c r="S1124" i="9"/>
  <c r="T1124" i="9" s="1"/>
  <c r="U1124" i="9" s="1"/>
  <c r="L1126" i="9"/>
  <c r="M1126" i="9"/>
  <c r="K1126" i="9"/>
  <c r="J1126" i="9"/>
  <c r="N1126" i="9"/>
  <c r="I1128" i="9"/>
  <c r="J1127" i="9" a="1"/>
  <c r="O1126" i="9" l="1"/>
  <c r="R1126" i="9" s="1"/>
  <c r="S1126" i="9" s="1"/>
  <c r="T1126" i="9" s="1"/>
  <c r="U1126" i="9" s="1"/>
  <c r="M1127" i="9"/>
  <c r="N1127" i="9"/>
  <c r="L1127" i="9"/>
  <c r="J1127" i="9"/>
  <c r="K1127" i="9"/>
  <c r="I1129" i="9"/>
  <c r="J1128" i="9" a="1"/>
  <c r="O1127" i="9" l="1"/>
  <c r="R1127" i="9" s="1"/>
  <c r="I1130" i="9"/>
  <c r="M1128" i="9"/>
  <c r="N1128" i="9"/>
  <c r="J1128" i="9"/>
  <c r="K1128" i="9"/>
  <c r="L1128" i="9"/>
  <c r="J1129" i="9" a="1"/>
  <c r="O1128" i="9" l="1"/>
  <c r="R1128" i="9" s="1"/>
  <c r="N1129" i="9"/>
  <c r="M1129" i="9"/>
  <c r="L1129" i="9"/>
  <c r="J1129" i="9"/>
  <c r="K1129" i="9"/>
  <c r="I1131" i="9"/>
  <c r="J1130" i="9" a="1"/>
  <c r="O1129" i="9" l="1"/>
  <c r="R1129" i="9" s="1"/>
  <c r="I1132" i="9"/>
  <c r="J1130" i="9"/>
  <c r="N1130" i="9"/>
  <c r="K1130" i="9"/>
  <c r="L1130" i="9"/>
  <c r="M1130" i="9"/>
  <c r="J1131" i="9" a="1"/>
  <c r="O1130" i="9" l="1"/>
  <c r="R1130" i="9" s="1"/>
  <c r="M1131" i="9"/>
  <c r="K1131" i="9"/>
  <c r="L1131" i="9"/>
  <c r="N1131" i="9"/>
  <c r="J1131" i="9"/>
  <c r="I1133" i="9"/>
  <c r="J1132" i="9" a="1"/>
  <c r="O1131" i="9" l="1"/>
  <c r="R1131" i="9" s="1"/>
  <c r="I1134" i="9"/>
  <c r="L1132" i="9"/>
  <c r="M1132" i="9"/>
  <c r="N1132" i="9"/>
  <c r="J1132" i="9"/>
  <c r="K1132" i="9"/>
  <c r="J1133" i="9" a="1"/>
  <c r="O1132" i="9" l="1"/>
  <c r="R1132" i="9" s="1"/>
  <c r="L1133" i="9"/>
  <c r="M1133" i="9"/>
  <c r="N1133" i="9"/>
  <c r="K1133" i="9"/>
  <c r="J1133" i="9"/>
  <c r="I1135" i="9"/>
  <c r="J1134" i="9" a="1"/>
  <c r="P1132" i="9" l="1"/>
  <c r="O1133" i="9"/>
  <c r="R1133" i="9" s="1"/>
  <c r="I1136" i="9"/>
  <c r="K1134" i="9"/>
  <c r="L1134" i="9"/>
  <c r="M1134" i="9"/>
  <c r="J1134" i="9"/>
  <c r="N1134" i="9"/>
  <c r="Q1133" i="9"/>
  <c r="S1133" i="9" s="1"/>
  <c r="T1133" i="9" s="1"/>
  <c r="U1133" i="9" s="1"/>
  <c r="Q1135" i="9"/>
  <c r="Q1134" i="9"/>
  <c r="Q1132" i="9"/>
  <c r="S1132" i="9" s="1"/>
  <c r="T1132" i="9" s="1"/>
  <c r="U1132" i="9" s="1"/>
  <c r="Q1127" i="9"/>
  <c r="S1127" i="9" s="1"/>
  <c r="T1127" i="9" s="1"/>
  <c r="U1127" i="9" s="1"/>
  <c r="Q1129" i="9"/>
  <c r="S1129" i="9" s="1"/>
  <c r="T1129" i="9" s="1"/>
  <c r="U1129" i="9" s="1"/>
  <c r="Q1128" i="9"/>
  <c r="S1128" i="9" s="1"/>
  <c r="T1128" i="9" s="1"/>
  <c r="U1128" i="9" s="1"/>
  <c r="Q1131" i="9"/>
  <c r="S1131" i="9" s="1"/>
  <c r="T1131" i="9" s="1"/>
  <c r="U1131" i="9" s="1"/>
  <c r="Q1130" i="9"/>
  <c r="S1130" i="9" s="1"/>
  <c r="T1130" i="9" s="1"/>
  <c r="U1130" i="9" s="1"/>
  <c r="J1135" i="9" a="1"/>
  <c r="O1134" i="9" l="1"/>
  <c r="R1134" i="9" s="1"/>
  <c r="S1134" i="9" s="1"/>
  <c r="T1134" i="9" s="1"/>
  <c r="U1134" i="9" s="1"/>
  <c r="K1135" i="9"/>
  <c r="M1135" i="9"/>
  <c r="N1135" i="9"/>
  <c r="J1135" i="9"/>
  <c r="L1135" i="9"/>
  <c r="I1137" i="9"/>
  <c r="J1136" i="9" a="1"/>
  <c r="O1135" i="9" l="1"/>
  <c r="R1135" i="9" s="1"/>
  <c r="S1135" i="9" s="1"/>
  <c r="T1135" i="9" s="1"/>
  <c r="U1135" i="9" s="1"/>
  <c r="I1138" i="9"/>
  <c r="K1136" i="9"/>
  <c r="L1136" i="9"/>
  <c r="M1136" i="9"/>
  <c r="N1136" i="9"/>
  <c r="J1136" i="9"/>
  <c r="J1137" i="9" a="1"/>
  <c r="O1136" i="9" l="1"/>
  <c r="R1136" i="9" s="1"/>
  <c r="M1137" i="9"/>
  <c r="N1137" i="9"/>
  <c r="L1137" i="9"/>
  <c r="J1137" i="9"/>
  <c r="K1137" i="9"/>
  <c r="I1139" i="9"/>
  <c r="J1138" i="9" a="1"/>
  <c r="O1137" i="9" l="1"/>
  <c r="R1137" i="9" s="1"/>
  <c r="I1140" i="9"/>
  <c r="K1138" i="9"/>
  <c r="M1138" i="9"/>
  <c r="L1138" i="9"/>
  <c r="J1138" i="9"/>
  <c r="N1138" i="9"/>
  <c r="J1139" i="9" a="1"/>
  <c r="O1138" i="9" l="1"/>
  <c r="R1138" i="9" s="1"/>
  <c r="L1139" i="9"/>
  <c r="J1139" i="9"/>
  <c r="K1139" i="9"/>
  <c r="M1139" i="9"/>
  <c r="N1139" i="9"/>
  <c r="I1141" i="9"/>
  <c r="J1140" i="9" a="1"/>
  <c r="O1139" i="9" l="1"/>
  <c r="R1139" i="9" s="1"/>
  <c r="I1142" i="9"/>
  <c r="N1140" i="9"/>
  <c r="J1140" i="9"/>
  <c r="M1140" i="9"/>
  <c r="L1140" i="9"/>
  <c r="K1140" i="9"/>
  <c r="J1141" i="9" a="1"/>
  <c r="O1140" i="9" l="1"/>
  <c r="R1140" i="9" s="1"/>
  <c r="K1141" i="9"/>
  <c r="M1141" i="9"/>
  <c r="N1141" i="9"/>
  <c r="L1141" i="9"/>
  <c r="J1141" i="9"/>
  <c r="I1143" i="9"/>
  <c r="J1142" i="9" a="1"/>
  <c r="O1141" i="9" l="1"/>
  <c r="R1141" i="9" s="1"/>
  <c r="I1144" i="9"/>
  <c r="L1142" i="9"/>
  <c r="M1142" i="9"/>
  <c r="K1142" i="9"/>
  <c r="J1142" i="9"/>
  <c r="N1142" i="9"/>
  <c r="J1143" i="9" a="1"/>
  <c r="P1141" i="9" l="1"/>
  <c r="Q1137" i="9" s="1"/>
  <c r="S1137" i="9" s="1"/>
  <c r="T1137" i="9" s="1"/>
  <c r="U1137" i="9" s="1"/>
  <c r="O1142" i="9"/>
  <c r="R1142" i="9" s="1"/>
  <c r="J1143" i="9"/>
  <c r="K1143" i="9"/>
  <c r="M1143" i="9"/>
  <c r="N1143" i="9"/>
  <c r="L1143" i="9"/>
  <c r="Q1142" i="9"/>
  <c r="Q1138" i="9"/>
  <c r="S1138" i="9" s="1"/>
  <c r="T1138" i="9" s="1"/>
  <c r="U1138" i="9" s="1"/>
  <c r="Q1141" i="9"/>
  <c r="S1141" i="9" s="1"/>
  <c r="T1141" i="9" s="1"/>
  <c r="U1141" i="9" s="1"/>
  <c r="Q1143" i="9"/>
  <c r="I1145" i="9"/>
  <c r="J1144" i="9" a="1"/>
  <c r="Q1136" i="9" l="1"/>
  <c r="S1136" i="9" s="1"/>
  <c r="T1136" i="9" s="1"/>
  <c r="U1136" i="9" s="1"/>
  <c r="Q1144" i="9"/>
  <c r="Q1139" i="9"/>
  <c r="S1139" i="9" s="1"/>
  <c r="T1139" i="9" s="1"/>
  <c r="U1139" i="9" s="1"/>
  <c r="Q1140" i="9"/>
  <c r="S1140" i="9" s="1"/>
  <c r="T1140" i="9" s="1"/>
  <c r="U1140" i="9" s="1"/>
  <c r="O1143" i="9"/>
  <c r="R1143" i="9" s="1"/>
  <c r="S1143" i="9" s="1"/>
  <c r="T1143" i="9" s="1"/>
  <c r="U1143" i="9" s="1"/>
  <c r="S1142" i="9"/>
  <c r="T1142" i="9" s="1"/>
  <c r="U1142" i="9" s="1"/>
  <c r="K1144" i="9"/>
  <c r="L1144" i="9"/>
  <c r="M1144" i="9"/>
  <c r="N1144" i="9"/>
  <c r="J1144" i="9"/>
  <c r="I1146" i="9"/>
  <c r="J1145" i="9" a="1"/>
  <c r="O1144" i="9" l="1"/>
  <c r="R1144" i="9" s="1"/>
  <c r="S1144" i="9" s="1"/>
  <c r="T1144" i="9" s="1"/>
  <c r="U1144" i="9" s="1"/>
  <c r="I1147" i="9"/>
  <c r="J1145" i="9"/>
  <c r="K1145" i="9"/>
  <c r="N1145" i="9"/>
  <c r="M1145" i="9"/>
  <c r="L1145" i="9"/>
  <c r="J1146" i="9" a="1"/>
  <c r="O1145" i="9" l="1"/>
  <c r="R1145" i="9" s="1"/>
  <c r="M1146" i="9"/>
  <c r="J1146" i="9"/>
  <c r="N1146" i="9"/>
  <c r="K1146" i="9"/>
  <c r="L1146" i="9"/>
  <c r="I1148" i="9"/>
  <c r="J1147" i="9" a="1"/>
  <c r="O1146" i="9" l="1"/>
  <c r="R1146" i="9" s="1"/>
  <c r="I1149" i="9"/>
  <c r="N1147" i="9"/>
  <c r="J1147" i="9"/>
  <c r="M1147" i="9"/>
  <c r="K1147" i="9"/>
  <c r="L1147" i="9"/>
  <c r="J1148" i="9" a="1"/>
  <c r="O1147" i="9" l="1"/>
  <c r="R1147" i="9" s="1"/>
  <c r="J1148" i="9"/>
  <c r="K1148" i="9"/>
  <c r="L1148" i="9"/>
  <c r="M1148" i="9"/>
  <c r="N1148" i="9"/>
  <c r="I1150" i="9"/>
  <c r="J1149" i="9" a="1"/>
  <c r="O1148" i="9" l="1"/>
  <c r="R1148" i="9" s="1"/>
  <c r="J1149" i="9"/>
  <c r="L1149" i="9"/>
  <c r="M1149" i="9"/>
  <c r="N1149" i="9"/>
  <c r="K1149" i="9"/>
  <c r="I1151" i="9"/>
  <c r="J1150" i="9" a="1"/>
  <c r="O1149" i="9" l="1"/>
  <c r="R1149" i="9" s="1"/>
  <c r="J1150" i="9"/>
  <c r="N1150" i="9"/>
  <c r="K1150" i="9"/>
  <c r="L1150" i="9"/>
  <c r="M1150" i="9"/>
  <c r="I1152" i="9"/>
  <c r="J1151" i="9" a="1"/>
  <c r="O1150" i="9" l="1"/>
  <c r="P1150" i="9" s="1"/>
  <c r="J1151" i="9"/>
  <c r="L1151" i="9"/>
  <c r="K1151" i="9"/>
  <c r="M1151" i="9"/>
  <c r="N1151" i="9"/>
  <c r="I1153" i="9"/>
  <c r="J1152" i="9" a="1"/>
  <c r="R1150" i="9" l="1"/>
  <c r="O1151" i="9"/>
  <c r="I1154" i="9"/>
  <c r="Q1149" i="9"/>
  <c r="S1149" i="9" s="1"/>
  <c r="T1149" i="9" s="1"/>
  <c r="U1149" i="9" s="1"/>
  <c r="Q1148" i="9"/>
  <c r="S1148" i="9" s="1"/>
  <c r="T1148" i="9" s="1"/>
  <c r="U1148" i="9" s="1"/>
  <c r="Q1153" i="9"/>
  <c r="Q1145" i="9"/>
  <c r="S1145" i="9" s="1"/>
  <c r="T1145" i="9" s="1"/>
  <c r="U1145" i="9" s="1"/>
  <c r="Q1150" i="9"/>
  <c r="S1150" i="9" s="1"/>
  <c r="T1150" i="9" s="1"/>
  <c r="U1150" i="9" s="1"/>
  <c r="Q1147" i="9"/>
  <c r="S1147" i="9" s="1"/>
  <c r="T1147" i="9" s="1"/>
  <c r="U1147" i="9" s="1"/>
  <c r="Q1146" i="9"/>
  <c r="S1146" i="9" s="1"/>
  <c r="T1146" i="9" s="1"/>
  <c r="U1146" i="9" s="1"/>
  <c r="Q1152" i="9"/>
  <c r="Q1151" i="9"/>
  <c r="S1151" i="9" s="1"/>
  <c r="T1151" i="9" s="1"/>
  <c r="U1151" i="9" s="1"/>
  <c r="N1152" i="9"/>
  <c r="J1152" i="9"/>
  <c r="K1152" i="9"/>
  <c r="L1152" i="9"/>
  <c r="M1152" i="9"/>
  <c r="R1151" i="9"/>
  <c r="J1153" i="9" a="1"/>
  <c r="O1152" i="9" l="1"/>
  <c r="R1152" i="9" s="1"/>
  <c r="S1152" i="9" s="1"/>
  <c r="T1152" i="9" s="1"/>
  <c r="U1152" i="9" s="1"/>
  <c r="J1153" i="9"/>
  <c r="K1153" i="9"/>
  <c r="M1153" i="9"/>
  <c r="N1153" i="9"/>
  <c r="L1153" i="9"/>
  <c r="I1155" i="9"/>
  <c r="J1154" i="9" a="1"/>
  <c r="O1153" i="9" l="1"/>
  <c r="R1153" i="9" s="1"/>
  <c r="S1153" i="9" s="1"/>
  <c r="T1153" i="9" s="1"/>
  <c r="U1153" i="9" s="1"/>
  <c r="I1156" i="9"/>
  <c r="J1154" i="9"/>
  <c r="N1154" i="9"/>
  <c r="K1154" i="9"/>
  <c r="M1154" i="9"/>
  <c r="L1154" i="9"/>
  <c r="J1155" i="9" a="1"/>
  <c r="O1154" i="9" l="1"/>
  <c r="R1154" i="9" s="1"/>
  <c r="M1155" i="9"/>
  <c r="N1155" i="9"/>
  <c r="L1155" i="9"/>
  <c r="J1155" i="9"/>
  <c r="K1155" i="9"/>
  <c r="I1157" i="9"/>
  <c r="J1156" i="9" a="1"/>
  <c r="O1155" i="9" l="1"/>
  <c r="R1155" i="9" s="1"/>
  <c r="I1158" i="9"/>
  <c r="L1156" i="9"/>
  <c r="K1156" i="9"/>
  <c r="N1156" i="9"/>
  <c r="J1156" i="9"/>
  <c r="M1156" i="9"/>
  <c r="J1157" i="9" a="1"/>
  <c r="O1156" i="9" l="1"/>
  <c r="R1156" i="9" s="1"/>
  <c r="L1157" i="9"/>
  <c r="J1157" i="9"/>
  <c r="K1157" i="9"/>
  <c r="M1157" i="9"/>
  <c r="N1157" i="9"/>
  <c r="I1159" i="9"/>
  <c r="J1158" i="9" a="1"/>
  <c r="O1157" i="9" l="1"/>
  <c r="R1157" i="9" s="1"/>
  <c r="I1160" i="9"/>
  <c r="N1158" i="9"/>
  <c r="L1158" i="9"/>
  <c r="M1158" i="9"/>
  <c r="K1158" i="9"/>
  <c r="J1158" i="9"/>
  <c r="J1159" i="9" a="1"/>
  <c r="O1158" i="9" l="1"/>
  <c r="R1158" i="9" s="1"/>
  <c r="L1159" i="9"/>
  <c r="J1159" i="9"/>
  <c r="K1159" i="9"/>
  <c r="M1159" i="9"/>
  <c r="N1159" i="9"/>
  <c r="I1161" i="9"/>
  <c r="J1160" i="9" a="1"/>
  <c r="O1159" i="9" l="1"/>
  <c r="P1159" i="9" s="1"/>
  <c r="I1162" i="9"/>
  <c r="N1160" i="9"/>
  <c r="J1160" i="9"/>
  <c r="K1160" i="9"/>
  <c r="L1160" i="9"/>
  <c r="M1160" i="9"/>
  <c r="J1161" i="9" a="1"/>
  <c r="R1159" i="9" l="1"/>
  <c r="O1160" i="9"/>
  <c r="R1160" i="9" s="1"/>
  <c r="L1161" i="9"/>
  <c r="J1161" i="9"/>
  <c r="K1161" i="9"/>
  <c r="N1161" i="9"/>
  <c r="M1161" i="9"/>
  <c r="Q1159" i="9"/>
  <c r="S1159" i="9" s="1"/>
  <c r="T1159" i="9" s="1"/>
  <c r="U1159" i="9" s="1"/>
  <c r="Q1162" i="9"/>
  <c r="Q1155" i="9"/>
  <c r="S1155" i="9" s="1"/>
  <c r="T1155" i="9" s="1"/>
  <c r="U1155" i="9" s="1"/>
  <c r="Q1158" i="9"/>
  <c r="S1158" i="9" s="1"/>
  <c r="T1158" i="9" s="1"/>
  <c r="U1158" i="9" s="1"/>
  <c r="Q1161" i="9"/>
  <c r="Q1156" i="9"/>
  <c r="S1156" i="9" s="1"/>
  <c r="T1156" i="9" s="1"/>
  <c r="U1156" i="9" s="1"/>
  <c r="Q1160" i="9"/>
  <c r="S1160" i="9" s="1"/>
  <c r="T1160" i="9" s="1"/>
  <c r="U1160" i="9" s="1"/>
  <c r="Q1157" i="9"/>
  <c r="S1157" i="9" s="1"/>
  <c r="T1157" i="9" s="1"/>
  <c r="U1157" i="9" s="1"/>
  <c r="Q1154" i="9"/>
  <c r="S1154" i="9" s="1"/>
  <c r="T1154" i="9" s="1"/>
  <c r="U1154" i="9" s="1"/>
  <c r="I1163" i="9"/>
  <c r="J1162" i="9" a="1"/>
  <c r="O1161" i="9" l="1"/>
  <c r="R1161" i="9" s="1"/>
  <c r="S1161" i="9" s="1"/>
  <c r="T1161" i="9" s="1"/>
  <c r="U1161" i="9" s="1"/>
  <c r="K1162" i="9"/>
  <c r="L1162" i="9"/>
  <c r="M1162" i="9"/>
  <c r="J1162" i="9"/>
  <c r="N1162" i="9"/>
  <c r="I1164" i="9"/>
  <c r="J1163" i="9" a="1"/>
  <c r="O1162" i="9" l="1"/>
  <c r="R1162" i="9" s="1"/>
  <c r="S1162" i="9" s="1"/>
  <c r="T1162" i="9" s="1"/>
  <c r="U1162" i="9" s="1"/>
  <c r="I1165" i="9"/>
  <c r="L1163" i="9"/>
  <c r="N1163" i="9"/>
  <c r="J1163" i="9"/>
  <c r="M1163" i="9"/>
  <c r="K1163" i="9"/>
  <c r="J1164" i="9" a="1"/>
  <c r="O1163" i="9" l="1"/>
  <c r="R1163" i="9" s="1"/>
  <c r="N1164" i="9"/>
  <c r="J1164" i="9"/>
  <c r="K1164" i="9"/>
  <c r="L1164" i="9"/>
  <c r="M1164" i="9"/>
  <c r="I1166" i="9"/>
  <c r="J1165" i="9" a="1"/>
  <c r="O1164" i="9" l="1"/>
  <c r="R1164" i="9" s="1"/>
  <c r="I1167" i="9"/>
  <c r="N1165" i="9"/>
  <c r="K1165" i="9"/>
  <c r="J1165" i="9"/>
  <c r="L1165" i="9"/>
  <c r="M1165" i="9"/>
  <c r="J1166" i="9" a="1"/>
  <c r="O1165" i="9" l="1"/>
  <c r="R1165" i="9" s="1"/>
  <c r="M1166" i="9"/>
  <c r="J1166" i="9"/>
  <c r="N1166" i="9"/>
  <c r="K1166" i="9"/>
  <c r="L1166" i="9"/>
  <c r="I1168" i="9"/>
  <c r="J1167" i="9" a="1"/>
  <c r="O1166" i="9" l="1"/>
  <c r="R1166" i="9" s="1"/>
  <c r="I1169" i="9"/>
  <c r="K1167" i="9"/>
  <c r="M1167" i="9"/>
  <c r="N1167" i="9"/>
  <c r="J1167" i="9"/>
  <c r="L1167" i="9"/>
  <c r="J1168" i="9" a="1"/>
  <c r="O1167" i="9" l="1"/>
  <c r="R1167" i="9" s="1"/>
  <c r="M1168" i="9"/>
  <c r="N1168" i="9"/>
  <c r="J1168" i="9"/>
  <c r="K1168" i="9"/>
  <c r="L1168" i="9"/>
  <c r="I1170" i="9"/>
  <c r="J1169" i="9" a="1"/>
  <c r="O1168" i="9" l="1"/>
  <c r="R1168" i="9" s="1"/>
  <c r="I1171" i="9"/>
  <c r="L1169" i="9"/>
  <c r="J1169" i="9"/>
  <c r="K1169" i="9"/>
  <c r="M1169" i="9"/>
  <c r="N1169" i="9"/>
  <c r="J1170" i="9" a="1"/>
  <c r="P1168" i="9" l="1"/>
  <c r="O1169" i="9"/>
  <c r="R1169" i="9" s="1"/>
  <c r="L1170" i="9"/>
  <c r="J1170" i="9"/>
  <c r="N1170" i="9"/>
  <c r="K1170" i="9"/>
  <c r="M1170" i="9"/>
  <c r="Q1164" i="9"/>
  <c r="S1164" i="9" s="1"/>
  <c r="T1164" i="9" s="1"/>
  <c r="U1164" i="9" s="1"/>
  <c r="Q1165" i="9"/>
  <c r="S1165" i="9" s="1"/>
  <c r="T1165" i="9" s="1"/>
  <c r="U1165" i="9" s="1"/>
  <c r="Q1167" i="9"/>
  <c r="S1167" i="9" s="1"/>
  <c r="T1167" i="9" s="1"/>
  <c r="U1167" i="9" s="1"/>
  <c r="Q1166" i="9"/>
  <c r="S1166" i="9" s="1"/>
  <c r="T1166" i="9" s="1"/>
  <c r="U1166" i="9" s="1"/>
  <c r="Q1170" i="9"/>
  <c r="Q1168" i="9"/>
  <c r="S1168" i="9" s="1"/>
  <c r="T1168" i="9" s="1"/>
  <c r="U1168" i="9" s="1"/>
  <c r="Q1163" i="9"/>
  <c r="S1163" i="9" s="1"/>
  <c r="T1163" i="9" s="1"/>
  <c r="U1163" i="9" s="1"/>
  <c r="Q1169" i="9"/>
  <c r="S1169" i="9" s="1"/>
  <c r="T1169" i="9" s="1"/>
  <c r="U1169" i="9" s="1"/>
  <c r="Q1171" i="9"/>
  <c r="I1172" i="9"/>
  <c r="J1171" i="9" a="1"/>
  <c r="O1170" i="9" l="1"/>
  <c r="R1170" i="9" s="1"/>
  <c r="S1170" i="9" s="1"/>
  <c r="T1170" i="9" s="1"/>
  <c r="U1170" i="9" s="1"/>
  <c r="J1171" i="9"/>
  <c r="K1171" i="9"/>
  <c r="M1171" i="9"/>
  <c r="N1171" i="9"/>
  <c r="L1171" i="9"/>
  <c r="I1173" i="9"/>
  <c r="J1172" i="9" a="1"/>
  <c r="O1171" i="9" l="1"/>
  <c r="R1171" i="9" s="1"/>
  <c r="S1171" i="9" s="1"/>
  <c r="T1171" i="9" s="1"/>
  <c r="U1171" i="9" s="1"/>
  <c r="J1172" i="9"/>
  <c r="M1172" i="9"/>
  <c r="L1172" i="9"/>
  <c r="K1172" i="9"/>
  <c r="N1172" i="9"/>
  <c r="I1174" i="9"/>
  <c r="J1173" i="9" a="1"/>
  <c r="O1172" i="9" l="1"/>
  <c r="R1172" i="9" s="1"/>
  <c r="N1173" i="9"/>
  <c r="L1173" i="9"/>
  <c r="J1173" i="9"/>
  <c r="K1173" i="9"/>
  <c r="M1173" i="9"/>
  <c r="I1175" i="9"/>
  <c r="J1174" i="9" a="1"/>
  <c r="O1173" i="9" l="1"/>
  <c r="R1173" i="9" s="1"/>
  <c r="I1176" i="9"/>
  <c r="M1174" i="9"/>
  <c r="K1174" i="9"/>
  <c r="J1174" i="9"/>
  <c r="N1174" i="9"/>
  <c r="L1174" i="9"/>
  <c r="J1175" i="9" a="1"/>
  <c r="O1174" i="9" l="1"/>
  <c r="R1174" i="9" s="1"/>
  <c r="M1175" i="9"/>
  <c r="N1175" i="9"/>
  <c r="L1175" i="9"/>
  <c r="J1175" i="9"/>
  <c r="K1175" i="9"/>
  <c r="I1177" i="9"/>
  <c r="J1176" i="9" a="1"/>
  <c r="O1175" i="9" l="1"/>
  <c r="R1175" i="9" s="1"/>
  <c r="I1178" i="9"/>
  <c r="M1176" i="9"/>
  <c r="N1176" i="9"/>
  <c r="J1176" i="9"/>
  <c r="K1176" i="9"/>
  <c r="L1176" i="9"/>
  <c r="J1177" i="9" a="1"/>
  <c r="O1176" i="9" l="1"/>
  <c r="R1176" i="9" s="1"/>
  <c r="N1177" i="9"/>
  <c r="M1177" i="9"/>
  <c r="L1177" i="9"/>
  <c r="J1177" i="9"/>
  <c r="K1177" i="9"/>
  <c r="I1179" i="9"/>
  <c r="J1178" i="9" a="1"/>
  <c r="O1177" i="9" l="1"/>
  <c r="R1177" i="9" s="1"/>
  <c r="I1180" i="9"/>
  <c r="J1178" i="9"/>
  <c r="N1178" i="9"/>
  <c r="K1178" i="9"/>
  <c r="L1178" i="9"/>
  <c r="M1178" i="9"/>
  <c r="J1179" i="9" a="1"/>
  <c r="O1178" i="9" l="1"/>
  <c r="R1178" i="9" s="1"/>
  <c r="P1177" i="9"/>
  <c r="Q1173" i="9" s="1"/>
  <c r="S1173" i="9" s="1"/>
  <c r="T1173" i="9" s="1"/>
  <c r="U1173" i="9" s="1"/>
  <c r="M1179" i="9"/>
  <c r="K1179" i="9"/>
  <c r="L1179" i="9"/>
  <c r="N1179" i="9"/>
  <c r="J1179" i="9"/>
  <c r="Q1179" i="9"/>
  <c r="Q1176" i="9"/>
  <c r="S1176" i="9" s="1"/>
  <c r="T1176" i="9" s="1"/>
  <c r="U1176" i="9" s="1"/>
  <c r="Q1178" i="9"/>
  <c r="S1178" i="9" s="1"/>
  <c r="T1178" i="9" s="1"/>
  <c r="U1178" i="9" s="1"/>
  <c r="Q1177" i="9"/>
  <c r="S1177" i="9" s="1"/>
  <c r="T1177" i="9" s="1"/>
  <c r="U1177" i="9" s="1"/>
  <c r="Q1174" i="9"/>
  <c r="S1174" i="9" s="1"/>
  <c r="T1174" i="9" s="1"/>
  <c r="U1174" i="9" s="1"/>
  <c r="I1181" i="9"/>
  <c r="J1180" i="9" a="1"/>
  <c r="Q1175" i="9" l="1"/>
  <c r="S1175" i="9" s="1"/>
  <c r="T1175" i="9" s="1"/>
  <c r="U1175" i="9" s="1"/>
  <c r="Q1172" i="9"/>
  <c r="S1172" i="9" s="1"/>
  <c r="T1172" i="9" s="1"/>
  <c r="U1172" i="9" s="1"/>
  <c r="Q1180" i="9"/>
  <c r="O1179" i="9"/>
  <c r="R1179" i="9" s="1"/>
  <c r="S1179" i="9" s="1"/>
  <c r="T1179" i="9" s="1"/>
  <c r="U1179" i="9" s="1"/>
  <c r="L1180" i="9"/>
  <c r="M1180" i="9"/>
  <c r="N1180" i="9"/>
  <c r="J1180" i="9"/>
  <c r="K1180" i="9"/>
  <c r="I1182" i="9"/>
  <c r="J1181" i="9" a="1"/>
  <c r="O1180" i="9" l="1"/>
  <c r="R1180" i="9" s="1"/>
  <c r="S1180" i="9" s="1"/>
  <c r="T1180" i="9" s="1"/>
  <c r="U1180" i="9" s="1"/>
  <c r="I1183" i="9"/>
  <c r="L1181" i="9"/>
  <c r="M1181" i="9"/>
  <c r="K1181" i="9"/>
  <c r="J1181" i="9"/>
  <c r="N1181" i="9"/>
  <c r="J1182" i="9" a="1"/>
  <c r="O1181" i="9" l="1"/>
  <c r="R1181" i="9" s="1"/>
  <c r="K1182" i="9"/>
  <c r="L1182" i="9"/>
  <c r="M1182" i="9"/>
  <c r="J1182" i="9"/>
  <c r="N1182" i="9"/>
  <c r="I1184" i="9"/>
  <c r="J1183" i="9" a="1"/>
  <c r="O1182" i="9" l="1"/>
  <c r="R1182" i="9" s="1"/>
  <c r="I1185" i="9"/>
  <c r="K1183" i="9"/>
  <c r="N1183" i="9"/>
  <c r="J1183" i="9"/>
  <c r="M1183" i="9"/>
  <c r="L1183" i="9"/>
  <c r="J1184" i="9" a="1"/>
  <c r="O1183" i="9" l="1"/>
  <c r="R1183" i="9" s="1"/>
  <c r="K1184" i="9"/>
  <c r="L1184" i="9"/>
  <c r="M1184" i="9"/>
  <c r="N1184" i="9"/>
  <c r="J1184" i="9"/>
  <c r="I1186" i="9"/>
  <c r="J1185" i="9" a="1"/>
  <c r="O1184" i="9" l="1"/>
  <c r="R1184" i="9" s="1"/>
  <c r="I1187" i="9"/>
  <c r="N1185" i="9"/>
  <c r="K1185" i="9"/>
  <c r="L1185" i="9"/>
  <c r="J1185" i="9"/>
  <c r="M1185" i="9"/>
  <c r="J1186" i="9" a="1"/>
  <c r="O1185" i="9" l="1"/>
  <c r="R1185" i="9" s="1"/>
  <c r="K1186" i="9"/>
  <c r="M1186" i="9"/>
  <c r="L1186" i="9"/>
  <c r="J1186" i="9"/>
  <c r="N1186" i="9"/>
  <c r="I1188" i="9"/>
  <c r="J1187" i="9" a="1"/>
  <c r="O1186" i="9" l="1"/>
  <c r="R1186" i="9" s="1"/>
  <c r="I1189" i="9"/>
  <c r="L1187" i="9"/>
  <c r="K1187" i="9"/>
  <c r="M1187" i="9"/>
  <c r="N1187" i="9"/>
  <c r="J1187" i="9"/>
  <c r="J1188" i="9" a="1"/>
  <c r="P1186" i="9" l="1"/>
  <c r="Q1188" i="9" s="1"/>
  <c r="O1187" i="9"/>
  <c r="R1187" i="9" s="1"/>
  <c r="N1188" i="9"/>
  <c r="J1188" i="9"/>
  <c r="M1188" i="9"/>
  <c r="L1188" i="9"/>
  <c r="K1188" i="9"/>
  <c r="Q1187" i="9"/>
  <c r="S1187" i="9" s="1"/>
  <c r="T1187" i="9" s="1"/>
  <c r="U1187" i="9" s="1"/>
  <c r="Q1181" i="9"/>
  <c r="S1181" i="9" s="1"/>
  <c r="T1181" i="9" s="1"/>
  <c r="U1181" i="9" s="1"/>
  <c r="Q1184" i="9"/>
  <c r="S1184" i="9" s="1"/>
  <c r="T1184" i="9" s="1"/>
  <c r="U1184" i="9" s="1"/>
  <c r="Q1182" i="9"/>
  <c r="S1182" i="9" s="1"/>
  <c r="T1182" i="9" s="1"/>
  <c r="U1182" i="9" s="1"/>
  <c r="Q1185" i="9"/>
  <c r="S1185" i="9" s="1"/>
  <c r="T1185" i="9" s="1"/>
  <c r="U1185" i="9" s="1"/>
  <c r="Q1186" i="9"/>
  <c r="S1186" i="9" s="1"/>
  <c r="T1186" i="9" s="1"/>
  <c r="U1186" i="9" s="1"/>
  <c r="I1190" i="9"/>
  <c r="J1189" i="9" a="1"/>
  <c r="Q1189" i="9" l="1"/>
  <c r="Q1183" i="9"/>
  <c r="S1183" i="9" s="1"/>
  <c r="T1183" i="9" s="1"/>
  <c r="U1183" i="9" s="1"/>
  <c r="O1188" i="9"/>
  <c r="R1188" i="9" s="1"/>
  <c r="S1188" i="9" s="1"/>
  <c r="T1188" i="9" s="1"/>
  <c r="U1188" i="9" s="1"/>
  <c r="J1189" i="9"/>
  <c r="K1189" i="9"/>
  <c r="M1189" i="9"/>
  <c r="N1189" i="9"/>
  <c r="L1189" i="9"/>
  <c r="I1191" i="9"/>
  <c r="J1190" i="9" a="1"/>
  <c r="O1189" i="9" l="1"/>
  <c r="R1189" i="9" s="1"/>
  <c r="S1189" i="9" s="1"/>
  <c r="T1189" i="9" s="1"/>
  <c r="U1189" i="9" s="1"/>
  <c r="J1190" i="9"/>
  <c r="N1190" i="9"/>
  <c r="L1190" i="9"/>
  <c r="K1190" i="9"/>
  <c r="M1190" i="9"/>
  <c r="I1192" i="9"/>
  <c r="J1191" i="9" a="1"/>
  <c r="O1190" i="9" l="1"/>
  <c r="R1190" i="9" s="1"/>
  <c r="J1191" i="9"/>
  <c r="K1191" i="9"/>
  <c r="M1191" i="9"/>
  <c r="N1191" i="9"/>
  <c r="L1191" i="9"/>
  <c r="I1193" i="9"/>
  <c r="J1192" i="9" a="1"/>
  <c r="O1191" i="9" l="1"/>
  <c r="R1191" i="9" s="1"/>
  <c r="K1192" i="9"/>
  <c r="M1192" i="9"/>
  <c r="L1192" i="9"/>
  <c r="N1192" i="9"/>
  <c r="J1192" i="9"/>
  <c r="I1194" i="9"/>
  <c r="J1193" i="9" a="1"/>
  <c r="O1192" i="9" l="1"/>
  <c r="R1192" i="9" s="1"/>
  <c r="I1195" i="9"/>
  <c r="J1193" i="9"/>
  <c r="N1193" i="9"/>
  <c r="K1193" i="9"/>
  <c r="M1193" i="9"/>
  <c r="L1193" i="9"/>
  <c r="J1194" i="9" a="1"/>
  <c r="O1193" i="9" l="1"/>
  <c r="R1193" i="9" s="1"/>
  <c r="K1194" i="9"/>
  <c r="J1194" i="9"/>
  <c r="N1194" i="9"/>
  <c r="L1194" i="9"/>
  <c r="M1194" i="9"/>
  <c r="I1196" i="9"/>
  <c r="J1195" i="9" a="1"/>
  <c r="O1194" i="9" l="1"/>
  <c r="R1194" i="9" s="1"/>
  <c r="I1197" i="9"/>
  <c r="N1195" i="9"/>
  <c r="M1195" i="9"/>
  <c r="J1195" i="9"/>
  <c r="K1195" i="9"/>
  <c r="L1195" i="9"/>
  <c r="J1196" i="9" a="1"/>
  <c r="O1195" i="9" l="1"/>
  <c r="P1195" i="9" s="1"/>
  <c r="N1196" i="9"/>
  <c r="J1196" i="9"/>
  <c r="K1196" i="9"/>
  <c r="L1196" i="9"/>
  <c r="M1196" i="9"/>
  <c r="I1198" i="9"/>
  <c r="J1197" i="9" a="1"/>
  <c r="R1195" i="9" l="1"/>
  <c r="O1196" i="9"/>
  <c r="R1196" i="9" s="1"/>
  <c r="L1197" i="9"/>
  <c r="M1197" i="9"/>
  <c r="K1197" i="9"/>
  <c r="J1197" i="9"/>
  <c r="N1197" i="9"/>
  <c r="I1199" i="9"/>
  <c r="Q1191" i="9"/>
  <c r="S1191" i="9" s="1"/>
  <c r="T1191" i="9" s="1"/>
  <c r="U1191" i="9" s="1"/>
  <c r="Q1193" i="9"/>
  <c r="S1193" i="9" s="1"/>
  <c r="T1193" i="9" s="1"/>
  <c r="U1193" i="9" s="1"/>
  <c r="Q1194" i="9"/>
  <c r="S1194" i="9" s="1"/>
  <c r="T1194" i="9" s="1"/>
  <c r="U1194" i="9" s="1"/>
  <c r="Q1197" i="9"/>
  <c r="Q1196" i="9"/>
  <c r="S1196" i="9" s="1"/>
  <c r="T1196" i="9" s="1"/>
  <c r="U1196" i="9" s="1"/>
  <c r="Q1195" i="9"/>
  <c r="S1195" i="9" s="1"/>
  <c r="T1195" i="9" s="1"/>
  <c r="U1195" i="9" s="1"/>
  <c r="Q1190" i="9"/>
  <c r="S1190" i="9" s="1"/>
  <c r="T1190" i="9" s="1"/>
  <c r="U1190" i="9" s="1"/>
  <c r="Q1198" i="9"/>
  <c r="Q1192" i="9"/>
  <c r="S1192" i="9" s="1"/>
  <c r="T1192" i="9" s="1"/>
  <c r="U1192" i="9" s="1"/>
  <c r="J1198" i="9" a="1"/>
  <c r="O1197" i="9" l="1"/>
  <c r="R1197" i="9" s="1"/>
  <c r="S1197" i="9" s="1"/>
  <c r="T1197" i="9" s="1"/>
  <c r="U1197" i="9" s="1"/>
  <c r="I1200" i="9"/>
  <c r="J1198" i="9"/>
  <c r="N1198" i="9"/>
  <c r="K1198" i="9"/>
  <c r="L1198" i="9"/>
  <c r="M1198" i="9"/>
  <c r="J1199" i="9" a="1"/>
  <c r="O1198" i="9" l="1"/>
  <c r="R1198" i="9" s="1"/>
  <c r="S1198" i="9" s="1"/>
  <c r="T1198" i="9" s="1"/>
  <c r="U1198" i="9" s="1"/>
  <c r="I1201" i="9"/>
  <c r="L1199" i="9"/>
  <c r="K1199" i="9"/>
  <c r="N1199" i="9"/>
  <c r="J1199" i="9"/>
  <c r="M1199" i="9"/>
  <c r="J1200" i="9" a="1"/>
  <c r="O1199" i="9" l="1"/>
  <c r="R1199" i="9" s="1"/>
  <c r="N1200" i="9"/>
  <c r="J1200" i="9"/>
  <c r="K1200" i="9"/>
  <c r="M1200" i="9"/>
  <c r="L1200" i="9"/>
  <c r="I1202" i="9"/>
  <c r="J1201" i="9" a="1"/>
  <c r="O1200" i="9" l="1"/>
  <c r="R1200" i="9" s="1"/>
  <c r="I1203" i="9"/>
  <c r="J1201" i="9"/>
  <c r="M1201" i="9"/>
  <c r="N1201" i="9"/>
  <c r="K1201" i="9"/>
  <c r="L1201" i="9"/>
  <c r="J1202" i="9" a="1"/>
  <c r="O1201" i="9" l="1"/>
  <c r="R1201" i="9" s="1"/>
  <c r="J1202" i="9"/>
  <c r="N1202" i="9"/>
  <c r="M1202" i="9"/>
  <c r="K1202" i="9"/>
  <c r="L1202" i="9"/>
  <c r="I1204" i="9"/>
  <c r="J1203" i="9" a="1"/>
  <c r="O1202" i="9" l="1"/>
  <c r="R1202" i="9" s="1"/>
  <c r="N1203" i="9"/>
  <c r="J1203" i="9"/>
  <c r="L1203" i="9"/>
  <c r="K1203" i="9"/>
  <c r="M1203" i="9"/>
  <c r="I1205" i="9"/>
  <c r="J1204" i="9" a="1"/>
  <c r="O1203" i="9" l="1"/>
  <c r="R1203" i="9" s="1"/>
  <c r="I1206" i="9"/>
  <c r="N1204" i="9"/>
  <c r="J1204" i="9"/>
  <c r="M1204" i="9"/>
  <c r="L1204" i="9"/>
  <c r="K1204" i="9"/>
  <c r="J1205" i="9" a="1"/>
  <c r="O1204" i="9" l="1"/>
  <c r="P1204" i="9" s="1"/>
  <c r="K1205" i="9"/>
  <c r="M1205" i="9"/>
  <c r="N1205" i="9"/>
  <c r="L1205" i="9"/>
  <c r="J1205" i="9"/>
  <c r="I1207" i="9"/>
  <c r="J1206" i="9" a="1"/>
  <c r="O1205" i="9" l="1"/>
  <c r="R1205" i="9" s="1"/>
  <c r="R1204" i="9"/>
  <c r="I1208" i="9"/>
  <c r="J1206" i="9"/>
  <c r="N1206" i="9"/>
  <c r="L1206" i="9"/>
  <c r="K1206" i="9"/>
  <c r="M1206" i="9"/>
  <c r="Q1204" i="9"/>
  <c r="S1204" i="9" s="1"/>
  <c r="T1204" i="9" s="1"/>
  <c r="U1204" i="9" s="1"/>
  <c r="Q1200" i="9"/>
  <c r="S1200" i="9" s="1"/>
  <c r="T1200" i="9" s="1"/>
  <c r="U1200" i="9" s="1"/>
  <c r="Q1205" i="9"/>
  <c r="S1205" i="9" s="1"/>
  <c r="T1205" i="9" s="1"/>
  <c r="U1205" i="9" s="1"/>
  <c r="Q1201" i="9"/>
  <c r="S1201" i="9" s="1"/>
  <c r="T1201" i="9" s="1"/>
  <c r="U1201" i="9" s="1"/>
  <c r="Q1206" i="9"/>
  <c r="Q1202" i="9"/>
  <c r="S1202" i="9" s="1"/>
  <c r="T1202" i="9" s="1"/>
  <c r="U1202" i="9" s="1"/>
  <c r="Q1199" i="9"/>
  <c r="S1199" i="9" s="1"/>
  <c r="T1199" i="9" s="1"/>
  <c r="U1199" i="9" s="1"/>
  <c r="Q1203" i="9"/>
  <c r="S1203" i="9" s="1"/>
  <c r="T1203" i="9" s="1"/>
  <c r="U1203" i="9" s="1"/>
  <c r="Q1207" i="9"/>
  <c r="J1207" i="9" a="1"/>
  <c r="O1206" i="9" l="1"/>
  <c r="R1206" i="9" s="1"/>
  <c r="S1206" i="9" s="1"/>
  <c r="T1206" i="9" s="1"/>
  <c r="U1206" i="9" s="1"/>
  <c r="L1207" i="9"/>
  <c r="J1207" i="9"/>
  <c r="K1207" i="9"/>
  <c r="M1207" i="9"/>
  <c r="N1207" i="9"/>
  <c r="I1209" i="9"/>
  <c r="J1208" i="9" a="1"/>
  <c r="O1207" i="9" l="1"/>
  <c r="R1207" i="9" s="1"/>
  <c r="S1207" i="9" s="1"/>
  <c r="T1207" i="9" s="1"/>
  <c r="U1207" i="9" s="1"/>
  <c r="N1208" i="9"/>
  <c r="J1208" i="9"/>
  <c r="K1208" i="9"/>
  <c r="M1208" i="9"/>
  <c r="L1208" i="9"/>
  <c r="I1210" i="9"/>
  <c r="J1209" i="9" a="1"/>
  <c r="O1208" i="9" l="1"/>
  <c r="R1208" i="9" s="1"/>
  <c r="I1211" i="9"/>
  <c r="L1209" i="9"/>
  <c r="J1209" i="9"/>
  <c r="N1209" i="9"/>
  <c r="K1209" i="9"/>
  <c r="M1209" i="9"/>
  <c r="J1210" i="9" a="1"/>
  <c r="O1209" i="9" l="1"/>
  <c r="R1209" i="9" s="1"/>
  <c r="L1210" i="9"/>
  <c r="M1210" i="9"/>
  <c r="K1210" i="9"/>
  <c r="J1210" i="9"/>
  <c r="N1210" i="9"/>
  <c r="I1212" i="9"/>
  <c r="J1211" i="9" a="1"/>
  <c r="O1210" i="9" l="1"/>
  <c r="R1210" i="9" s="1"/>
  <c r="I1213" i="9"/>
  <c r="L1211" i="9"/>
  <c r="N1211" i="9"/>
  <c r="M1211" i="9"/>
  <c r="J1211" i="9"/>
  <c r="K1211" i="9"/>
  <c r="J1212" i="9" a="1"/>
  <c r="O1211" i="9" l="1"/>
  <c r="R1211" i="9" s="1"/>
  <c r="N1212" i="9"/>
  <c r="J1212" i="9"/>
  <c r="K1212" i="9"/>
  <c r="L1212" i="9"/>
  <c r="M1212" i="9"/>
  <c r="I1214" i="9"/>
  <c r="J1213" i="9" a="1"/>
  <c r="O1212" i="9" l="1"/>
  <c r="R1212" i="9" s="1"/>
  <c r="I1215" i="9"/>
  <c r="L1213" i="9"/>
  <c r="M1213" i="9"/>
  <c r="K1213" i="9"/>
  <c r="J1213" i="9"/>
  <c r="N1213" i="9"/>
  <c r="J1214" i="9" a="1"/>
  <c r="O1213" i="9" l="1"/>
  <c r="P1213" i="9" s="1"/>
  <c r="M1214" i="9"/>
  <c r="J1214" i="9"/>
  <c r="N1214" i="9"/>
  <c r="K1214" i="9"/>
  <c r="L1214" i="9"/>
  <c r="I1216" i="9"/>
  <c r="J1215" i="9" a="1"/>
  <c r="R1213" i="9" l="1"/>
  <c r="O1214" i="9"/>
  <c r="R1214" i="9" s="1"/>
  <c r="L1215" i="9"/>
  <c r="K1215" i="9"/>
  <c r="N1215" i="9"/>
  <c r="J1215" i="9"/>
  <c r="M1215" i="9"/>
  <c r="I1217" i="9"/>
  <c r="Q1216" i="9"/>
  <c r="Q1208" i="9"/>
  <c r="S1208" i="9" s="1"/>
  <c r="T1208" i="9" s="1"/>
  <c r="U1208" i="9" s="1"/>
  <c r="Q1211" i="9"/>
  <c r="S1211" i="9" s="1"/>
  <c r="T1211" i="9" s="1"/>
  <c r="U1211" i="9" s="1"/>
  <c r="Q1213" i="9"/>
  <c r="S1213" i="9" s="1"/>
  <c r="T1213" i="9" s="1"/>
  <c r="U1213" i="9" s="1"/>
  <c r="Q1214" i="9"/>
  <c r="Q1212" i="9"/>
  <c r="S1212" i="9" s="1"/>
  <c r="T1212" i="9" s="1"/>
  <c r="U1212" i="9" s="1"/>
  <c r="Q1215" i="9"/>
  <c r="Q1209" i="9"/>
  <c r="S1209" i="9" s="1"/>
  <c r="T1209" i="9" s="1"/>
  <c r="U1209" i="9" s="1"/>
  <c r="Q1210" i="9"/>
  <c r="S1210" i="9" s="1"/>
  <c r="T1210" i="9" s="1"/>
  <c r="U1210" i="9" s="1"/>
  <c r="J1216" i="9" a="1"/>
  <c r="S1214" i="9" l="1"/>
  <c r="T1214" i="9" s="1"/>
  <c r="U1214" i="9" s="1"/>
  <c r="O1215" i="9"/>
  <c r="R1215" i="9" s="1"/>
  <c r="S1215" i="9" s="1"/>
  <c r="T1215" i="9" s="1"/>
  <c r="U1215" i="9" s="1"/>
  <c r="I1218" i="9"/>
  <c r="M1216" i="9"/>
  <c r="N1216" i="9"/>
  <c r="J1216" i="9"/>
  <c r="K1216" i="9"/>
  <c r="L1216" i="9"/>
  <c r="J1217" i="9" a="1"/>
  <c r="O1216" i="9" l="1"/>
  <c r="R1216" i="9" s="1"/>
  <c r="S1216" i="9" s="1"/>
  <c r="T1216" i="9" s="1"/>
  <c r="U1216" i="9" s="1"/>
  <c r="L1217" i="9"/>
  <c r="J1217" i="9"/>
  <c r="M1217" i="9"/>
  <c r="N1217" i="9"/>
  <c r="K1217" i="9"/>
  <c r="I1219" i="9"/>
  <c r="J1218" i="9" a="1"/>
  <c r="O1217" i="9" l="1"/>
  <c r="R1217" i="9" s="1"/>
  <c r="I1220" i="9"/>
  <c r="L1218" i="9"/>
  <c r="J1218" i="9"/>
  <c r="N1218" i="9"/>
  <c r="M1218" i="9"/>
  <c r="K1218" i="9"/>
  <c r="J1219" i="9" a="1"/>
  <c r="O1218" i="9" l="1"/>
  <c r="R1218" i="9" s="1"/>
  <c r="K1219" i="9"/>
  <c r="M1219" i="9"/>
  <c r="N1219" i="9"/>
  <c r="J1219" i="9"/>
  <c r="L1219" i="9"/>
  <c r="I1221" i="9"/>
  <c r="J1220" i="9" a="1"/>
  <c r="O1219" i="9" l="1"/>
  <c r="R1219" i="9" s="1"/>
  <c r="I1222" i="9"/>
  <c r="K1220" i="9"/>
  <c r="N1220" i="9"/>
  <c r="J1220" i="9"/>
  <c r="M1220" i="9"/>
  <c r="L1220" i="9"/>
  <c r="J1221" i="9" a="1"/>
  <c r="O1220" i="9" l="1"/>
  <c r="R1220" i="9" s="1"/>
  <c r="M1221" i="9"/>
  <c r="N1221" i="9"/>
  <c r="L1221" i="9"/>
  <c r="J1221" i="9"/>
  <c r="K1221" i="9"/>
  <c r="I1223" i="9"/>
  <c r="J1222" i="9" a="1"/>
  <c r="O1221" i="9" l="1"/>
  <c r="R1221" i="9" s="1"/>
  <c r="I1224" i="9"/>
  <c r="J1222" i="9"/>
  <c r="N1222" i="9"/>
  <c r="L1222" i="9"/>
  <c r="K1222" i="9"/>
  <c r="M1222" i="9"/>
  <c r="J1223" i="9" a="1"/>
  <c r="O1222" i="9" l="1"/>
  <c r="P1222" i="9" s="1"/>
  <c r="M1223" i="9"/>
  <c r="N1223" i="9"/>
  <c r="L1223" i="9"/>
  <c r="J1223" i="9"/>
  <c r="K1223" i="9"/>
  <c r="I1225" i="9"/>
  <c r="J1224" i="9" a="1"/>
  <c r="R1222" i="9" l="1"/>
  <c r="O1223" i="9"/>
  <c r="R1223" i="9" s="1"/>
  <c r="I1226" i="9"/>
  <c r="L1224" i="9"/>
  <c r="N1224" i="9"/>
  <c r="J1224" i="9"/>
  <c r="K1224" i="9"/>
  <c r="M1224" i="9"/>
  <c r="Q1218" i="9"/>
  <c r="S1218" i="9" s="1"/>
  <c r="T1218" i="9" s="1"/>
  <c r="U1218" i="9" s="1"/>
  <c r="Q1217" i="9"/>
  <c r="S1217" i="9" s="1"/>
  <c r="T1217" i="9" s="1"/>
  <c r="U1217" i="9" s="1"/>
  <c r="Q1223" i="9"/>
  <c r="S1223" i="9" s="1"/>
  <c r="T1223" i="9" s="1"/>
  <c r="U1223" i="9" s="1"/>
  <c r="Q1225" i="9"/>
  <c r="Q1222" i="9"/>
  <c r="S1222" i="9" s="1"/>
  <c r="T1222" i="9" s="1"/>
  <c r="U1222" i="9" s="1"/>
  <c r="Q1224" i="9"/>
  <c r="Q1220" i="9"/>
  <c r="S1220" i="9" s="1"/>
  <c r="T1220" i="9" s="1"/>
  <c r="U1220" i="9" s="1"/>
  <c r="Q1221" i="9"/>
  <c r="S1221" i="9" s="1"/>
  <c r="T1221" i="9" s="1"/>
  <c r="U1221" i="9" s="1"/>
  <c r="Q1219" i="9"/>
  <c r="S1219" i="9" s="1"/>
  <c r="T1219" i="9" s="1"/>
  <c r="U1219" i="9" s="1"/>
  <c r="J1225" i="9" a="1"/>
  <c r="O1224" i="9" l="1"/>
  <c r="R1224" i="9" s="1"/>
  <c r="S1224" i="9" s="1"/>
  <c r="T1224" i="9" s="1"/>
  <c r="U1224" i="9" s="1"/>
  <c r="K1225" i="9"/>
  <c r="M1225" i="9"/>
  <c r="L1225" i="9"/>
  <c r="J1225" i="9"/>
  <c r="N1225" i="9"/>
  <c r="I1227" i="9"/>
  <c r="J1226" i="9" a="1"/>
  <c r="O1225" i="9" l="1"/>
  <c r="R1225" i="9" s="1"/>
  <c r="S1225" i="9" s="1"/>
  <c r="T1225" i="9" s="1"/>
  <c r="U1225" i="9" s="1"/>
  <c r="J1226" i="9"/>
  <c r="N1226" i="9"/>
  <c r="L1226" i="9"/>
  <c r="M1226" i="9"/>
  <c r="K1226" i="9"/>
  <c r="I1228" i="9"/>
  <c r="J1227" i="9" a="1"/>
  <c r="O1226" i="9" l="1"/>
  <c r="R1226" i="9" s="1"/>
  <c r="J1227" i="9"/>
  <c r="K1227" i="9"/>
  <c r="L1227" i="9"/>
  <c r="N1227" i="9"/>
  <c r="M1227" i="9"/>
  <c r="I1229" i="9"/>
  <c r="J1228" i="9" a="1"/>
  <c r="O1227" i="9" l="1"/>
  <c r="R1227" i="9" s="1"/>
  <c r="N1228" i="9"/>
  <c r="J1228" i="9"/>
  <c r="K1228" i="9"/>
  <c r="L1228" i="9"/>
  <c r="M1228" i="9"/>
  <c r="I1230" i="9"/>
  <c r="J1229" i="9" a="1"/>
  <c r="O1228" i="9" l="1"/>
  <c r="R1228" i="9" s="1"/>
  <c r="I1231" i="9"/>
  <c r="J1229" i="9"/>
  <c r="N1229" i="9"/>
  <c r="L1229" i="9"/>
  <c r="M1229" i="9"/>
  <c r="K1229" i="9"/>
  <c r="J1230" i="9" a="1"/>
  <c r="O1229" i="9" l="1"/>
  <c r="R1229" i="9" s="1"/>
  <c r="K1230" i="9"/>
  <c r="L1230" i="9"/>
  <c r="M1230" i="9"/>
  <c r="J1230" i="9"/>
  <c r="N1230" i="9"/>
  <c r="I1232" i="9"/>
  <c r="J1231" i="9" a="1"/>
  <c r="O1230" i="9" l="1"/>
  <c r="R1230" i="9" s="1"/>
  <c r="I1233" i="9"/>
  <c r="L1231" i="9"/>
  <c r="K1231" i="9"/>
  <c r="N1231" i="9"/>
  <c r="J1231" i="9"/>
  <c r="M1231" i="9"/>
  <c r="J1232" i="9" a="1"/>
  <c r="O1231" i="9" l="1"/>
  <c r="R1231" i="9" s="1"/>
  <c r="K1232" i="9"/>
  <c r="L1232" i="9"/>
  <c r="M1232" i="9"/>
  <c r="N1232" i="9"/>
  <c r="J1232" i="9"/>
  <c r="I1234" i="9"/>
  <c r="J1233" i="9" a="1"/>
  <c r="O1232" i="9" l="1"/>
  <c r="R1232" i="9" s="1"/>
  <c r="P1231" i="9"/>
  <c r="Q1227" i="9"/>
  <c r="S1227" i="9" s="1"/>
  <c r="T1227" i="9" s="1"/>
  <c r="U1227" i="9" s="1"/>
  <c r="Q1228" i="9"/>
  <c r="S1228" i="9" s="1"/>
  <c r="T1228" i="9" s="1"/>
  <c r="U1228" i="9" s="1"/>
  <c r="Q1233" i="9"/>
  <c r="Q1231" i="9"/>
  <c r="S1231" i="9" s="1"/>
  <c r="T1231" i="9" s="1"/>
  <c r="U1231" i="9" s="1"/>
  <c r="Q1230" i="9"/>
  <c r="S1230" i="9" s="1"/>
  <c r="T1230" i="9" s="1"/>
  <c r="U1230" i="9" s="1"/>
  <c r="Q1229" i="9"/>
  <c r="S1229" i="9" s="1"/>
  <c r="T1229" i="9" s="1"/>
  <c r="U1229" i="9" s="1"/>
  <c r="Q1234" i="9"/>
  <c r="Q1232" i="9"/>
  <c r="S1232" i="9" s="1"/>
  <c r="T1232" i="9" s="1"/>
  <c r="U1232" i="9" s="1"/>
  <c r="Q1226" i="9"/>
  <c r="S1226" i="9" s="1"/>
  <c r="T1226" i="9" s="1"/>
  <c r="U1226" i="9" s="1"/>
  <c r="N1233" i="9"/>
  <c r="K1233" i="9"/>
  <c r="L1233" i="9"/>
  <c r="J1233" i="9"/>
  <c r="M1233" i="9"/>
  <c r="I1235" i="9"/>
  <c r="J1234" i="9" a="1"/>
  <c r="O1233" i="9" l="1"/>
  <c r="R1233" i="9" s="1"/>
  <c r="S1233" i="9" s="1"/>
  <c r="T1233" i="9" s="1"/>
  <c r="U1233" i="9" s="1"/>
  <c r="I1236" i="9"/>
  <c r="M1234" i="9"/>
  <c r="K1234" i="9"/>
  <c r="L1234" i="9"/>
  <c r="J1234" i="9"/>
  <c r="N1234" i="9"/>
  <c r="J1235" i="9" a="1"/>
  <c r="O1234" i="9" l="1"/>
  <c r="R1234" i="9" s="1"/>
  <c r="S1234" i="9" s="1"/>
  <c r="T1234" i="9" s="1"/>
  <c r="U1234" i="9" s="1"/>
  <c r="L1235" i="9"/>
  <c r="K1235" i="9"/>
  <c r="M1235" i="9"/>
  <c r="N1235" i="9"/>
  <c r="J1235" i="9"/>
  <c r="I1237" i="9"/>
  <c r="J1236" i="9" a="1"/>
  <c r="O1235" i="9" l="1"/>
  <c r="R1235" i="9" s="1"/>
  <c r="I1238" i="9"/>
  <c r="K1236" i="9"/>
  <c r="N1236" i="9"/>
  <c r="J1236" i="9"/>
  <c r="M1236" i="9"/>
  <c r="L1236" i="9"/>
  <c r="J1237" i="9" a="1"/>
  <c r="O1236" i="9" l="1"/>
  <c r="R1236" i="9" s="1"/>
  <c r="N1237" i="9"/>
  <c r="J1237" i="9"/>
  <c r="K1237" i="9"/>
  <c r="L1237" i="9"/>
  <c r="M1237" i="9"/>
  <c r="I1239" i="9"/>
  <c r="J1238" i="9" a="1"/>
  <c r="O1237" i="9" l="1"/>
  <c r="R1237" i="9" s="1"/>
  <c r="I1240" i="9"/>
  <c r="M1238" i="9"/>
  <c r="N1238" i="9"/>
  <c r="K1238" i="9"/>
  <c r="J1238" i="9"/>
  <c r="L1238" i="9"/>
  <c r="J1239" i="9" a="1"/>
  <c r="O1238" i="9" l="1"/>
  <c r="R1238" i="9" s="1"/>
  <c r="M1239" i="9"/>
  <c r="L1239" i="9"/>
  <c r="N1239" i="9"/>
  <c r="K1239" i="9"/>
  <c r="J1239" i="9"/>
  <c r="I1241" i="9"/>
  <c r="J1240" i="9" a="1"/>
  <c r="O1239" i="9" l="1"/>
  <c r="R1239" i="9" s="1"/>
  <c r="I1242" i="9"/>
  <c r="J1240" i="9"/>
  <c r="M1240" i="9"/>
  <c r="K1240" i="9"/>
  <c r="L1240" i="9"/>
  <c r="N1240" i="9"/>
  <c r="J1241" i="9" a="1"/>
  <c r="O1240" i="9" l="1"/>
  <c r="R1240" i="9" s="1"/>
  <c r="M1241" i="9"/>
  <c r="J1241" i="9"/>
  <c r="K1241" i="9"/>
  <c r="L1241" i="9"/>
  <c r="N1241" i="9"/>
  <c r="I1243" i="9"/>
  <c r="J1242" i="9" a="1"/>
  <c r="P1240" i="9" l="1"/>
  <c r="O1241" i="9"/>
  <c r="R1241" i="9" s="1"/>
  <c r="L1242" i="9"/>
  <c r="M1242" i="9"/>
  <c r="N1242" i="9"/>
  <c r="K1242" i="9"/>
  <c r="J1242" i="9"/>
  <c r="I1244" i="9"/>
  <c r="Q1237" i="9"/>
  <c r="S1237" i="9" s="1"/>
  <c r="T1237" i="9" s="1"/>
  <c r="U1237" i="9" s="1"/>
  <c r="Q1235" i="9"/>
  <c r="S1235" i="9" s="1"/>
  <c r="T1235" i="9" s="1"/>
  <c r="U1235" i="9" s="1"/>
  <c r="Q1238" i="9"/>
  <c r="S1238" i="9" s="1"/>
  <c r="T1238" i="9" s="1"/>
  <c r="U1238" i="9" s="1"/>
  <c r="Q1241" i="9"/>
  <c r="S1241" i="9" s="1"/>
  <c r="T1241" i="9" s="1"/>
  <c r="U1241" i="9" s="1"/>
  <c r="Q1243" i="9"/>
  <c r="Q1242" i="9"/>
  <c r="Q1239" i="9"/>
  <c r="S1239" i="9" s="1"/>
  <c r="T1239" i="9" s="1"/>
  <c r="U1239" i="9" s="1"/>
  <c r="Q1236" i="9"/>
  <c r="S1236" i="9" s="1"/>
  <c r="T1236" i="9" s="1"/>
  <c r="U1236" i="9" s="1"/>
  <c r="Q1240" i="9"/>
  <c r="S1240" i="9" s="1"/>
  <c r="T1240" i="9" s="1"/>
  <c r="U1240" i="9" s="1"/>
  <c r="J1243" i="9" a="1"/>
  <c r="O1242" i="9" l="1"/>
  <c r="R1242" i="9" s="1"/>
  <c r="S1242" i="9" s="1"/>
  <c r="T1242" i="9" s="1"/>
  <c r="U1242" i="9" s="1"/>
  <c r="I1245" i="9"/>
  <c r="K1243" i="9"/>
  <c r="J1243" i="9"/>
  <c r="M1243" i="9"/>
  <c r="L1243" i="9"/>
  <c r="N1243" i="9"/>
  <c r="J1244" i="9" a="1"/>
  <c r="O1243" i="9" l="1"/>
  <c r="R1243" i="9" s="1"/>
  <c r="S1243" i="9" s="1"/>
  <c r="T1243" i="9" s="1"/>
  <c r="U1243" i="9" s="1"/>
  <c r="N1244" i="9"/>
  <c r="J1244" i="9"/>
  <c r="M1244" i="9"/>
  <c r="K1244" i="9"/>
  <c r="L1244" i="9"/>
  <c r="I1246" i="9"/>
  <c r="J1245" i="9" a="1"/>
  <c r="O1244" i="9" l="1"/>
  <c r="R1244" i="9" s="1"/>
  <c r="I1247" i="9"/>
  <c r="L1245" i="9"/>
  <c r="M1245" i="9"/>
  <c r="N1245" i="9"/>
  <c r="J1245" i="9"/>
  <c r="K1245" i="9"/>
  <c r="J1246" i="9" a="1"/>
  <c r="O1245" i="9" l="1"/>
  <c r="R1245" i="9" s="1"/>
  <c r="J1246" i="9"/>
  <c r="L1246" i="9"/>
  <c r="M1246" i="9"/>
  <c r="N1246" i="9"/>
  <c r="K1246" i="9"/>
  <c r="I1248" i="9"/>
  <c r="J1247" i="9" a="1"/>
  <c r="O1246" i="9" l="1"/>
  <c r="R1246" i="9" s="1"/>
  <c r="J1247" i="9"/>
  <c r="M1247" i="9"/>
  <c r="L1247" i="9"/>
  <c r="N1247" i="9"/>
  <c r="K1247" i="9"/>
  <c r="I1249" i="9"/>
  <c r="J1248" i="9" a="1"/>
  <c r="O1247" i="9" l="1"/>
  <c r="R1247" i="9" s="1"/>
  <c r="N1248" i="9"/>
  <c r="J1248" i="9"/>
  <c r="M1248" i="9"/>
  <c r="K1248" i="9"/>
  <c r="L1248" i="9"/>
  <c r="I1250" i="9"/>
  <c r="J1249" i="9" a="1"/>
  <c r="O1248" i="9" l="1"/>
  <c r="R1248" i="9" s="1"/>
  <c r="I1251" i="9"/>
  <c r="M1249" i="9"/>
  <c r="N1249" i="9"/>
  <c r="J1249" i="9"/>
  <c r="K1249" i="9"/>
  <c r="L1249" i="9"/>
  <c r="J1250" i="9" a="1"/>
  <c r="O1249" i="9" l="1"/>
  <c r="R1249" i="9" s="1"/>
  <c r="J1250" i="9"/>
  <c r="L1250" i="9"/>
  <c r="M1250" i="9"/>
  <c r="N1250" i="9"/>
  <c r="K1250" i="9"/>
  <c r="I1252" i="9"/>
  <c r="J1251" i="9" a="1"/>
  <c r="P1249" i="9" l="1"/>
  <c r="O1250" i="9"/>
  <c r="R1250" i="9" s="1"/>
  <c r="M1251" i="9"/>
  <c r="L1251" i="9"/>
  <c r="N1251" i="9"/>
  <c r="K1251" i="9"/>
  <c r="J1251" i="9"/>
  <c r="Q1251" i="9"/>
  <c r="Q1249" i="9"/>
  <c r="S1249" i="9" s="1"/>
  <c r="T1249" i="9" s="1"/>
  <c r="U1249" i="9" s="1"/>
  <c r="Q1244" i="9"/>
  <c r="S1244" i="9" s="1"/>
  <c r="T1244" i="9" s="1"/>
  <c r="U1244" i="9" s="1"/>
  <c r="Q1247" i="9"/>
  <c r="S1247" i="9" s="1"/>
  <c r="T1247" i="9" s="1"/>
  <c r="U1247" i="9" s="1"/>
  <c r="Q1245" i="9"/>
  <c r="S1245" i="9" s="1"/>
  <c r="T1245" i="9" s="1"/>
  <c r="U1245" i="9" s="1"/>
  <c r="Q1252" i="9"/>
  <c r="Q1250" i="9"/>
  <c r="Q1248" i="9"/>
  <c r="S1248" i="9" s="1"/>
  <c r="T1248" i="9" s="1"/>
  <c r="U1248" i="9" s="1"/>
  <c r="Q1246" i="9"/>
  <c r="S1246" i="9" s="1"/>
  <c r="T1246" i="9" s="1"/>
  <c r="U1246" i="9" s="1"/>
  <c r="I1253" i="9"/>
  <c r="J1252" i="9" a="1"/>
  <c r="S1250" i="9" l="1"/>
  <c r="T1250" i="9" s="1"/>
  <c r="U1250" i="9" s="1"/>
  <c r="O1251" i="9"/>
  <c r="R1251" i="9" s="1"/>
  <c r="S1251" i="9" s="1"/>
  <c r="T1251" i="9" s="1"/>
  <c r="U1251" i="9" s="1"/>
  <c r="K1252" i="9"/>
  <c r="N1252" i="9"/>
  <c r="J1252" i="9"/>
  <c r="M1252" i="9"/>
  <c r="L1252" i="9"/>
  <c r="I1254" i="9"/>
  <c r="J1253" i="9" a="1"/>
  <c r="O1252" i="9" l="1"/>
  <c r="R1252" i="9" s="1"/>
  <c r="S1252" i="9" s="1"/>
  <c r="T1252" i="9" s="1"/>
  <c r="U1252" i="9" s="1"/>
  <c r="M1253" i="9"/>
  <c r="N1253" i="9"/>
  <c r="J1253" i="9"/>
  <c r="K1253" i="9"/>
  <c r="L1253" i="9"/>
  <c r="I1255" i="9"/>
  <c r="J1254" i="9" a="1"/>
  <c r="O1253" i="9" l="1"/>
  <c r="R1253" i="9" s="1"/>
  <c r="I1256" i="9"/>
  <c r="K1254" i="9"/>
  <c r="J1254" i="9"/>
  <c r="L1254" i="9"/>
  <c r="M1254" i="9"/>
  <c r="N1254" i="9"/>
  <c r="J1255" i="9" a="1"/>
  <c r="O1254" i="9" l="1"/>
  <c r="R1254" i="9" s="1"/>
  <c r="J1255" i="9"/>
  <c r="M1255" i="9"/>
  <c r="L1255" i="9"/>
  <c r="N1255" i="9"/>
  <c r="K1255" i="9"/>
  <c r="I1257" i="9"/>
  <c r="J1256" i="9" a="1"/>
  <c r="O1255" i="9" l="1"/>
  <c r="R1255" i="9" s="1"/>
  <c r="K1256" i="9"/>
  <c r="L1256" i="9"/>
  <c r="N1256" i="9"/>
  <c r="J1256" i="9"/>
  <c r="M1256" i="9"/>
  <c r="I1258" i="9"/>
  <c r="J1257" i="9" a="1"/>
  <c r="O1256" i="9" l="1"/>
  <c r="R1256" i="9" s="1"/>
  <c r="I1259" i="9"/>
  <c r="K1257" i="9"/>
  <c r="L1257" i="9"/>
  <c r="M1257" i="9"/>
  <c r="N1257" i="9"/>
  <c r="J1257" i="9"/>
  <c r="J1258" i="9" a="1"/>
  <c r="O1257" i="9" l="1"/>
  <c r="R1257" i="9" s="1"/>
  <c r="N1258" i="9"/>
  <c r="K1258" i="9"/>
  <c r="J1258" i="9"/>
  <c r="L1258" i="9"/>
  <c r="M1258" i="9"/>
  <c r="I1260" i="9"/>
  <c r="J1259" i="9" a="1"/>
  <c r="O1258" i="9" l="1"/>
  <c r="R1258" i="9" s="1"/>
  <c r="I1261" i="9"/>
  <c r="M1259" i="9"/>
  <c r="J1259" i="9"/>
  <c r="L1259" i="9"/>
  <c r="N1259" i="9"/>
  <c r="K1259" i="9"/>
  <c r="J1260" i="9" a="1"/>
  <c r="O1259" i="9" l="1"/>
  <c r="R1259" i="9" s="1"/>
  <c r="P1258" i="9"/>
  <c r="M1260" i="9"/>
  <c r="K1260" i="9"/>
  <c r="L1260" i="9"/>
  <c r="N1260" i="9"/>
  <c r="J1260" i="9"/>
  <c r="Q1259" i="9"/>
  <c r="S1259" i="9" s="1"/>
  <c r="T1259" i="9" s="1"/>
  <c r="U1259" i="9" s="1"/>
  <c r="Q1260" i="9"/>
  <c r="Q1257" i="9"/>
  <c r="S1257" i="9" s="1"/>
  <c r="T1257" i="9" s="1"/>
  <c r="U1257" i="9" s="1"/>
  <c r="Q1254" i="9"/>
  <c r="S1254" i="9" s="1"/>
  <c r="T1254" i="9" s="1"/>
  <c r="U1254" i="9" s="1"/>
  <c r="Q1261" i="9"/>
  <c r="Q1258" i="9"/>
  <c r="S1258" i="9" s="1"/>
  <c r="T1258" i="9" s="1"/>
  <c r="U1258" i="9" s="1"/>
  <c r="Q1253" i="9"/>
  <c r="S1253" i="9" s="1"/>
  <c r="T1253" i="9" s="1"/>
  <c r="U1253" i="9" s="1"/>
  <c r="Q1256" i="9"/>
  <c r="S1256" i="9" s="1"/>
  <c r="T1256" i="9" s="1"/>
  <c r="U1256" i="9" s="1"/>
  <c r="Q1255" i="9"/>
  <c r="S1255" i="9" s="1"/>
  <c r="T1255" i="9" s="1"/>
  <c r="U1255" i="9" s="1"/>
  <c r="I1262" i="9"/>
  <c r="J1261" i="9" a="1"/>
  <c r="O1260" i="9" l="1"/>
  <c r="R1260" i="9" s="1"/>
  <c r="S1260" i="9" s="1"/>
  <c r="T1260" i="9" s="1"/>
  <c r="U1260" i="9" s="1"/>
  <c r="L1261" i="9"/>
  <c r="M1261" i="9"/>
  <c r="N1261" i="9"/>
  <c r="J1261" i="9"/>
  <c r="K1261" i="9"/>
  <c r="I1263" i="9"/>
  <c r="J1262" i="9" a="1"/>
  <c r="O1261" i="9" l="1"/>
  <c r="R1261" i="9" s="1"/>
  <c r="S1261" i="9" s="1"/>
  <c r="T1261" i="9" s="1"/>
  <c r="U1261" i="9" s="1"/>
  <c r="M1262" i="9"/>
  <c r="N1262" i="9"/>
  <c r="K1262" i="9"/>
  <c r="J1262" i="9"/>
  <c r="L1262" i="9"/>
  <c r="I1264" i="9"/>
  <c r="J1263" i="9" a="1"/>
  <c r="O1262" i="9" l="1"/>
  <c r="R1262" i="9" s="1"/>
  <c r="I1265" i="9"/>
  <c r="K1263" i="9"/>
  <c r="M1263" i="9"/>
  <c r="L1263" i="9"/>
  <c r="N1263" i="9"/>
  <c r="J1263" i="9"/>
  <c r="J1264" i="9" a="1"/>
  <c r="O1263" i="9" l="1"/>
  <c r="R1263" i="9" s="1"/>
  <c r="J1264" i="9"/>
  <c r="K1264" i="9"/>
  <c r="L1264" i="9"/>
  <c r="M1264" i="9"/>
  <c r="N1264" i="9"/>
  <c r="I1266" i="9"/>
  <c r="J1265" i="9" a="1"/>
  <c r="O1264" i="9" l="1"/>
  <c r="R1264" i="9" s="1"/>
  <c r="M1265" i="9"/>
  <c r="N1265" i="9"/>
  <c r="K1265" i="9"/>
  <c r="J1265" i="9"/>
  <c r="L1265" i="9"/>
  <c r="I1267" i="9"/>
  <c r="J1266" i="9" a="1"/>
  <c r="O1265" i="9" l="1"/>
  <c r="R1265" i="9" s="1"/>
  <c r="I1268" i="9"/>
  <c r="J1266" i="9"/>
  <c r="L1266" i="9"/>
  <c r="N1266" i="9"/>
  <c r="K1266" i="9"/>
  <c r="M1266" i="9"/>
  <c r="J1267" i="9" a="1"/>
  <c r="O1266" i="9" l="1"/>
  <c r="R1266" i="9" s="1"/>
  <c r="M1267" i="9"/>
  <c r="J1267" i="9"/>
  <c r="K1267" i="9"/>
  <c r="L1267" i="9"/>
  <c r="N1267" i="9"/>
  <c r="I1269" i="9"/>
  <c r="J1268" i="9" a="1"/>
  <c r="O1267" i="9" l="1"/>
  <c r="R1267" i="9" s="1"/>
  <c r="I1270" i="9"/>
  <c r="K1268" i="9"/>
  <c r="L1268" i="9"/>
  <c r="M1268" i="9"/>
  <c r="N1268" i="9"/>
  <c r="J1268" i="9"/>
  <c r="J1269" i="9" a="1"/>
  <c r="P1267" i="9" l="1"/>
  <c r="O1268" i="9"/>
  <c r="R1268" i="9" s="1"/>
  <c r="L1269" i="9"/>
  <c r="N1269" i="9"/>
  <c r="K1269" i="9"/>
  <c r="M1269" i="9"/>
  <c r="J1269" i="9"/>
  <c r="Q1265" i="9"/>
  <c r="S1265" i="9" s="1"/>
  <c r="T1265" i="9" s="1"/>
  <c r="U1265" i="9" s="1"/>
  <c r="Q1262" i="9"/>
  <c r="S1262" i="9" s="1"/>
  <c r="T1262" i="9" s="1"/>
  <c r="U1262" i="9" s="1"/>
  <c r="Q1263" i="9"/>
  <c r="S1263" i="9" s="1"/>
  <c r="T1263" i="9" s="1"/>
  <c r="U1263" i="9" s="1"/>
  <c r="Q1270" i="9"/>
  <c r="Q1267" i="9"/>
  <c r="S1267" i="9" s="1"/>
  <c r="T1267" i="9" s="1"/>
  <c r="U1267" i="9" s="1"/>
  <c r="Q1266" i="9"/>
  <c r="S1266" i="9" s="1"/>
  <c r="T1266" i="9" s="1"/>
  <c r="U1266" i="9" s="1"/>
  <c r="Q1264" i="9"/>
  <c r="S1264" i="9" s="1"/>
  <c r="T1264" i="9" s="1"/>
  <c r="U1264" i="9" s="1"/>
  <c r="Q1268" i="9"/>
  <c r="S1268" i="9" s="1"/>
  <c r="T1268" i="9" s="1"/>
  <c r="U1268" i="9" s="1"/>
  <c r="Q1269" i="9"/>
  <c r="I1271" i="9"/>
  <c r="J1270" i="9" a="1"/>
  <c r="O1269" i="9" l="1"/>
  <c r="R1269" i="9" s="1"/>
  <c r="S1269" i="9" s="1"/>
  <c r="T1269" i="9" s="1"/>
  <c r="U1269" i="9" s="1"/>
  <c r="L1270" i="9"/>
  <c r="N1270" i="9"/>
  <c r="K1270" i="9"/>
  <c r="M1270" i="9"/>
  <c r="J1270" i="9"/>
  <c r="I1272" i="9"/>
  <c r="J1271" i="9" a="1"/>
  <c r="O1270" i="9" l="1"/>
  <c r="R1270" i="9" s="1"/>
  <c r="S1270" i="9" s="1"/>
  <c r="T1270" i="9" s="1"/>
  <c r="U1270" i="9" s="1"/>
  <c r="I1273" i="9"/>
  <c r="K1271" i="9"/>
  <c r="M1271" i="9"/>
  <c r="L1271" i="9"/>
  <c r="N1271" i="9"/>
  <c r="J1271" i="9"/>
  <c r="J1272" i="9" a="1"/>
  <c r="O1271" i="9" l="1"/>
  <c r="R1271" i="9" s="1"/>
  <c r="K1272" i="9"/>
  <c r="L1272" i="9"/>
  <c r="M1272" i="9"/>
  <c r="N1272" i="9"/>
  <c r="J1272" i="9"/>
  <c r="I1274" i="9"/>
  <c r="J1273" i="9" a="1"/>
  <c r="O1272" i="9" l="1"/>
  <c r="R1272" i="9" s="1"/>
  <c r="I1275" i="9"/>
  <c r="K1273" i="9"/>
  <c r="M1273" i="9"/>
  <c r="N1273" i="9"/>
  <c r="J1273" i="9"/>
  <c r="L1273" i="9"/>
  <c r="J1274" i="9" a="1"/>
  <c r="O1273" i="9" l="1"/>
  <c r="R1273" i="9" s="1"/>
  <c r="L1274" i="9"/>
  <c r="N1274" i="9"/>
  <c r="K1274" i="9"/>
  <c r="M1274" i="9"/>
  <c r="J1274" i="9"/>
  <c r="I1276" i="9"/>
  <c r="J1275" i="9" a="1"/>
  <c r="O1274" i="9" l="1"/>
  <c r="R1274" i="9" s="1"/>
  <c r="I1277" i="9"/>
  <c r="N1275" i="9"/>
  <c r="J1275" i="9"/>
  <c r="K1275" i="9"/>
  <c r="M1275" i="9"/>
  <c r="L1275" i="9"/>
  <c r="J1276" i="9" a="1"/>
  <c r="O1275" i="9" l="1"/>
  <c r="R1275" i="9" s="1"/>
  <c r="L1276" i="9"/>
  <c r="M1276" i="9"/>
  <c r="N1276" i="9"/>
  <c r="J1276" i="9"/>
  <c r="K1276" i="9"/>
  <c r="I1278" i="9"/>
  <c r="J1277" i="9" a="1"/>
  <c r="O1276" i="9" l="1"/>
  <c r="P1276" i="9" s="1"/>
  <c r="I1279" i="9"/>
  <c r="J1277" i="9"/>
  <c r="L1277" i="9"/>
  <c r="K1277" i="9"/>
  <c r="M1277" i="9"/>
  <c r="N1277" i="9"/>
  <c r="J1278" i="9" a="1"/>
  <c r="O1277" i="9" l="1"/>
  <c r="R1277" i="9" s="1"/>
  <c r="R1276" i="9"/>
  <c r="N1278" i="9"/>
  <c r="K1278" i="9"/>
  <c r="M1278" i="9"/>
  <c r="J1278" i="9"/>
  <c r="L1278" i="9"/>
  <c r="Q1273" i="9"/>
  <c r="S1273" i="9" s="1"/>
  <c r="T1273" i="9" s="1"/>
  <c r="U1273" i="9" s="1"/>
  <c r="Q1275" i="9"/>
  <c r="S1275" i="9" s="1"/>
  <c r="T1275" i="9" s="1"/>
  <c r="U1275" i="9" s="1"/>
  <c r="Q1276" i="9"/>
  <c r="S1276" i="9" s="1"/>
  <c r="T1276" i="9" s="1"/>
  <c r="U1276" i="9" s="1"/>
  <c r="Q1272" i="9"/>
  <c r="S1272" i="9" s="1"/>
  <c r="T1272" i="9" s="1"/>
  <c r="U1272" i="9" s="1"/>
  <c r="Q1279" i="9"/>
  <c r="Q1274" i="9"/>
  <c r="S1274" i="9" s="1"/>
  <c r="T1274" i="9" s="1"/>
  <c r="U1274" i="9" s="1"/>
  <c r="Q1271" i="9"/>
  <c r="S1271" i="9" s="1"/>
  <c r="T1271" i="9" s="1"/>
  <c r="U1271" i="9" s="1"/>
  <c r="Q1278" i="9"/>
  <c r="Q1277" i="9"/>
  <c r="S1277" i="9" s="1"/>
  <c r="T1277" i="9" s="1"/>
  <c r="U1277" i="9" s="1"/>
  <c r="I1280" i="9"/>
  <c r="J1279" i="9" a="1"/>
  <c r="O1278" i="9" l="1"/>
  <c r="R1278" i="9" s="1"/>
  <c r="S1278" i="9" s="1"/>
  <c r="T1278" i="9" s="1"/>
  <c r="U1278" i="9" s="1"/>
  <c r="L1279" i="9"/>
  <c r="N1279" i="9"/>
  <c r="J1279" i="9"/>
  <c r="K1279" i="9"/>
  <c r="M1279" i="9"/>
  <c r="I1281" i="9"/>
  <c r="J1280" i="9" a="1"/>
  <c r="O1279" i="9" l="1"/>
  <c r="R1279" i="9" s="1"/>
  <c r="S1279" i="9" s="1"/>
  <c r="T1279" i="9" s="1"/>
  <c r="U1279" i="9" s="1"/>
  <c r="J1280" i="9"/>
  <c r="L1280" i="9"/>
  <c r="M1280" i="9"/>
  <c r="K1280" i="9"/>
  <c r="N1280" i="9"/>
  <c r="I1282" i="9"/>
  <c r="J1281" i="9" a="1"/>
  <c r="O1280" i="9" l="1"/>
  <c r="R1280" i="9" s="1"/>
  <c r="N1281" i="9"/>
  <c r="J1281" i="9"/>
  <c r="L1281" i="9"/>
  <c r="K1281" i="9"/>
  <c r="M1281" i="9"/>
  <c r="I1283" i="9"/>
  <c r="J1282" i="9" a="1"/>
  <c r="O1281" i="9" l="1"/>
  <c r="R1281" i="9" s="1"/>
  <c r="I1284" i="9"/>
  <c r="J1282" i="9"/>
  <c r="L1282" i="9"/>
  <c r="N1282" i="9"/>
  <c r="M1282" i="9"/>
  <c r="K1282" i="9"/>
  <c r="J1283" i="9" a="1"/>
  <c r="O1282" i="9" l="1"/>
  <c r="R1282" i="9" s="1"/>
  <c r="L1283" i="9"/>
  <c r="N1283" i="9"/>
  <c r="J1283" i="9"/>
  <c r="K1283" i="9"/>
  <c r="M1283" i="9"/>
  <c r="I1285" i="9"/>
  <c r="J1284" i="9" a="1"/>
  <c r="O1283" i="9" l="1"/>
  <c r="R1283" i="9" s="1"/>
  <c r="I1286" i="9"/>
  <c r="N1284" i="9"/>
  <c r="J1284" i="9"/>
  <c r="M1284" i="9"/>
  <c r="K1284" i="9"/>
  <c r="L1284" i="9"/>
  <c r="J1285" i="9" a="1"/>
  <c r="O1284" i="9" l="1"/>
  <c r="R1284" i="9" s="1"/>
  <c r="J1285" i="9"/>
  <c r="L1285" i="9"/>
  <c r="K1285" i="9"/>
  <c r="M1285" i="9"/>
  <c r="N1285" i="9"/>
  <c r="I1287" i="9"/>
  <c r="J1286" i="9" a="1"/>
  <c r="O1285" i="9" l="1"/>
  <c r="R1285" i="9" s="1"/>
  <c r="J1286" i="9"/>
  <c r="L1286" i="9"/>
  <c r="N1286" i="9"/>
  <c r="K1286" i="9"/>
  <c r="M1286" i="9"/>
  <c r="I1288" i="9"/>
  <c r="J1287" i="9" a="1"/>
  <c r="P1285" i="9" l="1"/>
  <c r="O1286" i="9"/>
  <c r="R1286" i="9" s="1"/>
  <c r="Q1286" i="9"/>
  <c r="Q1288" i="9"/>
  <c r="Q1287" i="9"/>
  <c r="Q1281" i="9"/>
  <c r="S1281" i="9" s="1"/>
  <c r="T1281" i="9" s="1"/>
  <c r="U1281" i="9" s="1"/>
  <c r="Q1280" i="9"/>
  <c r="S1280" i="9" s="1"/>
  <c r="T1280" i="9" s="1"/>
  <c r="U1280" i="9" s="1"/>
  <c r="Q1284" i="9"/>
  <c r="S1284" i="9" s="1"/>
  <c r="T1284" i="9" s="1"/>
  <c r="U1284" i="9" s="1"/>
  <c r="Q1285" i="9"/>
  <c r="S1285" i="9" s="1"/>
  <c r="T1285" i="9" s="1"/>
  <c r="U1285" i="9" s="1"/>
  <c r="Q1282" i="9"/>
  <c r="S1282" i="9" s="1"/>
  <c r="T1282" i="9" s="1"/>
  <c r="U1282" i="9" s="1"/>
  <c r="Q1283" i="9"/>
  <c r="S1283" i="9" s="1"/>
  <c r="T1283" i="9" s="1"/>
  <c r="U1283" i="9" s="1"/>
  <c r="I1289" i="9"/>
  <c r="L1287" i="9"/>
  <c r="N1287" i="9"/>
  <c r="J1287" i="9"/>
  <c r="K1287" i="9"/>
  <c r="M1287" i="9"/>
  <c r="J1288" i="9" a="1"/>
  <c r="O1287" i="9" l="1"/>
  <c r="R1287" i="9" s="1"/>
  <c r="S1287" i="9" s="1"/>
  <c r="T1287" i="9" s="1"/>
  <c r="U1287" i="9" s="1"/>
  <c r="S1286" i="9"/>
  <c r="T1286" i="9" s="1"/>
  <c r="U1286" i="9" s="1"/>
  <c r="I1290" i="9"/>
  <c r="J1288" i="9"/>
  <c r="K1288" i="9"/>
  <c r="L1288" i="9"/>
  <c r="M1288" i="9"/>
  <c r="N1288" i="9"/>
  <c r="J1289" i="9" a="1"/>
  <c r="O1288" i="9" l="1"/>
  <c r="R1288" i="9" s="1"/>
  <c r="S1288" i="9" s="1"/>
  <c r="T1288" i="9" s="1"/>
  <c r="U1288" i="9" s="1"/>
  <c r="J1289" i="9"/>
  <c r="L1289" i="9"/>
  <c r="K1289" i="9"/>
  <c r="M1289" i="9"/>
  <c r="N1289" i="9"/>
  <c r="I1291" i="9"/>
  <c r="J1290" i="9" a="1"/>
  <c r="O1289" i="9" l="1"/>
  <c r="R1289" i="9" s="1"/>
  <c r="J1290" i="9"/>
  <c r="L1290" i="9"/>
  <c r="N1290" i="9"/>
  <c r="K1290" i="9"/>
  <c r="M1290" i="9"/>
  <c r="I1292" i="9"/>
  <c r="J1291" i="9" a="1"/>
  <c r="O1290" i="9" l="1"/>
  <c r="R1290" i="9" s="1"/>
  <c r="J1291" i="9"/>
  <c r="K1291" i="9"/>
  <c r="M1291" i="9"/>
  <c r="L1291" i="9"/>
  <c r="N1291" i="9"/>
  <c r="I1293" i="9"/>
  <c r="J1292" i="9" a="1"/>
  <c r="O1291" i="9" l="1"/>
  <c r="R1291" i="9" s="1"/>
  <c r="N1292" i="9"/>
  <c r="J1292" i="9"/>
  <c r="K1292" i="9"/>
  <c r="L1292" i="9"/>
  <c r="M1292" i="9"/>
  <c r="I1294" i="9"/>
  <c r="J1293" i="9" a="1"/>
  <c r="O1292" i="9" l="1"/>
  <c r="R1292" i="9" s="1"/>
  <c r="I1295" i="9"/>
  <c r="K1293" i="9"/>
  <c r="M1293" i="9"/>
  <c r="N1293" i="9"/>
  <c r="J1293" i="9"/>
  <c r="L1293" i="9"/>
  <c r="J1294" i="9" a="1"/>
  <c r="O1293" i="9" l="1"/>
  <c r="R1293" i="9" s="1"/>
  <c r="M1294" i="9"/>
  <c r="J1294" i="9"/>
  <c r="L1294" i="9"/>
  <c r="N1294" i="9"/>
  <c r="K1294" i="9"/>
  <c r="I1296" i="9"/>
  <c r="J1295" i="9" a="1"/>
  <c r="O1294" i="9" l="1"/>
  <c r="P1294" i="9" s="1"/>
  <c r="I1297" i="9"/>
  <c r="L1295" i="9"/>
  <c r="N1295" i="9"/>
  <c r="K1295" i="9"/>
  <c r="M1295" i="9"/>
  <c r="J1295" i="9"/>
  <c r="J1296" i="9" a="1"/>
  <c r="R1294" i="9" l="1"/>
  <c r="O1295" i="9"/>
  <c r="R1295" i="9" s="1"/>
  <c r="L1296" i="9"/>
  <c r="M1296" i="9"/>
  <c r="N1296" i="9"/>
  <c r="J1296" i="9"/>
  <c r="K1296" i="9"/>
  <c r="Q1289" i="9"/>
  <c r="S1289" i="9" s="1"/>
  <c r="T1289" i="9" s="1"/>
  <c r="U1289" i="9" s="1"/>
  <c r="Q1297" i="9"/>
  <c r="Q1294" i="9"/>
  <c r="S1294" i="9" s="1"/>
  <c r="T1294" i="9" s="1"/>
  <c r="U1294" i="9" s="1"/>
  <c r="Q1293" i="9"/>
  <c r="S1293" i="9" s="1"/>
  <c r="T1293" i="9" s="1"/>
  <c r="U1293" i="9" s="1"/>
  <c r="Q1290" i="9"/>
  <c r="S1290" i="9" s="1"/>
  <c r="T1290" i="9" s="1"/>
  <c r="U1290" i="9" s="1"/>
  <c r="Q1296" i="9"/>
  <c r="Q1291" i="9"/>
  <c r="S1291" i="9" s="1"/>
  <c r="T1291" i="9" s="1"/>
  <c r="U1291" i="9" s="1"/>
  <c r="Q1295" i="9"/>
  <c r="S1295" i="9" s="1"/>
  <c r="T1295" i="9" s="1"/>
  <c r="U1295" i="9" s="1"/>
  <c r="Q1292" i="9"/>
  <c r="S1292" i="9" s="1"/>
  <c r="T1292" i="9" s="1"/>
  <c r="U1292" i="9" s="1"/>
  <c r="I1298" i="9"/>
  <c r="J1297" i="9" a="1"/>
  <c r="O1296" i="9" l="1"/>
  <c r="R1296" i="9" s="1"/>
  <c r="S1296" i="9" s="1"/>
  <c r="T1296" i="9" s="1"/>
  <c r="U1296" i="9" s="1"/>
  <c r="K1297" i="9"/>
  <c r="J1297" i="9"/>
  <c r="L1297" i="9"/>
  <c r="M1297" i="9"/>
  <c r="N1297" i="9"/>
  <c r="I1299" i="9"/>
  <c r="J1298" i="9" a="1"/>
  <c r="O1297" i="9" l="1"/>
  <c r="R1297" i="9" s="1"/>
  <c r="S1297" i="9" s="1"/>
  <c r="T1297" i="9" s="1"/>
  <c r="U1297" i="9" s="1"/>
  <c r="I1300" i="9"/>
  <c r="N1298" i="9"/>
  <c r="K1298" i="9"/>
  <c r="M1298" i="9"/>
  <c r="J1298" i="9"/>
  <c r="L1298" i="9"/>
  <c r="J1299" i="9" a="1"/>
  <c r="O1298" i="9" l="1"/>
  <c r="R1298" i="9" s="1"/>
  <c r="K1299" i="9"/>
  <c r="L1299" i="9"/>
  <c r="N1299" i="9"/>
  <c r="M1299" i="9"/>
  <c r="J1299" i="9"/>
  <c r="I1301" i="9"/>
  <c r="J1300" i="9" a="1"/>
  <c r="O1299" i="9" l="1"/>
  <c r="R1299" i="9" s="1"/>
  <c r="I1302" i="9"/>
  <c r="M1300" i="9"/>
  <c r="N1300" i="9"/>
  <c r="J1300" i="9"/>
  <c r="K1300" i="9"/>
  <c r="L1300" i="9"/>
  <c r="J1301" i="9" a="1"/>
  <c r="O1300" i="9" l="1"/>
  <c r="R1300" i="9" s="1"/>
  <c r="K1301" i="9"/>
  <c r="M1301" i="9"/>
  <c r="J1301" i="9"/>
  <c r="L1301" i="9"/>
  <c r="N1301" i="9"/>
  <c r="I1303" i="9"/>
  <c r="J1302" i="9" a="1"/>
  <c r="O1301" i="9" l="1"/>
  <c r="R1301" i="9" s="1"/>
  <c r="I1304" i="9"/>
  <c r="K1302" i="9"/>
  <c r="M1302" i="9"/>
  <c r="J1302" i="9"/>
  <c r="L1302" i="9"/>
  <c r="N1302" i="9"/>
  <c r="J1303" i="9" a="1"/>
  <c r="O1302" i="9" l="1"/>
  <c r="R1302" i="9" s="1"/>
  <c r="L1303" i="9"/>
  <c r="N1303" i="9"/>
  <c r="J1303" i="9"/>
  <c r="K1303" i="9"/>
  <c r="M1303" i="9"/>
  <c r="I1305" i="9"/>
  <c r="J1304" i="9" a="1"/>
  <c r="O1303" i="9" l="1"/>
  <c r="R1303" i="9" s="1"/>
  <c r="I1306" i="9"/>
  <c r="M1304" i="9"/>
  <c r="N1304" i="9"/>
  <c r="J1304" i="9"/>
  <c r="K1304" i="9"/>
  <c r="L1304" i="9"/>
  <c r="J1305" i="9" a="1"/>
  <c r="P1303" i="9" l="1"/>
  <c r="O1304" i="9"/>
  <c r="Q1303" i="9"/>
  <c r="S1303" i="9" s="1"/>
  <c r="T1303" i="9" s="1"/>
  <c r="U1303" i="9" s="1"/>
  <c r="Q1305" i="9"/>
  <c r="Q1298" i="9"/>
  <c r="S1298" i="9" s="1"/>
  <c r="T1298" i="9" s="1"/>
  <c r="U1298" i="9" s="1"/>
  <c r="Q1299" i="9"/>
  <c r="S1299" i="9" s="1"/>
  <c r="T1299" i="9" s="1"/>
  <c r="U1299" i="9" s="1"/>
  <c r="Q1301" i="9"/>
  <c r="S1301" i="9" s="1"/>
  <c r="T1301" i="9" s="1"/>
  <c r="U1301" i="9" s="1"/>
  <c r="Q1302" i="9"/>
  <c r="S1302" i="9" s="1"/>
  <c r="T1302" i="9" s="1"/>
  <c r="U1302" i="9" s="1"/>
  <c r="Q1300" i="9"/>
  <c r="S1300" i="9" s="1"/>
  <c r="T1300" i="9" s="1"/>
  <c r="U1300" i="9" s="1"/>
  <c r="Q1306" i="9"/>
  <c r="Q1304" i="9"/>
  <c r="S1304" i="9" s="1"/>
  <c r="T1304" i="9" s="1"/>
  <c r="U1304" i="9" s="1"/>
  <c r="N1305" i="9"/>
  <c r="J1305" i="9"/>
  <c r="L1305" i="9"/>
  <c r="K1305" i="9"/>
  <c r="M1305" i="9"/>
  <c r="R1304" i="9"/>
  <c r="I1307" i="9"/>
  <c r="J1306" i="9" a="1"/>
  <c r="O1305" i="9" l="1"/>
  <c r="R1305" i="9" s="1"/>
  <c r="S1305" i="9" s="1"/>
  <c r="T1305" i="9" s="1"/>
  <c r="U1305" i="9" s="1"/>
  <c r="K1306" i="9"/>
  <c r="M1306" i="9"/>
  <c r="J1306" i="9"/>
  <c r="L1306" i="9"/>
  <c r="N1306" i="9"/>
  <c r="I1308" i="9"/>
  <c r="J1307" i="9" a="1"/>
  <c r="O1306" i="9" l="1"/>
  <c r="R1306" i="9" s="1"/>
  <c r="S1306" i="9" s="1"/>
  <c r="T1306" i="9" s="1"/>
  <c r="U1306" i="9" s="1"/>
  <c r="I1309" i="9"/>
  <c r="K1307" i="9"/>
  <c r="M1307" i="9"/>
  <c r="L1307" i="9"/>
  <c r="N1307" i="9"/>
  <c r="J1307" i="9"/>
  <c r="J1308" i="9" a="1"/>
  <c r="O1307" i="9" l="1"/>
  <c r="R1307" i="9" s="1"/>
  <c r="J1308" i="9"/>
  <c r="K1308" i="9"/>
  <c r="L1308" i="9"/>
  <c r="M1308" i="9"/>
  <c r="N1308" i="9"/>
  <c r="I1310" i="9"/>
  <c r="J1309" i="9" a="1"/>
  <c r="O1308" i="9" l="1"/>
  <c r="R1308" i="9" s="1"/>
  <c r="K1309" i="9"/>
  <c r="M1309" i="9"/>
  <c r="N1309" i="9"/>
  <c r="J1309" i="9"/>
  <c r="L1309" i="9"/>
  <c r="I1311" i="9"/>
  <c r="J1310" i="9" a="1"/>
  <c r="O1309" i="9" l="1"/>
  <c r="R1309" i="9" s="1"/>
  <c r="I1312" i="9"/>
  <c r="L1310" i="9"/>
  <c r="N1310" i="9"/>
  <c r="K1310" i="9"/>
  <c r="M1310" i="9"/>
  <c r="J1310" i="9"/>
  <c r="J1311" i="9" a="1"/>
  <c r="O1310" i="9" l="1"/>
  <c r="R1310" i="9" s="1"/>
  <c r="N1311" i="9"/>
  <c r="J1311" i="9"/>
  <c r="K1311" i="9"/>
  <c r="M1311" i="9"/>
  <c r="L1311" i="9"/>
  <c r="I1313" i="9"/>
  <c r="J1312" i="9" a="1"/>
  <c r="O1311" i="9" l="1"/>
  <c r="R1311" i="9" s="1"/>
  <c r="I1314" i="9"/>
  <c r="M1312" i="9"/>
  <c r="K1312" i="9"/>
  <c r="N1312" i="9"/>
  <c r="J1312" i="9"/>
  <c r="L1312" i="9"/>
  <c r="J1313" i="9" a="1"/>
  <c r="O1312" i="9" l="1"/>
  <c r="P1312" i="9" s="1"/>
  <c r="J1313" i="9"/>
  <c r="L1313" i="9"/>
  <c r="K1313" i="9"/>
  <c r="M1313" i="9"/>
  <c r="N1313" i="9"/>
  <c r="I1315" i="9"/>
  <c r="J1314" i="9" a="1"/>
  <c r="R1312" i="9" l="1"/>
  <c r="O1313" i="9"/>
  <c r="N1314" i="9"/>
  <c r="M1314" i="9"/>
  <c r="K1314" i="9"/>
  <c r="J1314" i="9"/>
  <c r="L1314" i="9"/>
  <c r="I1316" i="9"/>
  <c r="Q1311" i="9"/>
  <c r="S1311" i="9" s="1"/>
  <c r="T1311" i="9" s="1"/>
  <c r="U1311" i="9" s="1"/>
  <c r="Q1315" i="9"/>
  <c r="Q1314" i="9"/>
  <c r="Q1309" i="9"/>
  <c r="S1309" i="9" s="1"/>
  <c r="T1309" i="9" s="1"/>
  <c r="U1309" i="9" s="1"/>
  <c r="Q1308" i="9"/>
  <c r="S1308" i="9" s="1"/>
  <c r="T1308" i="9" s="1"/>
  <c r="U1308" i="9" s="1"/>
  <c r="Q1312" i="9"/>
  <c r="S1312" i="9" s="1"/>
  <c r="T1312" i="9" s="1"/>
  <c r="U1312" i="9" s="1"/>
  <c r="Q1313" i="9"/>
  <c r="Q1310" i="9"/>
  <c r="S1310" i="9" s="1"/>
  <c r="T1310" i="9" s="1"/>
  <c r="U1310" i="9" s="1"/>
  <c r="Q1307" i="9"/>
  <c r="S1307" i="9" s="1"/>
  <c r="T1307" i="9" s="1"/>
  <c r="U1307" i="9" s="1"/>
  <c r="R1313" i="9"/>
  <c r="J1315" i="9" a="1"/>
  <c r="O1314" i="9" l="1"/>
  <c r="R1314" i="9" s="1"/>
  <c r="S1314" i="9" s="1"/>
  <c r="T1314" i="9" s="1"/>
  <c r="U1314" i="9" s="1"/>
  <c r="I1317" i="9"/>
  <c r="S1313" i="9"/>
  <c r="T1313" i="9" s="1"/>
  <c r="U1313" i="9" s="1"/>
  <c r="J1315" i="9"/>
  <c r="K1315" i="9"/>
  <c r="M1315" i="9"/>
  <c r="L1315" i="9"/>
  <c r="N1315" i="9"/>
  <c r="J1316" i="9" a="1"/>
  <c r="O1315" i="9" l="1"/>
  <c r="R1315" i="9" s="1"/>
  <c r="S1315" i="9" s="1"/>
  <c r="T1315" i="9" s="1"/>
  <c r="U1315" i="9" s="1"/>
  <c r="M1316" i="9"/>
  <c r="K1316" i="9"/>
  <c r="L1316" i="9"/>
  <c r="N1316" i="9"/>
  <c r="J1316" i="9"/>
  <c r="I1318" i="9"/>
  <c r="J1317" i="9" a="1"/>
  <c r="O1316" i="9" l="1"/>
  <c r="R1316" i="9" s="1"/>
  <c r="I1319" i="9"/>
  <c r="L1317" i="9"/>
  <c r="K1317" i="9"/>
  <c r="M1317" i="9"/>
  <c r="N1317" i="9"/>
  <c r="J1317" i="9"/>
  <c r="J1318" i="9" a="1"/>
  <c r="O1317" i="9" l="1"/>
  <c r="R1317" i="9" s="1"/>
  <c r="L1318" i="9"/>
  <c r="N1318" i="9"/>
  <c r="K1318" i="9"/>
  <c r="M1318" i="9"/>
  <c r="J1318" i="9"/>
  <c r="I1320" i="9"/>
  <c r="J1319" i="9" a="1"/>
  <c r="O1318" i="9" l="1"/>
  <c r="R1318" i="9" s="1"/>
  <c r="I1321" i="9"/>
  <c r="J1319" i="9"/>
  <c r="K1319" i="9"/>
  <c r="M1319" i="9"/>
  <c r="L1319" i="9"/>
  <c r="N1319" i="9"/>
  <c r="J1320" i="9" a="1"/>
  <c r="O1319" i="9" l="1"/>
  <c r="R1319" i="9" s="1"/>
  <c r="L1320" i="9"/>
  <c r="M1320" i="9"/>
  <c r="N1320" i="9"/>
  <c r="J1320" i="9"/>
  <c r="K1320" i="9"/>
  <c r="I1322" i="9"/>
  <c r="J1321" i="9" a="1"/>
  <c r="O1320" i="9" l="1"/>
  <c r="R1320" i="9" s="1"/>
  <c r="I1323" i="9"/>
  <c r="L1321" i="9"/>
  <c r="K1321" i="9"/>
  <c r="M1321" i="9"/>
  <c r="N1321" i="9"/>
  <c r="J1321" i="9"/>
  <c r="J1322" i="9" a="1"/>
  <c r="O1321" i="9" l="1"/>
  <c r="P1321" i="9" s="1"/>
  <c r="N1322" i="9"/>
  <c r="K1322" i="9"/>
  <c r="M1322" i="9"/>
  <c r="J1322" i="9"/>
  <c r="L1322" i="9"/>
  <c r="I1324" i="9"/>
  <c r="J1323" i="9" a="1"/>
  <c r="R1321" i="9" l="1"/>
  <c r="O1322" i="9"/>
  <c r="R1322" i="9" s="1"/>
  <c r="I1325" i="9"/>
  <c r="J1323" i="9"/>
  <c r="K1323" i="9"/>
  <c r="M1323" i="9"/>
  <c r="L1323" i="9"/>
  <c r="N1323" i="9"/>
  <c r="Q1322" i="9"/>
  <c r="S1322" i="9" s="1"/>
  <c r="T1322" i="9" s="1"/>
  <c r="U1322" i="9" s="1"/>
  <c r="Q1319" i="9"/>
  <c r="S1319" i="9" s="1"/>
  <c r="T1319" i="9" s="1"/>
  <c r="U1319" i="9" s="1"/>
  <c r="Q1320" i="9"/>
  <c r="S1320" i="9" s="1"/>
  <c r="T1320" i="9" s="1"/>
  <c r="U1320" i="9" s="1"/>
  <c r="Q1321" i="9"/>
  <c r="S1321" i="9" s="1"/>
  <c r="T1321" i="9" s="1"/>
  <c r="U1321" i="9" s="1"/>
  <c r="Q1316" i="9"/>
  <c r="S1316" i="9" s="1"/>
  <c r="T1316" i="9" s="1"/>
  <c r="U1316" i="9" s="1"/>
  <c r="Q1324" i="9"/>
  <c r="Q1323" i="9"/>
  <c r="Q1317" i="9"/>
  <c r="S1317" i="9" s="1"/>
  <c r="T1317" i="9" s="1"/>
  <c r="U1317" i="9" s="1"/>
  <c r="Q1318" i="9"/>
  <c r="S1318" i="9" s="1"/>
  <c r="T1318" i="9" s="1"/>
  <c r="U1318" i="9" s="1"/>
  <c r="J1324" i="9" a="1"/>
  <c r="O1323" i="9" l="1"/>
  <c r="R1323" i="9" s="1"/>
  <c r="S1323" i="9" s="1"/>
  <c r="T1323" i="9" s="1"/>
  <c r="U1323" i="9" s="1"/>
  <c r="J1324" i="9"/>
  <c r="K1324" i="9"/>
  <c r="L1324" i="9"/>
  <c r="M1324" i="9"/>
  <c r="N1324" i="9"/>
  <c r="I1326" i="9"/>
  <c r="J1325" i="9" a="1"/>
  <c r="O1324" i="9" l="1"/>
  <c r="R1324" i="9" s="1"/>
  <c r="S1324" i="9" s="1"/>
  <c r="T1324" i="9" s="1"/>
  <c r="U1324" i="9" s="1"/>
  <c r="I1327" i="9"/>
  <c r="J1325" i="9"/>
  <c r="L1325" i="9"/>
  <c r="K1325" i="9"/>
  <c r="M1325" i="9"/>
  <c r="N1325" i="9"/>
  <c r="J1326" i="9" a="1"/>
  <c r="O1325" i="9" l="1"/>
  <c r="R1325" i="9" s="1"/>
  <c r="J1326" i="9"/>
  <c r="L1326" i="9"/>
  <c r="N1326" i="9"/>
  <c r="K1326" i="9"/>
  <c r="M1326" i="9"/>
  <c r="I1328" i="9"/>
  <c r="J1327" i="9" a="1"/>
  <c r="O1326" i="9" l="1"/>
  <c r="R1326" i="9" s="1"/>
  <c r="N1327" i="9"/>
  <c r="K1327" i="9"/>
  <c r="M1327" i="9"/>
  <c r="J1327" i="9"/>
  <c r="L1327" i="9"/>
  <c r="I1329" i="9"/>
  <c r="J1328" i="9" a="1"/>
  <c r="O1327" i="9" l="1"/>
  <c r="R1327" i="9" s="1"/>
  <c r="I1330" i="9"/>
  <c r="N1328" i="9"/>
  <c r="J1328" i="9"/>
  <c r="K1328" i="9"/>
  <c r="L1328" i="9"/>
  <c r="M1328" i="9"/>
  <c r="J1329" i="9" a="1"/>
  <c r="O1328" i="9" l="1"/>
  <c r="R1328" i="9" s="1"/>
  <c r="J1329" i="9"/>
  <c r="L1329" i="9"/>
  <c r="M1329" i="9"/>
  <c r="N1329" i="9"/>
  <c r="K1329" i="9"/>
  <c r="I1331" i="9"/>
  <c r="J1330" i="9" a="1"/>
  <c r="O1329" i="9" l="1"/>
  <c r="R1329" i="9" s="1"/>
  <c r="M1330" i="9"/>
  <c r="J1330" i="9"/>
  <c r="L1330" i="9"/>
  <c r="N1330" i="9"/>
  <c r="K1330" i="9"/>
  <c r="I1332" i="9"/>
  <c r="J1331" i="9" a="1"/>
  <c r="O1330" i="9" l="1"/>
  <c r="R1330" i="9" s="1"/>
  <c r="I1333" i="9"/>
  <c r="L1331" i="9"/>
  <c r="N1331" i="9"/>
  <c r="M1331" i="9"/>
  <c r="J1331" i="9"/>
  <c r="K1331" i="9"/>
  <c r="J1332" i="9" a="1"/>
  <c r="P1330" i="9" l="1"/>
  <c r="O1331" i="9"/>
  <c r="Q1331" i="9"/>
  <c r="Q1330" i="9"/>
  <c r="S1330" i="9" s="1"/>
  <c r="T1330" i="9" s="1"/>
  <c r="U1330" i="9" s="1"/>
  <c r="Q1326" i="9"/>
  <c r="S1326" i="9" s="1"/>
  <c r="T1326" i="9" s="1"/>
  <c r="U1326" i="9" s="1"/>
  <c r="Q1333" i="9"/>
  <c r="Q1325" i="9"/>
  <c r="S1325" i="9" s="1"/>
  <c r="T1325" i="9" s="1"/>
  <c r="U1325" i="9" s="1"/>
  <c r="Q1329" i="9"/>
  <c r="S1329" i="9" s="1"/>
  <c r="T1329" i="9" s="1"/>
  <c r="U1329" i="9" s="1"/>
  <c r="Q1332" i="9"/>
  <c r="Q1327" i="9"/>
  <c r="S1327" i="9" s="1"/>
  <c r="T1327" i="9" s="1"/>
  <c r="U1327" i="9" s="1"/>
  <c r="Q1328" i="9"/>
  <c r="S1328" i="9" s="1"/>
  <c r="T1328" i="9" s="1"/>
  <c r="U1328" i="9" s="1"/>
  <c r="N1332" i="9"/>
  <c r="J1332" i="9"/>
  <c r="K1332" i="9"/>
  <c r="L1332" i="9"/>
  <c r="M1332" i="9"/>
  <c r="R1331" i="9"/>
  <c r="I1334" i="9"/>
  <c r="J1333" i="9" a="1"/>
  <c r="O1332" i="9" l="1"/>
  <c r="R1332" i="9" s="1"/>
  <c r="S1332" i="9" s="1"/>
  <c r="T1332" i="9" s="1"/>
  <c r="U1332" i="9" s="1"/>
  <c r="I1335" i="9"/>
  <c r="J1333" i="9"/>
  <c r="L1333" i="9"/>
  <c r="N1333" i="9"/>
  <c r="K1333" i="9"/>
  <c r="M1333" i="9"/>
  <c r="S1331" i="9"/>
  <c r="T1331" i="9" s="1"/>
  <c r="U1331" i="9" s="1"/>
  <c r="J1334" i="9" a="1"/>
  <c r="O1333" i="9" l="1"/>
  <c r="R1333" i="9" s="1"/>
  <c r="S1333" i="9" s="1"/>
  <c r="T1333" i="9" s="1"/>
  <c r="U1333" i="9" s="1"/>
  <c r="J1334" i="9"/>
  <c r="L1334" i="9"/>
  <c r="N1334" i="9"/>
  <c r="K1334" i="9"/>
  <c r="M1334" i="9"/>
  <c r="I1336" i="9"/>
  <c r="J1335" i="9" a="1"/>
  <c r="O1334" i="9" l="1"/>
  <c r="R1334" i="9" s="1"/>
  <c r="N1335" i="9"/>
  <c r="J1335" i="9"/>
  <c r="K1335" i="9"/>
  <c r="M1335" i="9"/>
  <c r="L1335" i="9"/>
  <c r="I1337" i="9"/>
  <c r="J1336" i="9" a="1"/>
  <c r="O1335" i="9" l="1"/>
  <c r="R1335" i="9" s="1"/>
  <c r="I1338" i="9"/>
  <c r="N1336" i="9"/>
  <c r="J1336" i="9"/>
  <c r="K1336" i="9"/>
  <c r="L1336" i="9"/>
  <c r="M1336" i="9"/>
  <c r="J1337" i="9" a="1"/>
  <c r="O1336" i="9" l="1"/>
  <c r="R1336" i="9" s="1"/>
  <c r="J1337" i="9"/>
  <c r="L1337" i="9"/>
  <c r="K1337" i="9"/>
  <c r="M1337" i="9"/>
  <c r="N1337" i="9"/>
  <c r="I1339" i="9"/>
  <c r="J1338" i="9" a="1"/>
  <c r="O1337" i="9" l="1"/>
  <c r="R1337" i="9" s="1"/>
  <c r="J1338" i="9"/>
  <c r="L1338" i="9"/>
  <c r="N1338" i="9"/>
  <c r="K1338" i="9"/>
  <c r="M1338" i="9"/>
  <c r="I1340" i="9"/>
  <c r="J1339" i="9" a="1"/>
  <c r="O1338" i="9" l="1"/>
  <c r="R1338" i="9" s="1"/>
  <c r="L1339" i="9"/>
  <c r="N1339" i="9"/>
  <c r="J1339" i="9"/>
  <c r="K1339" i="9"/>
  <c r="M1339" i="9"/>
  <c r="I1341" i="9"/>
  <c r="J1340" i="9" a="1"/>
  <c r="O1339" i="9" l="1"/>
  <c r="R1339" i="9" s="1"/>
  <c r="I1342" i="9"/>
  <c r="M1340" i="9"/>
  <c r="N1340" i="9"/>
  <c r="J1340" i="9"/>
  <c r="K1340" i="9"/>
  <c r="L1340" i="9"/>
  <c r="J1341" i="9" a="1"/>
  <c r="P1339" i="9" l="1"/>
  <c r="Q1337" i="9" s="1"/>
  <c r="S1337" i="9" s="1"/>
  <c r="T1337" i="9" s="1"/>
  <c r="U1337" i="9" s="1"/>
  <c r="O1340" i="9"/>
  <c r="Q1338" i="9"/>
  <c r="S1338" i="9" s="1"/>
  <c r="T1338" i="9" s="1"/>
  <c r="U1338" i="9" s="1"/>
  <c r="Q1335" i="9"/>
  <c r="S1335" i="9" s="1"/>
  <c r="T1335" i="9" s="1"/>
  <c r="U1335" i="9" s="1"/>
  <c r="Q1336" i="9"/>
  <c r="S1336" i="9" s="1"/>
  <c r="T1336" i="9" s="1"/>
  <c r="U1336" i="9" s="1"/>
  <c r="Q1339" i="9"/>
  <c r="S1339" i="9" s="1"/>
  <c r="T1339" i="9" s="1"/>
  <c r="U1339" i="9" s="1"/>
  <c r="N1341" i="9"/>
  <c r="L1341" i="9"/>
  <c r="J1341" i="9"/>
  <c r="K1341" i="9"/>
  <c r="M1341" i="9"/>
  <c r="R1340" i="9"/>
  <c r="I1343" i="9"/>
  <c r="J1342" i="9" a="1"/>
  <c r="Q1334" i="9" l="1"/>
  <c r="S1334" i="9" s="1"/>
  <c r="T1334" i="9" s="1"/>
  <c r="U1334" i="9" s="1"/>
  <c r="Q1341" i="9"/>
  <c r="Q1342" i="9"/>
  <c r="Q1340" i="9"/>
  <c r="S1340" i="9" s="1"/>
  <c r="T1340" i="9" s="1"/>
  <c r="U1340" i="9" s="1"/>
  <c r="O1341" i="9"/>
  <c r="R1341" i="9" s="1"/>
  <c r="I1344" i="9"/>
  <c r="M1342" i="9"/>
  <c r="J1342" i="9"/>
  <c r="N1342" i="9"/>
  <c r="K1342" i="9"/>
  <c r="L1342" i="9"/>
  <c r="J1343" i="9" a="1"/>
  <c r="S1341" i="9" l="1"/>
  <c r="T1341" i="9" s="1"/>
  <c r="U1341" i="9" s="1"/>
  <c r="O1342" i="9"/>
  <c r="R1342" i="9" s="1"/>
  <c r="S1342" i="9" s="1"/>
  <c r="T1342" i="9" s="1"/>
  <c r="U1342" i="9" s="1"/>
  <c r="L1343" i="9"/>
  <c r="N1343" i="9"/>
  <c r="J1343" i="9"/>
  <c r="K1343" i="9"/>
  <c r="M1343" i="9"/>
  <c r="I1345" i="9"/>
  <c r="J1344" i="9" a="1"/>
  <c r="O1343" i="9" l="1"/>
  <c r="R1343" i="9" s="1"/>
  <c r="I1346" i="9"/>
  <c r="M1344" i="9"/>
  <c r="N1344" i="9"/>
  <c r="J1344" i="9"/>
  <c r="K1344" i="9"/>
  <c r="L1344" i="9"/>
  <c r="J1345" i="9" a="1"/>
  <c r="O1344" i="9" l="1"/>
  <c r="R1344" i="9" s="1"/>
  <c r="K1345" i="9"/>
  <c r="L1345" i="9"/>
  <c r="M1345" i="9"/>
  <c r="N1345" i="9"/>
  <c r="J1345" i="9"/>
  <c r="I1347" i="9"/>
  <c r="J1346" i="9" a="1"/>
  <c r="O1345" i="9" l="1"/>
  <c r="R1345" i="9" s="1"/>
  <c r="I1348" i="9"/>
  <c r="L1346" i="9"/>
  <c r="M1346" i="9"/>
  <c r="J1346" i="9"/>
  <c r="N1346" i="9"/>
  <c r="K1346" i="9"/>
  <c r="J1347" i="9" a="1"/>
  <c r="O1346" i="9" l="1"/>
  <c r="R1346" i="9" s="1"/>
  <c r="L1347" i="9"/>
  <c r="K1347" i="9"/>
  <c r="M1347" i="9"/>
  <c r="N1347" i="9"/>
  <c r="J1347" i="9"/>
  <c r="I1349" i="9"/>
  <c r="J1348" i="9" a="1"/>
  <c r="O1347" i="9" l="1"/>
  <c r="R1347" i="9" s="1"/>
  <c r="I1350" i="9"/>
  <c r="L1348" i="9"/>
  <c r="M1348" i="9"/>
  <c r="N1348" i="9"/>
  <c r="J1348" i="9"/>
  <c r="K1348" i="9"/>
  <c r="J1349" i="9" a="1"/>
  <c r="O1348" i="9" l="1"/>
  <c r="R1348" i="9" s="1"/>
  <c r="L1349" i="9"/>
  <c r="J1349" i="9"/>
  <c r="K1349" i="9"/>
  <c r="M1349" i="9"/>
  <c r="N1349" i="9"/>
  <c r="I1351" i="9"/>
  <c r="J1350" i="9" a="1"/>
  <c r="P1348" i="9" l="1"/>
  <c r="O1349" i="9"/>
  <c r="R1349" i="9" s="1"/>
  <c r="M1350" i="9"/>
  <c r="J1350" i="9"/>
  <c r="N1350" i="9"/>
  <c r="K1350" i="9"/>
  <c r="L1350" i="9"/>
  <c r="I1352" i="9"/>
  <c r="Q1345" i="9"/>
  <c r="S1345" i="9" s="1"/>
  <c r="T1345" i="9" s="1"/>
  <c r="U1345" i="9" s="1"/>
  <c r="Q1346" i="9"/>
  <c r="S1346" i="9" s="1"/>
  <c r="T1346" i="9" s="1"/>
  <c r="U1346" i="9" s="1"/>
  <c r="Q1343" i="9"/>
  <c r="S1343" i="9" s="1"/>
  <c r="T1343" i="9" s="1"/>
  <c r="U1343" i="9" s="1"/>
  <c r="Q1347" i="9"/>
  <c r="S1347" i="9" s="1"/>
  <c r="T1347" i="9" s="1"/>
  <c r="U1347" i="9" s="1"/>
  <c r="Q1348" i="9"/>
  <c r="S1348" i="9" s="1"/>
  <c r="T1348" i="9" s="1"/>
  <c r="U1348" i="9" s="1"/>
  <c r="Q1351" i="9"/>
  <c r="Q1344" i="9"/>
  <c r="S1344" i="9" s="1"/>
  <c r="T1344" i="9" s="1"/>
  <c r="U1344" i="9" s="1"/>
  <c r="Q1349" i="9"/>
  <c r="S1349" i="9" s="1"/>
  <c r="T1349" i="9" s="1"/>
  <c r="U1349" i="9" s="1"/>
  <c r="Q1350" i="9"/>
  <c r="J1351" i="9" a="1"/>
  <c r="O1350" i="9" l="1"/>
  <c r="R1350" i="9" s="1"/>
  <c r="S1350" i="9" s="1"/>
  <c r="T1350" i="9" s="1"/>
  <c r="U1350" i="9" s="1"/>
  <c r="I1353" i="9"/>
  <c r="M1351" i="9"/>
  <c r="N1351" i="9"/>
  <c r="L1351" i="9"/>
  <c r="J1351" i="9"/>
  <c r="K1351" i="9"/>
  <c r="J1352" i="9" a="1"/>
  <c r="O1351" i="9" l="1"/>
  <c r="R1351" i="9" s="1"/>
  <c r="S1351" i="9" s="1"/>
  <c r="T1351" i="9" s="1"/>
  <c r="U1351" i="9" s="1"/>
  <c r="K1352" i="9"/>
  <c r="L1352" i="9"/>
  <c r="N1352" i="9"/>
  <c r="J1352" i="9"/>
  <c r="M1352" i="9"/>
  <c r="I1354" i="9"/>
  <c r="J1353" i="9" a="1"/>
  <c r="O1352" i="9" l="1"/>
  <c r="R1352" i="9" s="1"/>
  <c r="I1355" i="9"/>
  <c r="M1353" i="9"/>
  <c r="N1353" i="9"/>
  <c r="L1353" i="9"/>
  <c r="J1353" i="9"/>
  <c r="K1353" i="9"/>
  <c r="J1354" i="9" a="1"/>
  <c r="O1353" i="9" l="1"/>
  <c r="R1353" i="9" s="1"/>
  <c r="K1354" i="9"/>
  <c r="J1354" i="9"/>
  <c r="N1354" i="9"/>
  <c r="L1354" i="9"/>
  <c r="M1354" i="9"/>
  <c r="I1356" i="9"/>
  <c r="J1355" i="9" a="1"/>
  <c r="O1354" i="9" l="1"/>
  <c r="R1354" i="9" s="1"/>
  <c r="I1357" i="9"/>
  <c r="K1355" i="9"/>
  <c r="M1355" i="9"/>
  <c r="N1355" i="9"/>
  <c r="L1355" i="9"/>
  <c r="J1355" i="9"/>
  <c r="J1356" i="9" a="1"/>
  <c r="O1355" i="9" l="1"/>
  <c r="R1355" i="9" s="1"/>
  <c r="N1356" i="9"/>
  <c r="J1356" i="9"/>
  <c r="K1356" i="9"/>
  <c r="L1356" i="9"/>
  <c r="M1356" i="9"/>
  <c r="I1358" i="9"/>
  <c r="J1357" i="9" a="1"/>
  <c r="O1356" i="9" l="1"/>
  <c r="R1356" i="9" s="1"/>
  <c r="I1359" i="9"/>
  <c r="K1357" i="9"/>
  <c r="M1357" i="9"/>
  <c r="N1357" i="9"/>
  <c r="L1357" i="9"/>
  <c r="J1357" i="9"/>
  <c r="J1358" i="9" a="1"/>
  <c r="O1357" i="9" l="1"/>
  <c r="P1357" i="9" s="1"/>
  <c r="K1358" i="9"/>
  <c r="L1358" i="9"/>
  <c r="M1358" i="9"/>
  <c r="J1358" i="9"/>
  <c r="N1358" i="9"/>
  <c r="I1360" i="9"/>
  <c r="J1359" i="9" a="1"/>
  <c r="O1358" i="9" l="1"/>
  <c r="R1358" i="9" s="1"/>
  <c r="R1357" i="9"/>
  <c r="I1361" i="9"/>
  <c r="K1359" i="9"/>
  <c r="M1359" i="9"/>
  <c r="L1359" i="9"/>
  <c r="N1359" i="9"/>
  <c r="J1359" i="9"/>
  <c r="Q1353" i="9"/>
  <c r="S1353" i="9" s="1"/>
  <c r="T1353" i="9" s="1"/>
  <c r="U1353" i="9" s="1"/>
  <c r="Q1356" i="9"/>
  <c r="S1356" i="9" s="1"/>
  <c r="T1356" i="9" s="1"/>
  <c r="U1356" i="9" s="1"/>
  <c r="Q1354" i="9"/>
  <c r="S1354" i="9" s="1"/>
  <c r="T1354" i="9" s="1"/>
  <c r="U1354" i="9" s="1"/>
  <c r="Q1357" i="9"/>
  <c r="S1357" i="9" s="1"/>
  <c r="T1357" i="9" s="1"/>
  <c r="U1357" i="9" s="1"/>
  <c r="Q1355" i="9"/>
  <c r="S1355" i="9" s="1"/>
  <c r="T1355" i="9" s="1"/>
  <c r="U1355" i="9" s="1"/>
  <c r="Q1358" i="9"/>
  <c r="S1358" i="9" s="1"/>
  <c r="T1358" i="9" s="1"/>
  <c r="U1358" i="9" s="1"/>
  <c r="Q1359" i="9"/>
  <c r="Q1352" i="9"/>
  <c r="S1352" i="9" s="1"/>
  <c r="T1352" i="9" s="1"/>
  <c r="U1352" i="9" s="1"/>
  <c r="Q1360" i="9"/>
  <c r="J1360" i="9" a="1"/>
  <c r="O1359" i="9" l="1"/>
  <c r="R1359" i="9" s="1"/>
  <c r="S1359" i="9" s="1"/>
  <c r="T1359" i="9" s="1"/>
  <c r="U1359" i="9" s="1"/>
  <c r="K1360" i="9"/>
  <c r="L1360" i="9"/>
  <c r="M1360" i="9"/>
  <c r="N1360" i="9"/>
  <c r="J1360" i="9"/>
  <c r="I1362" i="9"/>
  <c r="J1361" i="9" a="1"/>
  <c r="O1360" i="9" l="1"/>
  <c r="R1360" i="9" s="1"/>
  <c r="S1360" i="9" s="1"/>
  <c r="T1360" i="9" s="1"/>
  <c r="U1360" i="9" s="1"/>
  <c r="I1363" i="9"/>
  <c r="N1361" i="9"/>
  <c r="J1361" i="9"/>
  <c r="K1361" i="9"/>
  <c r="L1361" i="9"/>
  <c r="M1361" i="9"/>
  <c r="J1362" i="9" a="1"/>
  <c r="O1361" i="9" l="1"/>
  <c r="R1361" i="9" s="1"/>
  <c r="N1362" i="9"/>
  <c r="K1362" i="9"/>
  <c r="L1362" i="9"/>
  <c r="M1362" i="9"/>
  <c r="J1362" i="9"/>
  <c r="I1364" i="9"/>
  <c r="J1363" i="9" a="1"/>
  <c r="O1362" i="9" l="1"/>
  <c r="R1362" i="9" s="1"/>
  <c r="I1365" i="9"/>
  <c r="N1363" i="9"/>
  <c r="J1363" i="9"/>
  <c r="L1363" i="9"/>
  <c r="K1363" i="9"/>
  <c r="M1363" i="9"/>
  <c r="J1364" i="9" a="1"/>
  <c r="O1363" i="9" l="1"/>
  <c r="R1363" i="9" s="1"/>
  <c r="J1364" i="9"/>
  <c r="K1364" i="9"/>
  <c r="L1364" i="9"/>
  <c r="M1364" i="9"/>
  <c r="N1364" i="9"/>
  <c r="I1366" i="9"/>
  <c r="J1365" i="9" a="1"/>
  <c r="O1364" i="9" l="1"/>
  <c r="R1364" i="9" s="1"/>
  <c r="I1367" i="9"/>
  <c r="J1365" i="9"/>
  <c r="K1365" i="9"/>
  <c r="M1365" i="9"/>
  <c r="N1365" i="9"/>
  <c r="L1365" i="9"/>
  <c r="J1366" i="9" a="1"/>
  <c r="O1365" i="9" l="1"/>
  <c r="R1365" i="9" s="1"/>
  <c r="K1366" i="9"/>
  <c r="L1366" i="9"/>
  <c r="M1366" i="9"/>
  <c r="J1366" i="9"/>
  <c r="N1366" i="9"/>
  <c r="I1368" i="9"/>
  <c r="J1367" i="9" a="1"/>
  <c r="O1366" i="9" l="1"/>
  <c r="R1366" i="9" s="1"/>
  <c r="J1367" i="9"/>
  <c r="K1367" i="9"/>
  <c r="M1367" i="9"/>
  <c r="N1367" i="9"/>
  <c r="L1367" i="9"/>
  <c r="I1369" i="9"/>
  <c r="J1368" i="9" a="1"/>
  <c r="P1366" i="9" l="1"/>
  <c r="O1367" i="9"/>
  <c r="R1367" i="9" s="1"/>
  <c r="J1368" i="9"/>
  <c r="M1368" i="9"/>
  <c r="K1368" i="9"/>
  <c r="L1368" i="9"/>
  <c r="N1368" i="9"/>
  <c r="I1370" i="9"/>
  <c r="Q1369" i="9"/>
  <c r="Q1362" i="9"/>
  <c r="S1362" i="9" s="1"/>
  <c r="T1362" i="9" s="1"/>
  <c r="U1362" i="9" s="1"/>
  <c r="Q1364" i="9"/>
  <c r="S1364" i="9" s="1"/>
  <c r="T1364" i="9" s="1"/>
  <c r="U1364" i="9" s="1"/>
  <c r="Q1363" i="9"/>
  <c r="S1363" i="9" s="1"/>
  <c r="T1363" i="9" s="1"/>
  <c r="U1363" i="9" s="1"/>
  <c r="Q1368" i="9"/>
  <c r="Q1367" i="9"/>
  <c r="Q1365" i="9"/>
  <c r="S1365" i="9" s="1"/>
  <c r="T1365" i="9" s="1"/>
  <c r="U1365" i="9" s="1"/>
  <c r="Q1361" i="9"/>
  <c r="S1361" i="9" s="1"/>
  <c r="T1361" i="9" s="1"/>
  <c r="U1361" i="9" s="1"/>
  <c r="Q1366" i="9"/>
  <c r="S1366" i="9" s="1"/>
  <c r="T1366" i="9" s="1"/>
  <c r="U1366" i="9" s="1"/>
  <c r="J1369" i="9" a="1"/>
  <c r="S1367" i="9" l="1"/>
  <c r="T1367" i="9" s="1"/>
  <c r="U1367" i="9" s="1"/>
  <c r="O1368" i="9"/>
  <c r="R1368" i="9" s="1"/>
  <c r="S1368" i="9" s="1"/>
  <c r="T1368" i="9" s="1"/>
  <c r="U1368" i="9" s="1"/>
  <c r="I1371" i="9"/>
  <c r="J1369" i="9"/>
  <c r="K1369" i="9"/>
  <c r="M1369" i="9"/>
  <c r="N1369" i="9"/>
  <c r="L1369" i="9"/>
  <c r="J1370" i="9" a="1"/>
  <c r="O1369" i="9" l="1"/>
  <c r="R1369" i="9" s="1"/>
  <c r="S1369" i="9" s="1"/>
  <c r="T1369" i="9" s="1"/>
  <c r="U1369" i="9" s="1"/>
  <c r="I1372" i="9"/>
  <c r="L1370" i="9"/>
  <c r="M1370" i="9"/>
  <c r="K1370" i="9"/>
  <c r="J1370" i="9"/>
  <c r="N1370" i="9"/>
  <c r="J1371" i="9" a="1"/>
  <c r="O1370" i="9" l="1"/>
  <c r="R1370" i="9" s="1"/>
  <c r="L1371" i="9"/>
  <c r="J1371" i="9"/>
  <c r="K1371" i="9"/>
  <c r="M1371" i="9"/>
  <c r="N1371" i="9"/>
  <c r="I1373" i="9"/>
  <c r="J1372" i="9" a="1"/>
  <c r="O1371" i="9" l="1"/>
  <c r="R1371" i="9" s="1"/>
  <c r="I1374" i="9"/>
  <c r="N1372" i="9"/>
  <c r="J1372" i="9"/>
  <c r="K1372" i="9"/>
  <c r="L1372" i="9"/>
  <c r="M1372" i="9"/>
  <c r="J1373" i="9" a="1"/>
  <c r="O1372" i="9" l="1"/>
  <c r="R1372" i="9" s="1"/>
  <c r="L1373" i="9"/>
  <c r="J1373" i="9"/>
  <c r="K1373" i="9"/>
  <c r="M1373" i="9"/>
  <c r="N1373" i="9"/>
  <c r="I1375" i="9"/>
  <c r="J1374" i="9" a="1"/>
  <c r="O1373" i="9" l="1"/>
  <c r="R1373" i="9" s="1"/>
  <c r="I1376" i="9"/>
  <c r="J1374" i="9"/>
  <c r="N1374" i="9"/>
  <c r="K1374" i="9"/>
  <c r="L1374" i="9"/>
  <c r="M1374" i="9"/>
  <c r="J1375" i="9" a="1"/>
  <c r="O1374" i="9" l="1"/>
  <c r="R1374" i="9" s="1"/>
  <c r="N1375" i="9"/>
  <c r="J1375" i="9"/>
  <c r="K1375" i="9"/>
  <c r="M1375" i="9"/>
  <c r="L1375" i="9"/>
  <c r="I1377" i="9"/>
  <c r="J1376" i="9" a="1"/>
  <c r="O1375" i="9" l="1"/>
  <c r="P1375" i="9" s="1"/>
  <c r="I1378" i="9"/>
  <c r="N1376" i="9"/>
  <c r="J1376" i="9"/>
  <c r="K1376" i="9"/>
  <c r="L1376" i="9"/>
  <c r="M1376" i="9"/>
  <c r="J1377" i="9" a="1"/>
  <c r="O1376" i="9" l="1"/>
  <c r="R1376" i="9" s="1"/>
  <c r="R1375" i="9"/>
  <c r="Q1378" i="9"/>
  <c r="Q1372" i="9"/>
  <c r="S1372" i="9" s="1"/>
  <c r="T1372" i="9" s="1"/>
  <c r="U1372" i="9" s="1"/>
  <c r="Q1371" i="9"/>
  <c r="S1371" i="9" s="1"/>
  <c r="T1371" i="9" s="1"/>
  <c r="U1371" i="9" s="1"/>
  <c r="Q1370" i="9"/>
  <c r="S1370" i="9" s="1"/>
  <c r="T1370" i="9" s="1"/>
  <c r="U1370" i="9" s="1"/>
  <c r="Q1375" i="9"/>
  <c r="S1375" i="9" s="1"/>
  <c r="T1375" i="9" s="1"/>
  <c r="U1375" i="9" s="1"/>
  <c r="Q1376" i="9"/>
  <c r="S1376" i="9" s="1"/>
  <c r="T1376" i="9" s="1"/>
  <c r="U1376" i="9" s="1"/>
  <c r="Q1373" i="9"/>
  <c r="S1373" i="9" s="1"/>
  <c r="T1373" i="9" s="1"/>
  <c r="U1373" i="9" s="1"/>
  <c r="Q1374" i="9"/>
  <c r="S1374" i="9" s="1"/>
  <c r="T1374" i="9" s="1"/>
  <c r="U1374" i="9" s="1"/>
  <c r="Q1377" i="9"/>
  <c r="L1377" i="9"/>
  <c r="M1377" i="9"/>
  <c r="N1377" i="9"/>
  <c r="J1377" i="9"/>
  <c r="K1377" i="9"/>
  <c r="I1379" i="9"/>
  <c r="J1378" i="9" a="1"/>
  <c r="O1377" i="9" l="1"/>
  <c r="R1377" i="9" s="1"/>
  <c r="S1377" i="9" s="1"/>
  <c r="T1377" i="9" s="1"/>
  <c r="U1377" i="9" s="1"/>
  <c r="I1380" i="9"/>
  <c r="J1378" i="9"/>
  <c r="N1378" i="9"/>
  <c r="K1378" i="9"/>
  <c r="L1378" i="9"/>
  <c r="M1378" i="9"/>
  <c r="J1379" i="9" a="1"/>
  <c r="O1378" i="9" l="1"/>
  <c r="R1378" i="9" s="1"/>
  <c r="S1378" i="9" s="1"/>
  <c r="T1378" i="9" s="1"/>
  <c r="U1378" i="9" s="1"/>
  <c r="K1379" i="9"/>
  <c r="M1379" i="9"/>
  <c r="N1379" i="9"/>
  <c r="J1379" i="9"/>
  <c r="L1379" i="9"/>
  <c r="I1381" i="9"/>
  <c r="J1380" i="9" a="1"/>
  <c r="O1379" i="9" l="1"/>
  <c r="R1379" i="9" s="1"/>
  <c r="I1382" i="9"/>
  <c r="N1380" i="9"/>
  <c r="J1380" i="9"/>
  <c r="K1380" i="9"/>
  <c r="L1380" i="9"/>
  <c r="M1380" i="9"/>
  <c r="J1381" i="9" a="1"/>
  <c r="O1380" i="9" l="1"/>
  <c r="R1380" i="9" s="1"/>
  <c r="J1381" i="9"/>
  <c r="K1381" i="9"/>
  <c r="M1381" i="9"/>
  <c r="N1381" i="9"/>
  <c r="L1381" i="9"/>
  <c r="I1383" i="9"/>
  <c r="J1382" i="9" a="1"/>
  <c r="O1381" i="9" l="1"/>
  <c r="R1381" i="9" s="1"/>
  <c r="I1384" i="9"/>
  <c r="J1382" i="9"/>
  <c r="N1382" i="9"/>
  <c r="K1382" i="9"/>
  <c r="L1382" i="9"/>
  <c r="M1382" i="9"/>
  <c r="J1383" i="9" a="1"/>
  <c r="O1382" i="9" l="1"/>
  <c r="R1382" i="9" s="1"/>
  <c r="L1383" i="9"/>
  <c r="J1383" i="9"/>
  <c r="K1383" i="9"/>
  <c r="M1383" i="9"/>
  <c r="N1383" i="9"/>
  <c r="I1385" i="9"/>
  <c r="J1384" i="9" a="1"/>
  <c r="O1383" i="9" l="1"/>
  <c r="R1383" i="9" s="1"/>
  <c r="I1386" i="9"/>
  <c r="N1384" i="9"/>
  <c r="J1384" i="9"/>
  <c r="M1384" i="9"/>
  <c r="K1384" i="9"/>
  <c r="L1384" i="9"/>
  <c r="J1385" i="9" a="1"/>
  <c r="O1384" i="9" l="1"/>
  <c r="P1384" i="9" s="1"/>
  <c r="L1385" i="9"/>
  <c r="J1385" i="9"/>
  <c r="K1385" i="9"/>
  <c r="M1385" i="9"/>
  <c r="N1385" i="9"/>
  <c r="I1387" i="9"/>
  <c r="J1386" i="9" a="1"/>
  <c r="R1384" i="9" l="1"/>
  <c r="O1385" i="9"/>
  <c r="R1385" i="9" s="1"/>
  <c r="J1386" i="9"/>
  <c r="N1386" i="9"/>
  <c r="L1386" i="9"/>
  <c r="M1386" i="9"/>
  <c r="K1386" i="9"/>
  <c r="I1388" i="9"/>
  <c r="Q1386" i="9"/>
  <c r="Q1383" i="9"/>
  <c r="S1383" i="9" s="1"/>
  <c r="T1383" i="9" s="1"/>
  <c r="U1383" i="9" s="1"/>
  <c r="Q1387" i="9"/>
  <c r="Q1385" i="9"/>
  <c r="Q1382" i="9"/>
  <c r="S1382" i="9" s="1"/>
  <c r="T1382" i="9" s="1"/>
  <c r="U1382" i="9" s="1"/>
  <c r="Q1379" i="9"/>
  <c r="S1379" i="9" s="1"/>
  <c r="T1379" i="9" s="1"/>
  <c r="U1379" i="9" s="1"/>
  <c r="Q1381" i="9"/>
  <c r="S1381" i="9" s="1"/>
  <c r="T1381" i="9" s="1"/>
  <c r="U1381" i="9" s="1"/>
  <c r="Q1384" i="9"/>
  <c r="S1384" i="9" s="1"/>
  <c r="T1384" i="9" s="1"/>
  <c r="U1384" i="9" s="1"/>
  <c r="Q1380" i="9"/>
  <c r="S1380" i="9" s="1"/>
  <c r="T1380" i="9" s="1"/>
  <c r="U1380" i="9" s="1"/>
  <c r="J1387" i="9" a="1"/>
  <c r="O1386" i="9" l="1"/>
  <c r="R1386" i="9" s="1"/>
  <c r="S1386" i="9" s="1"/>
  <c r="T1386" i="9" s="1"/>
  <c r="U1386" i="9" s="1"/>
  <c r="S1385" i="9"/>
  <c r="T1385" i="9" s="1"/>
  <c r="U1385" i="9" s="1"/>
  <c r="I1389" i="9"/>
  <c r="N1387" i="9"/>
  <c r="L1387" i="9"/>
  <c r="J1387" i="9"/>
  <c r="K1387" i="9"/>
  <c r="M1387" i="9"/>
  <c r="J1388" i="9" a="1"/>
  <c r="O1387" i="9" l="1"/>
  <c r="R1387" i="9" s="1"/>
  <c r="S1387" i="9" s="1"/>
  <c r="T1387" i="9" s="1"/>
  <c r="U1387" i="9" s="1"/>
  <c r="I1390" i="9"/>
  <c r="J1388" i="9"/>
  <c r="K1388" i="9"/>
  <c r="L1388" i="9"/>
  <c r="M1388" i="9"/>
  <c r="N1388" i="9"/>
  <c r="J1389" i="9" a="1"/>
  <c r="O1388" i="9" l="1"/>
  <c r="R1388" i="9" s="1"/>
  <c r="N1389" i="9"/>
  <c r="L1389" i="9"/>
  <c r="J1389" i="9"/>
  <c r="K1389" i="9"/>
  <c r="M1389" i="9"/>
  <c r="I1391" i="9"/>
  <c r="J1390" i="9" a="1"/>
  <c r="O1389" i="9" l="1"/>
  <c r="R1389" i="9" s="1"/>
  <c r="I1392" i="9"/>
  <c r="M1390" i="9"/>
  <c r="J1390" i="9"/>
  <c r="N1390" i="9"/>
  <c r="K1390" i="9"/>
  <c r="L1390" i="9"/>
  <c r="J1391" i="9" a="1"/>
  <c r="O1390" i="9" l="1"/>
  <c r="R1390" i="9" s="1"/>
  <c r="L1391" i="9"/>
  <c r="N1391" i="9"/>
  <c r="J1391" i="9"/>
  <c r="K1391" i="9"/>
  <c r="M1391" i="9"/>
  <c r="I1393" i="9"/>
  <c r="J1392" i="9" a="1"/>
  <c r="O1391" i="9" l="1"/>
  <c r="R1391" i="9" s="1"/>
  <c r="I1394" i="9"/>
  <c r="N1392" i="9"/>
  <c r="J1392" i="9"/>
  <c r="K1392" i="9"/>
  <c r="M1392" i="9"/>
  <c r="L1392" i="9"/>
  <c r="J1393" i="9" a="1"/>
  <c r="O1392" i="9" l="1"/>
  <c r="R1392" i="9" s="1"/>
  <c r="K1393" i="9"/>
  <c r="L1393" i="9"/>
  <c r="M1393" i="9"/>
  <c r="J1393" i="9"/>
  <c r="N1393" i="9"/>
  <c r="I1395" i="9"/>
  <c r="J1394" i="9" a="1"/>
  <c r="O1393" i="9" l="1"/>
  <c r="R1393" i="9" s="1"/>
  <c r="I1396" i="9"/>
  <c r="M1394" i="9"/>
  <c r="K1394" i="9"/>
  <c r="J1394" i="9"/>
  <c r="N1394" i="9"/>
  <c r="L1394" i="9"/>
  <c r="J1395" i="9" a="1"/>
  <c r="P1393" i="9" l="1"/>
  <c r="Q1393" i="9" s="1"/>
  <c r="S1393" i="9" s="1"/>
  <c r="T1393" i="9" s="1"/>
  <c r="U1393" i="9" s="1"/>
  <c r="O1394" i="9"/>
  <c r="R1394" i="9" s="1"/>
  <c r="L1395" i="9"/>
  <c r="K1395" i="9"/>
  <c r="N1395" i="9"/>
  <c r="J1395" i="9"/>
  <c r="M1395" i="9"/>
  <c r="I1397" i="9"/>
  <c r="Q1394" i="9"/>
  <c r="S1394" i="9" s="1"/>
  <c r="T1394" i="9" s="1"/>
  <c r="U1394" i="9" s="1"/>
  <c r="Q1395" i="9"/>
  <c r="Q1388" i="9"/>
  <c r="S1388" i="9" s="1"/>
  <c r="T1388" i="9" s="1"/>
  <c r="U1388" i="9" s="1"/>
  <c r="Q1392" i="9"/>
  <c r="S1392" i="9" s="1"/>
  <c r="T1392" i="9" s="1"/>
  <c r="U1392" i="9" s="1"/>
  <c r="J1396" i="9" a="1"/>
  <c r="Q1391" i="9" l="1"/>
  <c r="S1391" i="9" s="1"/>
  <c r="T1391" i="9" s="1"/>
  <c r="U1391" i="9" s="1"/>
  <c r="Q1396" i="9"/>
  <c r="Q1390" i="9"/>
  <c r="S1390" i="9" s="1"/>
  <c r="T1390" i="9" s="1"/>
  <c r="U1390" i="9" s="1"/>
  <c r="Q1389" i="9"/>
  <c r="S1389" i="9" s="1"/>
  <c r="T1389" i="9" s="1"/>
  <c r="U1389" i="9" s="1"/>
  <c r="O1395" i="9"/>
  <c r="R1395" i="9" s="1"/>
  <c r="S1395" i="9" s="1"/>
  <c r="T1395" i="9" s="1"/>
  <c r="U1395" i="9" s="1"/>
  <c r="I1398" i="9"/>
  <c r="N1396" i="9"/>
  <c r="J1396" i="9"/>
  <c r="K1396" i="9"/>
  <c r="L1396" i="9"/>
  <c r="M1396" i="9"/>
  <c r="J1397" i="9" a="1"/>
  <c r="O1396" i="9" l="1"/>
  <c r="R1396" i="9" s="1"/>
  <c r="S1396" i="9" s="1"/>
  <c r="T1396" i="9" s="1"/>
  <c r="U1396" i="9" s="1"/>
  <c r="L1397" i="9"/>
  <c r="J1397" i="9"/>
  <c r="M1397" i="9"/>
  <c r="K1397" i="9"/>
  <c r="N1397" i="9"/>
  <c r="I1399" i="9"/>
  <c r="J1398" i="9" a="1"/>
  <c r="O1397" i="9" l="1"/>
  <c r="R1397" i="9" s="1"/>
  <c r="I1400" i="9"/>
  <c r="M1398" i="9"/>
  <c r="J1398" i="9"/>
  <c r="N1398" i="9"/>
  <c r="K1398" i="9"/>
  <c r="L1398" i="9"/>
  <c r="J1399" i="9" a="1"/>
  <c r="O1398" i="9" l="1"/>
  <c r="R1398" i="9" s="1"/>
  <c r="J1399" i="9"/>
  <c r="M1399" i="9"/>
  <c r="L1399" i="9"/>
  <c r="K1399" i="9"/>
  <c r="N1399" i="9"/>
  <c r="I1401" i="9"/>
  <c r="J1400" i="9" a="1"/>
  <c r="O1399" i="9" l="1"/>
  <c r="R1399" i="9" s="1"/>
  <c r="K1400" i="9"/>
  <c r="L1400" i="9"/>
  <c r="N1400" i="9"/>
  <c r="J1400" i="9"/>
  <c r="M1400" i="9"/>
  <c r="I1402" i="9"/>
  <c r="J1401" i="9" a="1"/>
  <c r="O1400" i="9" l="1"/>
  <c r="R1400" i="9" s="1"/>
  <c r="I1403" i="9"/>
  <c r="N1401" i="9"/>
  <c r="L1401" i="9"/>
  <c r="J1401" i="9"/>
  <c r="M1401" i="9"/>
  <c r="K1401" i="9"/>
  <c r="J1402" i="9" a="1"/>
  <c r="O1401" i="9" l="1"/>
  <c r="R1401" i="9" s="1"/>
  <c r="K1402" i="9"/>
  <c r="J1402" i="9"/>
  <c r="N1402" i="9"/>
  <c r="L1402" i="9"/>
  <c r="M1402" i="9"/>
  <c r="I1404" i="9"/>
  <c r="J1403" i="9" a="1"/>
  <c r="O1402" i="9" l="1"/>
  <c r="P1402" i="9" s="1"/>
  <c r="I1405" i="9"/>
  <c r="J1403" i="9"/>
  <c r="M1403" i="9"/>
  <c r="N1403" i="9"/>
  <c r="L1403" i="9"/>
  <c r="K1403" i="9"/>
  <c r="J1404" i="9" a="1"/>
  <c r="R1402" i="9" l="1"/>
  <c r="O1403" i="9"/>
  <c r="R1403" i="9" s="1"/>
  <c r="Q1400" i="9"/>
  <c r="S1400" i="9" s="1"/>
  <c r="T1400" i="9" s="1"/>
  <c r="U1400" i="9" s="1"/>
  <c r="Q1399" i="9"/>
  <c r="S1399" i="9" s="1"/>
  <c r="T1399" i="9" s="1"/>
  <c r="U1399" i="9" s="1"/>
  <c r="Q1401" i="9"/>
  <c r="S1401" i="9" s="1"/>
  <c r="T1401" i="9" s="1"/>
  <c r="U1401" i="9" s="1"/>
  <c r="Q1397" i="9"/>
  <c r="S1397" i="9" s="1"/>
  <c r="T1397" i="9" s="1"/>
  <c r="U1397" i="9" s="1"/>
  <c r="Q1398" i="9"/>
  <c r="S1398" i="9" s="1"/>
  <c r="T1398" i="9" s="1"/>
  <c r="U1398" i="9" s="1"/>
  <c r="Q1405" i="9"/>
  <c r="Q1404" i="9"/>
  <c r="Q1402" i="9"/>
  <c r="S1402" i="9" s="1"/>
  <c r="T1402" i="9" s="1"/>
  <c r="U1402" i="9" s="1"/>
  <c r="Q1403" i="9"/>
  <c r="S1403" i="9" s="1"/>
  <c r="T1403" i="9" s="1"/>
  <c r="U1403" i="9" s="1"/>
  <c r="L1404" i="9"/>
  <c r="M1404" i="9"/>
  <c r="J1404" i="9"/>
  <c r="N1404" i="9"/>
  <c r="K1404" i="9"/>
  <c r="I1406" i="9"/>
  <c r="J1405" i="9" a="1"/>
  <c r="O1404" i="9" l="1"/>
  <c r="R1404" i="9" s="1"/>
  <c r="S1404" i="9" s="1"/>
  <c r="T1404" i="9" s="1"/>
  <c r="U1404" i="9" s="1"/>
  <c r="N1405" i="9"/>
  <c r="L1405" i="9"/>
  <c r="J1405" i="9"/>
  <c r="K1405" i="9"/>
  <c r="M1405" i="9"/>
  <c r="I1407" i="9"/>
  <c r="J1406" i="9" a="1"/>
  <c r="O1405" i="9" l="1"/>
  <c r="R1405" i="9" s="1"/>
  <c r="S1405" i="9" s="1"/>
  <c r="T1405" i="9" s="1"/>
  <c r="U1405" i="9" s="1"/>
  <c r="L1406" i="9"/>
  <c r="N1406" i="9"/>
  <c r="J1406" i="9"/>
  <c r="K1406" i="9"/>
  <c r="M1406" i="9"/>
  <c r="I1408" i="9"/>
  <c r="J1407" i="9" a="1"/>
  <c r="O1406" i="9" l="1"/>
  <c r="R1406" i="9" s="1"/>
  <c r="I1409" i="9"/>
  <c r="L1407" i="9"/>
  <c r="J1407" i="9"/>
  <c r="K1407" i="9"/>
  <c r="M1407" i="9"/>
  <c r="N1407" i="9"/>
  <c r="J1408" i="9" a="1"/>
  <c r="O1407" i="9" l="1"/>
  <c r="R1407" i="9" s="1"/>
  <c r="J1408" i="9"/>
  <c r="N1408" i="9"/>
  <c r="M1408" i="9"/>
  <c r="L1408" i="9"/>
  <c r="K1408" i="9"/>
  <c r="I1410" i="9"/>
  <c r="J1409" i="9" a="1"/>
  <c r="O1408" i="9" l="1"/>
  <c r="R1408" i="9" s="1"/>
  <c r="L1409" i="9"/>
  <c r="J1409" i="9"/>
  <c r="K1409" i="9"/>
  <c r="M1409" i="9"/>
  <c r="N1409" i="9"/>
  <c r="I1411" i="9"/>
  <c r="J1410" i="9" a="1"/>
  <c r="O1409" i="9" l="1"/>
  <c r="R1409" i="9" s="1"/>
  <c r="I1412" i="9"/>
  <c r="N1410" i="9"/>
  <c r="J1410" i="9"/>
  <c r="L1410" i="9"/>
  <c r="M1410" i="9"/>
  <c r="K1410" i="9"/>
  <c r="J1411" i="9" a="1"/>
  <c r="O1410" i="9" l="1"/>
  <c r="R1410" i="9" s="1"/>
  <c r="K1411" i="9"/>
  <c r="M1411" i="9"/>
  <c r="N1411" i="9"/>
  <c r="L1411" i="9"/>
  <c r="J1411" i="9"/>
  <c r="I1413" i="9"/>
  <c r="J1412" i="9" a="1"/>
  <c r="O1411" i="9" l="1"/>
  <c r="R1411" i="9" s="1"/>
  <c r="I1414" i="9"/>
  <c r="L1412" i="9"/>
  <c r="M1412" i="9"/>
  <c r="J1412" i="9"/>
  <c r="N1412" i="9"/>
  <c r="K1412" i="9"/>
  <c r="J1413" i="9" a="1"/>
  <c r="P1411" i="9" l="1"/>
  <c r="O1412" i="9"/>
  <c r="K1413" i="9"/>
  <c r="N1413" i="9"/>
  <c r="M1413" i="9"/>
  <c r="L1413" i="9"/>
  <c r="J1413" i="9"/>
  <c r="Q1408" i="9"/>
  <c r="S1408" i="9" s="1"/>
  <c r="T1408" i="9" s="1"/>
  <c r="U1408" i="9" s="1"/>
  <c r="Q1411" i="9"/>
  <c r="S1411" i="9" s="1"/>
  <c r="T1411" i="9" s="1"/>
  <c r="U1411" i="9" s="1"/>
  <c r="Q1412" i="9"/>
  <c r="Q1406" i="9"/>
  <c r="S1406" i="9" s="1"/>
  <c r="T1406" i="9" s="1"/>
  <c r="U1406" i="9" s="1"/>
  <c r="Q1409" i="9"/>
  <c r="S1409" i="9" s="1"/>
  <c r="T1409" i="9" s="1"/>
  <c r="U1409" i="9" s="1"/>
  <c r="Q1410" i="9"/>
  <c r="S1410" i="9" s="1"/>
  <c r="T1410" i="9" s="1"/>
  <c r="U1410" i="9" s="1"/>
  <c r="Q1414" i="9"/>
  <c r="Q1413" i="9"/>
  <c r="Q1407" i="9"/>
  <c r="S1407" i="9" s="1"/>
  <c r="T1407" i="9" s="1"/>
  <c r="U1407" i="9" s="1"/>
  <c r="R1412" i="9"/>
  <c r="I1415" i="9"/>
  <c r="J1414" i="9" a="1"/>
  <c r="O1413" i="9" l="1"/>
  <c r="R1413" i="9" s="1"/>
  <c r="S1413" i="9" s="1"/>
  <c r="T1413" i="9" s="1"/>
  <c r="U1413" i="9" s="1"/>
  <c r="M1414" i="9"/>
  <c r="N1414" i="9"/>
  <c r="J1414" i="9"/>
  <c r="K1414" i="9"/>
  <c r="L1414" i="9"/>
  <c r="I1416" i="9"/>
  <c r="S1412" i="9"/>
  <c r="T1412" i="9" s="1"/>
  <c r="U1412" i="9" s="1"/>
  <c r="J1415" i="9" a="1"/>
  <c r="O1414" i="9" l="1"/>
  <c r="R1414" i="9" s="1"/>
  <c r="S1414" i="9" s="1"/>
  <c r="T1414" i="9" s="1"/>
  <c r="U1414" i="9" s="1"/>
  <c r="I1417" i="9"/>
  <c r="M1415" i="9"/>
  <c r="K1415" i="9"/>
  <c r="L1415" i="9"/>
  <c r="N1415" i="9"/>
  <c r="J1415" i="9"/>
  <c r="J1416" i="9" a="1"/>
  <c r="O1415" i="9" l="1"/>
  <c r="R1415" i="9" s="1"/>
  <c r="J1416" i="9"/>
  <c r="N1416" i="9"/>
  <c r="K1416" i="9"/>
  <c r="L1416" i="9"/>
  <c r="M1416" i="9"/>
  <c r="I1418" i="9"/>
  <c r="J1417" i="9" a="1"/>
  <c r="O1416" i="9" l="1"/>
  <c r="R1416" i="9" s="1"/>
  <c r="L1417" i="9"/>
  <c r="M1417" i="9"/>
  <c r="N1417" i="9"/>
  <c r="K1417" i="9"/>
  <c r="J1417" i="9"/>
  <c r="I1419" i="9"/>
  <c r="J1418" i="9" a="1"/>
  <c r="O1417" i="9" l="1"/>
  <c r="R1417" i="9" s="1"/>
  <c r="I1420" i="9"/>
  <c r="J1418" i="9"/>
  <c r="K1418" i="9"/>
  <c r="L1418" i="9"/>
  <c r="M1418" i="9"/>
  <c r="N1418" i="9"/>
  <c r="J1419" i="9" a="1"/>
  <c r="O1418" i="9" l="1"/>
  <c r="R1418" i="9" s="1"/>
  <c r="K1419" i="9"/>
  <c r="M1419" i="9"/>
  <c r="N1419" i="9"/>
  <c r="J1419" i="9"/>
  <c r="L1419" i="9"/>
  <c r="I1421" i="9"/>
  <c r="J1420" i="9" a="1"/>
  <c r="O1419" i="9" l="1"/>
  <c r="R1419" i="9" s="1"/>
  <c r="I1422" i="9"/>
  <c r="N1420" i="9"/>
  <c r="K1420" i="9"/>
  <c r="L1420" i="9"/>
  <c r="M1420" i="9"/>
  <c r="J1420" i="9"/>
  <c r="J1421" i="9" a="1"/>
  <c r="O1420" i="9" l="1"/>
  <c r="P1420" i="9" s="1"/>
  <c r="K1421" i="9"/>
  <c r="M1421" i="9"/>
  <c r="N1421" i="9"/>
  <c r="L1421" i="9"/>
  <c r="J1421" i="9"/>
  <c r="I1423" i="9"/>
  <c r="J1422" i="9" a="1"/>
  <c r="O1421" i="9" l="1"/>
  <c r="R1421" i="9" s="1"/>
  <c r="R1420" i="9"/>
  <c r="I1424" i="9"/>
  <c r="K1422" i="9"/>
  <c r="M1422" i="9"/>
  <c r="L1422" i="9"/>
  <c r="N1422" i="9"/>
  <c r="J1422" i="9"/>
  <c r="Q1420" i="9"/>
  <c r="S1420" i="9" s="1"/>
  <c r="T1420" i="9" s="1"/>
  <c r="U1420" i="9" s="1"/>
  <c r="Q1418" i="9"/>
  <c r="S1418" i="9" s="1"/>
  <c r="T1418" i="9" s="1"/>
  <c r="U1418" i="9" s="1"/>
  <c r="Q1417" i="9"/>
  <c r="S1417" i="9" s="1"/>
  <c r="T1417" i="9" s="1"/>
  <c r="U1417" i="9" s="1"/>
  <c r="Q1423" i="9"/>
  <c r="Q1419" i="9"/>
  <c r="S1419" i="9" s="1"/>
  <c r="T1419" i="9" s="1"/>
  <c r="U1419" i="9" s="1"/>
  <c r="Q1421" i="9"/>
  <c r="S1421" i="9" s="1"/>
  <c r="T1421" i="9" s="1"/>
  <c r="U1421" i="9" s="1"/>
  <c r="Q1422" i="9"/>
  <c r="Q1416" i="9"/>
  <c r="S1416" i="9" s="1"/>
  <c r="T1416" i="9" s="1"/>
  <c r="U1416" i="9" s="1"/>
  <c r="Q1415" i="9"/>
  <c r="S1415" i="9" s="1"/>
  <c r="T1415" i="9" s="1"/>
  <c r="U1415" i="9" s="1"/>
  <c r="J1423" i="9" a="1"/>
  <c r="O1422" i="9" l="1"/>
  <c r="R1422" i="9" s="1"/>
  <c r="S1422" i="9" s="1"/>
  <c r="T1422" i="9" s="1"/>
  <c r="U1422" i="9" s="1"/>
  <c r="M1423" i="9"/>
  <c r="N1423" i="9"/>
  <c r="L1423" i="9"/>
  <c r="J1423" i="9"/>
  <c r="K1423" i="9"/>
  <c r="I1425" i="9"/>
  <c r="J1424" i="9" a="1"/>
  <c r="O1423" i="9" l="1"/>
  <c r="R1423" i="9" s="1"/>
  <c r="S1423" i="9" s="1"/>
  <c r="T1423" i="9" s="1"/>
  <c r="U1423" i="9" s="1"/>
  <c r="I1426" i="9"/>
  <c r="K1424" i="9"/>
  <c r="J1424" i="9"/>
  <c r="N1424" i="9"/>
  <c r="M1424" i="9"/>
  <c r="L1424" i="9"/>
  <c r="J1425" i="9" a="1"/>
  <c r="O1424" i="9" l="1"/>
  <c r="R1424" i="9" s="1"/>
  <c r="N1425" i="9"/>
  <c r="L1425" i="9"/>
  <c r="J1425" i="9"/>
  <c r="K1425" i="9"/>
  <c r="M1425" i="9"/>
  <c r="I1427" i="9"/>
  <c r="J1426" i="9" a="1"/>
  <c r="O1425" i="9" l="1"/>
  <c r="R1425" i="9" s="1"/>
  <c r="I1428" i="9"/>
  <c r="L1426" i="9"/>
  <c r="M1426" i="9"/>
  <c r="K1426" i="9"/>
  <c r="N1426" i="9"/>
  <c r="J1426" i="9"/>
  <c r="J1427" i="9" a="1"/>
  <c r="O1426" i="9" l="1"/>
  <c r="R1426" i="9" s="1"/>
  <c r="L1427" i="9"/>
  <c r="J1427" i="9"/>
  <c r="K1427" i="9"/>
  <c r="M1427" i="9"/>
  <c r="N1427" i="9"/>
  <c r="I1429" i="9"/>
  <c r="J1428" i="9" a="1"/>
  <c r="O1427" i="9" l="1"/>
  <c r="R1427" i="9" s="1"/>
  <c r="I1430" i="9"/>
  <c r="N1428" i="9"/>
  <c r="K1428" i="9"/>
  <c r="L1428" i="9"/>
  <c r="M1428" i="9"/>
  <c r="J1428" i="9"/>
  <c r="J1429" i="9" a="1"/>
  <c r="O1428" i="9" l="1"/>
  <c r="R1428" i="9" s="1"/>
  <c r="L1429" i="9"/>
  <c r="J1429" i="9"/>
  <c r="K1429" i="9"/>
  <c r="N1429" i="9"/>
  <c r="M1429" i="9"/>
  <c r="I1431" i="9"/>
  <c r="J1430" i="9" a="1"/>
  <c r="O1429" i="9" l="1"/>
  <c r="R1429" i="9" s="1"/>
  <c r="I1432" i="9"/>
  <c r="K1430" i="9"/>
  <c r="L1430" i="9"/>
  <c r="M1430" i="9"/>
  <c r="N1430" i="9"/>
  <c r="J1430" i="9"/>
  <c r="J1431" i="9" a="1"/>
  <c r="P1429" i="9" l="1"/>
  <c r="O1430" i="9"/>
  <c r="R1430" i="9" s="1"/>
  <c r="Q1429" i="9"/>
  <c r="S1429" i="9" s="1"/>
  <c r="T1429" i="9" s="1"/>
  <c r="U1429" i="9" s="1"/>
  <c r="Q1424" i="9"/>
  <c r="S1424" i="9" s="1"/>
  <c r="T1424" i="9" s="1"/>
  <c r="U1424" i="9" s="1"/>
  <c r="Q1428" i="9"/>
  <c r="S1428" i="9" s="1"/>
  <c r="T1428" i="9" s="1"/>
  <c r="U1428" i="9" s="1"/>
  <c r="Q1427" i="9"/>
  <c r="S1427" i="9" s="1"/>
  <c r="T1427" i="9" s="1"/>
  <c r="U1427" i="9" s="1"/>
  <c r="Q1431" i="9"/>
  <c r="Q1432" i="9"/>
  <c r="Q1426" i="9"/>
  <c r="S1426" i="9" s="1"/>
  <c r="T1426" i="9" s="1"/>
  <c r="U1426" i="9" s="1"/>
  <c r="Q1430" i="9"/>
  <c r="S1430" i="9" s="1"/>
  <c r="T1430" i="9" s="1"/>
  <c r="U1430" i="9" s="1"/>
  <c r="Q1425" i="9"/>
  <c r="S1425" i="9" s="1"/>
  <c r="T1425" i="9" s="1"/>
  <c r="U1425" i="9" s="1"/>
  <c r="N1431" i="9"/>
  <c r="J1431" i="9"/>
  <c r="M1431" i="9"/>
  <c r="K1431" i="9"/>
  <c r="L1431" i="9"/>
  <c r="I1433" i="9"/>
  <c r="J1432" i="9" a="1"/>
  <c r="O1431" i="9" l="1"/>
  <c r="R1431" i="9" s="1"/>
  <c r="S1431" i="9" s="1"/>
  <c r="T1431" i="9" s="1"/>
  <c r="U1431" i="9" s="1"/>
  <c r="L1432" i="9"/>
  <c r="M1432" i="9"/>
  <c r="J1432" i="9"/>
  <c r="N1432" i="9"/>
  <c r="K1432" i="9"/>
  <c r="I1434" i="9"/>
  <c r="J1433" i="9" a="1"/>
  <c r="O1432" i="9" l="1"/>
  <c r="R1432" i="9" s="1"/>
  <c r="S1432" i="9" s="1"/>
  <c r="T1432" i="9" s="1"/>
  <c r="U1432" i="9" s="1"/>
  <c r="K1433" i="9"/>
  <c r="J1433" i="9"/>
  <c r="L1433" i="9"/>
  <c r="M1433" i="9"/>
  <c r="N1433" i="9"/>
  <c r="I1435" i="9"/>
  <c r="J1434" i="9" a="1"/>
  <c r="O1433" i="9" l="1"/>
  <c r="R1433" i="9" s="1"/>
  <c r="I1436" i="9"/>
  <c r="N1434" i="9"/>
  <c r="J1434" i="9"/>
  <c r="K1434" i="9"/>
  <c r="L1434" i="9"/>
  <c r="M1434" i="9"/>
  <c r="J1435" i="9" a="1"/>
  <c r="O1434" i="9" l="1"/>
  <c r="R1434" i="9" s="1"/>
  <c r="N1435" i="9"/>
  <c r="J1435" i="9"/>
  <c r="L1435" i="9"/>
  <c r="K1435" i="9"/>
  <c r="M1435" i="9"/>
  <c r="I1437" i="9"/>
  <c r="J1436" i="9" a="1"/>
  <c r="O1435" i="9" l="1"/>
  <c r="R1435" i="9" s="1"/>
  <c r="I1438" i="9"/>
  <c r="J1436" i="9"/>
  <c r="N1436" i="9"/>
  <c r="K1436" i="9"/>
  <c r="L1436" i="9"/>
  <c r="M1436" i="9"/>
  <c r="J1437" i="9" a="1"/>
  <c r="O1436" i="9" l="1"/>
  <c r="R1436" i="9" s="1"/>
  <c r="L1437" i="9"/>
  <c r="J1437" i="9"/>
  <c r="K1437" i="9"/>
  <c r="M1437" i="9"/>
  <c r="N1437" i="9"/>
  <c r="I1439" i="9"/>
  <c r="J1438" i="9" a="1"/>
  <c r="O1437" i="9" l="1"/>
  <c r="R1437" i="9" s="1"/>
  <c r="I1440" i="9"/>
  <c r="N1438" i="9"/>
  <c r="J1438" i="9"/>
  <c r="K1438" i="9"/>
  <c r="M1438" i="9"/>
  <c r="L1438" i="9"/>
  <c r="J1439" i="9" a="1"/>
  <c r="O1438" i="9" l="1"/>
  <c r="P1438" i="9" s="1"/>
  <c r="J1439" i="9"/>
  <c r="K1439" i="9"/>
  <c r="M1439" i="9"/>
  <c r="N1439" i="9"/>
  <c r="L1439" i="9"/>
  <c r="I1441" i="9"/>
  <c r="J1440" i="9" a="1"/>
  <c r="R1438" i="9" l="1"/>
  <c r="O1439" i="9"/>
  <c r="R1439" i="9" s="1"/>
  <c r="M1440" i="9"/>
  <c r="L1440" i="9"/>
  <c r="K1440" i="9"/>
  <c r="J1440" i="9"/>
  <c r="N1440" i="9"/>
  <c r="Q1438" i="9"/>
  <c r="S1438" i="9" s="1"/>
  <c r="T1438" i="9" s="1"/>
  <c r="U1438" i="9" s="1"/>
  <c r="Q1441" i="9"/>
  <c r="Q1434" i="9"/>
  <c r="S1434" i="9" s="1"/>
  <c r="T1434" i="9" s="1"/>
  <c r="U1434" i="9" s="1"/>
  <c r="Q1439" i="9"/>
  <c r="S1439" i="9" s="1"/>
  <c r="T1439" i="9" s="1"/>
  <c r="U1439" i="9" s="1"/>
  <c r="Q1436" i="9"/>
  <c r="S1436" i="9" s="1"/>
  <c r="T1436" i="9" s="1"/>
  <c r="U1436" i="9" s="1"/>
  <c r="Q1435" i="9"/>
  <c r="S1435" i="9" s="1"/>
  <c r="T1435" i="9" s="1"/>
  <c r="U1435" i="9" s="1"/>
  <c r="Q1440" i="9"/>
  <c r="Q1433" i="9"/>
  <c r="S1433" i="9" s="1"/>
  <c r="T1433" i="9" s="1"/>
  <c r="U1433" i="9" s="1"/>
  <c r="Q1437" i="9"/>
  <c r="S1437" i="9" s="1"/>
  <c r="T1437" i="9" s="1"/>
  <c r="U1437" i="9" s="1"/>
  <c r="I1442" i="9"/>
  <c r="J1441" i="9" a="1"/>
  <c r="O1440" i="9" l="1"/>
  <c r="R1440" i="9" s="1"/>
  <c r="S1440" i="9" s="1"/>
  <c r="T1440" i="9" s="1"/>
  <c r="U1440" i="9" s="1"/>
  <c r="K1441" i="9"/>
  <c r="M1441" i="9"/>
  <c r="N1441" i="9"/>
  <c r="L1441" i="9"/>
  <c r="J1441" i="9"/>
  <c r="I1443" i="9"/>
  <c r="J1442" i="9" a="1"/>
  <c r="O1441" i="9" l="1"/>
  <c r="R1441" i="9" s="1"/>
  <c r="S1441" i="9" s="1"/>
  <c r="T1441" i="9" s="1"/>
  <c r="U1441" i="9" s="1"/>
  <c r="M1442" i="9"/>
  <c r="K1442" i="9"/>
  <c r="N1442" i="9"/>
  <c r="J1442" i="9"/>
  <c r="L1442" i="9"/>
  <c r="I1444" i="9"/>
  <c r="J1443" i="9" a="1"/>
  <c r="O1442" i="9" l="1"/>
  <c r="R1442" i="9" s="1"/>
  <c r="I1445" i="9"/>
  <c r="N1443" i="9"/>
  <c r="L1443" i="9"/>
  <c r="J1443" i="9"/>
  <c r="K1443" i="9"/>
  <c r="M1443" i="9"/>
  <c r="J1444" i="9" a="1"/>
  <c r="O1443" i="9" l="1"/>
  <c r="R1443" i="9" s="1"/>
  <c r="J1444" i="9"/>
  <c r="N1444" i="9"/>
  <c r="K1444" i="9"/>
  <c r="L1444" i="9"/>
  <c r="M1444" i="9"/>
  <c r="I1446" i="9"/>
  <c r="J1445" i="9" a="1"/>
  <c r="O1444" i="9" l="1"/>
  <c r="R1444" i="9" s="1"/>
  <c r="M1445" i="9"/>
  <c r="L1445" i="9"/>
  <c r="J1445" i="9"/>
  <c r="K1445" i="9"/>
  <c r="N1445" i="9"/>
  <c r="I1447" i="9"/>
  <c r="J1446" i="9" a="1"/>
  <c r="O1445" i="9" l="1"/>
  <c r="R1445" i="9" s="1"/>
  <c r="I1448" i="9"/>
  <c r="N1446" i="9"/>
  <c r="J1446" i="9"/>
  <c r="K1446" i="9"/>
  <c r="L1446" i="9"/>
  <c r="M1446" i="9"/>
  <c r="J1447" i="9" a="1"/>
  <c r="O1446" i="9" l="1"/>
  <c r="R1446" i="9" s="1"/>
  <c r="L1447" i="9"/>
  <c r="N1447" i="9"/>
  <c r="J1447" i="9"/>
  <c r="M1447" i="9"/>
  <c r="K1447" i="9"/>
  <c r="I1449" i="9"/>
  <c r="J1448" i="9" a="1"/>
  <c r="O1447" i="9" l="1"/>
  <c r="R1447" i="9" s="1"/>
  <c r="I1450" i="9"/>
  <c r="N1448" i="9"/>
  <c r="K1448" i="9"/>
  <c r="L1448" i="9"/>
  <c r="M1448" i="9"/>
  <c r="J1448" i="9"/>
  <c r="J1449" i="9" a="1"/>
  <c r="P1447" i="9" l="1"/>
  <c r="O1448" i="9"/>
  <c r="R1448" i="9" s="1"/>
  <c r="Q1442" i="9"/>
  <c r="S1442" i="9" s="1"/>
  <c r="T1442" i="9" s="1"/>
  <c r="U1442" i="9" s="1"/>
  <c r="Q1447" i="9"/>
  <c r="S1447" i="9" s="1"/>
  <c r="T1447" i="9" s="1"/>
  <c r="U1447" i="9" s="1"/>
  <c r="Q1446" i="9"/>
  <c r="S1446" i="9" s="1"/>
  <c r="T1446" i="9" s="1"/>
  <c r="U1446" i="9" s="1"/>
  <c r="Q1445" i="9"/>
  <c r="S1445" i="9" s="1"/>
  <c r="T1445" i="9" s="1"/>
  <c r="U1445" i="9" s="1"/>
  <c r="Q1444" i="9"/>
  <c r="S1444" i="9" s="1"/>
  <c r="T1444" i="9" s="1"/>
  <c r="U1444" i="9" s="1"/>
  <c r="Q1450" i="9"/>
  <c r="Q1449" i="9"/>
  <c r="Q1448" i="9"/>
  <c r="S1448" i="9" s="1"/>
  <c r="T1448" i="9" s="1"/>
  <c r="U1448" i="9" s="1"/>
  <c r="Q1443" i="9"/>
  <c r="S1443" i="9" s="1"/>
  <c r="T1443" i="9" s="1"/>
  <c r="U1443" i="9" s="1"/>
  <c r="I1451" i="9"/>
  <c r="M1449" i="9"/>
  <c r="N1449" i="9"/>
  <c r="K1449" i="9"/>
  <c r="J1449" i="9"/>
  <c r="L1449" i="9"/>
  <c r="J1450" i="9" a="1"/>
  <c r="O1449" i="9" l="1"/>
  <c r="R1449" i="9" s="1"/>
  <c r="S1449" i="9" s="1"/>
  <c r="T1449" i="9" s="1"/>
  <c r="U1449" i="9" s="1"/>
  <c r="L1450" i="9"/>
  <c r="M1450" i="9"/>
  <c r="N1450" i="9"/>
  <c r="J1450" i="9"/>
  <c r="K1450" i="9"/>
  <c r="I1452" i="9"/>
  <c r="J1451" i="9" a="1"/>
  <c r="O1450" i="9" l="1"/>
  <c r="R1450" i="9" s="1"/>
  <c r="S1450" i="9" s="1"/>
  <c r="T1450" i="9" s="1"/>
  <c r="U1450" i="9" s="1"/>
  <c r="K1451" i="9"/>
  <c r="M1451" i="9"/>
  <c r="N1451" i="9"/>
  <c r="J1451" i="9"/>
  <c r="L1451" i="9"/>
  <c r="I1453" i="9"/>
  <c r="J1452" i="9" a="1"/>
  <c r="O1451" i="9" l="1"/>
  <c r="R1451" i="9" s="1"/>
  <c r="I1454" i="9"/>
  <c r="L1452" i="9"/>
  <c r="M1452" i="9"/>
  <c r="J1452" i="9"/>
  <c r="N1452" i="9"/>
  <c r="K1452" i="9"/>
  <c r="J1453" i="9" a="1"/>
  <c r="O1452" i="9" l="1"/>
  <c r="R1452" i="9" s="1"/>
  <c r="N1453" i="9"/>
  <c r="L1453" i="9"/>
  <c r="J1453" i="9"/>
  <c r="K1453" i="9"/>
  <c r="M1453" i="9"/>
  <c r="I1455" i="9"/>
  <c r="J1454" i="9" a="1"/>
  <c r="O1453" i="9" l="1"/>
  <c r="R1453" i="9" s="1"/>
  <c r="I1456" i="9"/>
  <c r="L1454" i="9"/>
  <c r="N1454" i="9"/>
  <c r="J1454" i="9"/>
  <c r="K1454" i="9"/>
  <c r="M1454" i="9"/>
  <c r="J1455" i="9" a="1"/>
  <c r="O1454" i="9" l="1"/>
  <c r="R1454" i="9" s="1"/>
  <c r="L1455" i="9"/>
  <c r="J1455" i="9"/>
  <c r="K1455" i="9"/>
  <c r="M1455" i="9"/>
  <c r="N1455" i="9"/>
  <c r="I1457" i="9"/>
  <c r="J1456" i="9" a="1"/>
  <c r="O1455" i="9" l="1"/>
  <c r="R1455" i="9" s="1"/>
  <c r="I1458" i="9"/>
  <c r="J1456" i="9"/>
  <c r="N1456" i="9"/>
  <c r="M1456" i="9"/>
  <c r="L1456" i="9"/>
  <c r="K1456" i="9"/>
  <c r="J1457" i="9" a="1"/>
  <c r="O1456" i="9" l="1"/>
  <c r="R1456" i="9" s="1"/>
  <c r="L1457" i="9"/>
  <c r="J1457" i="9"/>
  <c r="K1457" i="9"/>
  <c r="M1457" i="9"/>
  <c r="N1457" i="9"/>
  <c r="I1459" i="9"/>
  <c r="J1458" i="9" a="1"/>
  <c r="P1456" i="9" l="1"/>
  <c r="O1457" i="9"/>
  <c r="R1457" i="9" s="1"/>
  <c r="N1458" i="9"/>
  <c r="J1458" i="9"/>
  <c r="L1458" i="9"/>
  <c r="M1458" i="9"/>
  <c r="K1458" i="9"/>
  <c r="Q1455" i="9"/>
  <c r="S1455" i="9" s="1"/>
  <c r="T1455" i="9" s="1"/>
  <c r="U1455" i="9" s="1"/>
  <c r="Q1451" i="9"/>
  <c r="S1451" i="9" s="1"/>
  <c r="T1451" i="9" s="1"/>
  <c r="U1451" i="9" s="1"/>
  <c r="Q1453" i="9"/>
  <c r="S1453" i="9" s="1"/>
  <c r="T1453" i="9" s="1"/>
  <c r="U1453" i="9" s="1"/>
  <c r="Q1459" i="9"/>
  <c r="Q1454" i="9"/>
  <c r="S1454" i="9" s="1"/>
  <c r="T1454" i="9" s="1"/>
  <c r="U1454" i="9" s="1"/>
  <c r="Q1456" i="9"/>
  <c r="S1456" i="9" s="1"/>
  <c r="T1456" i="9" s="1"/>
  <c r="U1456" i="9" s="1"/>
  <c r="Q1457" i="9"/>
  <c r="Q1452" i="9"/>
  <c r="S1452" i="9" s="1"/>
  <c r="T1452" i="9" s="1"/>
  <c r="U1452" i="9" s="1"/>
  <c r="Q1458" i="9"/>
  <c r="I1460" i="9"/>
  <c r="J1459" i="9" a="1"/>
  <c r="O1458" i="9" l="1"/>
  <c r="R1458" i="9" s="1"/>
  <c r="S1458" i="9" s="1"/>
  <c r="T1458" i="9" s="1"/>
  <c r="U1458" i="9" s="1"/>
  <c r="S1457" i="9"/>
  <c r="T1457" i="9" s="1"/>
  <c r="U1457" i="9" s="1"/>
  <c r="K1459" i="9"/>
  <c r="M1459" i="9"/>
  <c r="N1459" i="9"/>
  <c r="L1459" i="9"/>
  <c r="J1459" i="9"/>
  <c r="I1461" i="9"/>
  <c r="J1460" i="9" a="1"/>
  <c r="O1459" i="9" l="1"/>
  <c r="R1459" i="9" s="1"/>
  <c r="S1459" i="9" s="1"/>
  <c r="T1459" i="9" s="1"/>
  <c r="U1459" i="9" s="1"/>
  <c r="L1460" i="9"/>
  <c r="M1460" i="9"/>
  <c r="J1460" i="9"/>
  <c r="N1460" i="9"/>
  <c r="K1460" i="9"/>
  <c r="I1462" i="9"/>
  <c r="J1461" i="9" a="1"/>
  <c r="O1460" i="9" l="1"/>
  <c r="R1460" i="9" s="1"/>
  <c r="I1463" i="9"/>
  <c r="K1461" i="9"/>
  <c r="N1461" i="9"/>
  <c r="M1461" i="9"/>
  <c r="L1461" i="9"/>
  <c r="J1461" i="9"/>
  <c r="J1462" i="9" a="1"/>
  <c r="O1461" i="9" l="1"/>
  <c r="R1461" i="9" s="1"/>
  <c r="M1462" i="9"/>
  <c r="N1462" i="9"/>
  <c r="J1462" i="9"/>
  <c r="K1462" i="9"/>
  <c r="L1462" i="9"/>
  <c r="I1464" i="9"/>
  <c r="J1463" i="9" a="1"/>
  <c r="O1462" i="9" l="1"/>
  <c r="R1462" i="9" s="1"/>
  <c r="I1465" i="9"/>
  <c r="M1463" i="9"/>
  <c r="K1463" i="9"/>
  <c r="L1463" i="9"/>
  <c r="N1463" i="9"/>
  <c r="J1463" i="9"/>
  <c r="J1464" i="9" a="1"/>
  <c r="O1463" i="9" l="1"/>
  <c r="R1463" i="9" s="1"/>
  <c r="J1464" i="9"/>
  <c r="N1464" i="9"/>
  <c r="K1464" i="9"/>
  <c r="L1464" i="9"/>
  <c r="M1464" i="9"/>
  <c r="I1466" i="9"/>
  <c r="J1465" i="9" a="1"/>
  <c r="O1464" i="9" l="1"/>
  <c r="R1464" i="9" s="1"/>
  <c r="L1465" i="9"/>
  <c r="M1465" i="9"/>
  <c r="N1465" i="9"/>
  <c r="K1465" i="9"/>
  <c r="J1465" i="9"/>
  <c r="I1467" i="9"/>
  <c r="J1466" i="9" a="1"/>
  <c r="O1465" i="9" l="1"/>
  <c r="R1465" i="9" s="1"/>
  <c r="I1468" i="9"/>
  <c r="K1466" i="9"/>
  <c r="L1466" i="9"/>
  <c r="M1466" i="9"/>
  <c r="N1466" i="9"/>
  <c r="J1466" i="9"/>
  <c r="J1467" i="9" a="1"/>
  <c r="P1465" i="9" l="1"/>
  <c r="O1466" i="9"/>
  <c r="R1466" i="9" s="1"/>
  <c r="Q1461" i="9"/>
  <c r="S1461" i="9" s="1"/>
  <c r="T1461" i="9" s="1"/>
  <c r="U1461" i="9" s="1"/>
  <c r="Q1463" i="9"/>
  <c r="S1463" i="9" s="1"/>
  <c r="T1463" i="9" s="1"/>
  <c r="U1463" i="9" s="1"/>
  <c r="Q1466" i="9"/>
  <c r="S1466" i="9" s="1"/>
  <c r="T1466" i="9" s="1"/>
  <c r="U1466" i="9" s="1"/>
  <c r="Q1464" i="9"/>
  <c r="S1464" i="9" s="1"/>
  <c r="T1464" i="9" s="1"/>
  <c r="U1464" i="9" s="1"/>
  <c r="Q1462" i="9"/>
  <c r="S1462" i="9" s="1"/>
  <c r="T1462" i="9" s="1"/>
  <c r="U1462" i="9" s="1"/>
  <c r="Q1467" i="9"/>
  <c r="Q1460" i="9"/>
  <c r="S1460" i="9" s="1"/>
  <c r="T1460" i="9" s="1"/>
  <c r="U1460" i="9" s="1"/>
  <c r="Q1468" i="9"/>
  <c r="Q1465" i="9"/>
  <c r="S1465" i="9" s="1"/>
  <c r="T1465" i="9" s="1"/>
  <c r="U1465" i="9" s="1"/>
  <c r="L1467" i="9"/>
  <c r="M1467" i="9"/>
  <c r="N1467" i="9"/>
  <c r="J1467" i="9"/>
  <c r="K1467" i="9"/>
  <c r="I1469" i="9"/>
  <c r="J1468" i="9" a="1"/>
  <c r="O1467" i="9" l="1"/>
  <c r="R1467" i="9" s="1"/>
  <c r="S1467" i="9" s="1"/>
  <c r="T1467" i="9" s="1"/>
  <c r="U1467" i="9" s="1"/>
  <c r="J1468" i="9"/>
  <c r="L1468" i="9"/>
  <c r="M1468" i="9"/>
  <c r="N1468" i="9"/>
  <c r="K1468" i="9"/>
  <c r="I1470" i="9"/>
  <c r="J1469" i="9" a="1"/>
  <c r="O1468" i="9" l="1"/>
  <c r="R1468" i="9" s="1"/>
  <c r="S1468" i="9" s="1"/>
  <c r="T1468" i="9" s="1"/>
  <c r="U1468" i="9" s="1"/>
  <c r="J1469" i="9"/>
  <c r="K1469" i="9"/>
  <c r="M1469" i="9"/>
  <c r="L1469" i="9"/>
  <c r="N1469" i="9"/>
  <c r="I1471" i="9"/>
  <c r="J1470" i="9" a="1"/>
  <c r="O1469" i="9" l="1"/>
  <c r="R1469" i="9" s="1"/>
  <c r="N1470" i="9"/>
  <c r="J1470" i="9"/>
  <c r="K1470" i="9"/>
  <c r="L1470" i="9"/>
  <c r="M1470" i="9"/>
  <c r="I1472" i="9"/>
  <c r="J1471" i="9" a="1"/>
  <c r="O1470" i="9" l="1"/>
  <c r="R1470" i="9" s="1"/>
  <c r="I1473" i="9"/>
  <c r="K1471" i="9"/>
  <c r="L1471" i="9"/>
  <c r="M1471" i="9"/>
  <c r="N1471" i="9"/>
  <c r="J1471" i="9"/>
  <c r="J1472" i="9" a="1"/>
  <c r="O1471" i="9" l="1"/>
  <c r="R1471" i="9" s="1"/>
  <c r="K1472" i="9"/>
  <c r="J1472" i="9"/>
  <c r="L1472" i="9"/>
  <c r="M1472" i="9"/>
  <c r="N1472" i="9"/>
  <c r="I1474" i="9"/>
  <c r="J1473" i="9" a="1"/>
  <c r="O1472" i="9" l="1"/>
  <c r="R1472" i="9" s="1"/>
  <c r="I1475" i="9"/>
  <c r="N1473" i="9"/>
  <c r="J1473" i="9"/>
  <c r="K1473" i="9"/>
  <c r="M1473" i="9"/>
  <c r="L1473" i="9"/>
  <c r="J1474" i="9" a="1"/>
  <c r="O1473" i="9" l="1"/>
  <c r="R1473" i="9" s="1"/>
  <c r="M1474" i="9"/>
  <c r="N1474" i="9"/>
  <c r="J1474" i="9"/>
  <c r="K1474" i="9"/>
  <c r="L1474" i="9"/>
  <c r="I1476" i="9"/>
  <c r="J1475" i="9" a="1"/>
  <c r="O1474" i="9" l="1"/>
  <c r="R1474" i="9" s="1"/>
  <c r="I1477" i="9"/>
  <c r="J1475" i="9"/>
  <c r="K1475" i="9"/>
  <c r="L1475" i="9"/>
  <c r="M1475" i="9"/>
  <c r="N1475" i="9"/>
  <c r="J1476" i="9" a="1"/>
  <c r="P1474" i="9" l="1"/>
  <c r="O1475" i="9"/>
  <c r="R1475" i="9" s="1"/>
  <c r="N1476" i="9"/>
  <c r="K1476" i="9"/>
  <c r="J1476" i="9"/>
  <c r="L1476" i="9"/>
  <c r="M1476" i="9"/>
  <c r="Q1473" i="9"/>
  <c r="S1473" i="9" s="1"/>
  <c r="T1473" i="9" s="1"/>
  <c r="U1473" i="9" s="1"/>
  <c r="Q1471" i="9"/>
  <c r="S1471" i="9" s="1"/>
  <c r="T1471" i="9" s="1"/>
  <c r="U1471" i="9" s="1"/>
  <c r="Q1469" i="9"/>
  <c r="S1469" i="9" s="1"/>
  <c r="T1469" i="9" s="1"/>
  <c r="U1469" i="9" s="1"/>
  <c r="Q1472" i="9"/>
  <c r="S1472" i="9" s="1"/>
  <c r="T1472" i="9" s="1"/>
  <c r="U1472" i="9" s="1"/>
  <c r="Q1475" i="9"/>
  <c r="S1475" i="9" s="1"/>
  <c r="T1475" i="9" s="1"/>
  <c r="U1475" i="9" s="1"/>
  <c r="Q1477" i="9"/>
  <c r="Q1476" i="9"/>
  <c r="Q1474" i="9"/>
  <c r="S1474" i="9" s="1"/>
  <c r="T1474" i="9" s="1"/>
  <c r="U1474" i="9" s="1"/>
  <c r="Q1470" i="9"/>
  <c r="S1470" i="9" s="1"/>
  <c r="T1470" i="9" s="1"/>
  <c r="U1470" i="9" s="1"/>
  <c r="I1478" i="9"/>
  <c r="J1477" i="9" a="1"/>
  <c r="O1476" i="9" l="1"/>
  <c r="R1476" i="9" s="1"/>
  <c r="S1476" i="9" s="1"/>
  <c r="T1476" i="9" s="1"/>
  <c r="U1476" i="9" s="1"/>
  <c r="N1477" i="9"/>
  <c r="J1477" i="9"/>
  <c r="K1477" i="9"/>
  <c r="M1477" i="9"/>
  <c r="L1477" i="9"/>
  <c r="I1479" i="9"/>
  <c r="J1478" i="9" a="1"/>
  <c r="O1477" i="9" l="1"/>
  <c r="R1477" i="9" s="1"/>
  <c r="S1477" i="9" s="1"/>
  <c r="T1477" i="9" s="1"/>
  <c r="U1477" i="9" s="1"/>
  <c r="L1478" i="9"/>
  <c r="M1478" i="9"/>
  <c r="N1478" i="9"/>
  <c r="J1478" i="9"/>
  <c r="K1478" i="9"/>
  <c r="I1480" i="9"/>
  <c r="J1479" i="9" a="1"/>
  <c r="O1478" i="9" l="1"/>
  <c r="R1478" i="9" s="1"/>
  <c r="I1481" i="9"/>
  <c r="J1479" i="9"/>
  <c r="K1479" i="9"/>
  <c r="L1479" i="9"/>
  <c r="M1479" i="9"/>
  <c r="N1479" i="9"/>
  <c r="J1480" i="9" a="1"/>
  <c r="O1479" i="9" l="1"/>
  <c r="R1479" i="9" s="1"/>
  <c r="M1480" i="9"/>
  <c r="N1480" i="9"/>
  <c r="K1480" i="9"/>
  <c r="J1480" i="9"/>
  <c r="L1480" i="9"/>
  <c r="I1482" i="9"/>
  <c r="J1481" i="9" a="1"/>
  <c r="O1480" i="9" l="1"/>
  <c r="R1480" i="9" s="1"/>
  <c r="I1483" i="9"/>
  <c r="L1481" i="9"/>
  <c r="N1481" i="9"/>
  <c r="J1481" i="9"/>
  <c r="K1481" i="9"/>
  <c r="M1481" i="9"/>
  <c r="J1482" i="9" a="1"/>
  <c r="O1481" i="9" l="1"/>
  <c r="R1481" i="9" s="1"/>
  <c r="K1482" i="9"/>
  <c r="L1482" i="9"/>
  <c r="M1482" i="9"/>
  <c r="N1482" i="9"/>
  <c r="J1482" i="9"/>
  <c r="I1484" i="9"/>
  <c r="J1483" i="9" a="1"/>
  <c r="O1482" i="9" l="1"/>
  <c r="R1482" i="9" s="1"/>
  <c r="I1485" i="9"/>
  <c r="N1483" i="9"/>
  <c r="J1483" i="9"/>
  <c r="K1483" i="9"/>
  <c r="L1483" i="9"/>
  <c r="M1483" i="9"/>
  <c r="J1484" i="9" a="1"/>
  <c r="O1483" i="9" l="1"/>
  <c r="P1483" i="9" s="1"/>
  <c r="L1484" i="9"/>
  <c r="M1484" i="9"/>
  <c r="N1484" i="9"/>
  <c r="K1484" i="9"/>
  <c r="J1484" i="9"/>
  <c r="I1486" i="9"/>
  <c r="J1485" i="9" a="1"/>
  <c r="O1484" i="9" l="1"/>
  <c r="R1484" i="9" s="1"/>
  <c r="R1483" i="9"/>
  <c r="I1487" i="9"/>
  <c r="M1485" i="9"/>
  <c r="L1485" i="9"/>
  <c r="N1485" i="9"/>
  <c r="J1485" i="9"/>
  <c r="K1485" i="9"/>
  <c r="Q1483" i="9"/>
  <c r="S1483" i="9" s="1"/>
  <c r="T1483" i="9" s="1"/>
  <c r="U1483" i="9" s="1"/>
  <c r="Q1479" i="9"/>
  <c r="S1479" i="9" s="1"/>
  <c r="T1479" i="9" s="1"/>
  <c r="U1479" i="9" s="1"/>
  <c r="Q1481" i="9"/>
  <c r="S1481" i="9" s="1"/>
  <c r="T1481" i="9" s="1"/>
  <c r="U1481" i="9" s="1"/>
  <c r="Q1484" i="9"/>
  <c r="S1484" i="9" s="1"/>
  <c r="T1484" i="9" s="1"/>
  <c r="U1484" i="9" s="1"/>
  <c r="Q1485" i="9"/>
  <c r="Q1480" i="9"/>
  <c r="S1480" i="9" s="1"/>
  <c r="T1480" i="9" s="1"/>
  <c r="U1480" i="9" s="1"/>
  <c r="Q1478" i="9"/>
  <c r="S1478" i="9" s="1"/>
  <c r="T1478" i="9" s="1"/>
  <c r="U1478" i="9" s="1"/>
  <c r="Q1482" i="9"/>
  <c r="S1482" i="9" s="1"/>
  <c r="T1482" i="9" s="1"/>
  <c r="U1482" i="9" s="1"/>
  <c r="Q1486" i="9"/>
  <c r="J1486" i="9" a="1"/>
  <c r="O1485" i="9" l="1"/>
  <c r="R1485" i="9" s="1"/>
  <c r="S1485" i="9" s="1"/>
  <c r="T1485" i="9" s="1"/>
  <c r="U1485" i="9" s="1"/>
  <c r="J1486" i="9"/>
  <c r="K1486" i="9"/>
  <c r="L1486" i="9"/>
  <c r="M1486" i="9"/>
  <c r="N1486" i="9"/>
  <c r="I1488" i="9"/>
  <c r="J1487" i="9" a="1"/>
  <c r="O1486" i="9" l="1"/>
  <c r="R1486" i="9" s="1"/>
  <c r="S1486" i="9" s="1"/>
  <c r="T1486" i="9" s="1"/>
  <c r="U1486" i="9" s="1"/>
  <c r="M1487" i="9"/>
  <c r="N1487" i="9"/>
  <c r="J1487" i="9"/>
  <c r="K1487" i="9"/>
  <c r="L1487" i="9"/>
  <c r="I1489" i="9"/>
  <c r="J1488" i="9" a="1"/>
  <c r="O1487" i="9" l="1"/>
  <c r="R1487" i="9" s="1"/>
  <c r="I1490" i="9"/>
  <c r="L1488" i="9"/>
  <c r="M1488" i="9"/>
  <c r="N1488" i="9"/>
  <c r="K1488" i="9"/>
  <c r="J1488" i="9"/>
  <c r="J1489" i="9" a="1"/>
  <c r="O1488" i="9" l="1"/>
  <c r="R1488" i="9" s="1"/>
  <c r="K1489" i="9"/>
  <c r="M1489" i="9"/>
  <c r="L1489" i="9"/>
  <c r="N1489" i="9"/>
  <c r="J1489" i="9"/>
  <c r="I1491" i="9"/>
  <c r="J1490" i="9" a="1"/>
  <c r="O1489" i="9" l="1"/>
  <c r="R1489" i="9" s="1"/>
  <c r="I1492" i="9"/>
  <c r="J1490" i="9"/>
  <c r="K1490" i="9"/>
  <c r="L1490" i="9"/>
  <c r="M1490" i="9"/>
  <c r="N1490" i="9"/>
  <c r="J1491" i="9" a="1"/>
  <c r="O1490" i="9" l="1"/>
  <c r="R1490" i="9" s="1"/>
  <c r="L1491" i="9"/>
  <c r="M1491" i="9"/>
  <c r="N1491" i="9"/>
  <c r="J1491" i="9"/>
  <c r="K1491" i="9"/>
  <c r="I1493" i="9"/>
  <c r="J1492" i="9" a="1"/>
  <c r="O1491" i="9" l="1"/>
  <c r="R1491" i="9" s="1"/>
  <c r="I1494" i="9"/>
  <c r="J1492" i="9"/>
  <c r="L1492" i="9"/>
  <c r="M1492" i="9"/>
  <c r="N1492" i="9"/>
  <c r="K1492" i="9"/>
  <c r="J1493" i="9" a="1"/>
  <c r="O1492" i="9" l="1"/>
  <c r="R1492" i="9" s="1"/>
  <c r="J1493" i="9"/>
  <c r="M1493" i="9"/>
  <c r="K1493" i="9"/>
  <c r="L1493" i="9"/>
  <c r="N1493" i="9"/>
  <c r="I1495" i="9"/>
  <c r="J1494" i="9" a="1"/>
  <c r="O1493" i="9" l="1"/>
  <c r="R1493" i="9" s="1"/>
  <c r="P1492" i="9"/>
  <c r="M1494" i="9"/>
  <c r="J1494" i="9"/>
  <c r="K1494" i="9"/>
  <c r="L1494" i="9"/>
  <c r="N1494" i="9"/>
  <c r="I1496" i="9"/>
  <c r="Q1495" i="9"/>
  <c r="Q1488" i="9"/>
  <c r="S1488" i="9" s="1"/>
  <c r="T1488" i="9" s="1"/>
  <c r="U1488" i="9" s="1"/>
  <c r="Q1492" i="9"/>
  <c r="S1492" i="9" s="1"/>
  <c r="T1492" i="9" s="1"/>
  <c r="U1492" i="9" s="1"/>
  <c r="Q1494" i="9"/>
  <c r="Q1491" i="9"/>
  <c r="S1491" i="9" s="1"/>
  <c r="T1491" i="9" s="1"/>
  <c r="U1491" i="9" s="1"/>
  <c r="Q1493" i="9"/>
  <c r="S1493" i="9" s="1"/>
  <c r="T1493" i="9" s="1"/>
  <c r="U1493" i="9" s="1"/>
  <c r="Q1490" i="9"/>
  <c r="S1490" i="9" s="1"/>
  <c r="T1490" i="9" s="1"/>
  <c r="U1490" i="9" s="1"/>
  <c r="Q1487" i="9"/>
  <c r="S1487" i="9" s="1"/>
  <c r="T1487" i="9" s="1"/>
  <c r="U1487" i="9" s="1"/>
  <c r="Q1489" i="9"/>
  <c r="S1489" i="9" s="1"/>
  <c r="T1489" i="9" s="1"/>
  <c r="U1489" i="9" s="1"/>
  <c r="J1495" i="9" a="1"/>
  <c r="O1494" i="9" l="1"/>
  <c r="R1494" i="9" s="1"/>
  <c r="S1494" i="9" s="1"/>
  <c r="T1494" i="9" s="1"/>
  <c r="U1494" i="9" s="1"/>
  <c r="I1497" i="9"/>
  <c r="L1495" i="9"/>
  <c r="M1495" i="9"/>
  <c r="N1495" i="9"/>
  <c r="K1495" i="9"/>
  <c r="J1495" i="9"/>
  <c r="J1496" i="9" a="1"/>
  <c r="O1495" i="9" l="1"/>
  <c r="R1495" i="9" s="1"/>
  <c r="S1495" i="9" s="1"/>
  <c r="T1495" i="9" s="1"/>
  <c r="U1495" i="9" s="1"/>
  <c r="N1496" i="9"/>
  <c r="K1496" i="9"/>
  <c r="J1496" i="9"/>
  <c r="M1496" i="9"/>
  <c r="L1496" i="9"/>
  <c r="I1498" i="9"/>
  <c r="J1497" i="9" a="1"/>
  <c r="O1496" i="9" l="1"/>
  <c r="R1496" i="9" s="1"/>
  <c r="I1499" i="9"/>
  <c r="N1497" i="9"/>
  <c r="J1497" i="9"/>
  <c r="M1497" i="9"/>
  <c r="K1497" i="9"/>
  <c r="L1497" i="9"/>
  <c r="J1498" i="9" a="1"/>
  <c r="O1497" i="9" l="1"/>
  <c r="R1497" i="9" s="1"/>
  <c r="N1498" i="9"/>
  <c r="J1498" i="9"/>
  <c r="K1498" i="9"/>
  <c r="L1498" i="9"/>
  <c r="M1498" i="9"/>
  <c r="I1500" i="9"/>
  <c r="J1499" i="9" a="1"/>
  <c r="O1498" i="9" l="1"/>
  <c r="R1498" i="9" s="1"/>
  <c r="I1501" i="9"/>
  <c r="J1499" i="9"/>
  <c r="L1499" i="9"/>
  <c r="M1499" i="9"/>
  <c r="N1499" i="9"/>
  <c r="K1499" i="9"/>
  <c r="J1500" i="9" a="1"/>
  <c r="O1499" i="9" l="1"/>
  <c r="R1499" i="9" s="1"/>
  <c r="K1500" i="9"/>
  <c r="J1500" i="9"/>
  <c r="M1500" i="9"/>
  <c r="L1500" i="9"/>
  <c r="N1500" i="9"/>
  <c r="I1502" i="9"/>
  <c r="J1501" i="9" a="1"/>
  <c r="O1500" i="9" l="1"/>
  <c r="R1500" i="9" s="1"/>
  <c r="I1503" i="9"/>
  <c r="N1501" i="9"/>
  <c r="J1501" i="9"/>
  <c r="M1501" i="9"/>
  <c r="K1501" i="9"/>
  <c r="L1501" i="9"/>
  <c r="J1502" i="9" a="1"/>
  <c r="O1501" i="9" l="1"/>
  <c r="P1501" i="9" s="1"/>
  <c r="J1502" i="9"/>
  <c r="K1502" i="9"/>
  <c r="L1502" i="9"/>
  <c r="M1502" i="9"/>
  <c r="N1502" i="9"/>
  <c r="I1504" i="9"/>
  <c r="J1503" i="9" a="1"/>
  <c r="R1501" i="9" l="1"/>
  <c r="O1502" i="9"/>
  <c r="J1503" i="9"/>
  <c r="L1503" i="9"/>
  <c r="M1503" i="9"/>
  <c r="N1503" i="9"/>
  <c r="K1503" i="9"/>
  <c r="I1505" i="9"/>
  <c r="Q1504" i="9"/>
  <c r="Q1500" i="9"/>
  <c r="S1500" i="9" s="1"/>
  <c r="T1500" i="9" s="1"/>
  <c r="U1500" i="9" s="1"/>
  <c r="Q1503" i="9"/>
  <c r="Q1496" i="9"/>
  <c r="S1496" i="9" s="1"/>
  <c r="T1496" i="9" s="1"/>
  <c r="U1496" i="9" s="1"/>
  <c r="Q1498" i="9"/>
  <c r="S1498" i="9" s="1"/>
  <c r="T1498" i="9" s="1"/>
  <c r="U1498" i="9" s="1"/>
  <c r="Q1497" i="9"/>
  <c r="S1497" i="9" s="1"/>
  <c r="T1497" i="9" s="1"/>
  <c r="U1497" i="9" s="1"/>
  <c r="Q1501" i="9"/>
  <c r="S1501" i="9" s="1"/>
  <c r="T1501" i="9" s="1"/>
  <c r="U1501" i="9" s="1"/>
  <c r="Q1499" i="9"/>
  <c r="S1499" i="9" s="1"/>
  <c r="T1499" i="9" s="1"/>
  <c r="U1499" i="9" s="1"/>
  <c r="Q1502" i="9"/>
  <c r="R1502" i="9"/>
  <c r="J1504" i="9" a="1"/>
  <c r="S1502" i="9" l="1"/>
  <c r="T1502" i="9" s="1"/>
  <c r="U1502" i="9" s="1"/>
  <c r="O1503" i="9"/>
  <c r="R1503" i="9" s="1"/>
  <c r="S1503" i="9" s="1"/>
  <c r="T1503" i="9" s="1"/>
  <c r="U1503" i="9" s="1"/>
  <c r="I1506" i="9"/>
  <c r="M1504" i="9"/>
  <c r="L1504" i="9"/>
  <c r="N1504" i="9"/>
  <c r="K1504" i="9"/>
  <c r="J1504" i="9"/>
  <c r="J1505" i="9" a="1"/>
  <c r="O1504" i="9" l="1"/>
  <c r="R1504" i="9" s="1"/>
  <c r="S1504" i="9" s="1"/>
  <c r="T1504" i="9" s="1"/>
  <c r="U1504" i="9" s="1"/>
  <c r="K1505" i="9"/>
  <c r="N1505" i="9"/>
  <c r="J1505" i="9"/>
  <c r="M1505" i="9"/>
  <c r="L1505" i="9"/>
  <c r="I1507" i="9"/>
  <c r="J1506" i="9" a="1"/>
  <c r="O1505" i="9" l="1"/>
  <c r="R1505" i="9" s="1"/>
  <c r="I1508" i="9"/>
  <c r="N1506" i="9"/>
  <c r="J1506" i="9"/>
  <c r="K1506" i="9"/>
  <c r="L1506" i="9"/>
  <c r="M1506" i="9"/>
  <c r="J1507" i="9" a="1"/>
  <c r="O1506" i="9" l="1"/>
  <c r="R1506" i="9" s="1"/>
  <c r="K1507" i="9"/>
  <c r="J1507" i="9"/>
  <c r="L1507" i="9"/>
  <c r="M1507" i="9"/>
  <c r="N1507" i="9"/>
  <c r="I1509" i="9"/>
  <c r="J1508" i="9" a="1"/>
  <c r="O1507" i="9" l="1"/>
  <c r="R1507" i="9" s="1"/>
  <c r="I1510" i="9"/>
  <c r="M1508" i="9"/>
  <c r="L1508" i="9"/>
  <c r="N1508" i="9"/>
  <c r="K1508" i="9"/>
  <c r="J1508" i="9"/>
  <c r="J1509" i="9" a="1"/>
  <c r="O1508" i="9" l="1"/>
  <c r="R1508" i="9" s="1"/>
  <c r="K1509" i="9"/>
  <c r="L1509" i="9"/>
  <c r="N1509" i="9"/>
  <c r="J1509" i="9"/>
  <c r="M1509" i="9"/>
  <c r="I1511" i="9"/>
  <c r="J1510" i="9" a="1"/>
  <c r="O1509" i="9" l="1"/>
  <c r="R1509" i="9" s="1"/>
  <c r="I1512" i="9"/>
  <c r="J1510" i="9"/>
  <c r="K1510" i="9"/>
  <c r="L1510" i="9"/>
  <c r="M1510" i="9"/>
  <c r="N1510" i="9"/>
  <c r="J1511" i="9" a="1"/>
  <c r="O1510" i="9" l="1"/>
  <c r="R1510" i="9" s="1"/>
  <c r="N1511" i="9"/>
  <c r="K1511" i="9"/>
  <c r="J1511" i="9"/>
  <c r="L1511" i="9"/>
  <c r="M1511" i="9"/>
  <c r="I1513" i="9"/>
  <c r="J1512" i="9" a="1"/>
  <c r="P1510" i="9" l="1"/>
  <c r="O1511" i="9"/>
  <c r="R1511" i="9" s="1"/>
  <c r="L1512" i="9"/>
  <c r="N1512" i="9"/>
  <c r="K1512" i="9"/>
  <c r="M1512" i="9"/>
  <c r="J1512" i="9"/>
  <c r="Q1508" i="9"/>
  <c r="S1508" i="9" s="1"/>
  <c r="T1508" i="9" s="1"/>
  <c r="U1508" i="9" s="1"/>
  <c r="Q1507" i="9"/>
  <c r="S1507" i="9" s="1"/>
  <c r="T1507" i="9" s="1"/>
  <c r="U1507" i="9" s="1"/>
  <c r="Q1509" i="9"/>
  <c r="S1509" i="9" s="1"/>
  <c r="T1509" i="9" s="1"/>
  <c r="U1509" i="9" s="1"/>
  <c r="Q1513" i="9"/>
  <c r="Q1512" i="9"/>
  <c r="Q1511" i="9"/>
  <c r="S1511" i="9" s="1"/>
  <c r="T1511" i="9" s="1"/>
  <c r="U1511" i="9" s="1"/>
  <c r="Q1505" i="9"/>
  <c r="S1505" i="9" s="1"/>
  <c r="T1505" i="9" s="1"/>
  <c r="U1505" i="9" s="1"/>
  <c r="Q1510" i="9"/>
  <c r="S1510" i="9" s="1"/>
  <c r="T1510" i="9" s="1"/>
  <c r="U1510" i="9" s="1"/>
  <c r="Q1506" i="9"/>
  <c r="S1506" i="9" s="1"/>
  <c r="T1506" i="9" s="1"/>
  <c r="U1506" i="9" s="1"/>
  <c r="I1514" i="9"/>
  <c r="J1513" i="9" a="1"/>
  <c r="O1512" i="9" l="1"/>
  <c r="R1512" i="9" s="1"/>
  <c r="S1512" i="9" s="1"/>
  <c r="T1512" i="9" s="1"/>
  <c r="U1512" i="9" s="1"/>
  <c r="N1513" i="9"/>
  <c r="J1513" i="9"/>
  <c r="M1513" i="9"/>
  <c r="K1513" i="9"/>
  <c r="L1513" i="9"/>
  <c r="I1515" i="9"/>
  <c r="J1514" i="9" a="1"/>
  <c r="O1513" i="9" l="1"/>
  <c r="R1513" i="9" s="1"/>
  <c r="S1513" i="9" s="1"/>
  <c r="T1513" i="9" s="1"/>
  <c r="U1513" i="9" s="1"/>
  <c r="I1516" i="9"/>
  <c r="K1514" i="9"/>
  <c r="L1514" i="9"/>
  <c r="M1514" i="9"/>
  <c r="N1514" i="9"/>
  <c r="J1514" i="9"/>
  <c r="J1515" i="9" a="1"/>
  <c r="O1514" i="9" l="1"/>
  <c r="R1514" i="9" s="1"/>
  <c r="M1515" i="9"/>
  <c r="N1515" i="9"/>
  <c r="K1515" i="9"/>
  <c r="J1515" i="9"/>
  <c r="L1515" i="9"/>
  <c r="I1517" i="9"/>
  <c r="J1516" i="9" a="1"/>
  <c r="O1515" i="9" l="1"/>
  <c r="R1515" i="9" s="1"/>
  <c r="I1518" i="9"/>
  <c r="K1516" i="9"/>
  <c r="J1516" i="9"/>
  <c r="M1516" i="9"/>
  <c r="L1516" i="9"/>
  <c r="N1516" i="9"/>
  <c r="J1517" i="9" a="1"/>
  <c r="O1516" i="9" l="1"/>
  <c r="R1516" i="9" s="1"/>
  <c r="N1517" i="9"/>
  <c r="J1517" i="9"/>
  <c r="M1517" i="9"/>
  <c r="K1517" i="9"/>
  <c r="L1517" i="9"/>
  <c r="I1519" i="9"/>
  <c r="J1518" i="9" a="1"/>
  <c r="O1517" i="9" l="1"/>
  <c r="R1517" i="9" s="1"/>
  <c r="I1520" i="9"/>
  <c r="M1518" i="9"/>
  <c r="N1518" i="9"/>
  <c r="J1518" i="9"/>
  <c r="K1518" i="9"/>
  <c r="L1518" i="9"/>
  <c r="J1519" i="9" a="1"/>
  <c r="O1518" i="9" l="1"/>
  <c r="R1518" i="9" s="1"/>
  <c r="L1519" i="9"/>
  <c r="M1519" i="9"/>
  <c r="N1519" i="9"/>
  <c r="K1519" i="9"/>
  <c r="J1519" i="9"/>
  <c r="I1521" i="9"/>
  <c r="J1520" i="9" a="1"/>
  <c r="O1519" i="9" l="1"/>
  <c r="P1519" i="9" s="1"/>
  <c r="I1522" i="9"/>
  <c r="L1520" i="9"/>
  <c r="N1520" i="9"/>
  <c r="K1520" i="9"/>
  <c r="J1520" i="9"/>
  <c r="M1520" i="9"/>
  <c r="J1521" i="9" a="1"/>
  <c r="R1519" i="9" l="1"/>
  <c r="O1520" i="9"/>
  <c r="L1521" i="9"/>
  <c r="N1521" i="9"/>
  <c r="J1521" i="9"/>
  <c r="M1521" i="9"/>
  <c r="K1521" i="9"/>
  <c r="Q1516" i="9"/>
  <c r="S1516" i="9" s="1"/>
  <c r="T1516" i="9" s="1"/>
  <c r="U1516" i="9" s="1"/>
  <c r="Q1520" i="9"/>
  <c r="Q1515" i="9"/>
  <c r="S1515" i="9" s="1"/>
  <c r="T1515" i="9" s="1"/>
  <c r="U1515" i="9" s="1"/>
  <c r="Q1522" i="9"/>
  <c r="Q1521" i="9"/>
  <c r="Q1514" i="9"/>
  <c r="S1514" i="9" s="1"/>
  <c r="T1514" i="9" s="1"/>
  <c r="U1514" i="9" s="1"/>
  <c r="Q1517" i="9"/>
  <c r="S1517" i="9" s="1"/>
  <c r="T1517" i="9" s="1"/>
  <c r="U1517" i="9" s="1"/>
  <c r="Q1519" i="9"/>
  <c r="S1519" i="9" s="1"/>
  <c r="T1519" i="9" s="1"/>
  <c r="U1519" i="9" s="1"/>
  <c r="Q1518" i="9"/>
  <c r="S1518" i="9" s="1"/>
  <c r="T1518" i="9" s="1"/>
  <c r="U1518" i="9" s="1"/>
  <c r="R1520" i="9"/>
  <c r="I1523" i="9"/>
  <c r="J1522" i="9" a="1"/>
  <c r="O1521" i="9" l="1"/>
  <c r="R1521" i="9" s="1"/>
  <c r="S1521" i="9" s="1"/>
  <c r="T1521" i="9" s="1"/>
  <c r="U1521" i="9" s="1"/>
  <c r="M1522" i="9"/>
  <c r="N1522" i="9"/>
  <c r="J1522" i="9"/>
  <c r="K1522" i="9"/>
  <c r="L1522" i="9"/>
  <c r="I1524" i="9"/>
  <c r="S1520" i="9"/>
  <c r="T1520" i="9" s="1"/>
  <c r="U1520" i="9" s="1"/>
  <c r="J1523" i="9" a="1"/>
  <c r="O1522" i="9" l="1"/>
  <c r="R1522" i="9" s="1"/>
  <c r="S1522" i="9" s="1"/>
  <c r="T1522" i="9" s="1"/>
  <c r="U1522" i="9" s="1"/>
  <c r="I1525" i="9"/>
  <c r="J1523" i="9"/>
  <c r="L1523" i="9"/>
  <c r="M1523" i="9"/>
  <c r="N1523" i="9"/>
  <c r="K1523" i="9"/>
  <c r="J1524" i="9" a="1"/>
  <c r="O1523" i="9" l="1"/>
  <c r="R1523" i="9" s="1"/>
  <c r="J1524" i="9"/>
  <c r="M1524" i="9"/>
  <c r="L1524" i="9"/>
  <c r="N1524" i="9"/>
  <c r="K1524" i="9"/>
  <c r="I1526" i="9"/>
  <c r="J1525" i="9" a="1"/>
  <c r="O1524" i="9" l="1"/>
  <c r="R1524" i="9" s="1"/>
  <c r="K1525" i="9"/>
  <c r="L1525" i="9"/>
  <c r="N1525" i="9"/>
  <c r="J1525" i="9"/>
  <c r="M1525" i="9"/>
  <c r="I1527" i="9"/>
  <c r="J1526" i="9" a="1"/>
  <c r="O1525" i="9" l="1"/>
  <c r="R1525" i="9" s="1"/>
  <c r="I1528" i="9"/>
  <c r="J1526" i="9"/>
  <c r="K1526" i="9"/>
  <c r="L1526" i="9"/>
  <c r="N1526" i="9"/>
  <c r="M1526" i="9"/>
  <c r="J1527" i="9" a="1"/>
  <c r="O1526" i="9" l="1"/>
  <c r="R1526" i="9" s="1"/>
  <c r="J1527" i="9"/>
  <c r="L1527" i="9"/>
  <c r="M1527" i="9"/>
  <c r="N1527" i="9"/>
  <c r="K1527" i="9"/>
  <c r="I1529" i="9"/>
  <c r="J1528" i="9" a="1"/>
  <c r="O1527" i="9" l="1"/>
  <c r="R1527" i="9" s="1"/>
  <c r="L1528" i="9"/>
  <c r="N1528" i="9"/>
  <c r="K1528" i="9"/>
  <c r="J1528" i="9"/>
  <c r="M1528" i="9"/>
  <c r="I1530" i="9"/>
  <c r="J1529" i="9" a="1"/>
  <c r="O1528" i="9" l="1"/>
  <c r="R1528" i="9" s="1"/>
  <c r="I1531" i="9"/>
  <c r="M1529" i="9"/>
  <c r="K1529" i="9"/>
  <c r="L1529" i="9"/>
  <c r="N1529" i="9"/>
  <c r="J1529" i="9"/>
  <c r="J1530" i="9" a="1"/>
  <c r="P1528" i="9" l="1"/>
  <c r="O1529" i="9"/>
  <c r="R1529" i="9" s="1"/>
  <c r="Q1527" i="9"/>
  <c r="S1527" i="9" s="1"/>
  <c r="T1527" i="9" s="1"/>
  <c r="U1527" i="9" s="1"/>
  <c r="Q1524" i="9"/>
  <c r="S1524" i="9" s="1"/>
  <c r="T1524" i="9" s="1"/>
  <c r="U1524" i="9" s="1"/>
  <c r="Q1528" i="9"/>
  <c r="S1528" i="9" s="1"/>
  <c r="T1528" i="9" s="1"/>
  <c r="U1528" i="9" s="1"/>
  <c r="Q1531" i="9"/>
  <c r="Q1529" i="9"/>
  <c r="S1529" i="9" s="1"/>
  <c r="T1529" i="9" s="1"/>
  <c r="U1529" i="9" s="1"/>
  <c r="Q1525" i="9"/>
  <c r="S1525" i="9" s="1"/>
  <c r="T1525" i="9" s="1"/>
  <c r="U1525" i="9" s="1"/>
  <c r="Q1530" i="9"/>
  <c r="Q1526" i="9"/>
  <c r="S1526" i="9" s="1"/>
  <c r="T1526" i="9" s="1"/>
  <c r="U1526" i="9" s="1"/>
  <c r="Q1523" i="9"/>
  <c r="S1523" i="9" s="1"/>
  <c r="T1523" i="9" s="1"/>
  <c r="U1523" i="9" s="1"/>
  <c r="L1530" i="9"/>
  <c r="M1530" i="9"/>
  <c r="N1530" i="9"/>
  <c r="J1530" i="9"/>
  <c r="K1530" i="9"/>
  <c r="I1532" i="9"/>
  <c r="J1531" i="9" a="1"/>
  <c r="O1530" i="9" l="1"/>
  <c r="R1530" i="9" s="1"/>
  <c r="S1530" i="9" s="1"/>
  <c r="T1530" i="9" s="1"/>
  <c r="U1530" i="9" s="1"/>
  <c r="I1533" i="9"/>
  <c r="K1531" i="9"/>
  <c r="J1531" i="9"/>
  <c r="L1531" i="9"/>
  <c r="M1531" i="9"/>
  <c r="N1531" i="9"/>
  <c r="J1532" i="9" a="1"/>
  <c r="O1531" i="9" l="1"/>
  <c r="R1531" i="9" s="1"/>
  <c r="S1531" i="9" s="1"/>
  <c r="T1531" i="9" s="1"/>
  <c r="U1531" i="9" s="1"/>
  <c r="L1532" i="9"/>
  <c r="N1532" i="9"/>
  <c r="K1532" i="9"/>
  <c r="J1532" i="9"/>
  <c r="M1532" i="9"/>
  <c r="I1534" i="9"/>
  <c r="J1533" i="9" a="1"/>
  <c r="O1532" i="9" l="1"/>
  <c r="R1532" i="9" s="1"/>
  <c r="I1535" i="9"/>
  <c r="J1533" i="9"/>
  <c r="M1533" i="9"/>
  <c r="K1533" i="9"/>
  <c r="L1533" i="9"/>
  <c r="N1533" i="9"/>
  <c r="J1534" i="9" a="1"/>
  <c r="O1533" i="9" l="1"/>
  <c r="R1533" i="9" s="1"/>
  <c r="N1534" i="9"/>
  <c r="J1534" i="9"/>
  <c r="K1534" i="9"/>
  <c r="L1534" i="9"/>
  <c r="M1534" i="9"/>
  <c r="I1536" i="9"/>
  <c r="J1535" i="9" a="1"/>
  <c r="O1534" i="9" l="1"/>
  <c r="R1534" i="9" s="1"/>
  <c r="I1537" i="9"/>
  <c r="N1535" i="9"/>
  <c r="K1535" i="9"/>
  <c r="J1535" i="9"/>
  <c r="L1535" i="9"/>
  <c r="M1535" i="9"/>
  <c r="J1536" i="9" a="1"/>
  <c r="O1535" i="9" l="1"/>
  <c r="R1535" i="9" s="1"/>
  <c r="K1536" i="9"/>
  <c r="J1536" i="9"/>
  <c r="M1536" i="9"/>
  <c r="L1536" i="9"/>
  <c r="N1536" i="9"/>
  <c r="I1538" i="9"/>
  <c r="J1537" i="9" a="1"/>
  <c r="O1536" i="9" l="1"/>
  <c r="R1536" i="9" s="1"/>
  <c r="I1539" i="9"/>
  <c r="N1537" i="9"/>
  <c r="J1537" i="9"/>
  <c r="M1537" i="9"/>
  <c r="L1537" i="9"/>
  <c r="K1537" i="9"/>
  <c r="J1538" i="9" a="1"/>
  <c r="O1537" i="9" l="1"/>
  <c r="P1537" i="9" s="1"/>
  <c r="L1538" i="9"/>
  <c r="M1538" i="9"/>
  <c r="N1538" i="9"/>
  <c r="J1538" i="9"/>
  <c r="K1538" i="9"/>
  <c r="I1540" i="9"/>
  <c r="J1539" i="9" a="1"/>
  <c r="O1538" i="9" l="1"/>
  <c r="R1538" i="9" s="1"/>
  <c r="R1537" i="9"/>
  <c r="I1541" i="9"/>
  <c r="M1539" i="9"/>
  <c r="N1539" i="9"/>
  <c r="K1539" i="9"/>
  <c r="J1539" i="9"/>
  <c r="L1539" i="9"/>
  <c r="Q1538" i="9"/>
  <c r="S1538" i="9" s="1"/>
  <c r="T1538" i="9" s="1"/>
  <c r="U1538" i="9" s="1"/>
  <c r="Q1534" i="9"/>
  <c r="S1534" i="9" s="1"/>
  <c r="T1534" i="9" s="1"/>
  <c r="U1534" i="9" s="1"/>
  <c r="Q1535" i="9"/>
  <c r="S1535" i="9" s="1"/>
  <c r="T1535" i="9" s="1"/>
  <c r="U1535" i="9" s="1"/>
  <c r="Q1532" i="9"/>
  <c r="S1532" i="9" s="1"/>
  <c r="T1532" i="9" s="1"/>
  <c r="U1532" i="9" s="1"/>
  <c r="Q1536" i="9"/>
  <c r="S1536" i="9" s="1"/>
  <c r="T1536" i="9" s="1"/>
  <c r="U1536" i="9" s="1"/>
  <c r="Q1533" i="9"/>
  <c r="S1533" i="9" s="1"/>
  <c r="T1533" i="9" s="1"/>
  <c r="U1533" i="9" s="1"/>
  <c r="Q1539" i="9"/>
  <c r="Q1540" i="9"/>
  <c r="Q1537" i="9"/>
  <c r="S1537" i="9" s="1"/>
  <c r="T1537" i="9" s="1"/>
  <c r="U1537" i="9" s="1"/>
  <c r="J1540" i="9" a="1"/>
  <c r="O1539" i="9" l="1"/>
  <c r="R1539" i="9" s="1"/>
  <c r="S1539" i="9" s="1"/>
  <c r="T1539" i="9" s="1"/>
  <c r="U1539" i="9" s="1"/>
  <c r="M1540" i="9"/>
  <c r="J1540" i="9"/>
  <c r="K1540" i="9"/>
  <c r="L1540" i="9"/>
  <c r="N1540" i="9"/>
  <c r="I1542" i="9"/>
  <c r="J1541" i="9" a="1"/>
  <c r="O1540" i="9" l="1"/>
  <c r="R1540" i="9" s="1"/>
  <c r="S1540" i="9" s="1"/>
  <c r="T1540" i="9" s="1"/>
  <c r="U1540" i="9" s="1"/>
  <c r="N1541" i="9"/>
  <c r="J1541" i="9"/>
  <c r="K1541" i="9"/>
  <c r="L1541" i="9"/>
  <c r="M1541" i="9"/>
  <c r="I1543" i="9"/>
  <c r="J1542" i="9" a="1"/>
  <c r="O1541" i="9" l="1"/>
  <c r="R1541" i="9" s="1"/>
  <c r="I1544" i="9"/>
  <c r="K1542" i="9"/>
  <c r="L1542" i="9"/>
  <c r="M1542" i="9"/>
  <c r="N1542" i="9"/>
  <c r="J1542" i="9"/>
  <c r="J1543" i="9" a="1"/>
  <c r="O1542" i="9" l="1"/>
  <c r="R1542" i="9" s="1"/>
  <c r="M1543" i="9"/>
  <c r="N1543" i="9"/>
  <c r="K1543" i="9"/>
  <c r="J1543" i="9"/>
  <c r="L1543" i="9"/>
  <c r="I1545" i="9"/>
  <c r="J1544" i="9" a="1"/>
  <c r="O1543" i="9" l="1"/>
  <c r="R1543" i="9" s="1"/>
  <c r="I1546" i="9"/>
  <c r="N1544" i="9"/>
  <c r="J1544" i="9"/>
  <c r="K1544" i="9"/>
  <c r="M1544" i="9"/>
  <c r="L1544" i="9"/>
  <c r="J1545" i="9" a="1"/>
  <c r="O1544" i="9" l="1"/>
  <c r="R1544" i="9" s="1"/>
  <c r="M1545" i="9"/>
  <c r="N1545" i="9"/>
  <c r="J1545" i="9"/>
  <c r="K1545" i="9"/>
  <c r="L1545" i="9"/>
  <c r="I1547" i="9"/>
  <c r="J1546" i="9" a="1"/>
  <c r="O1545" i="9" l="1"/>
  <c r="R1545" i="9" s="1"/>
  <c r="I1548" i="9"/>
  <c r="M1546" i="9"/>
  <c r="N1546" i="9"/>
  <c r="J1546" i="9"/>
  <c r="K1546" i="9"/>
  <c r="L1546" i="9"/>
  <c r="J1547" i="9" a="1"/>
  <c r="O1546" i="9" l="1"/>
  <c r="R1546" i="9" s="1"/>
  <c r="J1547" i="9"/>
  <c r="L1547" i="9"/>
  <c r="M1547" i="9"/>
  <c r="N1547" i="9"/>
  <c r="K1547" i="9"/>
  <c r="I1549" i="9"/>
  <c r="J1548" i="9" a="1"/>
  <c r="P1546" i="9" l="1"/>
  <c r="O1547" i="9"/>
  <c r="Q1546" i="9"/>
  <c r="S1546" i="9" s="1"/>
  <c r="T1546" i="9" s="1"/>
  <c r="U1546" i="9" s="1"/>
  <c r="Q1542" i="9"/>
  <c r="S1542" i="9" s="1"/>
  <c r="T1542" i="9" s="1"/>
  <c r="U1542" i="9" s="1"/>
  <c r="Q1547" i="9"/>
  <c r="Q1544" i="9"/>
  <c r="S1544" i="9" s="1"/>
  <c r="T1544" i="9" s="1"/>
  <c r="U1544" i="9" s="1"/>
  <c r="Q1548" i="9"/>
  <c r="Q1541" i="9"/>
  <c r="S1541" i="9" s="1"/>
  <c r="T1541" i="9" s="1"/>
  <c r="U1541" i="9" s="1"/>
  <c r="Q1549" i="9"/>
  <c r="Q1545" i="9"/>
  <c r="S1545" i="9" s="1"/>
  <c r="T1545" i="9" s="1"/>
  <c r="U1545" i="9" s="1"/>
  <c r="Q1543" i="9"/>
  <c r="S1543" i="9" s="1"/>
  <c r="T1543" i="9" s="1"/>
  <c r="U1543" i="9" s="1"/>
  <c r="N1548" i="9"/>
  <c r="M1548" i="9"/>
  <c r="J1548" i="9"/>
  <c r="K1548" i="9"/>
  <c r="L1548" i="9"/>
  <c r="I1550" i="9"/>
  <c r="R1547" i="9"/>
  <c r="J1549" i="9" a="1"/>
  <c r="O1548" i="9" l="1"/>
  <c r="R1548" i="9" s="1"/>
  <c r="S1548" i="9" s="1"/>
  <c r="T1548" i="9" s="1"/>
  <c r="U1548" i="9" s="1"/>
  <c r="L1549" i="9"/>
  <c r="M1549" i="9"/>
  <c r="N1549" i="9"/>
  <c r="J1549" i="9"/>
  <c r="K1549" i="9"/>
  <c r="S1547" i="9"/>
  <c r="T1547" i="9" s="1"/>
  <c r="U1547" i="9" s="1"/>
  <c r="I1551" i="9"/>
  <c r="J1550" i="9" a="1"/>
  <c r="O1549" i="9" l="1"/>
  <c r="R1549" i="9" s="1"/>
  <c r="S1549" i="9" s="1"/>
  <c r="T1549" i="9" s="1"/>
  <c r="U1549" i="9" s="1"/>
  <c r="J1550" i="9"/>
  <c r="L1550" i="9"/>
  <c r="K1550" i="9"/>
  <c r="M1550" i="9"/>
  <c r="N1550" i="9"/>
  <c r="I1552" i="9"/>
  <c r="J1551" i="9" a="1"/>
  <c r="O1550" i="9" l="1"/>
  <c r="R1550" i="9" s="1"/>
  <c r="N1551" i="9"/>
  <c r="K1551" i="9"/>
  <c r="M1551" i="9"/>
  <c r="J1551" i="9"/>
  <c r="L1551" i="9"/>
  <c r="I1553" i="9"/>
  <c r="J1552" i="9" a="1"/>
  <c r="O1551" i="9" l="1"/>
  <c r="R1551" i="9" s="1"/>
  <c r="I1554" i="9"/>
  <c r="M1552" i="9"/>
  <c r="L1552" i="9"/>
  <c r="N1552" i="9"/>
  <c r="J1552" i="9"/>
  <c r="K1552" i="9"/>
  <c r="J1553" i="9" a="1"/>
  <c r="O1552" i="9" l="1"/>
  <c r="R1552" i="9" s="1"/>
  <c r="J1553" i="9"/>
  <c r="K1553" i="9"/>
  <c r="L1553" i="9"/>
  <c r="M1553" i="9"/>
  <c r="N1553" i="9"/>
  <c r="I1555" i="9"/>
  <c r="J1554" i="9" a="1"/>
  <c r="O1553" i="9" l="1"/>
  <c r="R1553" i="9" s="1"/>
  <c r="M1554" i="9"/>
  <c r="N1554" i="9"/>
  <c r="J1554" i="9"/>
  <c r="L1554" i="9"/>
  <c r="K1554" i="9"/>
  <c r="I1556" i="9"/>
  <c r="J1555" i="9" a="1"/>
  <c r="O1554" i="9" l="1"/>
  <c r="R1554" i="9" s="1"/>
  <c r="I1557" i="9"/>
  <c r="N1555" i="9"/>
  <c r="K1555" i="9"/>
  <c r="M1555" i="9"/>
  <c r="J1555" i="9"/>
  <c r="L1555" i="9"/>
  <c r="J1556" i="9" a="1"/>
  <c r="O1555" i="9" l="1"/>
  <c r="P1555" i="9" s="1"/>
  <c r="M1556" i="9"/>
  <c r="L1556" i="9"/>
  <c r="N1556" i="9"/>
  <c r="J1556" i="9"/>
  <c r="K1556" i="9"/>
  <c r="I1558" i="9"/>
  <c r="J1557" i="9" a="1"/>
  <c r="R1555" i="9" l="1"/>
  <c r="O1556" i="9"/>
  <c r="R1556" i="9" s="1"/>
  <c r="K1557" i="9"/>
  <c r="N1557" i="9"/>
  <c r="J1557" i="9"/>
  <c r="L1557" i="9"/>
  <c r="M1557" i="9"/>
  <c r="I1559" i="9"/>
  <c r="Q1554" i="9"/>
  <c r="S1554" i="9" s="1"/>
  <c r="T1554" i="9" s="1"/>
  <c r="U1554" i="9" s="1"/>
  <c r="Q1551" i="9"/>
  <c r="S1551" i="9" s="1"/>
  <c r="T1551" i="9" s="1"/>
  <c r="U1551" i="9" s="1"/>
  <c r="Q1557" i="9"/>
  <c r="Q1558" i="9"/>
  <c r="Q1555" i="9"/>
  <c r="S1555" i="9" s="1"/>
  <c r="T1555" i="9" s="1"/>
  <c r="U1555" i="9" s="1"/>
  <c r="Q1553" i="9"/>
  <c r="S1553" i="9" s="1"/>
  <c r="T1553" i="9" s="1"/>
  <c r="U1553" i="9" s="1"/>
  <c r="Q1552" i="9"/>
  <c r="S1552" i="9" s="1"/>
  <c r="T1552" i="9" s="1"/>
  <c r="U1552" i="9" s="1"/>
  <c r="Q1550" i="9"/>
  <c r="S1550" i="9" s="1"/>
  <c r="T1550" i="9" s="1"/>
  <c r="U1550" i="9" s="1"/>
  <c r="Q1556" i="9"/>
  <c r="S1556" i="9" s="1"/>
  <c r="T1556" i="9" s="1"/>
  <c r="U1556" i="9" s="1"/>
  <c r="J1558" i="9" a="1"/>
  <c r="O1557" i="9" l="1"/>
  <c r="R1557" i="9" s="1"/>
  <c r="S1557" i="9" s="1"/>
  <c r="T1557" i="9" s="1"/>
  <c r="U1557" i="9" s="1"/>
  <c r="I1560" i="9"/>
  <c r="M1558" i="9"/>
  <c r="N1558" i="9"/>
  <c r="J1558" i="9"/>
  <c r="L1558" i="9"/>
  <c r="K1558" i="9"/>
  <c r="J1559" i="9" a="1"/>
  <c r="O1558" i="9" l="1"/>
  <c r="R1558" i="9" s="1"/>
  <c r="S1558" i="9" s="1"/>
  <c r="T1558" i="9" s="1"/>
  <c r="U1558" i="9" s="1"/>
  <c r="M1559" i="9"/>
  <c r="K1559" i="9"/>
  <c r="J1559" i="9"/>
  <c r="L1559" i="9"/>
  <c r="N1559" i="9"/>
  <c r="I1561" i="9"/>
  <c r="J1560" i="9" a="1"/>
  <c r="O1559" i="9" l="1"/>
  <c r="R1559" i="9" s="1"/>
  <c r="I1562" i="9"/>
  <c r="L1560" i="9"/>
  <c r="N1560" i="9"/>
  <c r="J1560" i="9"/>
  <c r="K1560" i="9"/>
  <c r="M1560" i="9"/>
  <c r="J1561" i="9" a="1"/>
  <c r="O1560" i="9" l="1"/>
  <c r="R1560" i="9" s="1"/>
  <c r="N1561" i="9"/>
  <c r="J1561" i="9"/>
  <c r="M1561" i="9"/>
  <c r="K1561" i="9"/>
  <c r="L1561" i="9"/>
  <c r="I1563" i="9"/>
  <c r="J1562" i="9" a="1"/>
  <c r="O1561" i="9" l="1"/>
  <c r="R1561" i="9" s="1"/>
  <c r="I1564" i="9"/>
  <c r="J1562" i="9"/>
  <c r="L1562" i="9"/>
  <c r="K1562" i="9"/>
  <c r="M1562" i="9"/>
  <c r="N1562" i="9"/>
  <c r="J1563" i="9" a="1"/>
  <c r="O1562" i="9" l="1"/>
  <c r="R1562" i="9" s="1"/>
  <c r="J1563" i="9"/>
  <c r="L1563" i="9"/>
  <c r="N1563" i="9"/>
  <c r="K1563" i="9"/>
  <c r="M1563" i="9"/>
  <c r="I1565" i="9"/>
  <c r="J1564" i="9" a="1"/>
  <c r="O1563" i="9" l="1"/>
  <c r="R1563" i="9" s="1"/>
  <c r="N1564" i="9"/>
  <c r="J1564" i="9"/>
  <c r="K1564" i="9"/>
  <c r="M1564" i="9"/>
  <c r="L1564" i="9"/>
  <c r="I1566" i="9"/>
  <c r="J1565" i="9" a="1"/>
  <c r="O1564" i="9" l="1"/>
  <c r="R1564" i="9" s="1"/>
  <c r="I1567" i="9"/>
  <c r="N1565" i="9"/>
  <c r="J1565" i="9"/>
  <c r="K1565" i="9"/>
  <c r="L1565" i="9"/>
  <c r="M1565" i="9"/>
  <c r="J1566" i="9" a="1"/>
  <c r="O1565" i="9" l="1"/>
  <c r="R1565" i="9" s="1"/>
  <c r="P1564" i="9"/>
  <c r="Q1563" i="9" s="1"/>
  <c r="S1563" i="9" s="1"/>
  <c r="T1563" i="9" s="1"/>
  <c r="U1563" i="9" s="1"/>
  <c r="J1566" i="9"/>
  <c r="L1566" i="9"/>
  <c r="K1566" i="9"/>
  <c r="M1566" i="9"/>
  <c r="N1566" i="9"/>
  <c r="Q1561" i="9"/>
  <c r="S1561" i="9" s="1"/>
  <c r="T1561" i="9" s="1"/>
  <c r="U1561" i="9" s="1"/>
  <c r="Q1564" i="9"/>
  <c r="S1564" i="9" s="1"/>
  <c r="T1564" i="9" s="1"/>
  <c r="U1564" i="9" s="1"/>
  <c r="Q1567" i="9"/>
  <c r="Q1560" i="9"/>
  <c r="S1560" i="9" s="1"/>
  <c r="T1560" i="9" s="1"/>
  <c r="U1560" i="9" s="1"/>
  <c r="Q1565" i="9"/>
  <c r="S1565" i="9" s="1"/>
  <c r="T1565" i="9" s="1"/>
  <c r="U1565" i="9" s="1"/>
  <c r="I1568" i="9"/>
  <c r="J1567" i="9" a="1"/>
  <c r="Q1559" i="9" l="1"/>
  <c r="S1559" i="9" s="1"/>
  <c r="T1559" i="9" s="1"/>
  <c r="U1559" i="9" s="1"/>
  <c r="Q1566" i="9"/>
  <c r="Q1562" i="9"/>
  <c r="S1562" i="9" s="1"/>
  <c r="T1562" i="9" s="1"/>
  <c r="U1562" i="9" s="1"/>
  <c r="O1566" i="9"/>
  <c r="R1566" i="9" s="1"/>
  <c r="M1567" i="9"/>
  <c r="J1567" i="9"/>
  <c r="L1567" i="9"/>
  <c r="N1567" i="9"/>
  <c r="K1567" i="9"/>
  <c r="I1569" i="9"/>
  <c r="J1568" i="9" a="1"/>
  <c r="S1566" i="9" l="1"/>
  <c r="T1566" i="9" s="1"/>
  <c r="U1566" i="9" s="1"/>
  <c r="O1567" i="9"/>
  <c r="R1567" i="9" s="1"/>
  <c r="S1567" i="9" s="1"/>
  <c r="T1567" i="9" s="1"/>
  <c r="U1567" i="9" s="1"/>
  <c r="K1568" i="9"/>
  <c r="M1568" i="9"/>
  <c r="L1568" i="9"/>
  <c r="N1568" i="9"/>
  <c r="J1568" i="9"/>
  <c r="I1570" i="9"/>
  <c r="J1569" i="9" a="1"/>
  <c r="O1568" i="9" l="1"/>
  <c r="R1568" i="9" s="1"/>
  <c r="I1571" i="9"/>
  <c r="K1569" i="9"/>
  <c r="L1569" i="9"/>
  <c r="M1569" i="9"/>
  <c r="N1569" i="9"/>
  <c r="J1569" i="9"/>
  <c r="J1570" i="9" a="1"/>
  <c r="O1569" i="9" l="1"/>
  <c r="R1569" i="9" s="1"/>
  <c r="J1570" i="9"/>
  <c r="L1570" i="9"/>
  <c r="K1570" i="9"/>
  <c r="M1570" i="9"/>
  <c r="N1570" i="9"/>
  <c r="I1572" i="9"/>
  <c r="J1571" i="9" a="1"/>
  <c r="O1570" i="9" l="1"/>
  <c r="R1570" i="9" s="1"/>
  <c r="L1571" i="9"/>
  <c r="N1571" i="9"/>
  <c r="K1571" i="9"/>
  <c r="M1571" i="9"/>
  <c r="J1571" i="9"/>
  <c r="I1573" i="9"/>
  <c r="J1572" i="9" a="1"/>
  <c r="O1571" i="9" l="1"/>
  <c r="R1571" i="9" s="1"/>
  <c r="I1574" i="9"/>
  <c r="K1572" i="9"/>
  <c r="M1572" i="9"/>
  <c r="J1572" i="9"/>
  <c r="L1572" i="9"/>
  <c r="N1572" i="9"/>
  <c r="J1573" i="9" a="1"/>
  <c r="O1572" i="9" l="1"/>
  <c r="R1572" i="9" s="1"/>
  <c r="K1573" i="9"/>
  <c r="L1573" i="9"/>
  <c r="M1573" i="9"/>
  <c r="N1573" i="9"/>
  <c r="J1573" i="9"/>
  <c r="I1575" i="9"/>
  <c r="J1574" i="9" a="1"/>
  <c r="O1573" i="9" l="1"/>
  <c r="R1573" i="9" s="1"/>
  <c r="I1576" i="9"/>
  <c r="L1574" i="9"/>
  <c r="M1574" i="9"/>
  <c r="N1574" i="9"/>
  <c r="K1574" i="9"/>
  <c r="J1574" i="9"/>
  <c r="J1575" i="9" a="1"/>
  <c r="P1573" i="9" l="1"/>
  <c r="O1574" i="9"/>
  <c r="R1574" i="9" s="1"/>
  <c r="Q1569" i="9"/>
  <c r="S1569" i="9" s="1"/>
  <c r="T1569" i="9" s="1"/>
  <c r="U1569" i="9" s="1"/>
  <c r="Q1568" i="9"/>
  <c r="S1568" i="9" s="1"/>
  <c r="T1568" i="9" s="1"/>
  <c r="U1568" i="9" s="1"/>
  <c r="Q1573" i="9"/>
  <c r="S1573" i="9" s="1"/>
  <c r="T1573" i="9" s="1"/>
  <c r="U1573" i="9" s="1"/>
  <c r="Q1570" i="9"/>
  <c r="S1570" i="9" s="1"/>
  <c r="T1570" i="9" s="1"/>
  <c r="U1570" i="9" s="1"/>
  <c r="Q1576" i="9"/>
  <c r="Q1572" i="9"/>
  <c r="S1572" i="9" s="1"/>
  <c r="T1572" i="9" s="1"/>
  <c r="U1572" i="9" s="1"/>
  <c r="Q1574" i="9"/>
  <c r="S1574" i="9" s="1"/>
  <c r="T1574" i="9" s="1"/>
  <c r="U1574" i="9" s="1"/>
  <c r="Q1571" i="9"/>
  <c r="S1571" i="9" s="1"/>
  <c r="T1571" i="9" s="1"/>
  <c r="U1571" i="9" s="1"/>
  <c r="Q1575" i="9"/>
  <c r="L1575" i="9"/>
  <c r="N1575" i="9"/>
  <c r="K1575" i="9"/>
  <c r="M1575" i="9"/>
  <c r="J1575" i="9"/>
  <c r="I1577" i="9"/>
  <c r="J1576" i="9" a="1"/>
  <c r="O1575" i="9" l="1"/>
  <c r="R1575" i="9" s="1"/>
  <c r="S1575" i="9" s="1"/>
  <c r="T1575" i="9" s="1"/>
  <c r="U1575" i="9" s="1"/>
  <c r="K1576" i="9"/>
  <c r="L1576" i="9"/>
  <c r="N1576" i="9"/>
  <c r="M1576" i="9"/>
  <c r="J1576" i="9"/>
  <c r="I1578" i="9"/>
  <c r="J1577" i="9" a="1"/>
  <c r="O1576" i="9" l="1"/>
  <c r="R1576" i="9" s="1"/>
  <c r="S1576" i="9" s="1"/>
  <c r="T1576" i="9" s="1"/>
  <c r="U1576" i="9" s="1"/>
  <c r="M1577" i="9"/>
  <c r="N1577" i="9"/>
  <c r="J1577" i="9"/>
  <c r="K1577" i="9"/>
  <c r="L1577" i="9"/>
  <c r="I1579" i="9"/>
  <c r="J1578" i="9" a="1"/>
  <c r="O1577" i="9" l="1"/>
  <c r="R1577" i="9" s="1"/>
  <c r="I1580" i="9"/>
  <c r="K1578" i="9"/>
  <c r="M1578" i="9"/>
  <c r="J1578" i="9"/>
  <c r="L1578" i="9"/>
  <c r="N1578" i="9"/>
  <c r="J1579" i="9" a="1"/>
  <c r="O1578" i="9" l="1"/>
  <c r="R1578" i="9" s="1"/>
  <c r="K1579" i="9"/>
  <c r="M1579" i="9"/>
  <c r="J1579" i="9"/>
  <c r="L1579" i="9"/>
  <c r="N1579" i="9"/>
  <c r="I1581" i="9"/>
  <c r="J1580" i="9" a="1"/>
  <c r="O1579" i="9" l="1"/>
  <c r="R1579" i="9" s="1"/>
  <c r="I1582" i="9"/>
  <c r="K1580" i="9"/>
  <c r="M1580" i="9"/>
  <c r="L1580" i="9"/>
  <c r="N1580" i="9"/>
  <c r="J1580" i="9"/>
  <c r="J1581" i="9" a="1"/>
  <c r="O1580" i="9" l="1"/>
  <c r="R1580" i="9" s="1"/>
  <c r="N1581" i="9"/>
  <c r="J1581" i="9"/>
  <c r="K1581" i="9"/>
  <c r="L1581" i="9"/>
  <c r="M1581" i="9"/>
  <c r="I1583" i="9"/>
  <c r="J1582" i="9" a="1"/>
  <c r="O1581" i="9" l="1"/>
  <c r="R1581" i="9" s="1"/>
  <c r="I1584" i="9"/>
  <c r="K1582" i="9"/>
  <c r="M1582" i="9"/>
  <c r="N1582" i="9"/>
  <c r="J1582" i="9"/>
  <c r="L1582" i="9"/>
  <c r="J1583" i="9" a="1"/>
  <c r="O1582" i="9" l="1"/>
  <c r="P1582" i="9" s="1"/>
  <c r="M1583" i="9"/>
  <c r="J1583" i="9"/>
  <c r="L1583" i="9"/>
  <c r="N1583" i="9"/>
  <c r="K1583" i="9"/>
  <c r="I1585" i="9"/>
  <c r="J1584" i="9" a="1"/>
  <c r="R1582" i="9" l="1"/>
  <c r="O1583" i="9"/>
  <c r="R1583" i="9" s="1"/>
  <c r="L1584" i="9"/>
  <c r="N1584" i="9"/>
  <c r="J1584" i="9"/>
  <c r="K1584" i="9"/>
  <c r="M1584" i="9"/>
  <c r="I1586" i="9"/>
  <c r="Q1585" i="9"/>
  <c r="Q1580" i="9"/>
  <c r="S1580" i="9" s="1"/>
  <c r="T1580" i="9" s="1"/>
  <c r="U1580" i="9" s="1"/>
  <c r="Q1583" i="9"/>
  <c r="Q1581" i="9"/>
  <c r="S1581" i="9" s="1"/>
  <c r="T1581" i="9" s="1"/>
  <c r="U1581" i="9" s="1"/>
  <c r="Q1577" i="9"/>
  <c r="S1577" i="9" s="1"/>
  <c r="T1577" i="9" s="1"/>
  <c r="U1577" i="9" s="1"/>
  <c r="Q1582" i="9"/>
  <c r="S1582" i="9" s="1"/>
  <c r="T1582" i="9" s="1"/>
  <c r="U1582" i="9" s="1"/>
  <c r="Q1584" i="9"/>
  <c r="Q1579" i="9"/>
  <c r="S1579" i="9" s="1"/>
  <c r="T1579" i="9" s="1"/>
  <c r="U1579" i="9" s="1"/>
  <c r="Q1578" i="9"/>
  <c r="S1578" i="9" s="1"/>
  <c r="T1578" i="9" s="1"/>
  <c r="U1578" i="9" s="1"/>
  <c r="J1585" i="9" a="1"/>
  <c r="O1584" i="9" l="1"/>
  <c r="R1584" i="9" s="1"/>
  <c r="S1584" i="9" s="1"/>
  <c r="T1584" i="9" s="1"/>
  <c r="U1584" i="9" s="1"/>
  <c r="S1583" i="9"/>
  <c r="T1583" i="9" s="1"/>
  <c r="U1583" i="9" s="1"/>
  <c r="I1587" i="9"/>
  <c r="K1585" i="9"/>
  <c r="L1585" i="9"/>
  <c r="M1585" i="9"/>
  <c r="N1585" i="9"/>
  <c r="J1585" i="9"/>
  <c r="J1586" i="9" a="1"/>
  <c r="O1585" i="9" l="1"/>
  <c r="R1585" i="9" s="1"/>
  <c r="S1585" i="9" s="1"/>
  <c r="T1585" i="9" s="1"/>
  <c r="U1585" i="9" s="1"/>
  <c r="J1586" i="9"/>
  <c r="L1586" i="9"/>
  <c r="K1586" i="9"/>
  <c r="M1586" i="9"/>
  <c r="N1586" i="9"/>
  <c r="I1588" i="9"/>
  <c r="J1587" i="9" a="1"/>
  <c r="O1586" i="9" l="1"/>
  <c r="R1586" i="9" s="1"/>
  <c r="J1587" i="9"/>
  <c r="L1587" i="9"/>
  <c r="N1587" i="9"/>
  <c r="K1587" i="9"/>
  <c r="M1587" i="9"/>
  <c r="I1589" i="9"/>
  <c r="J1588" i="9" a="1"/>
  <c r="O1587" i="9" l="1"/>
  <c r="R1587" i="9" s="1"/>
  <c r="L1588" i="9"/>
  <c r="N1588" i="9"/>
  <c r="J1588" i="9"/>
  <c r="K1588" i="9"/>
  <c r="M1588" i="9"/>
  <c r="I1590" i="9"/>
  <c r="J1589" i="9" a="1"/>
  <c r="O1588" i="9" l="1"/>
  <c r="R1588" i="9" s="1"/>
  <c r="I1591" i="9"/>
  <c r="N1589" i="9"/>
  <c r="J1589" i="9"/>
  <c r="L1589" i="9"/>
  <c r="M1589" i="9"/>
  <c r="K1589" i="9"/>
  <c r="J1590" i="9" a="1"/>
  <c r="O1589" i="9" l="1"/>
  <c r="R1589" i="9" s="1"/>
  <c r="J1590" i="9"/>
  <c r="L1590" i="9"/>
  <c r="K1590" i="9"/>
  <c r="M1590" i="9"/>
  <c r="N1590" i="9"/>
  <c r="I1592" i="9"/>
  <c r="J1591" i="9" a="1"/>
  <c r="O1590" i="9" l="1"/>
  <c r="R1590" i="9" s="1"/>
  <c r="J1591" i="9"/>
  <c r="L1591" i="9"/>
  <c r="N1591" i="9"/>
  <c r="M1591" i="9"/>
  <c r="K1591" i="9"/>
  <c r="I1593" i="9"/>
  <c r="J1592" i="9" a="1"/>
  <c r="O1591" i="9" l="1"/>
  <c r="R1591" i="9" s="1"/>
  <c r="I1594" i="9"/>
  <c r="J1592" i="9"/>
  <c r="K1592" i="9"/>
  <c r="M1592" i="9"/>
  <c r="L1592" i="9"/>
  <c r="N1592" i="9"/>
  <c r="J1593" i="9" a="1"/>
  <c r="P1591" i="9" l="1"/>
  <c r="O1592" i="9"/>
  <c r="R1592" i="9" s="1"/>
  <c r="Q1590" i="9"/>
  <c r="S1590" i="9" s="1"/>
  <c r="T1590" i="9" s="1"/>
  <c r="U1590" i="9" s="1"/>
  <c r="Q1587" i="9"/>
  <c r="S1587" i="9" s="1"/>
  <c r="T1587" i="9" s="1"/>
  <c r="U1587" i="9" s="1"/>
  <c r="Q1591" i="9"/>
  <c r="S1591" i="9" s="1"/>
  <c r="T1591" i="9" s="1"/>
  <c r="U1591" i="9" s="1"/>
  <c r="Q1588" i="9"/>
  <c r="S1588" i="9" s="1"/>
  <c r="T1588" i="9" s="1"/>
  <c r="U1588" i="9" s="1"/>
  <c r="Q1592" i="9"/>
  <c r="S1592" i="9" s="1"/>
  <c r="T1592" i="9" s="1"/>
  <c r="U1592" i="9" s="1"/>
  <c r="Q1593" i="9"/>
  <c r="Q1589" i="9"/>
  <c r="S1589" i="9" s="1"/>
  <c r="T1589" i="9" s="1"/>
  <c r="U1589" i="9" s="1"/>
  <c r="Q1594" i="9"/>
  <c r="Q1586" i="9"/>
  <c r="S1586" i="9" s="1"/>
  <c r="T1586" i="9" s="1"/>
  <c r="U1586" i="9" s="1"/>
  <c r="M1593" i="9"/>
  <c r="K1593" i="9"/>
  <c r="L1593" i="9"/>
  <c r="N1593" i="9"/>
  <c r="J1593" i="9"/>
  <c r="I1595" i="9"/>
  <c r="J1594" i="9" a="1"/>
  <c r="O1593" i="9" l="1"/>
  <c r="R1593" i="9" s="1"/>
  <c r="S1593" i="9" s="1"/>
  <c r="T1593" i="9" s="1"/>
  <c r="U1593" i="9" s="1"/>
  <c r="L1594" i="9"/>
  <c r="K1594" i="9"/>
  <c r="M1594" i="9"/>
  <c r="N1594" i="9"/>
  <c r="J1594" i="9"/>
  <c r="I1596" i="9"/>
  <c r="J1595" i="9" a="1"/>
  <c r="O1594" i="9" l="1"/>
  <c r="R1594" i="9" s="1"/>
  <c r="S1594" i="9" s="1"/>
  <c r="T1594" i="9" s="1"/>
  <c r="U1594" i="9" s="1"/>
  <c r="I1597" i="9"/>
  <c r="L1595" i="9"/>
  <c r="N1595" i="9"/>
  <c r="K1595" i="9"/>
  <c r="M1595" i="9"/>
  <c r="J1595" i="9"/>
  <c r="J1596" i="9" a="1"/>
  <c r="O1595" i="9" l="1"/>
  <c r="R1595" i="9" s="1"/>
  <c r="I1598" i="9"/>
  <c r="K1596" i="9"/>
  <c r="M1596" i="9"/>
  <c r="L1596" i="9"/>
  <c r="N1596" i="9"/>
  <c r="J1596" i="9"/>
  <c r="J1597" i="9" a="1"/>
  <c r="O1596" i="9" l="1"/>
  <c r="R1596" i="9" s="1"/>
  <c r="J1597" i="9"/>
  <c r="K1597" i="9"/>
  <c r="L1597" i="9"/>
  <c r="M1597" i="9"/>
  <c r="N1597" i="9"/>
  <c r="I1599" i="9"/>
  <c r="J1598" i="9" a="1"/>
  <c r="O1597" i="9" l="1"/>
  <c r="R1597" i="9" s="1"/>
  <c r="K1598" i="9"/>
  <c r="M1598" i="9"/>
  <c r="N1598" i="9"/>
  <c r="J1598" i="9"/>
  <c r="L1598" i="9"/>
  <c r="I1600" i="9"/>
  <c r="J1599" i="9" a="1"/>
  <c r="O1598" i="9" l="1"/>
  <c r="R1598" i="9" s="1"/>
  <c r="I1601" i="9"/>
  <c r="J1599" i="9"/>
  <c r="L1599" i="9"/>
  <c r="N1599" i="9"/>
  <c r="K1599" i="9"/>
  <c r="M1599" i="9"/>
  <c r="J1600" i="9" a="1"/>
  <c r="O1599" i="9" l="1"/>
  <c r="R1599" i="9" s="1"/>
  <c r="K1600" i="9"/>
  <c r="M1600" i="9"/>
  <c r="L1600" i="9"/>
  <c r="N1600" i="9"/>
  <c r="J1600" i="9"/>
  <c r="I1602" i="9"/>
  <c r="J1601" i="9" a="1"/>
  <c r="O1600" i="9" l="1"/>
  <c r="P1600" i="9" s="1"/>
  <c r="I1603" i="9"/>
  <c r="M1601" i="9"/>
  <c r="N1601" i="9"/>
  <c r="J1601" i="9"/>
  <c r="K1601" i="9"/>
  <c r="L1601" i="9"/>
  <c r="J1602" i="9" a="1"/>
  <c r="R1600" i="9" l="1"/>
  <c r="O1601" i="9"/>
  <c r="Q1597" i="9"/>
  <c r="S1597" i="9" s="1"/>
  <c r="T1597" i="9" s="1"/>
  <c r="U1597" i="9" s="1"/>
  <c r="Q1596" i="9"/>
  <c r="S1596" i="9" s="1"/>
  <c r="T1596" i="9" s="1"/>
  <c r="U1596" i="9" s="1"/>
  <c r="Q1595" i="9"/>
  <c r="S1595" i="9" s="1"/>
  <c r="T1595" i="9" s="1"/>
  <c r="U1595" i="9" s="1"/>
  <c r="Q1603" i="9"/>
  <c r="Q1598" i="9"/>
  <c r="S1598" i="9" s="1"/>
  <c r="T1598" i="9" s="1"/>
  <c r="U1598" i="9" s="1"/>
  <c r="Q1600" i="9"/>
  <c r="Q1602" i="9"/>
  <c r="Q1599" i="9"/>
  <c r="S1599" i="9" s="1"/>
  <c r="T1599" i="9" s="1"/>
  <c r="U1599" i="9" s="1"/>
  <c r="Q1601" i="9"/>
  <c r="L1602" i="9"/>
  <c r="K1602" i="9"/>
  <c r="M1602" i="9"/>
  <c r="N1602" i="9"/>
  <c r="J1602" i="9"/>
  <c r="R1601" i="9"/>
  <c r="I1604" i="9"/>
  <c r="J1603" i="9" a="1"/>
  <c r="S1600" i="9" l="1"/>
  <c r="T1600" i="9" s="1"/>
  <c r="U1600" i="9" s="1"/>
  <c r="S1601" i="9"/>
  <c r="T1601" i="9" s="1"/>
  <c r="U1601" i="9" s="1"/>
  <c r="O1602" i="9"/>
  <c r="R1602" i="9" s="1"/>
  <c r="S1602" i="9" s="1"/>
  <c r="T1602" i="9" s="1"/>
  <c r="U1602" i="9" s="1"/>
  <c r="K1603" i="9"/>
  <c r="M1603" i="9"/>
  <c r="J1603" i="9"/>
  <c r="L1603" i="9"/>
  <c r="N1603" i="9"/>
  <c r="I1605" i="9"/>
  <c r="J1604" i="9" a="1"/>
  <c r="O1603" i="9" l="1"/>
  <c r="R1603" i="9" s="1"/>
  <c r="S1603" i="9" s="1"/>
  <c r="T1603" i="9" s="1"/>
  <c r="U1603" i="9" s="1"/>
  <c r="I1606" i="9"/>
  <c r="J1604" i="9"/>
  <c r="L1604" i="9"/>
  <c r="N1604" i="9"/>
  <c r="K1604" i="9"/>
  <c r="M1604" i="9"/>
  <c r="J1605" i="9" a="1"/>
  <c r="O1604" i="9" l="1"/>
  <c r="R1604" i="9" s="1"/>
  <c r="M1605" i="9"/>
  <c r="N1605" i="9"/>
  <c r="J1605" i="9"/>
  <c r="K1605" i="9"/>
  <c r="L1605" i="9"/>
  <c r="I1607" i="9"/>
  <c r="J1606" i="9" a="1"/>
  <c r="O1605" i="9" l="1"/>
  <c r="R1605" i="9" s="1"/>
  <c r="I1608" i="9"/>
  <c r="N1606" i="9"/>
  <c r="K1606" i="9"/>
  <c r="J1606" i="9"/>
  <c r="L1606" i="9"/>
  <c r="M1606" i="9"/>
  <c r="J1607" i="9" a="1"/>
  <c r="O1606" i="9" l="1"/>
  <c r="R1606" i="9" s="1"/>
  <c r="K1607" i="9"/>
  <c r="M1607" i="9"/>
  <c r="J1607" i="9"/>
  <c r="L1607" i="9"/>
  <c r="N1607" i="9"/>
  <c r="I1609" i="9"/>
  <c r="J1608" i="9" a="1"/>
  <c r="O1607" i="9" l="1"/>
  <c r="R1607" i="9" s="1"/>
  <c r="I1610" i="9"/>
  <c r="L1608" i="9"/>
  <c r="N1608" i="9"/>
  <c r="M1608" i="9"/>
  <c r="J1608" i="9"/>
  <c r="K1608" i="9"/>
  <c r="J1609" i="9" a="1"/>
  <c r="O1608" i="9" l="1"/>
  <c r="R1608" i="9" s="1"/>
  <c r="N1609" i="9"/>
  <c r="J1609" i="9"/>
  <c r="K1609" i="9"/>
  <c r="L1609" i="9"/>
  <c r="M1609" i="9"/>
  <c r="I1611" i="9"/>
  <c r="J1610" i="9" a="1"/>
  <c r="O1609" i="9" l="1"/>
  <c r="R1609" i="9" s="1"/>
  <c r="I1612" i="9"/>
  <c r="J1610" i="9"/>
  <c r="L1610" i="9"/>
  <c r="N1610" i="9"/>
  <c r="K1610" i="9"/>
  <c r="M1610" i="9"/>
  <c r="J1611" i="9" a="1"/>
  <c r="P1609" i="9" l="1"/>
  <c r="O1610" i="9"/>
  <c r="R1610" i="9" s="1"/>
  <c r="J1611" i="9"/>
  <c r="L1611" i="9"/>
  <c r="N1611" i="9"/>
  <c r="K1611" i="9"/>
  <c r="M1611" i="9"/>
  <c r="Q1607" i="9"/>
  <c r="S1607" i="9" s="1"/>
  <c r="T1607" i="9" s="1"/>
  <c r="U1607" i="9" s="1"/>
  <c r="Q1606" i="9"/>
  <c r="S1606" i="9" s="1"/>
  <c r="T1606" i="9" s="1"/>
  <c r="U1606" i="9" s="1"/>
  <c r="Q1610" i="9"/>
  <c r="S1610" i="9" s="1"/>
  <c r="T1610" i="9" s="1"/>
  <c r="U1610" i="9" s="1"/>
  <c r="Q1605" i="9"/>
  <c r="S1605" i="9" s="1"/>
  <c r="T1605" i="9" s="1"/>
  <c r="U1605" i="9" s="1"/>
  <c r="Q1608" i="9"/>
  <c r="S1608" i="9" s="1"/>
  <c r="T1608" i="9" s="1"/>
  <c r="U1608" i="9" s="1"/>
  <c r="Q1612" i="9"/>
  <c r="Q1611" i="9"/>
  <c r="Q1604" i="9"/>
  <c r="S1604" i="9" s="1"/>
  <c r="T1604" i="9" s="1"/>
  <c r="U1604" i="9" s="1"/>
  <c r="Q1609" i="9"/>
  <c r="S1609" i="9" s="1"/>
  <c r="T1609" i="9" s="1"/>
  <c r="U1609" i="9" s="1"/>
  <c r="I1613" i="9"/>
  <c r="J1612" i="9" a="1"/>
  <c r="O1611" i="9" l="1"/>
  <c r="R1611" i="9" s="1"/>
  <c r="S1611" i="9" s="1"/>
  <c r="T1611" i="9" s="1"/>
  <c r="U1611" i="9" s="1"/>
  <c r="L1612" i="9"/>
  <c r="N1612" i="9"/>
  <c r="J1612" i="9"/>
  <c r="K1612" i="9"/>
  <c r="M1612" i="9"/>
  <c r="I1614" i="9"/>
  <c r="J1613" i="9" a="1"/>
  <c r="O1612" i="9" l="1"/>
  <c r="R1612" i="9" s="1"/>
  <c r="S1612" i="9" s="1"/>
  <c r="T1612" i="9" s="1"/>
  <c r="U1612" i="9" s="1"/>
  <c r="J1613" i="9"/>
  <c r="K1613" i="9"/>
  <c r="L1613" i="9"/>
  <c r="M1613" i="9"/>
  <c r="N1613" i="9"/>
  <c r="I1615" i="9"/>
  <c r="J1614" i="9" a="1"/>
  <c r="O1613" i="9" l="1"/>
  <c r="R1613" i="9" s="1"/>
  <c r="N1614" i="9"/>
  <c r="J1614" i="9"/>
  <c r="L1614" i="9"/>
  <c r="K1614" i="9"/>
  <c r="M1614" i="9"/>
  <c r="I1616" i="9"/>
  <c r="J1615" i="9" a="1"/>
  <c r="O1614" i="9" l="1"/>
  <c r="R1614" i="9" s="1"/>
  <c r="I1617" i="9"/>
  <c r="J1615" i="9"/>
  <c r="L1615" i="9"/>
  <c r="N1615" i="9"/>
  <c r="K1615" i="9"/>
  <c r="M1615" i="9"/>
  <c r="J1616" i="9" a="1"/>
  <c r="O1615" i="9" l="1"/>
  <c r="R1615" i="9" s="1"/>
  <c r="J1616" i="9"/>
  <c r="K1616" i="9"/>
  <c r="M1616" i="9"/>
  <c r="L1616" i="9"/>
  <c r="N1616" i="9"/>
  <c r="I1618" i="9"/>
  <c r="J1617" i="9" a="1"/>
  <c r="O1616" i="9" l="1"/>
  <c r="R1616" i="9" s="1"/>
  <c r="K1617" i="9"/>
  <c r="L1617" i="9"/>
  <c r="M1617" i="9"/>
  <c r="N1617" i="9"/>
  <c r="J1617" i="9"/>
  <c r="I1619" i="9"/>
  <c r="J1618" i="9" a="1"/>
  <c r="O1617" i="9" l="1"/>
  <c r="R1617" i="9" s="1"/>
  <c r="I1620" i="9"/>
  <c r="L1618" i="9"/>
  <c r="K1618" i="9"/>
  <c r="M1618" i="9"/>
  <c r="N1618" i="9"/>
  <c r="J1618" i="9"/>
  <c r="J1619" i="9" a="1"/>
  <c r="O1618" i="9" l="1"/>
  <c r="P1618" i="9" s="1"/>
  <c r="J1619" i="9"/>
  <c r="L1619" i="9"/>
  <c r="N1619" i="9"/>
  <c r="K1619" i="9"/>
  <c r="M1619" i="9"/>
  <c r="I1621" i="9"/>
  <c r="J1620" i="9" a="1"/>
  <c r="R1618" i="9" l="1"/>
  <c r="O1619" i="9"/>
  <c r="J1620" i="9"/>
  <c r="K1620" i="9"/>
  <c r="M1620" i="9"/>
  <c r="L1620" i="9"/>
  <c r="N1620" i="9"/>
  <c r="I1622" i="9"/>
  <c r="Q1613" i="9"/>
  <c r="S1613" i="9" s="1"/>
  <c r="T1613" i="9" s="1"/>
  <c r="U1613" i="9" s="1"/>
  <c r="Q1619" i="9"/>
  <c r="Q1614" i="9"/>
  <c r="S1614" i="9" s="1"/>
  <c r="T1614" i="9" s="1"/>
  <c r="U1614" i="9" s="1"/>
  <c r="Q1618" i="9"/>
  <c r="S1618" i="9" s="1"/>
  <c r="T1618" i="9" s="1"/>
  <c r="U1618" i="9" s="1"/>
  <c r="Q1616" i="9"/>
  <c r="S1616" i="9" s="1"/>
  <c r="T1616" i="9" s="1"/>
  <c r="U1616" i="9" s="1"/>
  <c r="Q1615" i="9"/>
  <c r="S1615" i="9" s="1"/>
  <c r="T1615" i="9" s="1"/>
  <c r="U1615" i="9" s="1"/>
  <c r="Q1617" i="9"/>
  <c r="S1617" i="9" s="1"/>
  <c r="T1617" i="9" s="1"/>
  <c r="U1617" i="9" s="1"/>
  <c r="Q1621" i="9"/>
  <c r="Q1620" i="9"/>
  <c r="R1619" i="9"/>
  <c r="J1621" i="9" a="1"/>
  <c r="O1620" i="9" l="1"/>
  <c r="R1620" i="9" s="1"/>
  <c r="S1620" i="9" s="1"/>
  <c r="T1620" i="9" s="1"/>
  <c r="U1620" i="9" s="1"/>
  <c r="I1623" i="9"/>
  <c r="S1619" i="9"/>
  <c r="T1619" i="9" s="1"/>
  <c r="U1619" i="9" s="1"/>
  <c r="L1621" i="9"/>
  <c r="M1621" i="9"/>
  <c r="K1621" i="9"/>
  <c r="N1621" i="9"/>
  <c r="J1621" i="9"/>
  <c r="J1622" i="9" a="1"/>
  <c r="O1621" i="9" l="1"/>
  <c r="R1621" i="9" s="1"/>
  <c r="S1621" i="9" s="1"/>
  <c r="T1621" i="9" s="1"/>
  <c r="U1621" i="9" s="1"/>
  <c r="L1622" i="9"/>
  <c r="K1622" i="9"/>
  <c r="M1622" i="9"/>
  <c r="N1622" i="9"/>
  <c r="J1622" i="9"/>
  <c r="I1624" i="9"/>
  <c r="J1623" i="9" a="1"/>
  <c r="O1622" i="9" l="1"/>
  <c r="R1622" i="9" s="1"/>
  <c r="I1625" i="9"/>
  <c r="L1623" i="9"/>
  <c r="N1623" i="9"/>
  <c r="M1623" i="9"/>
  <c r="K1623" i="9"/>
  <c r="J1623" i="9"/>
  <c r="J1624" i="9" a="1"/>
  <c r="O1623" i="9" l="1"/>
  <c r="R1623" i="9" s="1"/>
  <c r="M1624" i="9"/>
  <c r="L1624" i="9"/>
  <c r="N1624" i="9"/>
  <c r="J1624" i="9"/>
  <c r="K1624" i="9"/>
  <c r="I1626" i="9"/>
  <c r="J1625" i="9" a="1"/>
  <c r="O1624" i="9" l="1"/>
  <c r="R1624" i="9" s="1"/>
  <c r="I1627" i="9"/>
  <c r="L1625" i="9"/>
  <c r="N1625" i="9"/>
  <c r="J1625" i="9"/>
  <c r="M1625" i="9"/>
  <c r="K1625" i="9"/>
  <c r="J1626" i="9" a="1"/>
  <c r="O1625" i="9" l="1"/>
  <c r="R1625" i="9" s="1"/>
  <c r="M1626" i="9"/>
  <c r="N1626" i="9"/>
  <c r="J1626" i="9"/>
  <c r="L1626" i="9"/>
  <c r="K1626" i="9"/>
  <c r="I1628" i="9"/>
  <c r="J1627" i="9" a="1"/>
  <c r="O1626" i="9" l="1"/>
  <c r="R1626" i="9" s="1"/>
  <c r="I1629" i="9"/>
  <c r="K1627" i="9"/>
  <c r="M1627" i="9"/>
  <c r="J1627" i="9"/>
  <c r="L1627" i="9"/>
  <c r="N1627" i="9"/>
  <c r="J1628" i="9" a="1"/>
  <c r="O1627" i="9" l="1"/>
  <c r="R1627" i="9" s="1"/>
  <c r="L1628" i="9"/>
  <c r="N1628" i="9"/>
  <c r="J1628" i="9"/>
  <c r="K1628" i="9"/>
  <c r="M1628" i="9"/>
  <c r="I1630" i="9"/>
  <c r="J1629" i="9" a="1"/>
  <c r="O1628" i="9" l="1"/>
  <c r="R1628" i="9" s="1"/>
  <c r="P1627" i="9"/>
  <c r="Q1623" i="9" s="1"/>
  <c r="S1623" i="9" s="1"/>
  <c r="T1623" i="9" s="1"/>
  <c r="U1623" i="9" s="1"/>
  <c r="Q1622" i="9"/>
  <c r="S1622" i="9" s="1"/>
  <c r="T1622" i="9" s="1"/>
  <c r="U1622" i="9" s="1"/>
  <c r="Q1624" i="9"/>
  <c r="S1624" i="9" s="1"/>
  <c r="T1624" i="9" s="1"/>
  <c r="U1624" i="9" s="1"/>
  <c r="Q1627" i="9"/>
  <c r="S1627" i="9" s="1"/>
  <c r="T1627" i="9" s="1"/>
  <c r="U1627" i="9" s="1"/>
  <c r="Q1630" i="9"/>
  <c r="Q1628" i="9"/>
  <c r="S1628" i="9" s="1"/>
  <c r="T1628" i="9" s="1"/>
  <c r="U1628" i="9" s="1"/>
  <c r="L1629" i="9"/>
  <c r="M1629" i="9"/>
  <c r="N1629" i="9"/>
  <c r="J1629" i="9"/>
  <c r="K1629" i="9"/>
  <c r="I1631" i="9"/>
  <c r="J1630" i="9" a="1"/>
  <c r="Q1629" i="9" l="1"/>
  <c r="Q1626" i="9"/>
  <c r="S1626" i="9" s="1"/>
  <c r="T1626" i="9" s="1"/>
  <c r="U1626" i="9" s="1"/>
  <c r="Q1625" i="9"/>
  <c r="S1625" i="9" s="1"/>
  <c r="T1625" i="9" s="1"/>
  <c r="U1625" i="9" s="1"/>
  <c r="O1629" i="9"/>
  <c r="R1629" i="9" s="1"/>
  <c r="N1630" i="9"/>
  <c r="J1630" i="9"/>
  <c r="L1630" i="9"/>
  <c r="K1630" i="9"/>
  <c r="M1630" i="9"/>
  <c r="I1632" i="9"/>
  <c r="J1631" i="9" a="1"/>
  <c r="S1629" i="9" l="1"/>
  <c r="T1629" i="9" s="1"/>
  <c r="U1629" i="9" s="1"/>
  <c r="O1630" i="9"/>
  <c r="R1630" i="9" s="1"/>
  <c r="S1630" i="9" s="1"/>
  <c r="T1630" i="9" s="1"/>
  <c r="U1630" i="9" s="1"/>
  <c r="N1631" i="9"/>
  <c r="K1631" i="9"/>
  <c r="M1631" i="9"/>
  <c r="J1631" i="9"/>
  <c r="L1631" i="9"/>
  <c r="I1633" i="9"/>
  <c r="J1632" i="9" a="1"/>
  <c r="O1631" i="9" l="1"/>
  <c r="R1631" i="9" s="1"/>
  <c r="I1634" i="9"/>
  <c r="L1632" i="9"/>
  <c r="N1632" i="9"/>
  <c r="J1632" i="9"/>
  <c r="K1632" i="9"/>
  <c r="M1632" i="9"/>
  <c r="J1633" i="9" a="1"/>
  <c r="O1632" i="9" l="1"/>
  <c r="R1632" i="9" s="1"/>
  <c r="N1633" i="9"/>
  <c r="J1633" i="9"/>
  <c r="K1633" i="9"/>
  <c r="L1633" i="9"/>
  <c r="M1633" i="9"/>
  <c r="I1635" i="9"/>
  <c r="J1634" i="9" a="1"/>
  <c r="O1633" i="9" l="1"/>
  <c r="R1633" i="9" s="1"/>
  <c r="I1636" i="9"/>
  <c r="L1634" i="9"/>
  <c r="K1634" i="9"/>
  <c r="M1634" i="9"/>
  <c r="N1634" i="9"/>
  <c r="J1634" i="9"/>
  <c r="J1635" i="9" a="1"/>
  <c r="O1634" i="9" l="1"/>
  <c r="R1634" i="9" s="1"/>
  <c r="J1635" i="9"/>
  <c r="L1635" i="9"/>
  <c r="N1635" i="9"/>
  <c r="K1635" i="9"/>
  <c r="M1635" i="9"/>
  <c r="I1637" i="9"/>
  <c r="J1636" i="9" a="1"/>
  <c r="O1635" i="9" l="1"/>
  <c r="R1635" i="9" s="1"/>
  <c r="L1636" i="9"/>
  <c r="N1636" i="9"/>
  <c r="K1636" i="9"/>
  <c r="M1636" i="9"/>
  <c r="J1636" i="9"/>
  <c r="I1638" i="9"/>
  <c r="J1637" i="9" a="1"/>
  <c r="O1636" i="9" l="1"/>
  <c r="R1636" i="9" s="1"/>
  <c r="I1639" i="9"/>
  <c r="N1637" i="9"/>
  <c r="J1637" i="9"/>
  <c r="K1637" i="9"/>
  <c r="L1637" i="9"/>
  <c r="M1637" i="9"/>
  <c r="J1638" i="9" a="1"/>
  <c r="P1636" i="9" l="1"/>
  <c r="O1637" i="9"/>
  <c r="R1637" i="9" s="1"/>
  <c r="Q1634" i="9"/>
  <c r="S1634" i="9" s="1"/>
  <c r="T1634" i="9" s="1"/>
  <c r="U1634" i="9" s="1"/>
  <c r="Q1639" i="9"/>
  <c r="Q1635" i="9"/>
  <c r="S1635" i="9" s="1"/>
  <c r="T1635" i="9" s="1"/>
  <c r="U1635" i="9" s="1"/>
  <c r="Q1636" i="9"/>
  <c r="S1636" i="9" s="1"/>
  <c r="T1636" i="9" s="1"/>
  <c r="U1636" i="9" s="1"/>
  <c r="Q1637" i="9"/>
  <c r="S1637" i="9" s="1"/>
  <c r="T1637" i="9" s="1"/>
  <c r="U1637" i="9" s="1"/>
  <c r="Q1632" i="9"/>
  <c r="S1632" i="9" s="1"/>
  <c r="T1632" i="9" s="1"/>
  <c r="U1632" i="9" s="1"/>
  <c r="Q1638" i="9"/>
  <c r="Q1631" i="9"/>
  <c r="S1631" i="9" s="1"/>
  <c r="T1631" i="9" s="1"/>
  <c r="U1631" i="9" s="1"/>
  <c r="Q1633" i="9"/>
  <c r="S1633" i="9" s="1"/>
  <c r="T1633" i="9" s="1"/>
  <c r="U1633" i="9" s="1"/>
  <c r="J1638" i="9"/>
  <c r="L1638" i="9"/>
  <c r="M1638" i="9"/>
  <c r="N1638" i="9"/>
  <c r="K1638" i="9"/>
  <c r="I1640" i="9"/>
  <c r="J1639" i="9" a="1"/>
  <c r="O1638" i="9" l="1"/>
  <c r="R1638" i="9" s="1"/>
  <c r="S1638" i="9" s="1"/>
  <c r="T1638" i="9" s="1"/>
  <c r="U1638" i="9" s="1"/>
  <c r="J1639" i="9"/>
  <c r="L1639" i="9"/>
  <c r="N1639" i="9"/>
  <c r="K1639" i="9"/>
  <c r="M1639" i="9"/>
  <c r="I1641" i="9"/>
  <c r="J1640" i="9" a="1"/>
  <c r="O1639" i="9" l="1"/>
  <c r="R1639" i="9" s="1"/>
  <c r="S1639" i="9" s="1"/>
  <c r="T1639" i="9" s="1"/>
  <c r="U1639" i="9" s="1"/>
  <c r="M1640" i="9"/>
  <c r="J1640" i="9"/>
  <c r="K1640" i="9"/>
  <c r="L1640" i="9"/>
  <c r="N1640" i="9"/>
  <c r="I1642" i="9"/>
  <c r="J1641" i="9" a="1"/>
  <c r="O1640" i="9" l="1"/>
  <c r="R1640" i="9" s="1"/>
  <c r="I1643" i="9"/>
  <c r="K1641" i="9"/>
  <c r="L1641" i="9"/>
  <c r="M1641" i="9"/>
  <c r="N1641" i="9"/>
  <c r="J1641" i="9"/>
  <c r="J1642" i="9" a="1"/>
  <c r="O1641" i="9" l="1"/>
  <c r="R1641" i="9" s="1"/>
  <c r="L1642" i="9"/>
  <c r="N1642" i="9"/>
  <c r="K1642" i="9"/>
  <c r="M1642" i="9"/>
  <c r="J1642" i="9"/>
  <c r="I1644" i="9"/>
  <c r="J1643" i="9" a="1"/>
  <c r="O1642" i="9" l="1"/>
  <c r="R1642" i="9" s="1"/>
  <c r="I1645" i="9"/>
  <c r="L1643" i="9"/>
  <c r="N1643" i="9"/>
  <c r="K1643" i="9"/>
  <c r="M1643" i="9"/>
  <c r="J1643" i="9"/>
  <c r="J1644" i="9" a="1"/>
  <c r="O1643" i="9" l="1"/>
  <c r="R1643" i="9" s="1"/>
  <c r="N1644" i="9"/>
  <c r="J1644" i="9"/>
  <c r="K1644" i="9"/>
  <c r="M1644" i="9"/>
  <c r="L1644" i="9"/>
  <c r="I1646" i="9"/>
  <c r="J1645" i="9" a="1"/>
  <c r="O1644" i="9" l="1"/>
  <c r="R1644" i="9" s="1"/>
  <c r="I1647" i="9"/>
  <c r="L1645" i="9"/>
  <c r="M1645" i="9"/>
  <c r="N1645" i="9"/>
  <c r="J1645" i="9"/>
  <c r="K1645" i="9"/>
  <c r="J1646" i="9" a="1"/>
  <c r="O1645" i="9" l="1"/>
  <c r="R1645" i="9" s="1"/>
  <c r="J1646" i="9"/>
  <c r="L1646" i="9"/>
  <c r="K1646" i="9"/>
  <c r="M1646" i="9"/>
  <c r="N1646" i="9"/>
  <c r="I1648" i="9"/>
  <c r="J1647" i="9" a="1"/>
  <c r="P1645" i="9" l="1"/>
  <c r="O1646" i="9"/>
  <c r="R1646" i="9" s="1"/>
  <c r="N1647" i="9"/>
  <c r="K1647" i="9"/>
  <c r="M1647" i="9"/>
  <c r="J1647" i="9"/>
  <c r="L1647" i="9"/>
  <c r="Q1643" i="9"/>
  <c r="S1643" i="9" s="1"/>
  <c r="T1643" i="9" s="1"/>
  <c r="U1643" i="9" s="1"/>
  <c r="Q1642" i="9"/>
  <c r="S1642" i="9" s="1"/>
  <c r="T1642" i="9" s="1"/>
  <c r="U1642" i="9" s="1"/>
  <c r="Q1640" i="9"/>
  <c r="S1640" i="9" s="1"/>
  <c r="T1640" i="9" s="1"/>
  <c r="U1640" i="9" s="1"/>
  <c r="Q1648" i="9"/>
  <c r="Q1641" i="9"/>
  <c r="S1641" i="9" s="1"/>
  <c r="T1641" i="9" s="1"/>
  <c r="U1641" i="9" s="1"/>
  <c r="Q1646" i="9"/>
  <c r="S1646" i="9" s="1"/>
  <c r="T1646" i="9" s="1"/>
  <c r="U1646" i="9" s="1"/>
  <c r="Q1647" i="9"/>
  <c r="Q1645" i="9"/>
  <c r="S1645" i="9" s="1"/>
  <c r="T1645" i="9" s="1"/>
  <c r="U1645" i="9" s="1"/>
  <c r="Q1644" i="9"/>
  <c r="S1644" i="9" s="1"/>
  <c r="T1644" i="9" s="1"/>
  <c r="U1644" i="9" s="1"/>
  <c r="I1649" i="9"/>
  <c r="J1648" i="9" a="1"/>
  <c r="O1647" i="9" l="1"/>
  <c r="R1647" i="9" s="1"/>
  <c r="S1647" i="9" s="1"/>
  <c r="T1647" i="9" s="1"/>
  <c r="U1647" i="9" s="1"/>
  <c r="M1648" i="9"/>
  <c r="L1648" i="9"/>
  <c r="N1648" i="9"/>
  <c r="J1648" i="9"/>
  <c r="K1648" i="9"/>
  <c r="I1650" i="9"/>
  <c r="J1649" i="9" a="1"/>
  <c r="O1648" i="9" l="1"/>
  <c r="R1648" i="9" s="1"/>
  <c r="S1648" i="9" s="1"/>
  <c r="T1648" i="9" s="1"/>
  <c r="U1648" i="9" s="1"/>
  <c r="I1651" i="9"/>
  <c r="M1649" i="9"/>
  <c r="N1649" i="9"/>
  <c r="J1649" i="9"/>
  <c r="K1649" i="9"/>
  <c r="L1649" i="9"/>
  <c r="J1650" i="9" a="1"/>
  <c r="O1649" i="9" l="1"/>
  <c r="R1649" i="9" s="1"/>
  <c r="M1650" i="9"/>
  <c r="N1650" i="9"/>
  <c r="J1650" i="9"/>
  <c r="L1650" i="9"/>
  <c r="K1650" i="9"/>
  <c r="I1652" i="9"/>
  <c r="J1651" i="9" a="1"/>
  <c r="O1650" i="9" l="1"/>
  <c r="R1650" i="9" s="1"/>
  <c r="I1653" i="9"/>
  <c r="J1651" i="9"/>
  <c r="L1651" i="9"/>
  <c r="N1651" i="9"/>
  <c r="K1651" i="9"/>
  <c r="M1651" i="9"/>
  <c r="J1652" i="9" a="1"/>
  <c r="O1651" i="9" l="1"/>
  <c r="R1651" i="9" s="1"/>
  <c r="M1652" i="9"/>
  <c r="L1652" i="9"/>
  <c r="N1652" i="9"/>
  <c r="J1652" i="9"/>
  <c r="K1652" i="9"/>
  <c r="I1654" i="9"/>
  <c r="J1653" i="9" a="1"/>
  <c r="O1652" i="9" l="1"/>
  <c r="R1652" i="9" s="1"/>
  <c r="I1655" i="9"/>
  <c r="K1653" i="9"/>
  <c r="N1653" i="9"/>
  <c r="J1653" i="9"/>
  <c r="L1653" i="9"/>
  <c r="M1653" i="9"/>
  <c r="J1654" i="9" a="1"/>
  <c r="O1653" i="9" l="1"/>
  <c r="R1653" i="9" s="1"/>
  <c r="M1654" i="9"/>
  <c r="N1654" i="9"/>
  <c r="J1654" i="9"/>
  <c r="L1654" i="9"/>
  <c r="K1654" i="9"/>
  <c r="I1656" i="9"/>
  <c r="J1655" i="9" a="1"/>
  <c r="O1654" i="9" l="1"/>
  <c r="R1654" i="9" s="1"/>
  <c r="I1657" i="9"/>
  <c r="M1655" i="9"/>
  <c r="K1655" i="9"/>
  <c r="J1655" i="9"/>
  <c r="L1655" i="9"/>
  <c r="N1655" i="9"/>
  <c r="J1656" i="9" a="1"/>
  <c r="P1654" i="9" l="1"/>
  <c r="Q1652" i="9" s="1"/>
  <c r="S1652" i="9" s="1"/>
  <c r="T1652" i="9" s="1"/>
  <c r="U1652" i="9" s="1"/>
  <c r="O1655" i="9"/>
  <c r="R1655" i="9" s="1"/>
  <c r="I1658" i="9"/>
  <c r="L1656" i="9"/>
  <c r="N1656" i="9"/>
  <c r="J1656" i="9"/>
  <c r="K1656" i="9"/>
  <c r="M1656" i="9"/>
  <c r="Q1650" i="9"/>
  <c r="S1650" i="9" s="1"/>
  <c r="T1650" i="9" s="1"/>
  <c r="U1650" i="9" s="1"/>
  <c r="Q1651" i="9"/>
  <c r="S1651" i="9" s="1"/>
  <c r="T1651" i="9" s="1"/>
  <c r="U1651" i="9" s="1"/>
  <c r="Q1656" i="9"/>
  <c r="Q1653" i="9"/>
  <c r="S1653" i="9" s="1"/>
  <c r="T1653" i="9" s="1"/>
  <c r="U1653" i="9" s="1"/>
  <c r="J1657" i="9" a="1"/>
  <c r="Q1655" i="9" l="1"/>
  <c r="S1655" i="9" s="1"/>
  <c r="T1655" i="9" s="1"/>
  <c r="U1655" i="9" s="1"/>
  <c r="Q1654" i="9"/>
  <c r="S1654" i="9" s="1"/>
  <c r="T1654" i="9" s="1"/>
  <c r="U1654" i="9" s="1"/>
  <c r="Q1657" i="9"/>
  <c r="Q1649" i="9"/>
  <c r="S1649" i="9" s="1"/>
  <c r="T1649" i="9" s="1"/>
  <c r="U1649" i="9" s="1"/>
  <c r="O1656" i="9"/>
  <c r="R1656" i="9" s="1"/>
  <c r="S1656" i="9" s="1"/>
  <c r="T1656" i="9" s="1"/>
  <c r="U1656" i="9" s="1"/>
  <c r="N1657" i="9"/>
  <c r="J1657" i="9"/>
  <c r="M1657" i="9"/>
  <c r="K1657" i="9"/>
  <c r="L1657" i="9"/>
  <c r="I1659" i="9"/>
  <c r="J1658" i="9" a="1"/>
  <c r="O1657" i="9" l="1"/>
  <c r="R1657" i="9" s="1"/>
  <c r="S1657" i="9" s="1"/>
  <c r="T1657" i="9" s="1"/>
  <c r="U1657" i="9" s="1"/>
  <c r="J1658" i="9"/>
  <c r="L1658" i="9"/>
  <c r="K1658" i="9"/>
  <c r="M1658" i="9"/>
  <c r="N1658" i="9"/>
  <c r="I1660" i="9"/>
  <c r="J1659" i="9" a="1"/>
  <c r="O1658" i="9" l="1"/>
  <c r="R1658" i="9" s="1"/>
  <c r="J1659" i="9"/>
  <c r="L1659" i="9"/>
  <c r="N1659" i="9"/>
  <c r="K1659" i="9"/>
  <c r="M1659" i="9"/>
  <c r="I1661" i="9"/>
  <c r="J1660" i="9" a="1"/>
  <c r="O1659" i="9" l="1"/>
  <c r="R1659" i="9" s="1"/>
  <c r="N1660" i="9"/>
  <c r="J1660" i="9"/>
  <c r="K1660" i="9"/>
  <c r="M1660" i="9"/>
  <c r="L1660" i="9"/>
  <c r="I1662" i="9"/>
  <c r="J1661" i="9" a="1"/>
  <c r="O1660" i="9" l="1"/>
  <c r="R1660" i="9" s="1"/>
  <c r="I1663" i="9"/>
  <c r="N1661" i="9"/>
  <c r="J1661" i="9"/>
  <c r="K1661" i="9"/>
  <c r="L1661" i="9"/>
  <c r="M1661" i="9"/>
  <c r="J1662" i="9" a="1"/>
  <c r="O1661" i="9" l="1"/>
  <c r="R1661" i="9" s="1"/>
  <c r="J1662" i="9"/>
  <c r="L1662" i="9"/>
  <c r="K1662" i="9"/>
  <c r="M1662" i="9"/>
  <c r="N1662" i="9"/>
  <c r="I1664" i="9"/>
  <c r="J1663" i="9" a="1"/>
  <c r="O1662" i="9" l="1"/>
  <c r="R1662" i="9" s="1"/>
  <c r="M1663" i="9"/>
  <c r="J1663" i="9"/>
  <c r="L1663" i="9"/>
  <c r="N1663" i="9"/>
  <c r="K1663" i="9"/>
  <c r="I1665" i="9"/>
  <c r="J1664" i="9" a="1"/>
  <c r="O1663" i="9" l="1"/>
  <c r="R1663" i="9" s="1"/>
  <c r="I1666" i="9"/>
  <c r="N1664" i="9"/>
  <c r="J1664" i="9"/>
  <c r="K1664" i="9"/>
  <c r="M1664" i="9"/>
  <c r="L1664" i="9"/>
  <c r="J1665" i="9" a="1"/>
  <c r="P1663" i="9" l="1"/>
  <c r="O1664" i="9"/>
  <c r="R1664" i="9" s="1"/>
  <c r="K1665" i="9"/>
  <c r="L1665" i="9"/>
  <c r="M1665" i="9"/>
  <c r="N1665" i="9"/>
  <c r="J1665" i="9"/>
  <c r="Q1662" i="9"/>
  <c r="S1662" i="9" s="1"/>
  <c r="T1662" i="9" s="1"/>
  <c r="U1662" i="9" s="1"/>
  <c r="Q1659" i="9"/>
  <c r="S1659" i="9" s="1"/>
  <c r="T1659" i="9" s="1"/>
  <c r="U1659" i="9" s="1"/>
  <c r="Q1665" i="9"/>
  <c r="Q1661" i="9"/>
  <c r="S1661" i="9" s="1"/>
  <c r="T1661" i="9" s="1"/>
  <c r="U1661" i="9" s="1"/>
  <c r="Q1658" i="9"/>
  <c r="S1658" i="9" s="1"/>
  <c r="T1658" i="9" s="1"/>
  <c r="U1658" i="9" s="1"/>
  <c r="Q1664" i="9"/>
  <c r="S1664" i="9" s="1"/>
  <c r="T1664" i="9" s="1"/>
  <c r="U1664" i="9" s="1"/>
  <c r="Q1660" i="9"/>
  <c r="S1660" i="9" s="1"/>
  <c r="T1660" i="9" s="1"/>
  <c r="U1660" i="9" s="1"/>
  <c r="Q1663" i="9"/>
  <c r="S1663" i="9" s="1"/>
  <c r="T1663" i="9" s="1"/>
  <c r="U1663" i="9" s="1"/>
  <c r="Q1666" i="9"/>
  <c r="I1667" i="9"/>
  <c r="J1666" i="9" a="1"/>
  <c r="O1665" i="9" l="1"/>
  <c r="R1665" i="9" s="1"/>
  <c r="S1665" i="9" s="1"/>
  <c r="T1665" i="9" s="1"/>
  <c r="U1665" i="9" s="1"/>
  <c r="M1666" i="9"/>
  <c r="N1666" i="9"/>
  <c r="J1666" i="9"/>
  <c r="L1666" i="9"/>
  <c r="K1666" i="9"/>
  <c r="I1668" i="9"/>
  <c r="J1667" i="9" a="1"/>
  <c r="O1666" i="9" l="1"/>
  <c r="R1666" i="9" s="1"/>
  <c r="S1666" i="9" s="1"/>
  <c r="T1666" i="9" s="1"/>
  <c r="U1666" i="9" s="1"/>
  <c r="I1669" i="9"/>
  <c r="L1667" i="9"/>
  <c r="N1667" i="9"/>
  <c r="K1667" i="9"/>
  <c r="M1667" i="9"/>
  <c r="J1667" i="9"/>
  <c r="J1668" i="9" a="1"/>
  <c r="O1667" i="9" l="1"/>
  <c r="R1667" i="9" s="1"/>
  <c r="K1668" i="9"/>
  <c r="M1668" i="9"/>
  <c r="J1668" i="9"/>
  <c r="L1668" i="9"/>
  <c r="N1668" i="9"/>
  <c r="I1670" i="9"/>
  <c r="J1669" i="9" a="1"/>
  <c r="O1668" i="9" l="1"/>
  <c r="R1668" i="9" s="1"/>
  <c r="I1671" i="9"/>
  <c r="K1669" i="9"/>
  <c r="L1669" i="9"/>
  <c r="M1669" i="9"/>
  <c r="N1669" i="9"/>
  <c r="J1669" i="9"/>
  <c r="J1670" i="9" a="1"/>
  <c r="O1669" i="9" l="1"/>
  <c r="R1669" i="9" s="1"/>
  <c r="L1670" i="9"/>
  <c r="M1670" i="9"/>
  <c r="N1670" i="9"/>
  <c r="K1670" i="9"/>
  <c r="J1670" i="9"/>
  <c r="I1672" i="9"/>
  <c r="J1671" i="9" a="1"/>
  <c r="O1670" i="9" l="1"/>
  <c r="R1670" i="9" s="1"/>
  <c r="I1673" i="9"/>
  <c r="L1671" i="9"/>
  <c r="N1671" i="9"/>
  <c r="K1671" i="9"/>
  <c r="M1671" i="9"/>
  <c r="J1671" i="9"/>
  <c r="J1672" i="9" a="1"/>
  <c r="O1671" i="9" l="1"/>
  <c r="R1671" i="9" s="1"/>
  <c r="K1672" i="9"/>
  <c r="L1672" i="9"/>
  <c r="N1672" i="9"/>
  <c r="M1672" i="9"/>
  <c r="J1672" i="9"/>
  <c r="I1674" i="9"/>
  <c r="J1673" i="9" a="1"/>
  <c r="O1672" i="9" l="1"/>
  <c r="P1672" i="9" s="1"/>
  <c r="I1675" i="9"/>
  <c r="M1673" i="9"/>
  <c r="N1673" i="9"/>
  <c r="J1673" i="9"/>
  <c r="K1673" i="9"/>
  <c r="L1673" i="9"/>
  <c r="J1674" i="9" a="1"/>
  <c r="R1672" i="9" l="1"/>
  <c r="O1673" i="9"/>
  <c r="Q1673" i="9"/>
  <c r="Q1674" i="9"/>
  <c r="Q1675" i="9"/>
  <c r="Q1671" i="9"/>
  <c r="S1671" i="9" s="1"/>
  <c r="T1671" i="9" s="1"/>
  <c r="U1671" i="9" s="1"/>
  <c r="Q1667" i="9"/>
  <c r="S1667" i="9" s="1"/>
  <c r="T1667" i="9" s="1"/>
  <c r="U1667" i="9" s="1"/>
  <c r="Q1670" i="9"/>
  <c r="S1670" i="9" s="1"/>
  <c r="T1670" i="9" s="1"/>
  <c r="U1670" i="9" s="1"/>
  <c r="Q1668" i="9"/>
  <c r="S1668" i="9" s="1"/>
  <c r="T1668" i="9" s="1"/>
  <c r="U1668" i="9" s="1"/>
  <c r="Q1672" i="9"/>
  <c r="S1672" i="9" s="1"/>
  <c r="T1672" i="9" s="1"/>
  <c r="U1672" i="9" s="1"/>
  <c r="Q1669" i="9"/>
  <c r="S1669" i="9" s="1"/>
  <c r="T1669" i="9" s="1"/>
  <c r="U1669" i="9" s="1"/>
  <c r="K1674" i="9"/>
  <c r="M1674" i="9"/>
  <c r="J1674" i="9"/>
  <c r="L1674" i="9"/>
  <c r="N1674" i="9"/>
  <c r="R1673" i="9"/>
  <c r="I1676" i="9"/>
  <c r="J1675" i="9" a="1"/>
  <c r="O1674" i="9" l="1"/>
  <c r="R1674" i="9" s="1"/>
  <c r="S1674" i="9" s="1"/>
  <c r="T1674" i="9" s="1"/>
  <c r="U1674" i="9" s="1"/>
  <c r="I1677" i="9"/>
  <c r="K1675" i="9"/>
  <c r="M1675" i="9"/>
  <c r="J1675" i="9"/>
  <c r="L1675" i="9"/>
  <c r="N1675" i="9"/>
  <c r="S1673" i="9"/>
  <c r="T1673" i="9" s="1"/>
  <c r="U1673" i="9" s="1"/>
  <c r="J1676" i="9" a="1"/>
  <c r="O1675" i="9" l="1"/>
  <c r="R1675" i="9" s="1"/>
  <c r="S1675" i="9" s="1"/>
  <c r="T1675" i="9" s="1"/>
  <c r="U1675" i="9" s="1"/>
  <c r="K1676" i="9"/>
  <c r="M1676" i="9"/>
  <c r="L1676" i="9"/>
  <c r="N1676" i="9"/>
  <c r="J1676" i="9"/>
  <c r="I1678" i="9"/>
  <c r="J1677" i="9" a="1"/>
  <c r="O1676" i="9" l="1"/>
  <c r="R1676" i="9" s="1"/>
  <c r="I1679" i="9"/>
  <c r="N1677" i="9"/>
  <c r="J1677" i="9"/>
  <c r="K1677" i="9"/>
  <c r="L1677" i="9"/>
  <c r="M1677" i="9"/>
  <c r="J1678" i="9" a="1"/>
  <c r="O1677" i="9" l="1"/>
  <c r="R1677" i="9" s="1"/>
  <c r="K1678" i="9"/>
  <c r="M1678" i="9"/>
  <c r="N1678" i="9"/>
  <c r="J1678" i="9"/>
  <c r="L1678" i="9"/>
  <c r="I1680" i="9"/>
  <c r="J1679" i="9" a="1"/>
  <c r="O1678" i="9" l="1"/>
  <c r="R1678" i="9" s="1"/>
  <c r="I1681" i="9"/>
  <c r="M1679" i="9"/>
  <c r="J1679" i="9"/>
  <c r="L1679" i="9"/>
  <c r="N1679" i="9"/>
  <c r="K1679" i="9"/>
  <c r="J1680" i="9" a="1"/>
  <c r="O1679" i="9" l="1"/>
  <c r="R1679" i="9" s="1"/>
  <c r="L1680" i="9"/>
  <c r="N1680" i="9"/>
  <c r="J1680" i="9"/>
  <c r="K1680" i="9"/>
  <c r="M1680" i="9"/>
  <c r="I1682" i="9"/>
  <c r="J1681" i="9" a="1"/>
  <c r="O1680" i="9" l="1"/>
  <c r="R1680" i="9" s="1"/>
  <c r="I1683" i="9"/>
  <c r="J1681" i="9"/>
  <c r="K1681" i="9"/>
  <c r="L1681" i="9"/>
  <c r="M1681" i="9"/>
  <c r="N1681" i="9"/>
  <c r="J1682" i="9" a="1"/>
  <c r="O1681" i="9" l="1"/>
  <c r="P1681" i="9" s="1"/>
  <c r="J1682" i="9"/>
  <c r="L1682" i="9"/>
  <c r="K1682" i="9"/>
  <c r="M1682" i="9"/>
  <c r="N1682" i="9"/>
  <c r="I1684" i="9"/>
  <c r="J1683" i="9" a="1"/>
  <c r="R1681" i="9" l="1"/>
  <c r="O1682" i="9"/>
  <c r="R1682" i="9" s="1"/>
  <c r="N1683" i="9"/>
  <c r="K1683" i="9"/>
  <c r="M1683" i="9"/>
  <c r="J1683" i="9"/>
  <c r="L1683" i="9"/>
  <c r="I1685" i="9"/>
  <c r="Q1681" i="9"/>
  <c r="S1681" i="9" s="1"/>
  <c r="T1681" i="9" s="1"/>
  <c r="U1681" i="9" s="1"/>
  <c r="Q1684" i="9"/>
  <c r="Q1680" i="9"/>
  <c r="S1680" i="9" s="1"/>
  <c r="T1680" i="9" s="1"/>
  <c r="U1680" i="9" s="1"/>
  <c r="Q1676" i="9"/>
  <c r="S1676" i="9" s="1"/>
  <c r="T1676" i="9" s="1"/>
  <c r="U1676" i="9" s="1"/>
  <c r="Q1677" i="9"/>
  <c r="S1677" i="9" s="1"/>
  <c r="T1677" i="9" s="1"/>
  <c r="U1677" i="9" s="1"/>
  <c r="Q1682" i="9"/>
  <c r="Q1683" i="9"/>
  <c r="Q1678" i="9"/>
  <c r="S1678" i="9" s="1"/>
  <c r="T1678" i="9" s="1"/>
  <c r="U1678" i="9" s="1"/>
  <c r="Q1679" i="9"/>
  <c r="S1679" i="9" s="1"/>
  <c r="T1679" i="9" s="1"/>
  <c r="U1679" i="9" s="1"/>
  <c r="J1684" i="9" a="1"/>
  <c r="O1683" i="9" l="1"/>
  <c r="R1683" i="9" s="1"/>
  <c r="S1683" i="9" s="1"/>
  <c r="T1683" i="9" s="1"/>
  <c r="U1683" i="9" s="1"/>
  <c r="S1682" i="9"/>
  <c r="T1682" i="9" s="1"/>
  <c r="U1682" i="9" s="1"/>
  <c r="I1686" i="9"/>
  <c r="L1684" i="9"/>
  <c r="N1684" i="9"/>
  <c r="J1684" i="9"/>
  <c r="K1684" i="9"/>
  <c r="M1684" i="9"/>
  <c r="J1685" i="9" a="1"/>
  <c r="O1684" i="9" l="1"/>
  <c r="R1684" i="9" s="1"/>
  <c r="S1684" i="9" s="1"/>
  <c r="T1684" i="9" s="1"/>
  <c r="U1684" i="9" s="1"/>
  <c r="N1685" i="9"/>
  <c r="J1685" i="9"/>
  <c r="L1685" i="9"/>
  <c r="M1685" i="9"/>
  <c r="K1685" i="9"/>
  <c r="I1687" i="9"/>
  <c r="J1686" i="9" a="1"/>
  <c r="O1685" i="9" l="1"/>
  <c r="R1685" i="9" s="1"/>
  <c r="I1688" i="9"/>
  <c r="J1686" i="9"/>
  <c r="L1686" i="9"/>
  <c r="K1686" i="9"/>
  <c r="M1686" i="9"/>
  <c r="N1686" i="9"/>
  <c r="J1687" i="9" a="1"/>
  <c r="O1686" i="9" l="1"/>
  <c r="R1686" i="9" s="1"/>
  <c r="J1687" i="9"/>
  <c r="L1687" i="9"/>
  <c r="N1687" i="9"/>
  <c r="M1687" i="9"/>
  <c r="K1687" i="9"/>
  <c r="I1689" i="9"/>
  <c r="J1688" i="9" a="1"/>
  <c r="O1687" i="9" l="1"/>
  <c r="R1687" i="9" s="1"/>
  <c r="J1688" i="9"/>
  <c r="K1688" i="9"/>
  <c r="M1688" i="9"/>
  <c r="L1688" i="9"/>
  <c r="N1688" i="9"/>
  <c r="I1690" i="9"/>
  <c r="J1689" i="9" a="1"/>
  <c r="O1688" i="9" l="1"/>
  <c r="R1688" i="9" s="1"/>
  <c r="M1689" i="9"/>
  <c r="K1689" i="9"/>
  <c r="L1689" i="9"/>
  <c r="N1689" i="9"/>
  <c r="J1689" i="9"/>
  <c r="I1691" i="9"/>
  <c r="J1690" i="9" a="1"/>
  <c r="O1689" i="9" l="1"/>
  <c r="R1689" i="9" s="1"/>
  <c r="I1692" i="9"/>
  <c r="L1690" i="9"/>
  <c r="K1690" i="9"/>
  <c r="M1690" i="9"/>
  <c r="N1690" i="9"/>
  <c r="J1690" i="9"/>
  <c r="J1691" i="9" a="1"/>
  <c r="O1690" i="9" l="1"/>
  <c r="P1690" i="9" s="1"/>
  <c r="L1691" i="9"/>
  <c r="N1691" i="9"/>
  <c r="K1691" i="9"/>
  <c r="M1691" i="9"/>
  <c r="J1691" i="9"/>
  <c r="I1693" i="9"/>
  <c r="J1692" i="9" a="1"/>
  <c r="R1690" i="9" l="1"/>
  <c r="O1691" i="9"/>
  <c r="R1691" i="9" s="1"/>
  <c r="K1692" i="9"/>
  <c r="M1692" i="9"/>
  <c r="L1692" i="9"/>
  <c r="N1692" i="9"/>
  <c r="J1692" i="9"/>
  <c r="I1694" i="9"/>
  <c r="Q1687" i="9"/>
  <c r="S1687" i="9" s="1"/>
  <c r="T1687" i="9" s="1"/>
  <c r="U1687" i="9" s="1"/>
  <c r="Q1691" i="9"/>
  <c r="S1691" i="9" s="1"/>
  <c r="T1691" i="9" s="1"/>
  <c r="U1691" i="9" s="1"/>
  <c r="Q1688" i="9"/>
  <c r="S1688" i="9" s="1"/>
  <c r="T1688" i="9" s="1"/>
  <c r="U1688" i="9" s="1"/>
  <c r="Q1692" i="9"/>
  <c r="Q1689" i="9"/>
  <c r="S1689" i="9" s="1"/>
  <c r="T1689" i="9" s="1"/>
  <c r="U1689" i="9" s="1"/>
  <c r="Q1685" i="9"/>
  <c r="S1685" i="9" s="1"/>
  <c r="T1685" i="9" s="1"/>
  <c r="U1685" i="9" s="1"/>
  <c r="Q1690" i="9"/>
  <c r="S1690" i="9" s="1"/>
  <c r="T1690" i="9" s="1"/>
  <c r="U1690" i="9" s="1"/>
  <c r="Q1693" i="9"/>
  <c r="Q1686" i="9"/>
  <c r="S1686" i="9" s="1"/>
  <c r="T1686" i="9" s="1"/>
  <c r="U1686" i="9" s="1"/>
  <c r="J1693" i="9" a="1"/>
  <c r="O1692" i="9" l="1"/>
  <c r="R1692" i="9" s="1"/>
  <c r="S1692" i="9" s="1"/>
  <c r="T1692" i="9" s="1"/>
  <c r="U1692" i="9" s="1"/>
  <c r="I1695" i="9"/>
  <c r="J1693" i="9"/>
  <c r="K1693" i="9"/>
  <c r="L1693" i="9"/>
  <c r="M1693" i="9"/>
  <c r="N1693" i="9"/>
  <c r="J1694" i="9" a="1"/>
  <c r="O1693" i="9" l="1"/>
  <c r="R1693" i="9" s="1"/>
  <c r="S1693" i="9" s="1"/>
  <c r="T1693" i="9" s="1"/>
  <c r="U1693" i="9" s="1"/>
  <c r="K1694" i="9"/>
  <c r="M1694" i="9"/>
  <c r="N1694" i="9"/>
  <c r="J1694" i="9"/>
  <c r="L1694" i="9"/>
  <c r="I1696" i="9"/>
  <c r="J1695" i="9" a="1"/>
  <c r="O1694" i="9" l="1"/>
  <c r="R1694" i="9" s="1"/>
  <c r="I1697" i="9"/>
  <c r="J1695" i="9"/>
  <c r="L1695" i="9"/>
  <c r="N1695" i="9"/>
  <c r="K1695" i="9"/>
  <c r="M1695" i="9"/>
  <c r="J1696" i="9" a="1"/>
  <c r="O1695" i="9" l="1"/>
  <c r="R1695" i="9" s="1"/>
  <c r="L1696" i="9"/>
  <c r="N1696" i="9"/>
  <c r="J1696" i="9"/>
  <c r="K1696" i="9"/>
  <c r="M1696" i="9"/>
  <c r="I1698" i="9"/>
  <c r="J1697" i="9" a="1"/>
  <c r="O1696" i="9" l="1"/>
  <c r="R1696" i="9" s="1"/>
  <c r="I1699" i="9"/>
  <c r="M1697" i="9"/>
  <c r="N1697" i="9"/>
  <c r="J1697" i="9"/>
  <c r="K1697" i="9"/>
  <c r="L1697" i="9"/>
  <c r="J1698" i="9" a="1"/>
  <c r="O1697" i="9" l="1"/>
  <c r="R1697" i="9" s="1"/>
  <c r="J1698" i="9"/>
  <c r="L1698" i="9"/>
  <c r="K1698" i="9"/>
  <c r="M1698" i="9"/>
  <c r="N1698" i="9"/>
  <c r="I1700" i="9"/>
  <c r="J1699" i="9" a="1"/>
  <c r="O1698" i="9" l="1"/>
  <c r="R1698" i="9" s="1"/>
  <c r="K1699" i="9"/>
  <c r="M1699" i="9"/>
  <c r="J1699" i="9"/>
  <c r="L1699" i="9"/>
  <c r="N1699" i="9"/>
  <c r="I1701" i="9"/>
  <c r="J1700" i="9" a="1"/>
  <c r="O1699" i="9" l="1"/>
  <c r="R1699" i="9" s="1"/>
  <c r="I1702" i="9"/>
  <c r="J1700" i="9"/>
  <c r="L1700" i="9"/>
  <c r="N1700" i="9"/>
  <c r="K1700" i="9"/>
  <c r="M1700" i="9"/>
  <c r="J1701" i="9" a="1"/>
  <c r="P1699" i="9" l="1"/>
  <c r="O1700" i="9"/>
  <c r="R1700" i="9" s="1"/>
  <c r="M1701" i="9"/>
  <c r="N1701" i="9"/>
  <c r="J1701" i="9"/>
  <c r="K1701" i="9"/>
  <c r="L1701" i="9"/>
  <c r="Q1697" i="9"/>
  <c r="S1697" i="9" s="1"/>
  <c r="T1697" i="9" s="1"/>
  <c r="U1697" i="9" s="1"/>
  <c r="Q1698" i="9"/>
  <c r="S1698" i="9" s="1"/>
  <c r="T1698" i="9" s="1"/>
  <c r="U1698" i="9" s="1"/>
  <c r="Q1700" i="9"/>
  <c r="S1700" i="9" s="1"/>
  <c r="T1700" i="9" s="1"/>
  <c r="U1700" i="9" s="1"/>
  <c r="Q1701" i="9"/>
  <c r="Q1695" i="9"/>
  <c r="S1695" i="9" s="1"/>
  <c r="T1695" i="9" s="1"/>
  <c r="U1695" i="9" s="1"/>
  <c r="Q1694" i="9"/>
  <c r="S1694" i="9" s="1"/>
  <c r="T1694" i="9" s="1"/>
  <c r="U1694" i="9" s="1"/>
  <c r="Q1696" i="9"/>
  <c r="S1696" i="9" s="1"/>
  <c r="T1696" i="9" s="1"/>
  <c r="U1696" i="9" s="1"/>
  <c r="Q1702" i="9"/>
  <c r="Q1699" i="9"/>
  <c r="S1699" i="9" s="1"/>
  <c r="T1699" i="9" s="1"/>
  <c r="U1699" i="9" s="1"/>
  <c r="I1703" i="9"/>
  <c r="J1702" i="9" a="1"/>
  <c r="O1701" i="9" l="1"/>
  <c r="R1701" i="9" s="1"/>
  <c r="S1701" i="9" s="1"/>
  <c r="T1701" i="9" s="1"/>
  <c r="U1701" i="9" s="1"/>
  <c r="N1702" i="9"/>
  <c r="K1702" i="9"/>
  <c r="J1702" i="9"/>
  <c r="L1702" i="9"/>
  <c r="M1702" i="9"/>
  <c r="I1704" i="9"/>
  <c r="J1703" i="9" a="1"/>
  <c r="O1702" i="9" l="1"/>
  <c r="R1702" i="9" s="1"/>
  <c r="S1702" i="9" s="1"/>
  <c r="T1702" i="9" s="1"/>
  <c r="U1702" i="9" s="1"/>
  <c r="I1705" i="9"/>
  <c r="K1703" i="9"/>
  <c r="M1703" i="9"/>
  <c r="J1703" i="9"/>
  <c r="L1703" i="9"/>
  <c r="N1703" i="9"/>
  <c r="J1704" i="9" a="1"/>
  <c r="O1703" i="9" l="1"/>
  <c r="R1703" i="9" s="1"/>
  <c r="L1704" i="9"/>
  <c r="N1704" i="9"/>
  <c r="M1704" i="9"/>
  <c r="J1704" i="9"/>
  <c r="K1704" i="9"/>
  <c r="I1706" i="9"/>
  <c r="J1705" i="9" a="1"/>
  <c r="O1704" i="9" l="1"/>
  <c r="R1704" i="9" s="1"/>
  <c r="I1707" i="9"/>
  <c r="N1705" i="9"/>
  <c r="J1705" i="9"/>
  <c r="K1705" i="9"/>
  <c r="L1705" i="9"/>
  <c r="M1705" i="9"/>
  <c r="J1706" i="9" a="1"/>
  <c r="O1705" i="9" l="1"/>
  <c r="R1705" i="9" s="1"/>
  <c r="J1706" i="9"/>
  <c r="L1706" i="9"/>
  <c r="N1706" i="9"/>
  <c r="K1706" i="9"/>
  <c r="M1706" i="9"/>
  <c r="I1708" i="9"/>
  <c r="J1707" i="9" a="1"/>
  <c r="O1706" i="9" l="1"/>
  <c r="R1706" i="9" s="1"/>
  <c r="J1707" i="9"/>
  <c r="L1707" i="9"/>
  <c r="N1707" i="9"/>
  <c r="K1707" i="9"/>
  <c r="M1707" i="9"/>
  <c r="I1709" i="9"/>
  <c r="J1708" i="9" a="1"/>
  <c r="O1707" i="9" l="1"/>
  <c r="R1707" i="9" s="1"/>
  <c r="L1708" i="9"/>
  <c r="N1708" i="9"/>
  <c r="J1708" i="9"/>
  <c r="K1708" i="9"/>
  <c r="M1708" i="9"/>
  <c r="I1710" i="9"/>
  <c r="J1709" i="9" a="1"/>
  <c r="O1708" i="9" l="1"/>
  <c r="R1708" i="9" s="1"/>
  <c r="I1711" i="9"/>
  <c r="J1709" i="9"/>
  <c r="K1709" i="9"/>
  <c r="L1709" i="9"/>
  <c r="M1709" i="9"/>
  <c r="N1709" i="9"/>
  <c r="J1710" i="9" a="1"/>
  <c r="P1708" i="9" l="1"/>
  <c r="O1709" i="9"/>
  <c r="R1709" i="9" s="1"/>
  <c r="Q1711" i="9"/>
  <c r="Q1708" i="9"/>
  <c r="S1708" i="9" s="1"/>
  <c r="T1708" i="9" s="1"/>
  <c r="U1708" i="9" s="1"/>
  <c r="Q1707" i="9"/>
  <c r="S1707" i="9" s="1"/>
  <c r="T1707" i="9" s="1"/>
  <c r="U1707" i="9" s="1"/>
  <c r="Q1705" i="9"/>
  <c r="S1705" i="9" s="1"/>
  <c r="T1705" i="9" s="1"/>
  <c r="U1705" i="9" s="1"/>
  <c r="Q1706" i="9"/>
  <c r="S1706" i="9" s="1"/>
  <c r="T1706" i="9" s="1"/>
  <c r="U1706" i="9" s="1"/>
  <c r="Q1703" i="9"/>
  <c r="S1703" i="9" s="1"/>
  <c r="T1703" i="9" s="1"/>
  <c r="U1703" i="9" s="1"/>
  <c r="Q1709" i="9"/>
  <c r="S1709" i="9" s="1"/>
  <c r="T1709" i="9" s="1"/>
  <c r="U1709" i="9" s="1"/>
  <c r="Q1710" i="9"/>
  <c r="Q1704" i="9"/>
  <c r="S1704" i="9" s="1"/>
  <c r="T1704" i="9" s="1"/>
  <c r="U1704" i="9" s="1"/>
  <c r="N1710" i="9"/>
  <c r="J1710" i="9"/>
  <c r="L1710" i="9"/>
  <c r="K1710" i="9"/>
  <c r="M1710" i="9"/>
  <c r="I1712" i="9"/>
  <c r="J1711" i="9" a="1"/>
  <c r="O1710" i="9" l="1"/>
  <c r="R1710" i="9" s="1"/>
  <c r="S1710" i="9" s="1"/>
  <c r="T1710" i="9" s="1"/>
  <c r="U1710" i="9" s="1"/>
  <c r="I1713" i="9"/>
  <c r="J1711" i="9"/>
  <c r="L1711" i="9"/>
  <c r="N1711" i="9"/>
  <c r="K1711" i="9"/>
  <c r="M1711" i="9"/>
  <c r="J1712" i="9" a="1"/>
  <c r="O1711" i="9" l="1"/>
  <c r="R1711" i="9" s="1"/>
  <c r="S1711" i="9" s="1"/>
  <c r="T1711" i="9" s="1"/>
  <c r="U1711" i="9" s="1"/>
  <c r="J1712" i="9"/>
  <c r="K1712" i="9"/>
  <c r="M1712" i="9"/>
  <c r="L1712" i="9"/>
  <c r="N1712" i="9"/>
  <c r="I1714" i="9"/>
  <c r="J1713" i="9" a="1"/>
  <c r="O1712" i="9" l="1"/>
  <c r="R1712" i="9" s="1"/>
  <c r="M1713" i="9"/>
  <c r="N1713" i="9"/>
  <c r="J1713" i="9"/>
  <c r="K1713" i="9"/>
  <c r="L1713" i="9"/>
  <c r="I1715" i="9"/>
  <c r="J1714" i="9" a="1"/>
  <c r="O1713" i="9" l="1"/>
  <c r="R1713" i="9" s="1"/>
  <c r="I1716" i="9"/>
  <c r="L1714" i="9"/>
  <c r="K1714" i="9"/>
  <c r="M1714" i="9"/>
  <c r="N1714" i="9"/>
  <c r="J1714" i="9"/>
  <c r="J1715" i="9" a="1"/>
  <c r="O1714" i="9" l="1"/>
  <c r="R1714" i="9" s="1"/>
  <c r="M1715" i="9"/>
  <c r="J1715" i="9"/>
  <c r="L1715" i="9"/>
  <c r="N1715" i="9"/>
  <c r="K1715" i="9"/>
  <c r="I1717" i="9"/>
  <c r="J1716" i="9" a="1"/>
  <c r="O1715" i="9" l="1"/>
  <c r="R1715" i="9" s="1"/>
  <c r="I1718" i="9"/>
  <c r="J1716" i="9"/>
  <c r="K1716" i="9"/>
  <c r="M1716" i="9"/>
  <c r="L1716" i="9"/>
  <c r="N1716" i="9"/>
  <c r="J1717" i="9" a="1"/>
  <c r="O1716" i="9" l="1"/>
  <c r="R1716" i="9" s="1"/>
  <c r="L1717" i="9"/>
  <c r="M1717" i="9"/>
  <c r="K1717" i="9"/>
  <c r="N1717" i="9"/>
  <c r="J1717" i="9"/>
  <c r="I1719" i="9"/>
  <c r="J1718" i="9" a="1"/>
  <c r="O1717" i="9" l="1"/>
  <c r="R1717" i="9" s="1"/>
  <c r="I1720" i="9"/>
  <c r="L1718" i="9"/>
  <c r="K1718" i="9"/>
  <c r="M1718" i="9"/>
  <c r="N1718" i="9"/>
  <c r="J1718" i="9"/>
  <c r="J1719" i="9" a="1"/>
  <c r="P1717" i="9" l="1"/>
  <c r="O1718" i="9"/>
  <c r="R1718" i="9" s="1"/>
  <c r="Q1719" i="9"/>
  <c r="Q1717" i="9"/>
  <c r="S1717" i="9" s="1"/>
  <c r="T1717" i="9" s="1"/>
  <c r="U1717" i="9" s="1"/>
  <c r="Q1720" i="9"/>
  <c r="Q1715" i="9"/>
  <c r="S1715" i="9" s="1"/>
  <c r="T1715" i="9" s="1"/>
  <c r="U1715" i="9" s="1"/>
  <c r="Q1712" i="9"/>
  <c r="S1712" i="9" s="1"/>
  <c r="T1712" i="9" s="1"/>
  <c r="U1712" i="9" s="1"/>
  <c r="Q1714" i="9"/>
  <c r="S1714" i="9" s="1"/>
  <c r="T1714" i="9" s="1"/>
  <c r="U1714" i="9" s="1"/>
  <c r="Q1716" i="9"/>
  <c r="S1716" i="9" s="1"/>
  <c r="T1716" i="9" s="1"/>
  <c r="U1716" i="9" s="1"/>
  <c r="Q1718" i="9"/>
  <c r="S1718" i="9" s="1"/>
  <c r="T1718" i="9" s="1"/>
  <c r="U1718" i="9" s="1"/>
  <c r="Q1713" i="9"/>
  <c r="S1713" i="9" s="1"/>
  <c r="T1713" i="9" s="1"/>
  <c r="U1713" i="9" s="1"/>
  <c r="L1719" i="9"/>
  <c r="N1719" i="9"/>
  <c r="M1719" i="9"/>
  <c r="K1719" i="9"/>
  <c r="J1719" i="9"/>
  <c r="I1721" i="9"/>
  <c r="J1720" i="9" a="1"/>
  <c r="O1719" i="9" l="1"/>
  <c r="R1719" i="9" s="1"/>
  <c r="S1719" i="9" s="1"/>
  <c r="T1719" i="9" s="1"/>
  <c r="U1719" i="9" s="1"/>
  <c r="I1722" i="9"/>
  <c r="M1720" i="9"/>
  <c r="L1720" i="9"/>
  <c r="N1720" i="9"/>
  <c r="J1720" i="9"/>
  <c r="K1720" i="9"/>
  <c r="J1721" i="9" a="1"/>
  <c r="O1720" i="9" l="1"/>
  <c r="R1720" i="9" s="1"/>
  <c r="S1720" i="9" s="1"/>
  <c r="T1720" i="9" s="1"/>
  <c r="U1720" i="9" s="1"/>
  <c r="L1721" i="9"/>
  <c r="N1721" i="9"/>
  <c r="J1721" i="9"/>
  <c r="M1721" i="9"/>
  <c r="K1721" i="9"/>
  <c r="I1723" i="9"/>
  <c r="J1722" i="9" a="1"/>
  <c r="O1721" i="9" l="1"/>
  <c r="R1721" i="9" s="1"/>
  <c r="I1724" i="9"/>
  <c r="M1722" i="9"/>
  <c r="N1722" i="9"/>
  <c r="J1722" i="9"/>
  <c r="L1722" i="9"/>
  <c r="K1722" i="9"/>
  <c r="J1723" i="9" a="1"/>
  <c r="O1722" i="9" l="1"/>
  <c r="R1722" i="9" s="1"/>
  <c r="K1723" i="9"/>
  <c r="M1723" i="9"/>
  <c r="J1723" i="9"/>
  <c r="L1723" i="9"/>
  <c r="N1723" i="9"/>
  <c r="I1725" i="9"/>
  <c r="J1724" i="9" a="1"/>
  <c r="O1723" i="9" l="1"/>
  <c r="R1723" i="9" s="1"/>
  <c r="L1724" i="9"/>
  <c r="N1724" i="9"/>
  <c r="J1724" i="9"/>
  <c r="K1724" i="9"/>
  <c r="M1724" i="9"/>
  <c r="I1726" i="9"/>
  <c r="J1725" i="9" a="1"/>
  <c r="O1724" i="9" l="1"/>
  <c r="R1724" i="9" s="1"/>
  <c r="I1727" i="9"/>
  <c r="L1725" i="9"/>
  <c r="M1725" i="9"/>
  <c r="N1725" i="9"/>
  <c r="J1725" i="9"/>
  <c r="K1725" i="9"/>
  <c r="J1726" i="9" a="1"/>
  <c r="O1725" i="9" l="1"/>
  <c r="R1725" i="9" s="1"/>
  <c r="N1726" i="9"/>
  <c r="J1726" i="9"/>
  <c r="L1726" i="9"/>
  <c r="K1726" i="9"/>
  <c r="M1726" i="9"/>
  <c r="I1728" i="9"/>
  <c r="J1727" i="9" a="1"/>
  <c r="O1726" i="9" l="1"/>
  <c r="R1726" i="9" s="1"/>
  <c r="I1729" i="9"/>
  <c r="N1727" i="9"/>
  <c r="K1727" i="9"/>
  <c r="M1727" i="9"/>
  <c r="J1727" i="9"/>
  <c r="L1727" i="9"/>
  <c r="J1728" i="9" a="1"/>
  <c r="P1726" i="9" l="1"/>
  <c r="O1727" i="9"/>
  <c r="R1727" i="9" s="1"/>
  <c r="Q1726" i="9"/>
  <c r="S1726" i="9" s="1"/>
  <c r="T1726" i="9" s="1"/>
  <c r="U1726" i="9" s="1"/>
  <c r="Q1728" i="9"/>
  <c r="Q1729" i="9"/>
  <c r="Q1721" i="9"/>
  <c r="S1721" i="9" s="1"/>
  <c r="T1721" i="9" s="1"/>
  <c r="U1721" i="9" s="1"/>
  <c r="Q1727" i="9"/>
  <c r="Q1725" i="9"/>
  <c r="S1725" i="9" s="1"/>
  <c r="T1725" i="9" s="1"/>
  <c r="U1725" i="9" s="1"/>
  <c r="Q1723" i="9"/>
  <c r="S1723" i="9" s="1"/>
  <c r="T1723" i="9" s="1"/>
  <c r="U1723" i="9" s="1"/>
  <c r="Q1722" i="9"/>
  <c r="S1722" i="9" s="1"/>
  <c r="T1722" i="9" s="1"/>
  <c r="U1722" i="9" s="1"/>
  <c r="Q1724" i="9"/>
  <c r="S1724" i="9" s="1"/>
  <c r="T1724" i="9" s="1"/>
  <c r="U1724" i="9" s="1"/>
  <c r="L1728" i="9"/>
  <c r="N1728" i="9"/>
  <c r="J1728" i="9"/>
  <c r="K1728" i="9"/>
  <c r="M1728" i="9"/>
  <c r="I1730" i="9"/>
  <c r="J1729" i="9" a="1"/>
  <c r="O1728" i="9" l="1"/>
  <c r="R1728" i="9" s="1"/>
  <c r="S1728" i="9" s="1"/>
  <c r="T1728" i="9" s="1"/>
  <c r="U1728" i="9" s="1"/>
  <c r="S1727" i="9"/>
  <c r="T1727" i="9" s="1"/>
  <c r="U1727" i="9" s="1"/>
  <c r="N1729" i="9"/>
  <c r="J1729" i="9"/>
  <c r="K1729" i="9"/>
  <c r="L1729" i="9"/>
  <c r="M1729" i="9"/>
  <c r="I1731" i="9"/>
  <c r="J1730" i="9" a="1"/>
  <c r="O1729" i="9" l="1"/>
  <c r="R1729" i="9" s="1"/>
  <c r="S1729" i="9" s="1"/>
  <c r="T1729" i="9" s="1"/>
  <c r="U1729" i="9" s="1"/>
  <c r="M1730" i="9"/>
  <c r="N1730" i="9"/>
  <c r="J1730" i="9"/>
  <c r="L1730" i="9"/>
  <c r="K1730" i="9"/>
  <c r="I1732" i="9"/>
  <c r="J1731" i="9" a="1"/>
  <c r="O1730" i="9" l="1"/>
  <c r="R1730" i="9" s="1"/>
  <c r="I1733" i="9"/>
  <c r="J1731" i="9"/>
  <c r="L1731" i="9"/>
  <c r="N1731" i="9"/>
  <c r="K1731" i="9"/>
  <c r="M1731" i="9"/>
  <c r="J1732" i="9" a="1"/>
  <c r="O1731" i="9" l="1"/>
  <c r="R1731" i="9" s="1"/>
  <c r="L1732" i="9"/>
  <c r="N1732" i="9"/>
  <c r="K1732" i="9"/>
  <c r="M1732" i="9"/>
  <c r="J1732" i="9"/>
  <c r="I1734" i="9"/>
  <c r="J1733" i="9" a="1"/>
  <c r="O1732" i="9" l="1"/>
  <c r="R1732" i="9" s="1"/>
  <c r="I1735" i="9"/>
  <c r="N1733" i="9"/>
  <c r="J1733" i="9"/>
  <c r="K1733" i="9"/>
  <c r="L1733" i="9"/>
  <c r="M1733" i="9"/>
  <c r="J1734" i="9" a="1"/>
  <c r="O1733" i="9" l="1"/>
  <c r="R1733" i="9" s="1"/>
  <c r="J1734" i="9"/>
  <c r="L1734" i="9"/>
  <c r="M1734" i="9"/>
  <c r="N1734" i="9"/>
  <c r="K1734" i="9"/>
  <c r="I1736" i="9"/>
  <c r="J1735" i="9" a="1"/>
  <c r="O1734" i="9" l="1"/>
  <c r="R1734" i="9" s="1"/>
  <c r="J1735" i="9"/>
  <c r="L1735" i="9"/>
  <c r="N1735" i="9"/>
  <c r="K1735" i="9"/>
  <c r="M1735" i="9"/>
  <c r="I1737" i="9"/>
  <c r="J1736" i="9" a="1"/>
  <c r="O1735" i="9" l="1"/>
  <c r="R1735" i="9" s="1"/>
  <c r="I1738" i="9"/>
  <c r="M1736" i="9"/>
  <c r="J1736" i="9"/>
  <c r="K1736" i="9"/>
  <c r="L1736" i="9"/>
  <c r="N1736" i="9"/>
  <c r="J1737" i="9" a="1"/>
  <c r="O1736" i="9" l="1"/>
  <c r="R1736" i="9" s="1"/>
  <c r="P1735" i="9"/>
  <c r="Q1730" i="9"/>
  <c r="S1730" i="9" s="1"/>
  <c r="T1730" i="9" s="1"/>
  <c r="U1730" i="9" s="1"/>
  <c r="Q1734" i="9"/>
  <c r="S1734" i="9" s="1"/>
  <c r="T1734" i="9" s="1"/>
  <c r="U1734" i="9" s="1"/>
  <c r="Q1736" i="9"/>
  <c r="Q1735" i="9"/>
  <c r="S1735" i="9" s="1"/>
  <c r="T1735" i="9" s="1"/>
  <c r="U1735" i="9" s="1"/>
  <c r="Q1738" i="9"/>
  <c r="Q1732" i="9"/>
  <c r="S1732" i="9" s="1"/>
  <c r="T1732" i="9" s="1"/>
  <c r="U1732" i="9" s="1"/>
  <c r="Q1731" i="9"/>
  <c r="S1731" i="9" s="1"/>
  <c r="T1731" i="9" s="1"/>
  <c r="U1731" i="9" s="1"/>
  <c r="Q1733" i="9"/>
  <c r="S1733" i="9" s="1"/>
  <c r="T1733" i="9" s="1"/>
  <c r="U1733" i="9" s="1"/>
  <c r="Q1737" i="9"/>
  <c r="K1737" i="9"/>
  <c r="L1737" i="9"/>
  <c r="M1737" i="9"/>
  <c r="N1737" i="9"/>
  <c r="J1737" i="9"/>
  <c r="I1739" i="9"/>
  <c r="J1738" i="9" a="1"/>
  <c r="S1736" i="9" l="1"/>
  <c r="T1736" i="9" s="1"/>
  <c r="U1736" i="9" s="1"/>
  <c r="O1737" i="9"/>
  <c r="R1737" i="9" s="1"/>
  <c r="S1737" i="9" s="1"/>
  <c r="T1737" i="9" s="1"/>
  <c r="U1737" i="9" s="1"/>
  <c r="I1740" i="9"/>
  <c r="L1738" i="9"/>
  <c r="N1738" i="9"/>
  <c r="K1738" i="9"/>
  <c r="M1738" i="9"/>
  <c r="J1738" i="9"/>
  <c r="J1739" i="9" a="1"/>
  <c r="O1738" i="9" l="1"/>
  <c r="R1738" i="9" s="1"/>
  <c r="S1738" i="9" s="1"/>
  <c r="T1738" i="9" s="1"/>
  <c r="U1738" i="9" s="1"/>
  <c r="L1739" i="9"/>
  <c r="N1739" i="9"/>
  <c r="K1739" i="9"/>
  <c r="M1739" i="9"/>
  <c r="J1739" i="9"/>
  <c r="I1741" i="9"/>
  <c r="J1740" i="9" a="1"/>
  <c r="O1739" i="9" l="1"/>
  <c r="R1739" i="9" s="1"/>
  <c r="I1742" i="9"/>
  <c r="N1740" i="9"/>
  <c r="J1740" i="9"/>
  <c r="K1740" i="9"/>
  <c r="M1740" i="9"/>
  <c r="L1740" i="9"/>
  <c r="J1741" i="9" a="1"/>
  <c r="O1740" i="9" l="1"/>
  <c r="R1740" i="9" s="1"/>
  <c r="L1741" i="9"/>
  <c r="M1741" i="9"/>
  <c r="N1741" i="9"/>
  <c r="J1741" i="9"/>
  <c r="K1741" i="9"/>
  <c r="I1743" i="9"/>
  <c r="J1742" i="9" a="1"/>
  <c r="O1741" i="9" l="1"/>
  <c r="R1741" i="9" s="1"/>
  <c r="I1744" i="9"/>
  <c r="J1742" i="9"/>
  <c r="L1742" i="9"/>
  <c r="K1742" i="9"/>
  <c r="M1742" i="9"/>
  <c r="N1742" i="9"/>
  <c r="J1743" i="9" a="1"/>
  <c r="O1742" i="9" l="1"/>
  <c r="R1742" i="9" s="1"/>
  <c r="N1743" i="9"/>
  <c r="K1743" i="9"/>
  <c r="M1743" i="9"/>
  <c r="J1743" i="9"/>
  <c r="L1743" i="9"/>
  <c r="I1745" i="9"/>
  <c r="J1744" i="9" a="1"/>
  <c r="O1743" i="9" l="1"/>
  <c r="R1743" i="9" s="1"/>
  <c r="I1746" i="9"/>
  <c r="M1744" i="9"/>
  <c r="L1744" i="9"/>
  <c r="N1744" i="9"/>
  <c r="J1744" i="9"/>
  <c r="K1744" i="9"/>
  <c r="J1745" i="9" a="1"/>
  <c r="O1744" i="9" l="1"/>
  <c r="R1744" i="9" s="1"/>
  <c r="M1745" i="9"/>
  <c r="N1745" i="9"/>
  <c r="J1745" i="9"/>
  <c r="K1745" i="9"/>
  <c r="L1745" i="9"/>
  <c r="I1747" i="9"/>
  <c r="J1746" i="9" a="1"/>
  <c r="P1744" i="9" l="1"/>
  <c r="O1745" i="9"/>
  <c r="R1745" i="9" s="1"/>
  <c r="M1746" i="9"/>
  <c r="N1746" i="9"/>
  <c r="J1746" i="9"/>
  <c r="L1746" i="9"/>
  <c r="K1746" i="9"/>
  <c r="Q1747" i="9"/>
  <c r="Q1739" i="9"/>
  <c r="S1739" i="9" s="1"/>
  <c r="T1739" i="9" s="1"/>
  <c r="U1739" i="9" s="1"/>
  <c r="Q1741" i="9"/>
  <c r="S1741" i="9" s="1"/>
  <c r="T1741" i="9" s="1"/>
  <c r="U1741" i="9" s="1"/>
  <c r="Q1740" i="9"/>
  <c r="S1740" i="9" s="1"/>
  <c r="T1740" i="9" s="1"/>
  <c r="U1740" i="9" s="1"/>
  <c r="Q1743" i="9"/>
  <c r="S1743" i="9" s="1"/>
  <c r="T1743" i="9" s="1"/>
  <c r="U1743" i="9" s="1"/>
  <c r="Q1742" i="9"/>
  <c r="S1742" i="9" s="1"/>
  <c r="T1742" i="9" s="1"/>
  <c r="U1742" i="9" s="1"/>
  <c r="Q1746" i="9"/>
  <c r="Q1745" i="9"/>
  <c r="S1745" i="9" s="1"/>
  <c r="T1745" i="9" s="1"/>
  <c r="U1745" i="9" s="1"/>
  <c r="Q1744" i="9"/>
  <c r="S1744" i="9" s="1"/>
  <c r="T1744" i="9" s="1"/>
  <c r="U1744" i="9" s="1"/>
  <c r="I1748" i="9"/>
  <c r="J1747" i="9" a="1"/>
  <c r="O1746" i="9" l="1"/>
  <c r="R1746" i="9" s="1"/>
  <c r="S1746" i="9" s="1"/>
  <c r="T1746" i="9" s="1"/>
  <c r="U1746" i="9" s="1"/>
  <c r="N1747" i="9"/>
  <c r="K1747" i="9"/>
  <c r="M1747" i="9"/>
  <c r="J1747" i="9"/>
  <c r="L1747" i="9"/>
  <c r="I1749" i="9"/>
  <c r="J1748" i="9" a="1"/>
  <c r="O1747" i="9" l="1"/>
  <c r="R1747" i="9" s="1"/>
  <c r="S1747" i="9" s="1"/>
  <c r="T1747" i="9" s="1"/>
  <c r="U1747" i="9" s="1"/>
  <c r="M1748" i="9"/>
  <c r="L1748" i="9"/>
  <c r="N1748" i="9"/>
  <c r="J1748" i="9"/>
  <c r="K1748" i="9"/>
  <c r="I1750" i="9"/>
  <c r="J1749" i="9" a="1"/>
  <c r="O1748" i="9" l="1"/>
  <c r="R1748" i="9" s="1"/>
  <c r="I1751" i="9"/>
  <c r="K1749" i="9"/>
  <c r="N1749" i="9"/>
  <c r="J1749" i="9"/>
  <c r="L1749" i="9"/>
  <c r="M1749" i="9"/>
  <c r="J1750" i="9" a="1"/>
  <c r="O1749" i="9" l="1"/>
  <c r="R1749" i="9" s="1"/>
  <c r="M1750" i="9"/>
  <c r="N1750" i="9"/>
  <c r="J1750" i="9"/>
  <c r="L1750" i="9"/>
  <c r="K1750" i="9"/>
  <c r="I1752" i="9"/>
  <c r="J1751" i="9" a="1"/>
  <c r="O1750" i="9" l="1"/>
  <c r="R1750" i="9" s="1"/>
  <c r="I1753" i="9"/>
  <c r="L1751" i="9"/>
  <c r="M1751" i="9"/>
  <c r="K1751" i="9"/>
  <c r="J1751" i="9"/>
  <c r="N1751" i="9"/>
  <c r="J1752" i="9" a="1"/>
  <c r="O1751" i="9" l="1"/>
  <c r="R1751" i="9" s="1"/>
  <c r="L1752" i="9"/>
  <c r="N1752" i="9"/>
  <c r="J1752" i="9"/>
  <c r="K1752" i="9"/>
  <c r="M1752" i="9"/>
  <c r="I1754" i="9"/>
  <c r="J1753" i="9" a="1"/>
  <c r="O1752" i="9" l="1"/>
  <c r="R1752" i="9" s="1"/>
  <c r="I1755" i="9"/>
  <c r="N1753" i="9"/>
  <c r="J1753" i="9"/>
  <c r="M1753" i="9"/>
  <c r="K1753" i="9"/>
  <c r="L1753" i="9"/>
  <c r="J1754" i="9" a="1"/>
  <c r="O1753" i="9" l="1"/>
  <c r="R1753" i="9" s="1"/>
  <c r="J1754" i="9"/>
  <c r="L1754" i="9"/>
  <c r="K1754" i="9"/>
  <c r="M1754" i="9"/>
  <c r="N1754" i="9"/>
  <c r="I1756" i="9"/>
  <c r="J1755" i="9" a="1"/>
  <c r="P1753" i="9" l="1"/>
  <c r="O1754" i="9"/>
  <c r="Q1749" i="9"/>
  <c r="S1749" i="9" s="1"/>
  <c r="T1749" i="9" s="1"/>
  <c r="U1749" i="9" s="1"/>
  <c r="Q1755" i="9"/>
  <c r="Q1753" i="9"/>
  <c r="S1753" i="9" s="1"/>
  <c r="T1753" i="9" s="1"/>
  <c r="U1753" i="9" s="1"/>
  <c r="Q1756" i="9"/>
  <c r="Q1752" i="9"/>
  <c r="S1752" i="9" s="1"/>
  <c r="T1752" i="9" s="1"/>
  <c r="U1752" i="9" s="1"/>
  <c r="Q1748" i="9"/>
  <c r="S1748" i="9" s="1"/>
  <c r="T1748" i="9" s="1"/>
  <c r="U1748" i="9" s="1"/>
  <c r="Q1751" i="9"/>
  <c r="S1751" i="9" s="1"/>
  <c r="T1751" i="9" s="1"/>
  <c r="U1751" i="9" s="1"/>
  <c r="Q1754" i="9"/>
  <c r="Q1750" i="9"/>
  <c r="S1750" i="9" s="1"/>
  <c r="T1750" i="9" s="1"/>
  <c r="U1750" i="9" s="1"/>
  <c r="J1755" i="9"/>
  <c r="L1755" i="9"/>
  <c r="N1755" i="9"/>
  <c r="K1755" i="9"/>
  <c r="M1755" i="9"/>
  <c r="I1757" i="9"/>
  <c r="R1754" i="9"/>
  <c r="J1756" i="9" a="1"/>
  <c r="O1755" i="9" l="1"/>
  <c r="R1755" i="9" s="1"/>
  <c r="S1755" i="9" s="1"/>
  <c r="T1755" i="9" s="1"/>
  <c r="U1755" i="9" s="1"/>
  <c r="N1756" i="9"/>
  <c r="J1756" i="9"/>
  <c r="K1756" i="9"/>
  <c r="M1756" i="9"/>
  <c r="L1756" i="9"/>
  <c r="I1758" i="9"/>
  <c r="S1754" i="9"/>
  <c r="T1754" i="9" s="1"/>
  <c r="U1754" i="9" s="1"/>
  <c r="J1757" i="9" a="1"/>
  <c r="O1756" i="9" l="1"/>
  <c r="R1756" i="9" s="1"/>
  <c r="S1756" i="9" s="1"/>
  <c r="T1756" i="9" s="1"/>
  <c r="U1756" i="9" s="1"/>
  <c r="N1757" i="9"/>
  <c r="J1757" i="9"/>
  <c r="K1757" i="9"/>
  <c r="L1757" i="9"/>
  <c r="M1757" i="9"/>
  <c r="I1759" i="9"/>
  <c r="J1758" i="9" a="1"/>
  <c r="O1757" i="9" l="1"/>
  <c r="R1757" i="9" s="1"/>
  <c r="I1760" i="9"/>
  <c r="J1758" i="9"/>
  <c r="L1758" i="9"/>
  <c r="K1758" i="9"/>
  <c r="M1758" i="9"/>
  <c r="N1758" i="9"/>
  <c r="J1759" i="9" a="1"/>
  <c r="O1758" i="9" l="1"/>
  <c r="R1758" i="9" s="1"/>
  <c r="M1759" i="9"/>
  <c r="J1759" i="9"/>
  <c r="L1759" i="9"/>
  <c r="N1759" i="9"/>
  <c r="K1759" i="9"/>
  <c r="I1761" i="9"/>
  <c r="J1760" i="9" a="1"/>
  <c r="O1759" i="9" l="1"/>
  <c r="R1759" i="9" s="1"/>
  <c r="I1762" i="9"/>
  <c r="N1760" i="9"/>
  <c r="J1760" i="9"/>
  <c r="K1760" i="9"/>
  <c r="M1760" i="9"/>
  <c r="L1760" i="9"/>
  <c r="J1761" i="9" a="1"/>
  <c r="O1760" i="9" l="1"/>
  <c r="R1760" i="9" s="1"/>
  <c r="K1761" i="9"/>
  <c r="L1761" i="9"/>
  <c r="M1761" i="9"/>
  <c r="N1761" i="9"/>
  <c r="J1761" i="9"/>
  <c r="I1763" i="9"/>
  <c r="J1762" i="9" a="1"/>
  <c r="O1761" i="9" l="1"/>
  <c r="R1761" i="9" s="1"/>
  <c r="I1764" i="9"/>
  <c r="M1762" i="9"/>
  <c r="N1762" i="9"/>
  <c r="J1762" i="9"/>
  <c r="L1762" i="9"/>
  <c r="K1762" i="9"/>
  <c r="J1763" i="9" a="1"/>
  <c r="O1762" i="9" l="1"/>
  <c r="P1762" i="9" s="1"/>
  <c r="L1763" i="9"/>
  <c r="N1763" i="9"/>
  <c r="K1763" i="9"/>
  <c r="M1763" i="9"/>
  <c r="J1763" i="9"/>
  <c r="I1765" i="9"/>
  <c r="J1764" i="9" a="1"/>
  <c r="O1763" i="9" l="1"/>
  <c r="R1763" i="9" s="1"/>
  <c r="R1762" i="9"/>
  <c r="L1764" i="9"/>
  <c r="K1764" i="9"/>
  <c r="N1764" i="9"/>
  <c r="M1764" i="9"/>
  <c r="J1764" i="9"/>
  <c r="I1766" i="9"/>
  <c r="Q1764" i="9"/>
  <c r="Q1762" i="9"/>
  <c r="S1762" i="9" s="1"/>
  <c r="T1762" i="9" s="1"/>
  <c r="U1762" i="9" s="1"/>
  <c r="Q1759" i="9"/>
  <c r="S1759" i="9" s="1"/>
  <c r="T1759" i="9" s="1"/>
  <c r="U1759" i="9" s="1"/>
  <c r="Q1763" i="9"/>
  <c r="S1763" i="9" s="1"/>
  <c r="T1763" i="9" s="1"/>
  <c r="U1763" i="9" s="1"/>
  <c r="Q1760" i="9"/>
  <c r="S1760" i="9" s="1"/>
  <c r="T1760" i="9" s="1"/>
  <c r="U1760" i="9" s="1"/>
  <c r="Q1761" i="9"/>
  <c r="S1761" i="9" s="1"/>
  <c r="T1761" i="9" s="1"/>
  <c r="U1761" i="9" s="1"/>
  <c r="Q1757" i="9"/>
  <c r="S1757" i="9" s="1"/>
  <c r="T1757" i="9" s="1"/>
  <c r="U1757" i="9" s="1"/>
  <c r="Q1758" i="9"/>
  <c r="S1758" i="9" s="1"/>
  <c r="T1758" i="9" s="1"/>
  <c r="U1758" i="9" s="1"/>
  <c r="Q1765" i="9"/>
  <c r="J1765" i="9" a="1"/>
  <c r="O1764" i="9" l="1"/>
  <c r="R1764" i="9" s="1"/>
  <c r="S1764" i="9" s="1"/>
  <c r="T1764" i="9" s="1"/>
  <c r="U1764" i="9" s="1"/>
  <c r="I1767" i="9"/>
  <c r="K1765" i="9"/>
  <c r="L1765" i="9"/>
  <c r="M1765" i="9"/>
  <c r="N1765" i="9"/>
  <c r="J1765" i="9"/>
  <c r="J1766" i="9" a="1"/>
  <c r="O1765" i="9" l="1"/>
  <c r="R1765" i="9" s="1"/>
  <c r="S1765" i="9" s="1"/>
  <c r="T1765" i="9" s="1"/>
  <c r="U1765" i="9" s="1"/>
  <c r="K1766" i="9"/>
  <c r="J1766" i="9"/>
  <c r="L1766" i="9"/>
  <c r="M1766" i="9"/>
  <c r="N1766" i="9"/>
  <c r="I1768" i="9"/>
  <c r="J1767" i="9" a="1"/>
  <c r="O1766" i="9" l="1"/>
  <c r="R1766" i="9" s="1"/>
  <c r="I1769" i="9"/>
  <c r="L1767" i="9"/>
  <c r="N1767" i="9"/>
  <c r="K1767" i="9"/>
  <c r="M1767" i="9"/>
  <c r="J1767" i="9"/>
  <c r="J1768" i="9" a="1"/>
  <c r="O1767" i="9" l="1"/>
  <c r="R1767" i="9" s="1"/>
  <c r="K1768" i="9"/>
  <c r="L1768" i="9"/>
  <c r="N1768" i="9"/>
  <c r="M1768" i="9"/>
  <c r="J1768" i="9"/>
  <c r="I1770" i="9"/>
  <c r="J1769" i="9" a="1"/>
  <c r="O1768" i="9" l="1"/>
  <c r="R1768" i="9" s="1"/>
  <c r="I1771" i="9"/>
  <c r="M1769" i="9"/>
  <c r="N1769" i="9"/>
  <c r="J1769" i="9"/>
  <c r="K1769" i="9"/>
  <c r="L1769" i="9"/>
  <c r="J1770" i="9" a="1"/>
  <c r="O1769" i="9" l="1"/>
  <c r="R1769" i="9" s="1"/>
  <c r="K1770" i="9"/>
  <c r="M1770" i="9"/>
  <c r="J1770" i="9"/>
  <c r="L1770" i="9"/>
  <c r="N1770" i="9"/>
  <c r="I1772" i="9"/>
  <c r="J1771" i="9" a="1"/>
  <c r="O1770" i="9" l="1"/>
  <c r="R1770" i="9" s="1"/>
  <c r="I1773" i="9"/>
  <c r="K1771" i="9"/>
  <c r="M1771" i="9"/>
  <c r="J1771" i="9"/>
  <c r="L1771" i="9"/>
  <c r="N1771" i="9"/>
  <c r="J1772" i="9" a="1"/>
  <c r="O1771" i="9" l="1"/>
  <c r="R1771" i="9" s="1"/>
  <c r="K1772" i="9"/>
  <c r="M1772" i="9"/>
  <c r="L1772" i="9"/>
  <c r="N1772" i="9"/>
  <c r="J1772" i="9"/>
  <c r="I1774" i="9"/>
  <c r="J1773" i="9" a="1"/>
  <c r="P1771" i="9" l="1"/>
  <c r="O1772" i="9"/>
  <c r="I1775" i="9"/>
  <c r="N1773" i="9"/>
  <c r="J1773" i="9"/>
  <c r="K1773" i="9"/>
  <c r="L1773" i="9"/>
  <c r="M1773" i="9"/>
  <c r="Q1770" i="9"/>
  <c r="S1770" i="9" s="1"/>
  <c r="T1770" i="9" s="1"/>
  <c r="U1770" i="9" s="1"/>
  <c r="Q1767" i="9"/>
  <c r="S1767" i="9" s="1"/>
  <c r="T1767" i="9" s="1"/>
  <c r="U1767" i="9" s="1"/>
  <c r="Q1766" i="9"/>
  <c r="S1766" i="9" s="1"/>
  <c r="T1766" i="9" s="1"/>
  <c r="U1766" i="9" s="1"/>
  <c r="Q1768" i="9"/>
  <c r="S1768" i="9" s="1"/>
  <c r="T1768" i="9" s="1"/>
  <c r="U1768" i="9" s="1"/>
  <c r="Q1769" i="9"/>
  <c r="S1769" i="9" s="1"/>
  <c r="T1769" i="9" s="1"/>
  <c r="U1769" i="9" s="1"/>
  <c r="Q1771" i="9"/>
  <c r="S1771" i="9" s="1"/>
  <c r="T1771" i="9" s="1"/>
  <c r="U1771" i="9" s="1"/>
  <c r="Q1774" i="9"/>
  <c r="Q1773" i="9"/>
  <c r="Q1772" i="9"/>
  <c r="R1772" i="9"/>
  <c r="J1774" i="9" a="1"/>
  <c r="S1772" i="9" l="1"/>
  <c r="T1772" i="9" s="1"/>
  <c r="U1772" i="9" s="1"/>
  <c r="O1773" i="9"/>
  <c r="R1773" i="9" s="1"/>
  <c r="S1773" i="9" s="1"/>
  <c r="T1773" i="9" s="1"/>
  <c r="U1773" i="9" s="1"/>
  <c r="K1774" i="9"/>
  <c r="M1774" i="9"/>
  <c r="N1774" i="9"/>
  <c r="J1774" i="9"/>
  <c r="L1774" i="9"/>
  <c r="I1776" i="9"/>
  <c r="J1775" i="9" a="1"/>
  <c r="O1774" i="9" l="1"/>
  <c r="R1774" i="9" s="1"/>
  <c r="S1774" i="9" s="1"/>
  <c r="T1774" i="9" s="1"/>
  <c r="U1774" i="9" s="1"/>
  <c r="M1775" i="9"/>
  <c r="J1775" i="9"/>
  <c r="L1775" i="9"/>
  <c r="N1775" i="9"/>
  <c r="K1775" i="9"/>
  <c r="I1777" i="9"/>
  <c r="J1776" i="9" a="1"/>
  <c r="O1775" i="9" l="1"/>
  <c r="R1775" i="9" s="1"/>
  <c r="I1778" i="9"/>
  <c r="L1776" i="9"/>
  <c r="N1776" i="9"/>
  <c r="J1776" i="9"/>
  <c r="K1776" i="9"/>
  <c r="M1776" i="9"/>
  <c r="J1777" i="9" a="1"/>
  <c r="O1776" i="9" l="1"/>
  <c r="R1776" i="9" s="1"/>
  <c r="N1777" i="9"/>
  <c r="J1777" i="9"/>
  <c r="K1777" i="9"/>
  <c r="L1777" i="9"/>
  <c r="M1777" i="9"/>
  <c r="I1779" i="9"/>
  <c r="J1778" i="9" a="1"/>
  <c r="O1777" i="9" l="1"/>
  <c r="R1777" i="9" s="1"/>
  <c r="I1780" i="9"/>
  <c r="J1778" i="9"/>
  <c r="L1778" i="9"/>
  <c r="K1778" i="9"/>
  <c r="M1778" i="9"/>
  <c r="N1778" i="9"/>
  <c r="J1779" i="9" a="1"/>
  <c r="O1778" i="9" l="1"/>
  <c r="R1778" i="9" s="1"/>
  <c r="N1779" i="9"/>
  <c r="K1779" i="9"/>
  <c r="M1779" i="9"/>
  <c r="J1779" i="9"/>
  <c r="L1779" i="9"/>
  <c r="I1781" i="9"/>
  <c r="J1780" i="9" a="1"/>
  <c r="O1779" i="9" l="1"/>
  <c r="R1779" i="9" s="1"/>
  <c r="I1782" i="9"/>
  <c r="L1780" i="9"/>
  <c r="N1780" i="9"/>
  <c r="J1780" i="9"/>
  <c r="K1780" i="9"/>
  <c r="M1780" i="9"/>
  <c r="J1781" i="9" a="1"/>
  <c r="O1780" i="9" l="1"/>
  <c r="R1780" i="9" s="1"/>
  <c r="M1781" i="9"/>
  <c r="K1781" i="9"/>
  <c r="N1781" i="9"/>
  <c r="J1781" i="9"/>
  <c r="L1781" i="9"/>
  <c r="I1783" i="9"/>
  <c r="J1782" i="9" a="1"/>
  <c r="O1781" i="9" l="1"/>
  <c r="R1781" i="9" s="1"/>
  <c r="P1780" i="9"/>
  <c r="J1782" i="9"/>
  <c r="L1782" i="9"/>
  <c r="K1782" i="9"/>
  <c r="M1782" i="9"/>
  <c r="N1782" i="9"/>
  <c r="I1784" i="9"/>
  <c r="Q1775" i="9"/>
  <c r="S1775" i="9" s="1"/>
  <c r="T1775" i="9" s="1"/>
  <c r="U1775" i="9" s="1"/>
  <c r="Q1780" i="9"/>
  <c r="S1780" i="9" s="1"/>
  <c r="T1780" i="9" s="1"/>
  <c r="U1780" i="9" s="1"/>
  <c r="Q1781" i="9"/>
  <c r="S1781" i="9" s="1"/>
  <c r="T1781" i="9" s="1"/>
  <c r="U1781" i="9" s="1"/>
  <c r="Q1783" i="9"/>
  <c r="Q1779" i="9"/>
  <c r="S1779" i="9" s="1"/>
  <c r="T1779" i="9" s="1"/>
  <c r="U1779" i="9" s="1"/>
  <c r="Q1776" i="9"/>
  <c r="S1776" i="9" s="1"/>
  <c r="T1776" i="9" s="1"/>
  <c r="U1776" i="9" s="1"/>
  <c r="Q1782" i="9"/>
  <c r="Q1777" i="9"/>
  <c r="S1777" i="9" s="1"/>
  <c r="T1777" i="9" s="1"/>
  <c r="U1777" i="9" s="1"/>
  <c r="Q1778" i="9"/>
  <c r="S1778" i="9" s="1"/>
  <c r="T1778" i="9" s="1"/>
  <c r="U1778" i="9" s="1"/>
  <c r="J1783" i="9" a="1"/>
  <c r="O1782" i="9" l="1"/>
  <c r="R1782" i="9" s="1"/>
  <c r="S1782" i="9" s="1"/>
  <c r="T1782" i="9" s="1"/>
  <c r="U1782" i="9" s="1"/>
  <c r="I1785" i="9"/>
  <c r="N1783" i="9"/>
  <c r="M1783" i="9"/>
  <c r="K1783" i="9"/>
  <c r="J1783" i="9"/>
  <c r="L1783" i="9"/>
  <c r="J1784" i="9" a="1"/>
  <c r="O1783" i="9" l="1"/>
  <c r="R1783" i="9" s="1"/>
  <c r="S1783" i="9" s="1"/>
  <c r="T1783" i="9" s="1"/>
  <c r="U1783" i="9" s="1"/>
  <c r="J1784" i="9"/>
  <c r="K1784" i="9"/>
  <c r="M1784" i="9"/>
  <c r="L1784" i="9"/>
  <c r="N1784" i="9"/>
  <c r="I1786" i="9"/>
  <c r="J1785" i="9" a="1"/>
  <c r="O1784" i="9" l="1"/>
  <c r="R1784" i="9" s="1"/>
  <c r="M1785" i="9"/>
  <c r="K1785" i="9"/>
  <c r="L1785" i="9"/>
  <c r="N1785" i="9"/>
  <c r="J1785" i="9"/>
  <c r="I1787" i="9"/>
  <c r="J1786" i="9" a="1"/>
  <c r="O1785" i="9" l="1"/>
  <c r="R1785" i="9" s="1"/>
  <c r="I1788" i="9"/>
  <c r="L1786" i="9"/>
  <c r="K1786" i="9"/>
  <c r="M1786" i="9"/>
  <c r="N1786" i="9"/>
  <c r="J1786" i="9"/>
  <c r="J1787" i="9" a="1"/>
  <c r="O1786" i="9" l="1"/>
  <c r="R1786" i="9" s="1"/>
  <c r="L1787" i="9"/>
  <c r="N1787" i="9"/>
  <c r="K1787" i="9"/>
  <c r="M1787" i="9"/>
  <c r="J1787" i="9"/>
  <c r="I1789" i="9"/>
  <c r="J1788" i="9" a="1"/>
  <c r="O1787" i="9" l="1"/>
  <c r="R1787" i="9" s="1"/>
  <c r="I1790" i="9"/>
  <c r="K1788" i="9"/>
  <c r="M1788" i="9"/>
  <c r="L1788" i="9"/>
  <c r="N1788" i="9"/>
  <c r="J1788" i="9"/>
  <c r="J1789" i="9" a="1"/>
  <c r="O1788" i="9" l="1"/>
  <c r="R1788" i="9" s="1"/>
  <c r="J1789" i="9"/>
  <c r="K1789" i="9"/>
  <c r="L1789" i="9"/>
  <c r="M1789" i="9"/>
  <c r="N1789" i="9"/>
  <c r="I1791" i="9"/>
  <c r="J1790" i="9" a="1"/>
  <c r="O1789" i="9" l="1"/>
  <c r="R1789" i="9" s="1"/>
  <c r="I1792" i="9"/>
  <c r="K1790" i="9"/>
  <c r="M1790" i="9"/>
  <c r="N1790" i="9"/>
  <c r="J1790" i="9"/>
  <c r="L1790" i="9"/>
  <c r="J1791" i="9" a="1"/>
  <c r="O1790" i="9" l="1"/>
  <c r="R1790" i="9" s="1"/>
  <c r="P1789" i="9"/>
  <c r="J1791" i="9"/>
  <c r="L1791" i="9"/>
  <c r="N1791" i="9"/>
  <c r="K1791" i="9"/>
  <c r="M1791" i="9"/>
  <c r="Q1785" i="9"/>
  <c r="S1785" i="9" s="1"/>
  <c r="T1785" i="9" s="1"/>
  <c r="U1785" i="9" s="1"/>
  <c r="Q1786" i="9"/>
  <c r="S1786" i="9" s="1"/>
  <c r="T1786" i="9" s="1"/>
  <c r="U1786" i="9" s="1"/>
  <c r="Q1790" i="9"/>
  <c r="Q1791" i="9"/>
  <c r="Q1787" i="9"/>
  <c r="S1787" i="9" s="1"/>
  <c r="T1787" i="9" s="1"/>
  <c r="U1787" i="9" s="1"/>
  <c r="Q1792" i="9"/>
  <c r="Q1784" i="9"/>
  <c r="S1784" i="9" s="1"/>
  <c r="T1784" i="9" s="1"/>
  <c r="U1784" i="9" s="1"/>
  <c r="Q1789" i="9"/>
  <c r="S1789" i="9" s="1"/>
  <c r="T1789" i="9" s="1"/>
  <c r="U1789" i="9" s="1"/>
  <c r="Q1788" i="9"/>
  <c r="S1788" i="9" s="1"/>
  <c r="T1788" i="9" s="1"/>
  <c r="U1788" i="9" s="1"/>
  <c r="I1793" i="9"/>
  <c r="J1792" i="9" a="1"/>
  <c r="S1790" i="9" l="1"/>
  <c r="T1790" i="9" s="1"/>
  <c r="U1790" i="9" s="1"/>
  <c r="O1791" i="9"/>
  <c r="R1791" i="9" s="1"/>
  <c r="S1791" i="9" s="1"/>
  <c r="T1791" i="9" s="1"/>
  <c r="U1791" i="9" s="1"/>
  <c r="M1792" i="9"/>
  <c r="L1792" i="9"/>
  <c r="N1792" i="9"/>
  <c r="J1792" i="9"/>
  <c r="K1792" i="9"/>
  <c r="I1794" i="9"/>
  <c r="J1793" i="9" a="1"/>
  <c r="O1792" i="9" l="1"/>
  <c r="R1792" i="9" s="1"/>
  <c r="S1792" i="9" s="1"/>
  <c r="T1792" i="9" s="1"/>
  <c r="U1792" i="9" s="1"/>
  <c r="M1793" i="9"/>
  <c r="N1793" i="9"/>
  <c r="J1793" i="9"/>
  <c r="K1793" i="9"/>
  <c r="L1793" i="9"/>
  <c r="I1795" i="9"/>
  <c r="J1794" i="9" a="1"/>
  <c r="O1793" i="9" l="1"/>
  <c r="R1793" i="9" s="1"/>
  <c r="I1796" i="9"/>
  <c r="J1794" i="9"/>
  <c r="L1794" i="9"/>
  <c r="K1794" i="9"/>
  <c r="M1794" i="9"/>
  <c r="N1794" i="9"/>
  <c r="J1795" i="9" a="1"/>
  <c r="O1794" i="9" l="1"/>
  <c r="R1794" i="9" s="1"/>
  <c r="K1795" i="9"/>
  <c r="M1795" i="9"/>
  <c r="J1795" i="9"/>
  <c r="L1795" i="9"/>
  <c r="N1795" i="9"/>
  <c r="I1797" i="9"/>
  <c r="J1796" i="9" a="1"/>
  <c r="O1795" i="9" l="1"/>
  <c r="R1795" i="9" s="1"/>
  <c r="I1798" i="9"/>
  <c r="N1796" i="9"/>
  <c r="K1796" i="9"/>
  <c r="M1796" i="9"/>
  <c r="J1796" i="9"/>
  <c r="L1796" i="9"/>
  <c r="J1797" i="9" a="1"/>
  <c r="O1796" i="9" l="1"/>
  <c r="R1796" i="9" s="1"/>
  <c r="M1797" i="9"/>
  <c r="N1797" i="9"/>
  <c r="J1797" i="9"/>
  <c r="K1797" i="9"/>
  <c r="L1797" i="9"/>
  <c r="I1799" i="9"/>
  <c r="J1798" i="9" a="1"/>
  <c r="O1797" i="9" l="1"/>
  <c r="R1797" i="9" s="1"/>
  <c r="I1800" i="9"/>
  <c r="J1798" i="9"/>
  <c r="L1798" i="9"/>
  <c r="M1798" i="9"/>
  <c r="N1798" i="9"/>
  <c r="K1798" i="9"/>
  <c r="J1799" i="9" a="1"/>
  <c r="O1798" i="9" l="1"/>
  <c r="R1798" i="9" s="1"/>
  <c r="K1799" i="9"/>
  <c r="M1799" i="9"/>
  <c r="J1799" i="9"/>
  <c r="L1799" i="9"/>
  <c r="N1799" i="9"/>
  <c r="I1801" i="9"/>
  <c r="J1800" i="9" a="1"/>
  <c r="P1798" i="9" l="1"/>
  <c r="Q1801" i="9" s="1"/>
  <c r="O1799" i="9"/>
  <c r="R1799" i="9" s="1"/>
  <c r="Q1795" i="9"/>
  <c r="S1795" i="9" s="1"/>
  <c r="T1795" i="9" s="1"/>
  <c r="U1795" i="9" s="1"/>
  <c r="Q1798" i="9"/>
  <c r="S1798" i="9" s="1"/>
  <c r="T1798" i="9" s="1"/>
  <c r="U1798" i="9" s="1"/>
  <c r="Q1799" i="9"/>
  <c r="Q1797" i="9"/>
  <c r="S1797" i="9" s="1"/>
  <c r="T1797" i="9" s="1"/>
  <c r="U1797" i="9" s="1"/>
  <c r="Q1800" i="9"/>
  <c r="L1800" i="9"/>
  <c r="N1800" i="9"/>
  <c r="M1800" i="9"/>
  <c r="J1800" i="9"/>
  <c r="K1800" i="9"/>
  <c r="I1802" i="9"/>
  <c r="J1801" i="9" a="1"/>
  <c r="Q1793" i="9" l="1"/>
  <c r="S1793" i="9" s="1"/>
  <c r="T1793" i="9" s="1"/>
  <c r="U1793" i="9" s="1"/>
  <c r="Q1796" i="9"/>
  <c r="S1796" i="9" s="1"/>
  <c r="T1796" i="9" s="1"/>
  <c r="U1796" i="9" s="1"/>
  <c r="Q1794" i="9"/>
  <c r="S1794" i="9" s="1"/>
  <c r="T1794" i="9" s="1"/>
  <c r="U1794" i="9" s="1"/>
  <c r="S1799" i="9"/>
  <c r="T1799" i="9" s="1"/>
  <c r="U1799" i="9" s="1"/>
  <c r="O1800" i="9"/>
  <c r="R1800" i="9" s="1"/>
  <c r="S1800" i="9" s="1"/>
  <c r="T1800" i="9" s="1"/>
  <c r="U1800" i="9" s="1"/>
  <c r="N1801" i="9"/>
  <c r="J1801" i="9"/>
  <c r="K1801" i="9"/>
  <c r="L1801" i="9"/>
  <c r="M1801" i="9"/>
  <c r="I1803" i="9"/>
  <c r="J1802" i="9" a="1"/>
  <c r="O1801" i="9" l="1"/>
  <c r="R1801" i="9" s="1"/>
  <c r="S1801" i="9" s="1"/>
  <c r="T1801" i="9" s="1"/>
  <c r="U1801" i="9" s="1"/>
  <c r="J1802" i="9"/>
  <c r="L1802" i="9"/>
  <c r="N1802" i="9"/>
  <c r="K1802" i="9"/>
  <c r="M1802" i="9"/>
  <c r="I1804" i="9"/>
  <c r="J1803" i="9" a="1"/>
  <c r="O1802" i="9" l="1"/>
  <c r="R1802" i="9" s="1"/>
  <c r="J1803" i="9"/>
  <c r="L1803" i="9"/>
  <c r="N1803" i="9"/>
  <c r="K1803" i="9"/>
  <c r="M1803" i="9"/>
  <c r="I1805" i="9"/>
  <c r="J1804" i="9" a="1"/>
  <c r="O1803" i="9" l="1"/>
  <c r="R1803" i="9" s="1"/>
  <c r="L1804" i="9"/>
  <c r="N1804" i="9"/>
  <c r="J1804" i="9"/>
  <c r="K1804" i="9"/>
  <c r="M1804" i="9"/>
  <c r="I1806" i="9"/>
  <c r="J1805" i="9" a="1"/>
  <c r="O1804" i="9" l="1"/>
  <c r="R1804" i="9" s="1"/>
  <c r="I1807" i="9"/>
  <c r="J1805" i="9"/>
  <c r="K1805" i="9"/>
  <c r="L1805" i="9"/>
  <c r="M1805" i="9"/>
  <c r="N1805" i="9"/>
  <c r="J1806" i="9" a="1"/>
  <c r="O1805" i="9" l="1"/>
  <c r="R1805" i="9" s="1"/>
  <c r="N1806" i="9"/>
  <c r="J1806" i="9"/>
  <c r="L1806" i="9"/>
  <c r="K1806" i="9"/>
  <c r="M1806" i="9"/>
  <c r="I1808" i="9"/>
  <c r="J1807" i="9" a="1"/>
  <c r="O1806" i="9" l="1"/>
  <c r="R1806" i="9" s="1"/>
  <c r="I1809" i="9"/>
  <c r="J1807" i="9"/>
  <c r="L1807" i="9"/>
  <c r="N1807" i="9"/>
  <c r="K1807" i="9"/>
  <c r="M1807" i="9"/>
  <c r="J1808" i="9" a="1"/>
  <c r="O1807" i="9" l="1"/>
  <c r="P1807" i="9" s="1"/>
  <c r="J1808" i="9"/>
  <c r="K1808" i="9"/>
  <c r="M1808" i="9"/>
  <c r="L1808" i="9"/>
  <c r="N1808" i="9"/>
  <c r="I1810" i="9"/>
  <c r="J1809" i="9" a="1"/>
  <c r="R1807" i="9" l="1"/>
  <c r="O1808" i="9"/>
  <c r="L1809" i="9"/>
  <c r="M1809" i="9"/>
  <c r="N1809" i="9"/>
  <c r="J1809" i="9"/>
  <c r="K1809" i="9"/>
  <c r="I1811" i="9"/>
  <c r="Q1809" i="9"/>
  <c r="Q1806" i="9"/>
  <c r="S1806" i="9" s="1"/>
  <c r="T1806" i="9" s="1"/>
  <c r="U1806" i="9" s="1"/>
  <c r="Q1804" i="9"/>
  <c r="S1804" i="9" s="1"/>
  <c r="T1804" i="9" s="1"/>
  <c r="U1804" i="9" s="1"/>
  <c r="Q1802" i="9"/>
  <c r="S1802" i="9" s="1"/>
  <c r="T1802" i="9" s="1"/>
  <c r="U1802" i="9" s="1"/>
  <c r="Q1803" i="9"/>
  <c r="S1803" i="9" s="1"/>
  <c r="T1803" i="9" s="1"/>
  <c r="U1803" i="9" s="1"/>
  <c r="Q1808" i="9"/>
  <c r="Q1805" i="9"/>
  <c r="S1805" i="9" s="1"/>
  <c r="T1805" i="9" s="1"/>
  <c r="U1805" i="9" s="1"/>
  <c r="Q1810" i="9"/>
  <c r="Q1807" i="9"/>
  <c r="S1807" i="9" s="1"/>
  <c r="T1807" i="9" s="1"/>
  <c r="U1807" i="9" s="1"/>
  <c r="R1808" i="9"/>
  <c r="J1810" i="9" a="1"/>
  <c r="O1809" i="9" l="1"/>
  <c r="R1809" i="9" s="1"/>
  <c r="S1809" i="9" s="1"/>
  <c r="T1809" i="9" s="1"/>
  <c r="U1809" i="9" s="1"/>
  <c r="I1812" i="9"/>
  <c r="S1808" i="9"/>
  <c r="T1808" i="9" s="1"/>
  <c r="U1808" i="9" s="1"/>
  <c r="L1810" i="9"/>
  <c r="K1810" i="9"/>
  <c r="M1810" i="9"/>
  <c r="N1810" i="9"/>
  <c r="J1810" i="9"/>
  <c r="J1811" i="9" a="1"/>
  <c r="O1810" i="9" l="1"/>
  <c r="R1810" i="9" s="1"/>
  <c r="S1810" i="9" s="1"/>
  <c r="T1810" i="9" s="1"/>
  <c r="U1810" i="9" s="1"/>
  <c r="M1811" i="9"/>
  <c r="J1811" i="9"/>
  <c r="L1811" i="9"/>
  <c r="N1811" i="9"/>
  <c r="K1811" i="9"/>
  <c r="I1813" i="9"/>
  <c r="J1812" i="9" a="1"/>
  <c r="O1811" i="9" l="1"/>
  <c r="R1811" i="9" s="1"/>
  <c r="I1814" i="9"/>
  <c r="J1812" i="9"/>
  <c r="K1812" i="9"/>
  <c r="M1812" i="9"/>
  <c r="L1812" i="9"/>
  <c r="N1812" i="9"/>
  <c r="J1813" i="9" a="1"/>
  <c r="O1812" i="9" l="1"/>
  <c r="R1812" i="9" s="1"/>
  <c r="N1813" i="9"/>
  <c r="J1813" i="9"/>
  <c r="L1813" i="9"/>
  <c r="M1813" i="9"/>
  <c r="K1813" i="9"/>
  <c r="I1815" i="9"/>
  <c r="J1814" i="9" a="1"/>
  <c r="O1813" i="9" l="1"/>
  <c r="R1813" i="9" s="1"/>
  <c r="I1816" i="9"/>
  <c r="L1814" i="9"/>
  <c r="K1814" i="9"/>
  <c r="M1814" i="9"/>
  <c r="N1814" i="9"/>
  <c r="J1814" i="9"/>
  <c r="J1815" i="9" a="1"/>
  <c r="O1814" i="9" l="1"/>
  <c r="R1814" i="9" s="1"/>
  <c r="K1815" i="9"/>
  <c r="J1815" i="9"/>
  <c r="L1815" i="9"/>
  <c r="N1815" i="9"/>
  <c r="M1815" i="9"/>
  <c r="I1817" i="9"/>
  <c r="J1816" i="9" a="1"/>
  <c r="O1815" i="9" l="1"/>
  <c r="R1815" i="9" s="1"/>
  <c r="I1818" i="9"/>
  <c r="M1816" i="9"/>
  <c r="L1816" i="9"/>
  <c r="N1816" i="9"/>
  <c r="J1816" i="9"/>
  <c r="K1816" i="9"/>
  <c r="J1817" i="9" a="1"/>
  <c r="O1816" i="9" l="1"/>
  <c r="R1816" i="9" s="1"/>
  <c r="L1817" i="9"/>
  <c r="N1817" i="9"/>
  <c r="J1817" i="9"/>
  <c r="M1817" i="9"/>
  <c r="K1817" i="9"/>
  <c r="I1819" i="9"/>
  <c r="J1818" i="9" a="1"/>
  <c r="P1816" i="9" l="1"/>
  <c r="O1817" i="9"/>
  <c r="R1817" i="9" s="1"/>
  <c r="Q1813" i="9"/>
  <c r="S1813" i="9" s="1"/>
  <c r="T1813" i="9" s="1"/>
  <c r="U1813" i="9" s="1"/>
  <c r="Q1819" i="9"/>
  <c r="Q1814" i="9"/>
  <c r="S1814" i="9" s="1"/>
  <c r="T1814" i="9" s="1"/>
  <c r="U1814" i="9" s="1"/>
  <c r="Q1815" i="9"/>
  <c r="S1815" i="9" s="1"/>
  <c r="T1815" i="9" s="1"/>
  <c r="U1815" i="9" s="1"/>
  <c r="Q1817" i="9"/>
  <c r="S1817" i="9" s="1"/>
  <c r="T1817" i="9" s="1"/>
  <c r="U1817" i="9" s="1"/>
  <c r="Q1816" i="9"/>
  <c r="S1816" i="9" s="1"/>
  <c r="T1816" i="9" s="1"/>
  <c r="U1816" i="9" s="1"/>
  <c r="Q1811" i="9"/>
  <c r="S1811" i="9" s="1"/>
  <c r="T1811" i="9" s="1"/>
  <c r="U1811" i="9" s="1"/>
  <c r="Q1818" i="9"/>
  <c r="Q1812" i="9"/>
  <c r="S1812" i="9" s="1"/>
  <c r="T1812" i="9" s="1"/>
  <c r="U1812" i="9" s="1"/>
  <c r="M1818" i="9"/>
  <c r="N1818" i="9"/>
  <c r="J1818" i="9"/>
  <c r="L1818" i="9"/>
  <c r="K1818" i="9"/>
  <c r="I1820" i="9"/>
  <c r="J1819" i="9" a="1"/>
  <c r="O1818" i="9" l="1"/>
  <c r="R1818" i="9" s="1"/>
  <c r="S1818" i="9" s="1"/>
  <c r="T1818" i="9" s="1"/>
  <c r="U1818" i="9" s="1"/>
  <c r="K1819" i="9"/>
  <c r="M1819" i="9"/>
  <c r="J1819" i="9"/>
  <c r="L1819" i="9"/>
  <c r="N1819" i="9"/>
  <c r="I1821" i="9"/>
  <c r="J1820" i="9" a="1"/>
  <c r="O1819" i="9" l="1"/>
  <c r="R1819" i="9" s="1"/>
  <c r="S1819" i="9" s="1"/>
  <c r="T1819" i="9" s="1"/>
  <c r="U1819" i="9" s="1"/>
  <c r="I1822" i="9"/>
  <c r="L1820" i="9"/>
  <c r="N1820" i="9"/>
  <c r="J1820" i="9"/>
  <c r="K1820" i="9"/>
  <c r="M1820" i="9"/>
  <c r="J1821" i="9" a="1"/>
  <c r="O1820" i="9" l="1"/>
  <c r="R1820" i="9" s="1"/>
  <c r="L1821" i="9"/>
  <c r="M1821" i="9"/>
  <c r="N1821" i="9"/>
  <c r="J1821" i="9"/>
  <c r="K1821" i="9"/>
  <c r="I1823" i="9"/>
  <c r="J1822" i="9" a="1"/>
  <c r="O1821" i="9" l="1"/>
  <c r="R1821" i="9" s="1"/>
  <c r="I1824" i="9"/>
  <c r="N1822" i="9"/>
  <c r="J1822" i="9"/>
  <c r="L1822" i="9"/>
  <c r="K1822" i="9"/>
  <c r="M1822" i="9"/>
  <c r="J1823" i="9" a="1"/>
  <c r="O1822" i="9" l="1"/>
  <c r="R1822" i="9" s="1"/>
  <c r="N1823" i="9"/>
  <c r="K1823" i="9"/>
  <c r="M1823" i="9"/>
  <c r="J1823" i="9"/>
  <c r="L1823" i="9"/>
  <c r="I1825" i="9"/>
  <c r="J1824" i="9" a="1"/>
  <c r="O1823" i="9" l="1"/>
  <c r="R1823" i="9" s="1"/>
  <c r="I1826" i="9"/>
  <c r="L1824" i="9"/>
  <c r="N1824" i="9"/>
  <c r="J1824" i="9"/>
  <c r="K1824" i="9"/>
  <c r="M1824" i="9"/>
  <c r="J1825" i="9" a="1"/>
  <c r="O1824" i="9" l="1"/>
  <c r="R1824" i="9" s="1"/>
  <c r="N1825" i="9"/>
  <c r="J1825" i="9"/>
  <c r="K1825" i="9"/>
  <c r="L1825" i="9"/>
  <c r="M1825" i="9"/>
  <c r="I1827" i="9"/>
  <c r="J1826" i="9" a="1"/>
  <c r="O1825" i="9" l="1"/>
  <c r="P1825" i="9" s="1"/>
  <c r="I1828" i="9"/>
  <c r="K1826" i="9"/>
  <c r="M1826" i="9"/>
  <c r="N1826" i="9"/>
  <c r="J1826" i="9"/>
  <c r="L1826" i="9"/>
  <c r="J1827" i="9" a="1"/>
  <c r="R1825" i="9" l="1"/>
  <c r="O1826" i="9"/>
  <c r="R1826" i="9" s="1"/>
  <c r="Q1821" i="9"/>
  <c r="S1821" i="9" s="1"/>
  <c r="T1821" i="9" s="1"/>
  <c r="U1821" i="9" s="1"/>
  <c r="Q1824" i="9"/>
  <c r="S1824" i="9" s="1"/>
  <c r="T1824" i="9" s="1"/>
  <c r="U1824" i="9" s="1"/>
  <c r="Q1826" i="9"/>
  <c r="S1826" i="9" s="1"/>
  <c r="T1826" i="9" s="1"/>
  <c r="U1826" i="9" s="1"/>
  <c r="Q1822" i="9"/>
  <c r="S1822" i="9" s="1"/>
  <c r="T1822" i="9" s="1"/>
  <c r="U1822" i="9" s="1"/>
  <c r="Q1820" i="9"/>
  <c r="S1820" i="9" s="1"/>
  <c r="T1820" i="9" s="1"/>
  <c r="U1820" i="9" s="1"/>
  <c r="Q1828" i="9"/>
  <c r="Q1825" i="9"/>
  <c r="S1825" i="9" s="1"/>
  <c r="T1825" i="9" s="1"/>
  <c r="U1825" i="9" s="1"/>
  <c r="Q1823" i="9"/>
  <c r="S1823" i="9" s="1"/>
  <c r="T1823" i="9" s="1"/>
  <c r="U1823" i="9" s="1"/>
  <c r="Q1827" i="9"/>
  <c r="J1827" i="9"/>
  <c r="L1827" i="9"/>
  <c r="N1827" i="9"/>
  <c r="K1827" i="9"/>
  <c r="M1827" i="9"/>
  <c r="I1829" i="9"/>
  <c r="J1828" i="9" a="1"/>
  <c r="O1827" i="9" l="1"/>
  <c r="R1827" i="9" s="1"/>
  <c r="S1827" i="9" s="1"/>
  <c r="T1827" i="9" s="1"/>
  <c r="U1827" i="9" s="1"/>
  <c r="M1828" i="9"/>
  <c r="J1828" i="9"/>
  <c r="L1828" i="9"/>
  <c r="N1828" i="9"/>
  <c r="K1828" i="9"/>
  <c r="I1830" i="9"/>
  <c r="J1829" i="9" a="1"/>
  <c r="O1828" i="9" l="1"/>
  <c r="R1828" i="9" s="1"/>
  <c r="S1828" i="9" s="1"/>
  <c r="T1828" i="9" s="1"/>
  <c r="U1828" i="9" s="1"/>
  <c r="N1829" i="9"/>
  <c r="J1829" i="9"/>
  <c r="K1829" i="9"/>
  <c r="L1829" i="9"/>
  <c r="M1829" i="9"/>
  <c r="I1831" i="9"/>
  <c r="J1830" i="9" a="1"/>
  <c r="O1829" i="9" l="1"/>
  <c r="R1829" i="9" s="1"/>
  <c r="I1832" i="9"/>
  <c r="M1830" i="9"/>
  <c r="N1830" i="9"/>
  <c r="K1830" i="9"/>
  <c r="J1830" i="9"/>
  <c r="L1830" i="9"/>
  <c r="J1831" i="9" a="1"/>
  <c r="O1830" i="9" l="1"/>
  <c r="R1830" i="9" s="1"/>
  <c r="J1831" i="9"/>
  <c r="L1831" i="9"/>
  <c r="N1831" i="9"/>
  <c r="K1831" i="9"/>
  <c r="M1831" i="9"/>
  <c r="I1833" i="9"/>
  <c r="J1832" i="9" a="1"/>
  <c r="O1831" i="9" l="1"/>
  <c r="R1831" i="9" s="1"/>
  <c r="M1832" i="9"/>
  <c r="J1832" i="9"/>
  <c r="K1832" i="9"/>
  <c r="L1832" i="9"/>
  <c r="N1832" i="9"/>
  <c r="I1834" i="9"/>
  <c r="J1833" i="9" a="1"/>
  <c r="O1832" i="9" l="1"/>
  <c r="R1832" i="9" s="1"/>
  <c r="I1835" i="9"/>
  <c r="K1833" i="9"/>
  <c r="L1833" i="9"/>
  <c r="M1833" i="9"/>
  <c r="N1833" i="9"/>
  <c r="J1833" i="9"/>
  <c r="J1834" i="9" a="1"/>
  <c r="O1833" i="9" l="1"/>
  <c r="R1833" i="9" s="1"/>
  <c r="L1834" i="9"/>
  <c r="N1834" i="9"/>
  <c r="K1834" i="9"/>
  <c r="M1834" i="9"/>
  <c r="J1834" i="9"/>
  <c r="I1836" i="9"/>
  <c r="J1835" i="9" a="1"/>
  <c r="O1834" i="9" l="1"/>
  <c r="R1834" i="9" s="1"/>
  <c r="I1837" i="9"/>
  <c r="L1835" i="9"/>
  <c r="N1835" i="9"/>
  <c r="K1835" i="9"/>
  <c r="M1835" i="9"/>
  <c r="J1835" i="9"/>
  <c r="J1836" i="9" a="1"/>
  <c r="P1834" i="9" l="1"/>
  <c r="O1835" i="9"/>
  <c r="Q1832" i="9"/>
  <c r="S1832" i="9" s="1"/>
  <c r="T1832" i="9" s="1"/>
  <c r="U1832" i="9" s="1"/>
  <c r="Q1834" i="9"/>
  <c r="S1834" i="9" s="1"/>
  <c r="T1834" i="9" s="1"/>
  <c r="U1834" i="9" s="1"/>
  <c r="Q1835" i="9"/>
  <c r="Q1837" i="9"/>
  <c r="Q1831" i="9"/>
  <c r="S1831" i="9" s="1"/>
  <c r="T1831" i="9" s="1"/>
  <c r="U1831" i="9" s="1"/>
  <c r="Q1836" i="9"/>
  <c r="Q1829" i="9"/>
  <c r="S1829" i="9" s="1"/>
  <c r="T1829" i="9" s="1"/>
  <c r="U1829" i="9" s="1"/>
  <c r="Q1830" i="9"/>
  <c r="S1830" i="9" s="1"/>
  <c r="T1830" i="9" s="1"/>
  <c r="U1830" i="9" s="1"/>
  <c r="Q1833" i="9"/>
  <c r="S1833" i="9" s="1"/>
  <c r="T1833" i="9" s="1"/>
  <c r="U1833" i="9" s="1"/>
  <c r="N1836" i="9"/>
  <c r="J1836" i="9"/>
  <c r="K1836" i="9"/>
  <c r="M1836" i="9"/>
  <c r="L1836" i="9"/>
  <c r="R1835" i="9"/>
  <c r="I1838" i="9"/>
  <c r="J1837" i="9" a="1"/>
  <c r="O1836" i="9" l="1"/>
  <c r="R1836" i="9" s="1"/>
  <c r="S1836" i="9" s="1"/>
  <c r="T1836" i="9" s="1"/>
  <c r="U1836" i="9" s="1"/>
  <c r="I1839" i="9"/>
  <c r="S1835" i="9"/>
  <c r="T1835" i="9" s="1"/>
  <c r="U1835" i="9" s="1"/>
  <c r="L1837" i="9"/>
  <c r="M1837" i="9"/>
  <c r="N1837" i="9"/>
  <c r="J1837" i="9"/>
  <c r="K1837" i="9"/>
  <c r="J1838" i="9" a="1"/>
  <c r="O1837" i="9" l="1"/>
  <c r="R1837" i="9" s="1"/>
  <c r="S1837" i="9" s="1"/>
  <c r="T1837" i="9" s="1"/>
  <c r="U1837" i="9" s="1"/>
  <c r="J1838" i="9"/>
  <c r="L1838" i="9"/>
  <c r="K1838" i="9"/>
  <c r="M1838" i="9"/>
  <c r="N1838" i="9"/>
  <c r="I1840" i="9"/>
  <c r="J1839" i="9" a="1"/>
  <c r="O1838" i="9" l="1"/>
  <c r="R1838" i="9" s="1"/>
  <c r="N1839" i="9"/>
  <c r="K1839" i="9"/>
  <c r="M1839" i="9"/>
  <c r="J1839" i="9"/>
  <c r="L1839" i="9"/>
  <c r="I1841" i="9"/>
  <c r="J1840" i="9" a="1"/>
  <c r="O1839" i="9" l="1"/>
  <c r="R1839" i="9" s="1"/>
  <c r="I1842" i="9"/>
  <c r="M1840" i="9"/>
  <c r="L1840" i="9"/>
  <c r="N1840" i="9"/>
  <c r="J1840" i="9"/>
  <c r="K1840" i="9"/>
  <c r="J1841" i="9" a="1"/>
  <c r="O1840" i="9" l="1"/>
  <c r="R1840" i="9" s="1"/>
  <c r="M1841" i="9"/>
  <c r="N1841" i="9"/>
  <c r="J1841" i="9"/>
  <c r="K1841" i="9"/>
  <c r="L1841" i="9"/>
  <c r="I1843" i="9"/>
  <c r="J1842" i="9" a="1"/>
  <c r="O1841" i="9" l="1"/>
  <c r="R1841" i="9" s="1"/>
  <c r="I1844" i="9"/>
  <c r="M1842" i="9"/>
  <c r="N1842" i="9"/>
  <c r="J1842" i="9"/>
  <c r="L1842" i="9"/>
  <c r="K1842" i="9"/>
  <c r="J1843" i="9" a="1"/>
  <c r="O1842" i="9" l="1"/>
  <c r="R1842" i="9" s="1"/>
  <c r="L1843" i="9"/>
  <c r="N1843" i="9"/>
  <c r="K1843" i="9"/>
  <c r="M1843" i="9"/>
  <c r="J1843" i="9"/>
  <c r="I1845" i="9"/>
  <c r="J1844" i="9" a="1"/>
  <c r="O1843" i="9" l="1"/>
  <c r="R1843" i="9" s="1"/>
  <c r="I1846" i="9"/>
  <c r="M1844" i="9"/>
  <c r="L1844" i="9"/>
  <c r="N1844" i="9"/>
  <c r="J1844" i="9"/>
  <c r="K1844" i="9"/>
  <c r="J1845" i="9" a="1"/>
  <c r="P1843" i="9" l="1"/>
  <c r="O1844" i="9"/>
  <c r="R1844" i="9" s="1"/>
  <c r="Q1843" i="9"/>
  <c r="S1843" i="9" s="1"/>
  <c r="T1843" i="9" s="1"/>
  <c r="U1843" i="9" s="1"/>
  <c r="Q1846" i="9"/>
  <c r="Q1839" i="9"/>
  <c r="S1839" i="9" s="1"/>
  <c r="T1839" i="9" s="1"/>
  <c r="U1839" i="9" s="1"/>
  <c r="Q1838" i="9"/>
  <c r="S1838" i="9" s="1"/>
  <c r="T1838" i="9" s="1"/>
  <c r="U1838" i="9" s="1"/>
  <c r="Q1844" i="9"/>
  <c r="S1844" i="9" s="1"/>
  <c r="T1844" i="9" s="1"/>
  <c r="U1844" i="9" s="1"/>
  <c r="Q1840" i="9"/>
  <c r="S1840" i="9" s="1"/>
  <c r="T1840" i="9" s="1"/>
  <c r="U1840" i="9" s="1"/>
  <c r="Q1845" i="9"/>
  <c r="Q1841" i="9"/>
  <c r="S1841" i="9" s="1"/>
  <c r="T1841" i="9" s="1"/>
  <c r="U1841" i="9" s="1"/>
  <c r="Q1842" i="9"/>
  <c r="S1842" i="9" s="1"/>
  <c r="T1842" i="9" s="1"/>
  <c r="U1842" i="9" s="1"/>
  <c r="J1845" i="9"/>
  <c r="L1845" i="9"/>
  <c r="M1845" i="9"/>
  <c r="K1845" i="9"/>
  <c r="N1845" i="9"/>
  <c r="I1847" i="9"/>
  <c r="J1846" i="9" a="1"/>
  <c r="O1845" i="9" l="1"/>
  <c r="R1845" i="9" s="1"/>
  <c r="S1845" i="9" s="1"/>
  <c r="T1845" i="9" s="1"/>
  <c r="U1845" i="9" s="1"/>
  <c r="L1846" i="9"/>
  <c r="K1846" i="9"/>
  <c r="M1846" i="9"/>
  <c r="N1846" i="9"/>
  <c r="J1846" i="9"/>
  <c r="I1848" i="9"/>
  <c r="J1847" i="9" a="1"/>
  <c r="O1846" i="9" l="1"/>
  <c r="R1846" i="9" s="1"/>
  <c r="S1846" i="9" s="1"/>
  <c r="T1846" i="9" s="1"/>
  <c r="U1846" i="9" s="1"/>
  <c r="J1847" i="9"/>
  <c r="L1847" i="9"/>
  <c r="N1847" i="9"/>
  <c r="M1847" i="9"/>
  <c r="K1847" i="9"/>
  <c r="I1849" i="9"/>
  <c r="J1848" i="9" a="1"/>
  <c r="O1847" i="9" l="1"/>
  <c r="R1847" i="9" s="1"/>
  <c r="L1848" i="9"/>
  <c r="N1848" i="9"/>
  <c r="K1848" i="9"/>
  <c r="M1848" i="9"/>
  <c r="J1848" i="9"/>
  <c r="I1850" i="9"/>
  <c r="J1849" i="9" a="1"/>
  <c r="O1848" i="9" l="1"/>
  <c r="R1848" i="9" s="1"/>
  <c r="I1851" i="9"/>
  <c r="N1849" i="9"/>
  <c r="J1849" i="9"/>
  <c r="M1849" i="9"/>
  <c r="K1849" i="9"/>
  <c r="L1849" i="9"/>
  <c r="J1850" i="9" a="1"/>
  <c r="O1849" i="9" l="1"/>
  <c r="R1849" i="9" s="1"/>
  <c r="J1850" i="9"/>
  <c r="L1850" i="9"/>
  <c r="M1850" i="9"/>
  <c r="N1850" i="9"/>
  <c r="K1850" i="9"/>
  <c r="I1852" i="9"/>
  <c r="J1851" i="9" a="1"/>
  <c r="O1850" i="9" l="1"/>
  <c r="R1850" i="9" s="1"/>
  <c r="J1851" i="9"/>
  <c r="L1851" i="9"/>
  <c r="N1851" i="9"/>
  <c r="K1851" i="9"/>
  <c r="M1851" i="9"/>
  <c r="I1853" i="9"/>
  <c r="J1852" i="9" a="1"/>
  <c r="O1851" i="9" l="1"/>
  <c r="R1851" i="9" s="1"/>
  <c r="J1852" i="9"/>
  <c r="L1852" i="9"/>
  <c r="M1852" i="9"/>
  <c r="K1852" i="9"/>
  <c r="N1852" i="9"/>
  <c r="I1854" i="9"/>
  <c r="J1853" i="9" a="1"/>
  <c r="O1852" i="9" l="1"/>
  <c r="R1852" i="9" s="1"/>
  <c r="L1853" i="9"/>
  <c r="J1853" i="9"/>
  <c r="M1853" i="9"/>
  <c r="N1853" i="9"/>
  <c r="K1853" i="9"/>
  <c r="I1855" i="9"/>
  <c r="J1854" i="9" a="1"/>
  <c r="P1852" i="9" l="1"/>
  <c r="O1853" i="9"/>
  <c r="R1853" i="9" s="1"/>
  <c r="I1856" i="9"/>
  <c r="Q1850" i="9"/>
  <c r="S1850" i="9" s="1"/>
  <c r="T1850" i="9" s="1"/>
  <c r="U1850" i="9" s="1"/>
  <c r="Q1847" i="9"/>
  <c r="S1847" i="9" s="1"/>
  <c r="T1847" i="9" s="1"/>
  <c r="U1847" i="9" s="1"/>
  <c r="Q1852" i="9"/>
  <c r="S1852" i="9" s="1"/>
  <c r="T1852" i="9" s="1"/>
  <c r="U1852" i="9" s="1"/>
  <c r="Q1851" i="9"/>
  <c r="S1851" i="9" s="1"/>
  <c r="T1851" i="9" s="1"/>
  <c r="U1851" i="9" s="1"/>
  <c r="Q1849" i="9"/>
  <c r="S1849" i="9" s="1"/>
  <c r="T1849" i="9" s="1"/>
  <c r="U1849" i="9" s="1"/>
  <c r="Q1848" i="9"/>
  <c r="S1848" i="9" s="1"/>
  <c r="T1848" i="9" s="1"/>
  <c r="U1848" i="9" s="1"/>
  <c r="Q1854" i="9"/>
  <c r="Q1855" i="9"/>
  <c r="Q1853" i="9"/>
  <c r="J1854" i="9"/>
  <c r="L1854" i="9"/>
  <c r="K1854" i="9"/>
  <c r="M1854" i="9"/>
  <c r="N1854" i="9"/>
  <c r="J1855" i="9" a="1"/>
  <c r="O1854" i="9" l="1"/>
  <c r="R1854" i="9" s="1"/>
  <c r="S1854" i="9" s="1"/>
  <c r="T1854" i="9" s="1"/>
  <c r="U1854" i="9" s="1"/>
  <c r="S1853" i="9"/>
  <c r="T1853" i="9" s="1"/>
  <c r="U1853" i="9" s="1"/>
  <c r="L1855" i="9"/>
  <c r="N1855" i="9"/>
  <c r="K1855" i="9"/>
  <c r="M1855" i="9"/>
  <c r="J1855" i="9"/>
  <c r="I1857" i="9"/>
  <c r="J1856" i="9" a="1"/>
  <c r="O1855" i="9" l="1"/>
  <c r="R1855" i="9" s="1"/>
  <c r="S1855" i="9" s="1"/>
  <c r="T1855" i="9" s="1"/>
  <c r="U1855" i="9" s="1"/>
  <c r="K1856" i="9"/>
  <c r="L1856" i="9"/>
  <c r="M1856" i="9"/>
  <c r="N1856" i="9"/>
  <c r="J1856" i="9"/>
  <c r="I1858" i="9"/>
  <c r="J1857" i="9" a="1"/>
  <c r="O1856" i="9" l="1"/>
  <c r="R1856" i="9" s="1"/>
  <c r="I1859" i="9"/>
  <c r="K1857" i="9"/>
  <c r="L1857" i="9"/>
  <c r="N1857" i="9"/>
  <c r="M1857" i="9"/>
  <c r="J1857" i="9"/>
  <c r="J1858" i="9" a="1"/>
  <c r="O1857" i="9" l="1"/>
  <c r="R1857" i="9" s="1"/>
  <c r="J1858" i="9"/>
  <c r="L1858" i="9"/>
  <c r="K1858" i="9"/>
  <c r="M1858" i="9"/>
  <c r="N1858" i="9"/>
  <c r="I1860" i="9"/>
  <c r="J1859" i="9" a="1"/>
  <c r="O1858" i="9" l="1"/>
  <c r="R1858" i="9" s="1"/>
  <c r="N1859" i="9"/>
  <c r="J1859" i="9"/>
  <c r="L1859" i="9"/>
  <c r="M1859" i="9"/>
  <c r="K1859" i="9"/>
  <c r="I1861" i="9"/>
  <c r="J1860" i="9" a="1"/>
  <c r="O1859" i="9" l="1"/>
  <c r="R1859" i="9" s="1"/>
  <c r="I1862" i="9"/>
  <c r="K1860" i="9"/>
  <c r="N1860" i="9"/>
  <c r="L1860" i="9"/>
  <c r="M1860" i="9"/>
  <c r="J1860" i="9"/>
  <c r="J1861" i="9" a="1"/>
  <c r="O1860" i="9" l="1"/>
  <c r="R1860" i="9" s="1"/>
  <c r="K1861" i="9"/>
  <c r="L1861" i="9"/>
  <c r="M1861" i="9"/>
  <c r="N1861" i="9"/>
  <c r="J1861" i="9"/>
  <c r="I1863" i="9"/>
  <c r="J1862" i="9" a="1"/>
  <c r="O1861" i="9" l="1"/>
  <c r="R1861" i="9" s="1"/>
  <c r="I1864" i="9"/>
  <c r="J1862" i="9"/>
  <c r="K1862" i="9"/>
  <c r="L1862" i="9"/>
  <c r="N1862" i="9"/>
  <c r="M1862" i="9"/>
  <c r="J1863" i="9" a="1"/>
  <c r="O1862" i="9" l="1"/>
  <c r="R1862" i="9" s="1"/>
  <c r="P1861" i="9"/>
  <c r="Q1859" i="9" s="1"/>
  <c r="S1859" i="9" s="1"/>
  <c r="T1859" i="9" s="1"/>
  <c r="U1859" i="9" s="1"/>
  <c r="J1863" i="9"/>
  <c r="K1863" i="9"/>
  <c r="M1863" i="9"/>
  <c r="N1863" i="9"/>
  <c r="L1863" i="9"/>
  <c r="Q1863" i="9"/>
  <c r="Q1856" i="9"/>
  <c r="S1856" i="9" s="1"/>
  <c r="T1856" i="9" s="1"/>
  <c r="U1856" i="9" s="1"/>
  <c r="Q1862" i="9"/>
  <c r="S1862" i="9" s="1"/>
  <c r="T1862" i="9" s="1"/>
  <c r="U1862" i="9" s="1"/>
  <c r="Q1857" i="9"/>
  <c r="S1857" i="9" s="1"/>
  <c r="T1857" i="9" s="1"/>
  <c r="U1857" i="9" s="1"/>
  <c r="Q1860" i="9"/>
  <c r="S1860" i="9" s="1"/>
  <c r="T1860" i="9" s="1"/>
  <c r="U1860" i="9" s="1"/>
  <c r="Q1864" i="9"/>
  <c r="I1865" i="9"/>
  <c r="J1864" i="9" a="1"/>
  <c r="Q1858" i="9" l="1"/>
  <c r="S1858" i="9" s="1"/>
  <c r="T1858" i="9" s="1"/>
  <c r="U1858" i="9" s="1"/>
  <c r="Q1861" i="9"/>
  <c r="S1861" i="9" s="1"/>
  <c r="T1861" i="9" s="1"/>
  <c r="U1861" i="9" s="1"/>
  <c r="O1863" i="9"/>
  <c r="R1863" i="9" s="1"/>
  <c r="S1863" i="9" s="1"/>
  <c r="T1863" i="9" s="1"/>
  <c r="U1863" i="9" s="1"/>
  <c r="L1864" i="9"/>
  <c r="M1864" i="9"/>
  <c r="J1864" i="9"/>
  <c r="K1864" i="9"/>
  <c r="N1864" i="9"/>
  <c r="I1866" i="9"/>
  <c r="J1865" i="9" a="1"/>
  <c r="O1864" i="9" l="1"/>
  <c r="R1864" i="9" s="1"/>
  <c r="S1864" i="9" s="1"/>
  <c r="T1864" i="9" s="1"/>
  <c r="U1864" i="9" s="1"/>
  <c r="I1867" i="9"/>
  <c r="J1865" i="9"/>
  <c r="L1865" i="9"/>
  <c r="K1865" i="9"/>
  <c r="M1865" i="9"/>
  <c r="N1865" i="9"/>
  <c r="J1866" i="9" a="1"/>
  <c r="O1865" i="9" l="1"/>
  <c r="R1865" i="9" s="1"/>
  <c r="M1866" i="9"/>
  <c r="J1866" i="9"/>
  <c r="K1866" i="9"/>
  <c r="L1866" i="9"/>
  <c r="N1866" i="9"/>
  <c r="I1868" i="9"/>
  <c r="J1867" i="9" a="1"/>
  <c r="O1866" i="9" l="1"/>
  <c r="R1866" i="9" s="1"/>
  <c r="I1869" i="9"/>
  <c r="K1867" i="9"/>
  <c r="L1867" i="9"/>
  <c r="J1867" i="9"/>
  <c r="M1867" i="9"/>
  <c r="N1867" i="9"/>
  <c r="J1868" i="9" a="1"/>
  <c r="O1867" i="9" l="1"/>
  <c r="R1867" i="9" s="1"/>
  <c r="L1868" i="9"/>
  <c r="J1868" i="9"/>
  <c r="K1868" i="9"/>
  <c r="N1868" i="9"/>
  <c r="M1868" i="9"/>
  <c r="I1870" i="9"/>
  <c r="J1869" i="9" a="1"/>
  <c r="O1868" i="9" l="1"/>
  <c r="R1868" i="9" s="1"/>
  <c r="I1871" i="9"/>
  <c r="N1869" i="9"/>
  <c r="J1869" i="9"/>
  <c r="L1869" i="9"/>
  <c r="K1869" i="9"/>
  <c r="M1869" i="9"/>
  <c r="J1870" i="9" a="1"/>
  <c r="O1869" i="9" l="1"/>
  <c r="R1869" i="9" s="1"/>
  <c r="L1870" i="9"/>
  <c r="N1870" i="9"/>
  <c r="J1870" i="9"/>
  <c r="K1870" i="9"/>
  <c r="M1870" i="9"/>
  <c r="I1872" i="9"/>
  <c r="J1871" i="9" a="1"/>
  <c r="O1870" i="9" l="1"/>
  <c r="R1870" i="9" s="1"/>
  <c r="I1873" i="9"/>
  <c r="J1871" i="9"/>
  <c r="N1871" i="9"/>
  <c r="L1871" i="9"/>
  <c r="M1871" i="9"/>
  <c r="K1871" i="9"/>
  <c r="J1872" i="9" a="1"/>
  <c r="O1871" i="9" l="1"/>
  <c r="R1871" i="9" s="1"/>
  <c r="P1870" i="9"/>
  <c r="Q1865" i="9" s="1"/>
  <c r="S1865" i="9" s="1"/>
  <c r="T1865" i="9" s="1"/>
  <c r="U1865" i="9" s="1"/>
  <c r="Q1872" i="9"/>
  <c r="Q1873" i="9"/>
  <c r="Q1870" i="9"/>
  <c r="S1870" i="9" s="1"/>
  <c r="T1870" i="9" s="1"/>
  <c r="U1870" i="9" s="1"/>
  <c r="Q1867" i="9"/>
  <c r="S1867" i="9" s="1"/>
  <c r="T1867" i="9" s="1"/>
  <c r="U1867" i="9" s="1"/>
  <c r="Q1869" i="9"/>
  <c r="S1869" i="9" s="1"/>
  <c r="T1869" i="9" s="1"/>
  <c r="U1869" i="9" s="1"/>
  <c r="Q1871" i="9"/>
  <c r="Q1868" i="9"/>
  <c r="S1868" i="9" s="1"/>
  <c r="T1868" i="9" s="1"/>
  <c r="U1868" i="9" s="1"/>
  <c r="Q1866" i="9"/>
  <c r="S1866" i="9" s="1"/>
  <c r="T1866" i="9" s="1"/>
  <c r="U1866" i="9" s="1"/>
  <c r="N1872" i="9"/>
  <c r="L1872" i="9"/>
  <c r="J1872" i="9"/>
  <c r="K1872" i="9"/>
  <c r="M1872" i="9"/>
  <c r="I1874" i="9"/>
  <c r="J1873" i="9" a="1"/>
  <c r="S1871" i="9" l="1"/>
  <c r="T1871" i="9" s="1"/>
  <c r="U1871" i="9" s="1"/>
  <c r="O1872" i="9"/>
  <c r="R1872" i="9" s="1"/>
  <c r="S1872" i="9" s="1"/>
  <c r="T1872" i="9" s="1"/>
  <c r="U1872" i="9" s="1"/>
  <c r="N1873" i="9"/>
  <c r="J1873" i="9"/>
  <c r="L1873" i="9"/>
  <c r="M1873" i="9"/>
  <c r="K1873" i="9"/>
  <c r="I1875" i="9"/>
  <c r="J1874" i="9" a="1"/>
  <c r="O1873" i="9" l="1"/>
  <c r="R1873" i="9" s="1"/>
  <c r="S1873" i="9" s="1"/>
  <c r="T1873" i="9" s="1"/>
  <c r="U1873" i="9" s="1"/>
  <c r="I1876" i="9"/>
  <c r="J1874" i="9"/>
  <c r="K1874" i="9"/>
  <c r="M1874" i="9"/>
  <c r="L1874" i="9"/>
  <c r="N1874" i="9"/>
  <c r="J1875" i="9" a="1"/>
  <c r="O1874" i="9" l="1"/>
  <c r="R1874" i="9" s="1"/>
  <c r="N1875" i="9"/>
  <c r="M1875" i="9"/>
  <c r="L1875" i="9"/>
  <c r="K1875" i="9"/>
  <c r="J1875" i="9"/>
  <c r="I1877" i="9"/>
  <c r="J1876" i="9" a="1"/>
  <c r="O1875" i="9" l="1"/>
  <c r="R1875" i="9" s="1"/>
  <c r="I1878" i="9"/>
  <c r="J1876" i="9"/>
  <c r="K1876" i="9"/>
  <c r="M1876" i="9"/>
  <c r="N1876" i="9"/>
  <c r="L1876" i="9"/>
  <c r="J1877" i="9" a="1"/>
  <c r="O1876" i="9" l="1"/>
  <c r="R1876" i="9" s="1"/>
  <c r="N1877" i="9"/>
  <c r="J1877" i="9"/>
  <c r="L1877" i="9"/>
  <c r="M1877" i="9"/>
  <c r="K1877" i="9"/>
  <c r="I1879" i="9"/>
  <c r="J1878" i="9" a="1"/>
  <c r="O1877" i="9" l="1"/>
  <c r="R1877" i="9" s="1"/>
  <c r="I1880" i="9"/>
  <c r="N1878" i="9"/>
  <c r="L1878" i="9"/>
  <c r="J1878" i="9"/>
  <c r="K1878" i="9"/>
  <c r="M1878" i="9"/>
  <c r="J1879" i="9" a="1"/>
  <c r="O1878" i="9" l="1"/>
  <c r="R1878" i="9" s="1"/>
  <c r="J1879" i="9"/>
  <c r="N1879" i="9"/>
  <c r="M1879" i="9"/>
  <c r="L1879" i="9"/>
  <c r="K1879" i="9"/>
  <c r="I1881" i="9"/>
  <c r="J1880" i="9" a="1"/>
  <c r="O1879" i="9" l="1"/>
  <c r="P1879" i="9" s="1"/>
  <c r="I1882" i="9"/>
  <c r="L1880" i="9"/>
  <c r="J1880" i="9"/>
  <c r="K1880" i="9"/>
  <c r="M1880" i="9"/>
  <c r="N1880" i="9"/>
  <c r="J1881" i="9" a="1"/>
  <c r="R1879" i="9" l="1"/>
  <c r="O1880" i="9"/>
  <c r="R1880" i="9" s="1"/>
  <c r="K1881" i="9"/>
  <c r="N1881" i="9"/>
  <c r="J1881" i="9"/>
  <c r="L1881" i="9"/>
  <c r="M1881" i="9"/>
  <c r="Q1877" i="9"/>
  <c r="S1877" i="9" s="1"/>
  <c r="T1877" i="9" s="1"/>
  <c r="U1877" i="9" s="1"/>
  <c r="Q1874" i="9"/>
  <c r="S1874" i="9" s="1"/>
  <c r="T1874" i="9" s="1"/>
  <c r="U1874" i="9" s="1"/>
  <c r="Q1881" i="9"/>
  <c r="Q1882" i="9"/>
  <c r="Q1875" i="9"/>
  <c r="S1875" i="9" s="1"/>
  <c r="T1875" i="9" s="1"/>
  <c r="U1875" i="9" s="1"/>
  <c r="Q1878" i="9"/>
  <c r="S1878" i="9" s="1"/>
  <c r="T1878" i="9" s="1"/>
  <c r="U1878" i="9" s="1"/>
  <c r="Q1876" i="9"/>
  <c r="S1876" i="9" s="1"/>
  <c r="T1876" i="9" s="1"/>
  <c r="U1876" i="9" s="1"/>
  <c r="Q1880" i="9"/>
  <c r="S1880" i="9" s="1"/>
  <c r="T1880" i="9" s="1"/>
  <c r="U1880" i="9" s="1"/>
  <c r="Q1879" i="9"/>
  <c r="S1879" i="9" s="1"/>
  <c r="T1879" i="9" s="1"/>
  <c r="U1879" i="9" s="1"/>
  <c r="I1883" i="9"/>
  <c r="J1882" i="9" a="1"/>
  <c r="O1881" i="9" l="1"/>
  <c r="R1881" i="9" s="1"/>
  <c r="S1881" i="9" s="1"/>
  <c r="T1881" i="9" s="1"/>
  <c r="U1881" i="9" s="1"/>
  <c r="M1882" i="9"/>
  <c r="N1882" i="9"/>
  <c r="L1882" i="9"/>
  <c r="J1882" i="9"/>
  <c r="K1882" i="9"/>
  <c r="I1884" i="9"/>
  <c r="J1883" i="9" a="1"/>
  <c r="O1882" i="9" l="1"/>
  <c r="R1882" i="9" s="1"/>
  <c r="S1882" i="9" s="1"/>
  <c r="T1882" i="9" s="1"/>
  <c r="U1882" i="9" s="1"/>
  <c r="I1885" i="9"/>
  <c r="J1883" i="9"/>
  <c r="N1883" i="9"/>
  <c r="K1883" i="9"/>
  <c r="L1883" i="9"/>
  <c r="M1883" i="9"/>
  <c r="J1884" i="9" a="1"/>
  <c r="O1883" i="9" l="1"/>
  <c r="R1883" i="9" s="1"/>
  <c r="N1884" i="9"/>
  <c r="M1884" i="9"/>
  <c r="L1884" i="9"/>
  <c r="J1884" i="9"/>
  <c r="K1884" i="9"/>
  <c r="I1886" i="9"/>
  <c r="J1885" i="9" a="1"/>
  <c r="O1884" i="9" l="1"/>
  <c r="R1884" i="9" s="1"/>
  <c r="I1887" i="9"/>
  <c r="L1885" i="9"/>
  <c r="M1885" i="9"/>
  <c r="N1885" i="9"/>
  <c r="J1885" i="9"/>
  <c r="K1885" i="9"/>
  <c r="J1886" i="9" a="1"/>
  <c r="O1885" i="9" l="1"/>
  <c r="R1885" i="9" s="1"/>
  <c r="K1886" i="9"/>
  <c r="L1886" i="9"/>
  <c r="N1886" i="9"/>
  <c r="J1886" i="9"/>
  <c r="M1886" i="9"/>
  <c r="I1888" i="9"/>
  <c r="J1887" i="9" a="1"/>
  <c r="O1886" i="9" l="1"/>
  <c r="R1886" i="9" s="1"/>
  <c r="I1889" i="9"/>
  <c r="J1887" i="9"/>
  <c r="N1887" i="9"/>
  <c r="K1887" i="9"/>
  <c r="L1887" i="9"/>
  <c r="M1887" i="9"/>
  <c r="J1888" i="9" a="1"/>
  <c r="O1887" i="9" l="1"/>
  <c r="R1887" i="9" s="1"/>
  <c r="J1888" i="9"/>
  <c r="L1888" i="9"/>
  <c r="M1888" i="9"/>
  <c r="N1888" i="9"/>
  <c r="K1888" i="9"/>
  <c r="I1890" i="9"/>
  <c r="J1889" i="9" a="1"/>
  <c r="O1888" i="9" l="1"/>
  <c r="R1888" i="9" s="1"/>
  <c r="K1889" i="9"/>
  <c r="L1889" i="9"/>
  <c r="M1889" i="9"/>
  <c r="N1889" i="9"/>
  <c r="J1889" i="9"/>
  <c r="I1891" i="9"/>
  <c r="J1890" i="9" a="1"/>
  <c r="O1889" i="9" l="1"/>
  <c r="R1889" i="9" s="1"/>
  <c r="P1888" i="9"/>
  <c r="Q1886" i="9" s="1"/>
  <c r="S1886" i="9" s="1"/>
  <c r="T1886" i="9" s="1"/>
  <c r="U1886" i="9" s="1"/>
  <c r="Q1888" i="9"/>
  <c r="S1888" i="9" s="1"/>
  <c r="T1888" i="9" s="1"/>
  <c r="U1888" i="9" s="1"/>
  <c r="Q1889" i="9"/>
  <c r="Q1883" i="9"/>
  <c r="S1883" i="9" s="1"/>
  <c r="T1883" i="9" s="1"/>
  <c r="U1883" i="9" s="1"/>
  <c r="Q1887" i="9"/>
  <c r="S1887" i="9" s="1"/>
  <c r="T1887" i="9" s="1"/>
  <c r="U1887" i="9" s="1"/>
  <c r="Q1891" i="9"/>
  <c r="Q1885" i="9"/>
  <c r="S1885" i="9" s="1"/>
  <c r="T1885" i="9" s="1"/>
  <c r="U1885" i="9" s="1"/>
  <c r="I1892" i="9"/>
  <c r="L1890" i="9"/>
  <c r="K1890" i="9"/>
  <c r="M1890" i="9"/>
  <c r="N1890" i="9"/>
  <c r="J1890" i="9"/>
  <c r="J1891" i="9" a="1"/>
  <c r="Q1890" i="9" l="1"/>
  <c r="Q1884" i="9"/>
  <c r="S1884" i="9" s="1"/>
  <c r="T1884" i="9" s="1"/>
  <c r="U1884" i="9" s="1"/>
  <c r="S1889" i="9"/>
  <c r="T1889" i="9" s="1"/>
  <c r="U1889" i="9" s="1"/>
  <c r="O1890" i="9"/>
  <c r="R1890" i="9" s="1"/>
  <c r="K1891" i="9"/>
  <c r="L1891" i="9"/>
  <c r="M1891" i="9"/>
  <c r="J1891" i="9"/>
  <c r="N1891" i="9"/>
  <c r="I1893" i="9"/>
  <c r="J1892" i="9" a="1"/>
  <c r="S1890" i="9" l="1"/>
  <c r="T1890" i="9" s="1"/>
  <c r="U1890" i="9" s="1"/>
  <c r="O1891" i="9"/>
  <c r="R1891" i="9" s="1"/>
  <c r="S1891" i="9" s="1"/>
  <c r="T1891" i="9" s="1"/>
  <c r="U1891" i="9" s="1"/>
  <c r="I1894" i="9"/>
  <c r="L1892" i="9"/>
  <c r="J1892" i="9"/>
  <c r="K1892" i="9"/>
  <c r="M1892" i="9"/>
  <c r="N1892" i="9"/>
  <c r="J1893" i="9" a="1"/>
  <c r="O1892" i="9" l="1"/>
  <c r="R1892" i="9" s="1"/>
  <c r="M1893" i="9"/>
  <c r="L1893" i="9"/>
  <c r="N1893" i="9"/>
  <c r="J1893" i="9"/>
  <c r="K1893" i="9"/>
  <c r="I1895" i="9"/>
  <c r="J1894" i="9" a="1"/>
  <c r="O1893" i="9" l="1"/>
  <c r="R1893" i="9" s="1"/>
  <c r="I1896" i="9"/>
  <c r="K1894" i="9"/>
  <c r="M1894" i="9"/>
  <c r="N1894" i="9"/>
  <c r="L1894" i="9"/>
  <c r="J1894" i="9"/>
  <c r="J1895" i="9" a="1"/>
  <c r="O1894" i="9" l="1"/>
  <c r="R1894" i="9" s="1"/>
  <c r="L1895" i="9"/>
  <c r="K1895" i="9"/>
  <c r="J1895" i="9"/>
  <c r="N1895" i="9"/>
  <c r="M1895" i="9"/>
  <c r="I1897" i="9"/>
  <c r="J1896" i="9" a="1"/>
  <c r="O1895" i="9" l="1"/>
  <c r="R1895" i="9" s="1"/>
  <c r="I1898" i="9"/>
  <c r="N1896" i="9"/>
  <c r="L1896" i="9"/>
  <c r="J1896" i="9"/>
  <c r="K1896" i="9"/>
  <c r="M1896" i="9"/>
  <c r="J1897" i="9" a="1"/>
  <c r="O1896" i="9" l="1"/>
  <c r="R1896" i="9" s="1"/>
  <c r="J1897" i="9"/>
  <c r="L1897" i="9"/>
  <c r="K1897" i="9"/>
  <c r="M1897" i="9"/>
  <c r="N1897" i="9"/>
  <c r="I1899" i="9"/>
  <c r="J1898" i="9" a="1"/>
  <c r="O1897" i="9" l="1"/>
  <c r="R1897" i="9" s="1"/>
  <c r="J1898" i="9"/>
  <c r="K1898" i="9"/>
  <c r="M1898" i="9"/>
  <c r="N1898" i="9"/>
  <c r="L1898" i="9"/>
  <c r="I1900" i="9"/>
  <c r="J1899" i="9" a="1"/>
  <c r="P1897" i="9" l="1"/>
  <c r="O1898" i="9"/>
  <c r="I1901" i="9"/>
  <c r="Q1894" i="9"/>
  <c r="S1894" i="9" s="1"/>
  <c r="T1894" i="9" s="1"/>
  <c r="U1894" i="9" s="1"/>
  <c r="Q1898" i="9"/>
  <c r="Q1897" i="9"/>
  <c r="S1897" i="9" s="1"/>
  <c r="T1897" i="9" s="1"/>
  <c r="U1897" i="9" s="1"/>
  <c r="Q1893" i="9"/>
  <c r="S1893" i="9" s="1"/>
  <c r="T1893" i="9" s="1"/>
  <c r="U1893" i="9" s="1"/>
  <c r="Q1892" i="9"/>
  <c r="S1892" i="9" s="1"/>
  <c r="T1892" i="9" s="1"/>
  <c r="U1892" i="9" s="1"/>
  <c r="Q1896" i="9"/>
  <c r="S1896" i="9" s="1"/>
  <c r="T1896" i="9" s="1"/>
  <c r="U1896" i="9" s="1"/>
  <c r="Q1900" i="9"/>
  <c r="Q1899" i="9"/>
  <c r="Q1895" i="9"/>
  <c r="S1895" i="9" s="1"/>
  <c r="T1895" i="9" s="1"/>
  <c r="U1895" i="9" s="1"/>
  <c r="M1899" i="9"/>
  <c r="J1899" i="9"/>
  <c r="N1899" i="9"/>
  <c r="K1899" i="9"/>
  <c r="L1899" i="9"/>
  <c r="R1898" i="9"/>
  <c r="J1900" i="9" a="1"/>
  <c r="O1899" i="9" l="1"/>
  <c r="R1899" i="9" s="1"/>
  <c r="S1899" i="9" s="1"/>
  <c r="T1899" i="9" s="1"/>
  <c r="U1899" i="9" s="1"/>
  <c r="S1898" i="9"/>
  <c r="T1898" i="9" s="1"/>
  <c r="U1898" i="9" s="1"/>
  <c r="J1900" i="9"/>
  <c r="K1900" i="9"/>
  <c r="N1900" i="9"/>
  <c r="M1900" i="9"/>
  <c r="L1900" i="9"/>
  <c r="I1902" i="9"/>
  <c r="J1901" i="9" a="1"/>
  <c r="O1900" i="9" l="1"/>
  <c r="R1900" i="9" s="1"/>
  <c r="S1900" i="9" s="1"/>
  <c r="T1900" i="9" s="1"/>
  <c r="U1900" i="9" s="1"/>
  <c r="J1901" i="9"/>
  <c r="K1901" i="9"/>
  <c r="L1901" i="9"/>
  <c r="M1901" i="9"/>
  <c r="N1901" i="9"/>
  <c r="I1903" i="9"/>
  <c r="J1902" i="9" a="1"/>
  <c r="O1901" i="9" l="1"/>
  <c r="R1901" i="9" s="1"/>
  <c r="J1902" i="9"/>
  <c r="M1902" i="9"/>
  <c r="K1902" i="9"/>
  <c r="L1902" i="9"/>
  <c r="N1902" i="9"/>
  <c r="I1904" i="9"/>
  <c r="J1903" i="9" a="1"/>
  <c r="O1902" i="9" l="1"/>
  <c r="R1902" i="9" s="1"/>
  <c r="L1903" i="9"/>
  <c r="M1903" i="9"/>
  <c r="J1903" i="9"/>
  <c r="N1903" i="9"/>
  <c r="K1903" i="9"/>
  <c r="I1905" i="9"/>
  <c r="J1904" i="9" a="1"/>
  <c r="O1903" i="9" l="1"/>
  <c r="R1903" i="9" s="1"/>
  <c r="I1906" i="9"/>
  <c r="N1904" i="9"/>
  <c r="K1904" i="9"/>
  <c r="J1904" i="9"/>
  <c r="L1904" i="9"/>
  <c r="M1904" i="9"/>
  <c r="J1905" i="9" a="1"/>
  <c r="O1904" i="9" l="1"/>
  <c r="R1904" i="9" s="1"/>
  <c r="J1905" i="9"/>
  <c r="K1905" i="9"/>
  <c r="L1905" i="9"/>
  <c r="N1905" i="9"/>
  <c r="M1905" i="9"/>
  <c r="I1907" i="9"/>
  <c r="J1906" i="9" a="1"/>
  <c r="O1905" i="9" l="1"/>
  <c r="R1905" i="9" s="1"/>
  <c r="L1906" i="9"/>
  <c r="J1906" i="9"/>
  <c r="K1906" i="9"/>
  <c r="M1906" i="9"/>
  <c r="N1906" i="9"/>
  <c r="I1908" i="9"/>
  <c r="J1907" i="9" a="1"/>
  <c r="O1906" i="9" l="1"/>
  <c r="R1906" i="9" s="1"/>
  <c r="I1909" i="9"/>
  <c r="L1907" i="9"/>
  <c r="M1907" i="9"/>
  <c r="K1907" i="9"/>
  <c r="J1907" i="9"/>
  <c r="N1907" i="9"/>
  <c r="J1908" i="9" a="1"/>
  <c r="P1906" i="9" l="1"/>
  <c r="O1907" i="9"/>
  <c r="Q1901" i="9"/>
  <c r="S1901" i="9" s="1"/>
  <c r="T1901" i="9" s="1"/>
  <c r="U1901" i="9" s="1"/>
  <c r="Q1906" i="9"/>
  <c r="S1906" i="9" s="1"/>
  <c r="T1906" i="9" s="1"/>
  <c r="U1906" i="9" s="1"/>
  <c r="Q1907" i="9"/>
  <c r="Q1909" i="9"/>
  <c r="Q1903" i="9"/>
  <c r="S1903" i="9" s="1"/>
  <c r="T1903" i="9" s="1"/>
  <c r="U1903" i="9" s="1"/>
  <c r="Q1902" i="9"/>
  <c r="S1902" i="9" s="1"/>
  <c r="T1902" i="9" s="1"/>
  <c r="U1902" i="9" s="1"/>
  <c r="Q1905" i="9"/>
  <c r="S1905" i="9" s="1"/>
  <c r="T1905" i="9" s="1"/>
  <c r="U1905" i="9" s="1"/>
  <c r="Q1904" i="9"/>
  <c r="S1904" i="9" s="1"/>
  <c r="T1904" i="9" s="1"/>
  <c r="U1904" i="9" s="1"/>
  <c r="Q1908" i="9"/>
  <c r="J1908" i="9"/>
  <c r="K1908" i="9"/>
  <c r="L1908" i="9"/>
  <c r="N1908" i="9"/>
  <c r="M1908" i="9"/>
  <c r="R1907" i="9"/>
  <c r="I1910" i="9"/>
  <c r="J1909" i="9" a="1"/>
  <c r="O1908" i="9" l="1"/>
  <c r="R1908" i="9" s="1"/>
  <c r="S1908" i="9" s="1"/>
  <c r="T1908" i="9" s="1"/>
  <c r="U1908" i="9" s="1"/>
  <c r="I1911" i="9"/>
  <c r="S1907" i="9"/>
  <c r="T1907" i="9" s="1"/>
  <c r="U1907" i="9" s="1"/>
  <c r="J1909" i="9"/>
  <c r="K1909" i="9"/>
  <c r="L1909" i="9"/>
  <c r="M1909" i="9"/>
  <c r="N1909" i="9"/>
  <c r="J1910" i="9" a="1"/>
  <c r="O1909" i="9" l="1"/>
  <c r="R1909" i="9" s="1"/>
  <c r="S1909" i="9" s="1"/>
  <c r="T1909" i="9" s="1"/>
  <c r="U1909" i="9" s="1"/>
  <c r="L1910" i="9"/>
  <c r="M1910" i="9"/>
  <c r="N1910" i="9"/>
  <c r="K1910" i="9"/>
  <c r="J1910" i="9"/>
  <c r="I1912" i="9"/>
  <c r="J1911" i="9" a="1"/>
  <c r="O1910" i="9" l="1"/>
  <c r="R1910" i="9" s="1"/>
  <c r="J1911" i="9"/>
  <c r="K1911" i="9"/>
  <c r="L1911" i="9"/>
  <c r="N1911" i="9"/>
  <c r="M1911" i="9"/>
  <c r="I1913" i="9"/>
  <c r="J1912" i="9" a="1"/>
  <c r="O1911" i="9" l="1"/>
  <c r="R1911" i="9" s="1"/>
  <c r="N1912" i="9"/>
  <c r="J1912" i="9"/>
  <c r="K1912" i="9"/>
  <c r="L1912" i="9"/>
  <c r="M1912" i="9"/>
  <c r="I1914" i="9"/>
  <c r="J1913" i="9" a="1"/>
  <c r="O1912" i="9" l="1"/>
  <c r="R1912" i="9" s="1"/>
  <c r="I1915" i="9"/>
  <c r="K1913" i="9"/>
  <c r="L1913" i="9"/>
  <c r="M1913" i="9"/>
  <c r="N1913" i="9"/>
  <c r="J1913" i="9"/>
  <c r="J1914" i="9" a="1"/>
  <c r="O1913" i="9" l="1"/>
  <c r="R1913" i="9" s="1"/>
  <c r="N1914" i="9"/>
  <c r="J1914" i="9"/>
  <c r="L1914" i="9"/>
  <c r="K1914" i="9"/>
  <c r="M1914" i="9"/>
  <c r="I1916" i="9"/>
  <c r="J1915" i="9" a="1"/>
  <c r="O1914" i="9" l="1"/>
  <c r="R1914" i="9" s="1"/>
  <c r="I1917" i="9"/>
  <c r="M1915" i="9"/>
  <c r="J1915" i="9"/>
  <c r="K1915" i="9"/>
  <c r="L1915" i="9"/>
  <c r="N1915" i="9"/>
  <c r="J1916" i="9" a="1"/>
  <c r="O1915" i="9" l="1"/>
  <c r="P1915" i="9" s="1"/>
  <c r="M1916" i="9"/>
  <c r="N1916" i="9"/>
  <c r="J1916" i="9"/>
  <c r="K1916" i="9"/>
  <c r="L1916" i="9"/>
  <c r="I1918" i="9"/>
  <c r="J1917" i="9" a="1"/>
  <c r="O1916" i="9" l="1"/>
  <c r="R1916" i="9" s="1"/>
  <c r="R1915" i="9"/>
  <c r="N1917" i="9"/>
  <c r="J1917" i="9"/>
  <c r="K1917" i="9"/>
  <c r="L1917" i="9"/>
  <c r="M1917" i="9"/>
  <c r="I1919" i="9"/>
  <c r="Q1916" i="9"/>
  <c r="S1916" i="9" s="1"/>
  <c r="T1916" i="9" s="1"/>
  <c r="U1916" i="9" s="1"/>
  <c r="Q1918" i="9"/>
  <c r="Q1914" i="9"/>
  <c r="S1914" i="9" s="1"/>
  <c r="T1914" i="9" s="1"/>
  <c r="U1914" i="9" s="1"/>
  <c r="Q1917" i="9"/>
  <c r="Q1912" i="9"/>
  <c r="S1912" i="9" s="1"/>
  <c r="T1912" i="9" s="1"/>
  <c r="U1912" i="9" s="1"/>
  <c r="Q1913" i="9"/>
  <c r="S1913" i="9" s="1"/>
  <c r="T1913" i="9" s="1"/>
  <c r="U1913" i="9" s="1"/>
  <c r="Q1910" i="9"/>
  <c r="S1910" i="9" s="1"/>
  <c r="T1910" i="9" s="1"/>
  <c r="U1910" i="9" s="1"/>
  <c r="Q1911" i="9"/>
  <c r="S1911" i="9" s="1"/>
  <c r="T1911" i="9" s="1"/>
  <c r="U1911" i="9" s="1"/>
  <c r="Q1915" i="9"/>
  <c r="S1915" i="9" s="1"/>
  <c r="T1915" i="9" s="1"/>
  <c r="U1915" i="9" s="1"/>
  <c r="J1918" i="9" a="1"/>
  <c r="O1917" i="9" l="1"/>
  <c r="R1917" i="9" s="1"/>
  <c r="S1917" i="9" s="1"/>
  <c r="T1917" i="9" s="1"/>
  <c r="U1917" i="9" s="1"/>
  <c r="I1920" i="9"/>
  <c r="M1918" i="9"/>
  <c r="N1918" i="9"/>
  <c r="J1918" i="9"/>
  <c r="L1918" i="9"/>
  <c r="K1918" i="9"/>
  <c r="J1919" i="9" a="1"/>
  <c r="O1918" i="9" l="1"/>
  <c r="R1918" i="9" s="1"/>
  <c r="S1918" i="9" s="1"/>
  <c r="T1918" i="9" s="1"/>
  <c r="U1918" i="9" s="1"/>
  <c r="I1921" i="9"/>
  <c r="N1919" i="9"/>
  <c r="M1919" i="9"/>
  <c r="J1919" i="9"/>
  <c r="K1919" i="9"/>
  <c r="L1919" i="9"/>
  <c r="J1920" i="9" a="1"/>
  <c r="O1919" i="9" l="1"/>
  <c r="R1919" i="9" s="1"/>
  <c r="L1920" i="9"/>
  <c r="M1920" i="9"/>
  <c r="N1920" i="9"/>
  <c r="J1920" i="9"/>
  <c r="K1920" i="9"/>
  <c r="I1922" i="9"/>
  <c r="J1921" i="9" a="1"/>
  <c r="O1920" i="9" l="1"/>
  <c r="R1920" i="9" s="1"/>
  <c r="I1923" i="9"/>
  <c r="N1921" i="9"/>
  <c r="J1921" i="9"/>
  <c r="K1921" i="9"/>
  <c r="M1921" i="9"/>
  <c r="L1921" i="9"/>
  <c r="J1922" i="9" a="1"/>
  <c r="O1921" i="9" l="1"/>
  <c r="R1921" i="9" s="1"/>
  <c r="M1922" i="9"/>
  <c r="N1922" i="9"/>
  <c r="J1922" i="9"/>
  <c r="L1922" i="9"/>
  <c r="K1922" i="9"/>
  <c r="I1924" i="9"/>
  <c r="J1923" i="9" a="1"/>
  <c r="O1922" i="9" l="1"/>
  <c r="R1922" i="9" s="1"/>
  <c r="I1925" i="9"/>
  <c r="L1923" i="9"/>
  <c r="N1923" i="9"/>
  <c r="M1923" i="9"/>
  <c r="J1923" i="9"/>
  <c r="K1923" i="9"/>
  <c r="J1924" i="9" a="1"/>
  <c r="O1923" i="9" l="1"/>
  <c r="R1923" i="9" s="1"/>
  <c r="K1924" i="9"/>
  <c r="L1924" i="9"/>
  <c r="M1924" i="9"/>
  <c r="N1924" i="9"/>
  <c r="J1924" i="9"/>
  <c r="I1926" i="9"/>
  <c r="J1925" i="9" a="1"/>
  <c r="O1924" i="9" l="1"/>
  <c r="R1924" i="9" s="1"/>
  <c r="I1927" i="9"/>
  <c r="K1925" i="9"/>
  <c r="L1925" i="9"/>
  <c r="M1925" i="9"/>
  <c r="N1925" i="9"/>
  <c r="J1925" i="9"/>
  <c r="J1926" i="9" a="1"/>
  <c r="P1924" i="9" l="1"/>
  <c r="Q1924" i="9" s="1"/>
  <c r="S1924" i="9" s="1"/>
  <c r="T1924" i="9" s="1"/>
  <c r="U1924" i="9" s="1"/>
  <c r="O1925" i="9"/>
  <c r="R1925" i="9" s="1"/>
  <c r="Q1920" i="9"/>
  <c r="S1920" i="9" s="1"/>
  <c r="T1920" i="9" s="1"/>
  <c r="U1920" i="9" s="1"/>
  <c r="K1926" i="9"/>
  <c r="M1926" i="9"/>
  <c r="N1926" i="9"/>
  <c r="J1926" i="9"/>
  <c r="L1926" i="9"/>
  <c r="I1928" i="9"/>
  <c r="J1927" i="9" a="1"/>
  <c r="Q1927" i="9" l="1"/>
  <c r="Q1926" i="9"/>
  <c r="Q1919" i="9"/>
  <c r="S1919" i="9" s="1"/>
  <c r="T1919" i="9" s="1"/>
  <c r="U1919" i="9" s="1"/>
  <c r="Q1922" i="9"/>
  <c r="S1922" i="9" s="1"/>
  <c r="T1922" i="9" s="1"/>
  <c r="U1922" i="9" s="1"/>
  <c r="Q1925" i="9"/>
  <c r="S1925" i="9" s="1"/>
  <c r="T1925" i="9" s="1"/>
  <c r="U1925" i="9" s="1"/>
  <c r="Q1921" i="9"/>
  <c r="S1921" i="9" s="1"/>
  <c r="T1921" i="9" s="1"/>
  <c r="U1921" i="9" s="1"/>
  <c r="Q1923" i="9"/>
  <c r="S1923" i="9" s="1"/>
  <c r="T1923" i="9" s="1"/>
  <c r="U1923" i="9" s="1"/>
  <c r="O1926" i="9"/>
  <c r="R1926" i="9" s="1"/>
  <c r="K1927" i="9"/>
  <c r="L1927" i="9"/>
  <c r="N1927" i="9"/>
  <c r="M1927" i="9"/>
  <c r="J1927" i="9"/>
  <c r="I1929" i="9"/>
  <c r="J1928" i="9" a="1"/>
  <c r="S1926" i="9" l="1"/>
  <c r="T1926" i="9" s="1"/>
  <c r="U1926" i="9" s="1"/>
  <c r="O1927" i="9"/>
  <c r="R1927" i="9" s="1"/>
  <c r="S1927" i="9" s="1"/>
  <c r="T1927" i="9" s="1"/>
  <c r="U1927" i="9" s="1"/>
  <c r="I1930" i="9"/>
  <c r="J1928" i="9"/>
  <c r="K1928" i="9"/>
  <c r="L1928" i="9"/>
  <c r="M1928" i="9"/>
  <c r="N1928" i="9"/>
  <c r="J1929" i="9" a="1"/>
  <c r="O1928" i="9" l="1"/>
  <c r="R1928" i="9" s="1"/>
  <c r="L1929" i="9"/>
  <c r="M1929" i="9"/>
  <c r="N1929" i="9"/>
  <c r="J1929" i="9"/>
  <c r="K1929" i="9"/>
  <c r="I1931" i="9"/>
  <c r="J1930" i="9" a="1"/>
  <c r="O1929" i="9" l="1"/>
  <c r="R1929" i="9" s="1"/>
  <c r="I1932" i="9"/>
  <c r="L1930" i="9"/>
  <c r="K1930" i="9"/>
  <c r="M1930" i="9"/>
  <c r="N1930" i="9"/>
  <c r="J1930" i="9"/>
  <c r="J1931" i="9" a="1"/>
  <c r="O1930" i="9" l="1"/>
  <c r="R1930" i="9" s="1"/>
  <c r="J1931" i="9"/>
  <c r="K1931" i="9"/>
  <c r="L1931" i="9"/>
  <c r="N1931" i="9"/>
  <c r="M1931" i="9"/>
  <c r="I1933" i="9"/>
  <c r="J1932" i="9" a="1"/>
  <c r="O1931" i="9" l="1"/>
  <c r="R1931" i="9" s="1"/>
  <c r="J1932" i="9"/>
  <c r="K1932" i="9"/>
  <c r="L1932" i="9"/>
  <c r="M1932" i="9"/>
  <c r="N1932" i="9"/>
  <c r="I1934" i="9"/>
  <c r="J1933" i="9" a="1"/>
  <c r="O1932" i="9" l="1"/>
  <c r="R1932" i="9" s="1"/>
  <c r="N1933" i="9"/>
  <c r="J1933" i="9"/>
  <c r="K1933" i="9"/>
  <c r="L1933" i="9"/>
  <c r="M1933" i="9"/>
  <c r="I1935" i="9"/>
  <c r="J1934" i="9" a="1"/>
  <c r="O1933" i="9" l="1"/>
  <c r="R1933" i="9" s="1"/>
  <c r="I1936" i="9"/>
  <c r="J1934" i="9"/>
  <c r="L1934" i="9"/>
  <c r="K1934" i="9"/>
  <c r="M1934" i="9"/>
  <c r="N1934" i="9"/>
  <c r="J1935" i="9" a="1"/>
  <c r="O1934" i="9" l="1"/>
  <c r="R1934" i="9" s="1"/>
  <c r="P1933" i="9"/>
  <c r="Q1935" i="9" s="1"/>
  <c r="J1935" i="9"/>
  <c r="K1935" i="9"/>
  <c r="L1935" i="9"/>
  <c r="N1935" i="9"/>
  <c r="M1935" i="9"/>
  <c r="Q1931" i="9"/>
  <c r="S1931" i="9" s="1"/>
  <c r="T1931" i="9" s="1"/>
  <c r="U1931" i="9" s="1"/>
  <c r="Q1936" i="9"/>
  <c r="Q1928" i="9"/>
  <c r="S1928" i="9" s="1"/>
  <c r="T1928" i="9" s="1"/>
  <c r="U1928" i="9" s="1"/>
  <c r="Q1929" i="9"/>
  <c r="S1929" i="9" s="1"/>
  <c r="T1929" i="9" s="1"/>
  <c r="U1929" i="9" s="1"/>
  <c r="Q1930" i="9"/>
  <c r="S1930" i="9" s="1"/>
  <c r="T1930" i="9" s="1"/>
  <c r="U1930" i="9" s="1"/>
  <c r="I1937" i="9"/>
  <c r="J1936" i="9" a="1"/>
  <c r="Q1933" i="9" l="1"/>
  <c r="S1933" i="9" s="1"/>
  <c r="T1933" i="9" s="1"/>
  <c r="U1933" i="9" s="1"/>
  <c r="Q1934" i="9"/>
  <c r="S1934" i="9" s="1"/>
  <c r="T1934" i="9" s="1"/>
  <c r="U1934" i="9" s="1"/>
  <c r="Q1932" i="9"/>
  <c r="S1932" i="9" s="1"/>
  <c r="T1932" i="9" s="1"/>
  <c r="U1932" i="9" s="1"/>
  <c r="O1935" i="9"/>
  <c r="R1935" i="9" s="1"/>
  <c r="S1935" i="9" s="1"/>
  <c r="T1935" i="9" s="1"/>
  <c r="U1935" i="9" s="1"/>
  <c r="N1936" i="9"/>
  <c r="J1936" i="9"/>
  <c r="K1936" i="9"/>
  <c r="L1936" i="9"/>
  <c r="M1936" i="9"/>
  <c r="I1938" i="9"/>
  <c r="J1937" i="9" a="1"/>
  <c r="O1936" i="9" l="1"/>
  <c r="R1936" i="9" s="1"/>
  <c r="S1936" i="9" s="1"/>
  <c r="T1936" i="9" s="1"/>
  <c r="U1936" i="9" s="1"/>
  <c r="J1937" i="9"/>
  <c r="K1937" i="9"/>
  <c r="L1937" i="9"/>
  <c r="M1937" i="9"/>
  <c r="N1937" i="9"/>
  <c r="I1939" i="9"/>
  <c r="J1938" i="9" a="1"/>
  <c r="O1937" i="9" l="1"/>
  <c r="R1937" i="9" s="1"/>
  <c r="N1938" i="9"/>
  <c r="J1938" i="9"/>
  <c r="L1938" i="9"/>
  <c r="K1938" i="9"/>
  <c r="M1938" i="9"/>
  <c r="I1940" i="9"/>
  <c r="J1939" i="9" a="1"/>
  <c r="O1938" i="9" l="1"/>
  <c r="R1938" i="9" s="1"/>
  <c r="I1941" i="9"/>
  <c r="M1939" i="9"/>
  <c r="J1939" i="9"/>
  <c r="K1939" i="9"/>
  <c r="L1939" i="9"/>
  <c r="N1939" i="9"/>
  <c r="J1940" i="9" a="1"/>
  <c r="O1939" i="9" l="1"/>
  <c r="R1939" i="9" s="1"/>
  <c r="M1940" i="9"/>
  <c r="N1940" i="9"/>
  <c r="J1940" i="9"/>
  <c r="K1940" i="9"/>
  <c r="L1940" i="9"/>
  <c r="I1942" i="9"/>
  <c r="J1941" i="9" a="1"/>
  <c r="O1940" i="9" l="1"/>
  <c r="R1940" i="9" s="1"/>
  <c r="I1943" i="9"/>
  <c r="N1941" i="9"/>
  <c r="J1941" i="9"/>
  <c r="K1941" i="9"/>
  <c r="L1941" i="9"/>
  <c r="M1941" i="9"/>
  <c r="J1942" i="9" a="1"/>
  <c r="O1941" i="9" l="1"/>
  <c r="R1941" i="9" s="1"/>
  <c r="M1942" i="9"/>
  <c r="N1942" i="9"/>
  <c r="J1942" i="9"/>
  <c r="L1942" i="9"/>
  <c r="K1942" i="9"/>
  <c r="I1944" i="9"/>
  <c r="J1943" i="9" a="1"/>
  <c r="O1942" i="9" l="1"/>
  <c r="R1942" i="9" s="1"/>
  <c r="I1945" i="9"/>
  <c r="N1943" i="9"/>
  <c r="M1943" i="9"/>
  <c r="J1943" i="9"/>
  <c r="K1943" i="9"/>
  <c r="L1943" i="9"/>
  <c r="J1944" i="9" a="1"/>
  <c r="P1942" i="9" l="1"/>
  <c r="O1943" i="9"/>
  <c r="R1943" i="9" s="1"/>
  <c r="L1944" i="9"/>
  <c r="M1944" i="9"/>
  <c r="N1944" i="9"/>
  <c r="J1944" i="9"/>
  <c r="K1944" i="9"/>
  <c r="I1946" i="9"/>
  <c r="Q1941" i="9"/>
  <c r="S1941" i="9" s="1"/>
  <c r="T1941" i="9" s="1"/>
  <c r="U1941" i="9" s="1"/>
  <c r="Q1940" i="9"/>
  <c r="S1940" i="9" s="1"/>
  <c r="T1940" i="9" s="1"/>
  <c r="U1940" i="9" s="1"/>
  <c r="Q1944" i="9"/>
  <c r="Q1937" i="9"/>
  <c r="S1937" i="9" s="1"/>
  <c r="T1937" i="9" s="1"/>
  <c r="U1937" i="9" s="1"/>
  <c r="Q1939" i="9"/>
  <c r="S1939" i="9" s="1"/>
  <c r="T1939" i="9" s="1"/>
  <c r="U1939" i="9" s="1"/>
  <c r="Q1943" i="9"/>
  <c r="Q1942" i="9"/>
  <c r="S1942" i="9" s="1"/>
  <c r="T1942" i="9" s="1"/>
  <c r="U1942" i="9" s="1"/>
  <c r="Q1945" i="9"/>
  <c r="Q1938" i="9"/>
  <c r="S1938" i="9" s="1"/>
  <c r="T1938" i="9" s="1"/>
  <c r="U1938" i="9" s="1"/>
  <c r="J1945" i="9" a="1"/>
  <c r="O1944" i="9" l="1"/>
  <c r="R1944" i="9" s="1"/>
  <c r="S1944" i="9" s="1"/>
  <c r="T1944" i="9" s="1"/>
  <c r="U1944" i="9" s="1"/>
  <c r="S1943" i="9"/>
  <c r="T1943" i="9" s="1"/>
  <c r="U1943" i="9" s="1"/>
  <c r="I1947" i="9"/>
  <c r="J1945" i="9"/>
  <c r="K1945" i="9"/>
  <c r="L1945" i="9"/>
  <c r="M1945" i="9"/>
  <c r="N1945" i="9"/>
  <c r="J1946" i="9" a="1"/>
  <c r="O1945" i="9" l="1"/>
  <c r="R1945" i="9" s="1"/>
  <c r="S1945" i="9" s="1"/>
  <c r="T1945" i="9" s="1"/>
  <c r="U1945" i="9" s="1"/>
  <c r="M1946" i="9"/>
  <c r="N1946" i="9"/>
  <c r="J1946" i="9"/>
  <c r="L1946" i="9"/>
  <c r="K1946" i="9"/>
  <c r="I1948" i="9"/>
  <c r="J1947" i="9" a="1"/>
  <c r="O1946" i="9" l="1"/>
  <c r="R1946" i="9" s="1"/>
  <c r="I1949" i="9"/>
  <c r="L1947" i="9"/>
  <c r="N1947" i="9"/>
  <c r="M1947" i="9"/>
  <c r="J1947" i="9"/>
  <c r="K1947" i="9"/>
  <c r="J1948" i="9" a="1"/>
  <c r="O1947" i="9" l="1"/>
  <c r="R1947" i="9" s="1"/>
  <c r="K1948" i="9"/>
  <c r="L1948" i="9"/>
  <c r="M1948" i="9"/>
  <c r="N1948" i="9"/>
  <c r="J1948" i="9"/>
  <c r="I1950" i="9"/>
  <c r="J1949" i="9" a="1"/>
  <c r="O1948" i="9" l="1"/>
  <c r="R1948" i="9" s="1"/>
  <c r="I1951" i="9"/>
  <c r="M1949" i="9"/>
  <c r="N1949" i="9"/>
  <c r="J1949" i="9"/>
  <c r="K1949" i="9"/>
  <c r="L1949" i="9"/>
  <c r="J1950" i="9" a="1"/>
  <c r="O1949" i="9" l="1"/>
  <c r="R1949" i="9" s="1"/>
  <c r="K1950" i="9"/>
  <c r="M1950" i="9"/>
  <c r="N1950" i="9"/>
  <c r="J1950" i="9"/>
  <c r="L1950" i="9"/>
  <c r="I1952" i="9"/>
  <c r="J1951" i="9" a="1"/>
  <c r="O1950" i="9" l="1"/>
  <c r="R1950" i="9" s="1"/>
  <c r="I1953" i="9"/>
  <c r="K1951" i="9"/>
  <c r="L1951" i="9"/>
  <c r="N1951" i="9"/>
  <c r="M1951" i="9"/>
  <c r="J1951" i="9"/>
  <c r="J1952" i="9" a="1"/>
  <c r="O1951" i="9" l="1"/>
  <c r="P1951" i="9" s="1"/>
  <c r="J1952" i="9"/>
  <c r="K1952" i="9"/>
  <c r="L1952" i="9"/>
  <c r="M1952" i="9"/>
  <c r="N1952" i="9"/>
  <c r="I1954" i="9"/>
  <c r="J1953" i="9" a="1"/>
  <c r="R1951" i="9" l="1"/>
  <c r="O1952" i="9"/>
  <c r="R1952" i="9" s="1"/>
  <c r="K1953" i="9"/>
  <c r="L1953" i="9"/>
  <c r="M1953" i="9"/>
  <c r="N1953" i="9"/>
  <c r="J1953" i="9"/>
  <c r="I1955" i="9"/>
  <c r="Q1947" i="9"/>
  <c r="S1947" i="9" s="1"/>
  <c r="T1947" i="9" s="1"/>
  <c r="U1947" i="9" s="1"/>
  <c r="Q1953" i="9"/>
  <c r="Q1950" i="9"/>
  <c r="S1950" i="9" s="1"/>
  <c r="T1950" i="9" s="1"/>
  <c r="U1950" i="9" s="1"/>
  <c r="Q1952" i="9"/>
  <c r="Q1948" i="9"/>
  <c r="S1948" i="9" s="1"/>
  <c r="T1948" i="9" s="1"/>
  <c r="U1948" i="9" s="1"/>
  <c r="Q1949" i="9"/>
  <c r="S1949" i="9" s="1"/>
  <c r="T1949" i="9" s="1"/>
  <c r="U1949" i="9" s="1"/>
  <c r="Q1954" i="9"/>
  <c r="Q1951" i="9"/>
  <c r="S1951" i="9" s="1"/>
  <c r="T1951" i="9" s="1"/>
  <c r="U1951" i="9" s="1"/>
  <c r="Q1946" i="9"/>
  <c r="S1946" i="9" s="1"/>
  <c r="T1946" i="9" s="1"/>
  <c r="U1946" i="9" s="1"/>
  <c r="J1954" i="9" a="1"/>
  <c r="O1953" i="9" l="1"/>
  <c r="R1953" i="9" s="1"/>
  <c r="S1953" i="9" s="1"/>
  <c r="T1953" i="9" s="1"/>
  <c r="U1953" i="9" s="1"/>
  <c r="S1952" i="9"/>
  <c r="T1952" i="9" s="1"/>
  <c r="U1952" i="9" s="1"/>
  <c r="I1956" i="9"/>
  <c r="L1954" i="9"/>
  <c r="K1954" i="9"/>
  <c r="M1954" i="9"/>
  <c r="N1954" i="9"/>
  <c r="J1954" i="9"/>
  <c r="J1955" i="9" a="1"/>
  <c r="O1954" i="9" l="1"/>
  <c r="R1954" i="9" s="1"/>
  <c r="S1954" i="9" s="1"/>
  <c r="T1954" i="9" s="1"/>
  <c r="U1954" i="9" s="1"/>
  <c r="J1955" i="9"/>
  <c r="K1955" i="9"/>
  <c r="L1955" i="9"/>
  <c r="N1955" i="9"/>
  <c r="M1955" i="9"/>
  <c r="I1957" i="9"/>
  <c r="J1956" i="9" a="1"/>
  <c r="O1955" i="9" l="1"/>
  <c r="R1955" i="9" s="1"/>
  <c r="J1956" i="9"/>
  <c r="K1956" i="9"/>
  <c r="L1956" i="9"/>
  <c r="M1956" i="9"/>
  <c r="N1956" i="9"/>
  <c r="I1958" i="9"/>
  <c r="J1957" i="9" a="1"/>
  <c r="O1956" i="9" l="1"/>
  <c r="R1956" i="9" s="1"/>
  <c r="J1957" i="9"/>
  <c r="K1957" i="9"/>
  <c r="L1957" i="9"/>
  <c r="M1957" i="9"/>
  <c r="N1957" i="9"/>
  <c r="I1959" i="9"/>
  <c r="J1958" i="9" a="1"/>
  <c r="O1957" i="9" l="1"/>
  <c r="R1957" i="9" s="1"/>
  <c r="J1958" i="9"/>
  <c r="L1958" i="9"/>
  <c r="K1958" i="9"/>
  <c r="M1958" i="9"/>
  <c r="N1958" i="9"/>
  <c r="I1960" i="9"/>
  <c r="J1959" i="9" a="1"/>
  <c r="O1958" i="9" l="1"/>
  <c r="R1958" i="9" s="1"/>
  <c r="J1959" i="9"/>
  <c r="K1959" i="9"/>
  <c r="L1959" i="9"/>
  <c r="N1959" i="9"/>
  <c r="M1959" i="9"/>
  <c r="I1961" i="9"/>
  <c r="J1960" i="9" a="1"/>
  <c r="O1959" i="9" l="1"/>
  <c r="R1959" i="9" s="1"/>
  <c r="N1960" i="9"/>
  <c r="J1960" i="9"/>
  <c r="K1960" i="9"/>
  <c r="L1960" i="9"/>
  <c r="M1960" i="9"/>
  <c r="I1962" i="9"/>
  <c r="J1961" i="9" a="1"/>
  <c r="O1960" i="9" l="1"/>
  <c r="R1960" i="9" s="1"/>
  <c r="I1963" i="9"/>
  <c r="K1961" i="9"/>
  <c r="L1961" i="9"/>
  <c r="M1961" i="9"/>
  <c r="N1961" i="9"/>
  <c r="J1961" i="9"/>
  <c r="J1962" i="9" a="1"/>
  <c r="P1960" i="9" l="1"/>
  <c r="Q1956" i="9" s="1"/>
  <c r="S1956" i="9" s="1"/>
  <c r="T1956" i="9" s="1"/>
  <c r="U1956" i="9" s="1"/>
  <c r="O1961" i="9"/>
  <c r="R1961" i="9" s="1"/>
  <c r="Q1963" i="9"/>
  <c r="Q1958" i="9"/>
  <c r="S1958" i="9" s="1"/>
  <c r="T1958" i="9" s="1"/>
  <c r="U1958" i="9" s="1"/>
  <c r="Q1961" i="9"/>
  <c r="S1961" i="9" s="1"/>
  <c r="T1961" i="9" s="1"/>
  <c r="U1961" i="9" s="1"/>
  <c r="N1962" i="9"/>
  <c r="J1962" i="9"/>
  <c r="L1962" i="9"/>
  <c r="K1962" i="9"/>
  <c r="M1962" i="9"/>
  <c r="I1964" i="9"/>
  <c r="J1963" i="9" a="1"/>
  <c r="Q1957" i="9" l="1"/>
  <c r="S1957" i="9" s="1"/>
  <c r="T1957" i="9" s="1"/>
  <c r="U1957" i="9" s="1"/>
  <c r="Q1955" i="9"/>
  <c r="S1955" i="9" s="1"/>
  <c r="T1955" i="9" s="1"/>
  <c r="U1955" i="9" s="1"/>
  <c r="Q1960" i="9"/>
  <c r="S1960" i="9" s="1"/>
  <c r="T1960" i="9" s="1"/>
  <c r="U1960" i="9" s="1"/>
  <c r="Q1962" i="9"/>
  <c r="Q1959" i="9"/>
  <c r="S1959" i="9" s="1"/>
  <c r="T1959" i="9" s="1"/>
  <c r="U1959" i="9" s="1"/>
  <c r="O1962" i="9"/>
  <c r="R1962" i="9" s="1"/>
  <c r="M1963" i="9"/>
  <c r="J1963" i="9"/>
  <c r="K1963" i="9"/>
  <c r="L1963" i="9"/>
  <c r="N1963" i="9"/>
  <c r="I1965" i="9"/>
  <c r="J1964" i="9" a="1"/>
  <c r="S1962" i="9" l="1"/>
  <c r="T1962" i="9" s="1"/>
  <c r="U1962" i="9" s="1"/>
  <c r="O1963" i="9"/>
  <c r="R1963" i="9" s="1"/>
  <c r="S1963" i="9" s="1"/>
  <c r="T1963" i="9" s="1"/>
  <c r="U1963" i="9" s="1"/>
  <c r="N1964" i="9"/>
  <c r="K1964" i="9"/>
  <c r="J1964" i="9"/>
  <c r="L1964" i="9"/>
  <c r="M1964" i="9"/>
  <c r="I1966" i="9"/>
  <c r="J1965" i="9" a="1"/>
  <c r="O1964" i="9" l="1"/>
  <c r="R1964" i="9" s="1"/>
  <c r="J1965" i="9"/>
  <c r="M1965" i="9"/>
  <c r="K1965" i="9"/>
  <c r="L1965" i="9"/>
  <c r="N1965" i="9"/>
  <c r="I1967" i="9"/>
  <c r="J1966" i="9" a="1"/>
  <c r="O1965" i="9" l="1"/>
  <c r="R1965" i="9" s="1"/>
  <c r="M1966" i="9"/>
  <c r="N1966" i="9"/>
  <c r="J1966" i="9"/>
  <c r="L1966" i="9"/>
  <c r="K1966" i="9"/>
  <c r="I1968" i="9"/>
  <c r="J1967" i="9" a="1"/>
  <c r="O1966" i="9" l="1"/>
  <c r="R1966" i="9" s="1"/>
  <c r="I1969" i="9"/>
  <c r="K1967" i="9"/>
  <c r="L1967" i="9"/>
  <c r="N1967" i="9"/>
  <c r="M1967" i="9"/>
  <c r="J1967" i="9"/>
  <c r="J1968" i="9" a="1"/>
  <c r="O1967" i="9" l="1"/>
  <c r="R1967" i="9" s="1"/>
  <c r="M1968" i="9"/>
  <c r="N1968" i="9"/>
  <c r="K1968" i="9"/>
  <c r="J1968" i="9"/>
  <c r="L1968" i="9"/>
  <c r="I1970" i="9"/>
  <c r="J1969" i="9" a="1"/>
  <c r="O1968" i="9" l="1"/>
  <c r="R1968" i="9" s="1"/>
  <c r="I1971" i="9"/>
  <c r="K1969" i="9"/>
  <c r="L1969" i="9"/>
  <c r="N1969" i="9"/>
  <c r="J1969" i="9"/>
  <c r="M1969" i="9"/>
  <c r="J1970" i="9" a="1"/>
  <c r="O1969" i="9" l="1"/>
  <c r="R1969" i="9" s="1"/>
  <c r="I1972" i="9"/>
  <c r="M1970" i="9"/>
  <c r="N1970" i="9"/>
  <c r="J1970" i="9"/>
  <c r="L1970" i="9"/>
  <c r="K1970" i="9"/>
  <c r="J1971" i="9" a="1"/>
  <c r="P1969" i="9" l="1"/>
  <c r="Q1969" i="9" s="1"/>
  <c r="S1969" i="9" s="1"/>
  <c r="T1969" i="9" s="1"/>
  <c r="U1969" i="9" s="1"/>
  <c r="O1970" i="9"/>
  <c r="I1973" i="9"/>
  <c r="N1971" i="9"/>
  <c r="M1971" i="9"/>
  <c r="J1971" i="9"/>
  <c r="K1971" i="9"/>
  <c r="L1971" i="9"/>
  <c r="Q1965" i="9"/>
  <c r="S1965" i="9" s="1"/>
  <c r="T1965" i="9" s="1"/>
  <c r="U1965" i="9" s="1"/>
  <c r="Q1972" i="9"/>
  <c r="Q1966" i="9"/>
  <c r="S1966" i="9" s="1"/>
  <c r="T1966" i="9" s="1"/>
  <c r="U1966" i="9" s="1"/>
  <c r="Q1964" i="9"/>
  <c r="S1964" i="9" s="1"/>
  <c r="T1964" i="9" s="1"/>
  <c r="U1964" i="9" s="1"/>
  <c r="Q1967" i="9"/>
  <c r="S1967" i="9" s="1"/>
  <c r="T1967" i="9" s="1"/>
  <c r="U1967" i="9" s="1"/>
  <c r="R1970" i="9"/>
  <c r="J1972" i="9" a="1"/>
  <c r="Q1971" i="9" l="1"/>
  <c r="Q1970" i="9"/>
  <c r="S1970" i="9" s="1"/>
  <c r="T1970" i="9" s="1"/>
  <c r="U1970" i="9" s="1"/>
  <c r="Q1968" i="9"/>
  <c r="S1968" i="9" s="1"/>
  <c r="T1968" i="9" s="1"/>
  <c r="U1968" i="9" s="1"/>
  <c r="O1971" i="9"/>
  <c r="R1971" i="9" s="1"/>
  <c r="L1972" i="9"/>
  <c r="M1972" i="9"/>
  <c r="N1972" i="9"/>
  <c r="K1972" i="9"/>
  <c r="J1972" i="9"/>
  <c r="I1974" i="9"/>
  <c r="J1973" i="9" a="1"/>
  <c r="S1971" i="9" l="1"/>
  <c r="T1971" i="9" s="1"/>
  <c r="U1971" i="9" s="1"/>
  <c r="O1972" i="9"/>
  <c r="R1972" i="9" s="1"/>
  <c r="S1972" i="9" s="1"/>
  <c r="T1972" i="9" s="1"/>
  <c r="U1972" i="9" s="1"/>
  <c r="K1973" i="9"/>
  <c r="L1973" i="9"/>
  <c r="N1973" i="9"/>
  <c r="J1973" i="9"/>
  <c r="M1973" i="9"/>
  <c r="I1975" i="9"/>
  <c r="J1974" i="9" a="1"/>
  <c r="O1973" i="9" l="1"/>
  <c r="R1973" i="9" s="1"/>
  <c r="I1976" i="9"/>
  <c r="K1974" i="9"/>
  <c r="M1974" i="9"/>
  <c r="N1974" i="9"/>
  <c r="J1974" i="9"/>
  <c r="L1974" i="9"/>
  <c r="J1975" i="9" a="1"/>
  <c r="O1974" i="9" l="1"/>
  <c r="R1974" i="9" s="1"/>
  <c r="L1975" i="9"/>
  <c r="N1975" i="9"/>
  <c r="M1975" i="9"/>
  <c r="J1975" i="9"/>
  <c r="K1975" i="9"/>
  <c r="I1977" i="9"/>
  <c r="J1976" i="9" a="1"/>
  <c r="O1975" i="9" l="1"/>
  <c r="R1975" i="9" s="1"/>
  <c r="I1978" i="9"/>
  <c r="J1976" i="9"/>
  <c r="L1976" i="9"/>
  <c r="M1976" i="9"/>
  <c r="N1976" i="9"/>
  <c r="K1976" i="9"/>
  <c r="J1977" i="9" a="1"/>
  <c r="O1976" i="9" l="1"/>
  <c r="R1976" i="9" s="1"/>
  <c r="J1977" i="9"/>
  <c r="M1977" i="9"/>
  <c r="K1977" i="9"/>
  <c r="L1977" i="9"/>
  <c r="N1977" i="9"/>
  <c r="I1979" i="9"/>
  <c r="J1978" i="9" a="1"/>
  <c r="O1977" i="9" l="1"/>
  <c r="R1977" i="9" s="1"/>
  <c r="L1978" i="9"/>
  <c r="K1978" i="9"/>
  <c r="M1978" i="9"/>
  <c r="N1978" i="9"/>
  <c r="J1978" i="9"/>
  <c r="I1980" i="9"/>
  <c r="J1979" i="9" a="1"/>
  <c r="O1978" i="9" l="1"/>
  <c r="R1978" i="9" s="1"/>
  <c r="I1981" i="9"/>
  <c r="L1979" i="9"/>
  <c r="N1979" i="9"/>
  <c r="M1979" i="9"/>
  <c r="J1979" i="9"/>
  <c r="K1979" i="9"/>
  <c r="J1980" i="9" a="1"/>
  <c r="P1978" i="9" l="1"/>
  <c r="O1979" i="9"/>
  <c r="Q1976" i="9"/>
  <c r="S1976" i="9" s="1"/>
  <c r="T1976" i="9" s="1"/>
  <c r="U1976" i="9" s="1"/>
  <c r="Q1981" i="9"/>
  <c r="Q1978" i="9"/>
  <c r="S1978" i="9" s="1"/>
  <c r="T1978" i="9" s="1"/>
  <c r="U1978" i="9" s="1"/>
  <c r="Q1980" i="9"/>
  <c r="Q1974" i="9"/>
  <c r="S1974" i="9" s="1"/>
  <c r="T1974" i="9" s="1"/>
  <c r="U1974" i="9" s="1"/>
  <c r="Q1977" i="9"/>
  <c r="S1977" i="9" s="1"/>
  <c r="T1977" i="9" s="1"/>
  <c r="U1977" i="9" s="1"/>
  <c r="Q1979" i="9"/>
  <c r="Q1975" i="9"/>
  <c r="S1975" i="9" s="1"/>
  <c r="T1975" i="9" s="1"/>
  <c r="U1975" i="9" s="1"/>
  <c r="Q1973" i="9"/>
  <c r="S1973" i="9" s="1"/>
  <c r="T1973" i="9" s="1"/>
  <c r="U1973" i="9" s="1"/>
  <c r="J1980" i="9"/>
  <c r="L1980" i="9"/>
  <c r="M1980" i="9"/>
  <c r="N1980" i="9"/>
  <c r="K1980" i="9"/>
  <c r="R1979" i="9"/>
  <c r="I1982" i="9"/>
  <c r="J1981" i="9" a="1"/>
  <c r="S1979" i="9" l="1"/>
  <c r="T1979" i="9" s="1"/>
  <c r="U1979" i="9" s="1"/>
  <c r="O1980" i="9"/>
  <c r="R1980" i="9" s="1"/>
  <c r="S1980" i="9" s="1"/>
  <c r="T1980" i="9" s="1"/>
  <c r="U1980" i="9" s="1"/>
  <c r="N1981" i="9"/>
  <c r="J1981" i="9"/>
  <c r="M1981" i="9"/>
  <c r="K1981" i="9"/>
  <c r="L1981" i="9"/>
  <c r="I1983" i="9"/>
  <c r="J1982" i="9" a="1"/>
  <c r="O1981" i="9" l="1"/>
  <c r="R1981" i="9" s="1"/>
  <c r="S1981" i="9" s="1"/>
  <c r="T1981" i="9" s="1"/>
  <c r="U1981" i="9" s="1"/>
  <c r="I1984" i="9"/>
  <c r="J1982" i="9"/>
  <c r="L1982" i="9"/>
  <c r="K1982" i="9"/>
  <c r="M1982" i="9"/>
  <c r="N1982" i="9"/>
  <c r="J1983" i="9" a="1"/>
  <c r="O1982" i="9" l="1"/>
  <c r="R1982" i="9" s="1"/>
  <c r="J1983" i="9"/>
  <c r="K1983" i="9"/>
  <c r="L1983" i="9"/>
  <c r="N1983" i="9"/>
  <c r="M1983" i="9"/>
  <c r="I1985" i="9"/>
  <c r="J1984" i="9" a="1"/>
  <c r="O1983" i="9" l="1"/>
  <c r="R1983" i="9" s="1"/>
  <c r="I1986" i="9"/>
  <c r="L1984" i="9"/>
  <c r="M1984" i="9"/>
  <c r="N1984" i="9"/>
  <c r="K1984" i="9"/>
  <c r="J1984" i="9"/>
  <c r="J1985" i="9" a="1"/>
  <c r="O1984" i="9" l="1"/>
  <c r="R1984" i="9" s="1"/>
  <c r="N1985" i="9"/>
  <c r="J1985" i="9"/>
  <c r="K1985" i="9"/>
  <c r="M1985" i="9"/>
  <c r="L1985" i="9"/>
  <c r="I1987" i="9"/>
  <c r="J1986" i="9" a="1"/>
  <c r="O1985" i="9" l="1"/>
  <c r="R1985" i="9" s="1"/>
  <c r="J1986" i="9"/>
  <c r="L1986" i="9"/>
  <c r="K1986" i="9"/>
  <c r="M1986" i="9"/>
  <c r="N1986" i="9"/>
  <c r="I1988" i="9"/>
  <c r="J1987" i="9" a="1"/>
  <c r="O1986" i="9" l="1"/>
  <c r="R1986" i="9" s="1"/>
  <c r="M1987" i="9"/>
  <c r="J1987" i="9"/>
  <c r="K1987" i="9"/>
  <c r="L1987" i="9"/>
  <c r="N1987" i="9"/>
  <c r="I1989" i="9"/>
  <c r="J1988" i="9" a="1"/>
  <c r="O1987" i="9" l="1"/>
  <c r="R1987" i="9" s="1"/>
  <c r="I1990" i="9"/>
  <c r="J1988" i="9"/>
  <c r="L1988" i="9"/>
  <c r="K1988" i="9"/>
  <c r="M1988" i="9"/>
  <c r="N1988" i="9"/>
  <c r="J1989" i="9" a="1"/>
  <c r="P1987" i="9" l="1"/>
  <c r="Q1986" i="9" s="1"/>
  <c r="S1986" i="9" s="1"/>
  <c r="T1986" i="9" s="1"/>
  <c r="U1986" i="9" s="1"/>
  <c r="O1988" i="9"/>
  <c r="R1988" i="9" s="1"/>
  <c r="Q1989" i="9"/>
  <c r="Q1988" i="9"/>
  <c r="S1988" i="9" s="1"/>
  <c r="T1988" i="9" s="1"/>
  <c r="U1988" i="9" s="1"/>
  <c r="Q1990" i="9"/>
  <c r="Q1987" i="9"/>
  <c r="S1987" i="9" s="1"/>
  <c r="T1987" i="9" s="1"/>
  <c r="U1987" i="9" s="1"/>
  <c r="Q1982" i="9"/>
  <c r="S1982" i="9" s="1"/>
  <c r="T1982" i="9" s="1"/>
  <c r="U1982" i="9" s="1"/>
  <c r="N1989" i="9"/>
  <c r="J1989" i="9"/>
  <c r="K1989" i="9"/>
  <c r="M1989" i="9"/>
  <c r="L1989" i="9"/>
  <c r="I1991" i="9"/>
  <c r="J1990" i="9" a="1"/>
  <c r="Q1984" i="9" l="1"/>
  <c r="S1984" i="9" s="1"/>
  <c r="T1984" i="9" s="1"/>
  <c r="U1984" i="9" s="1"/>
  <c r="Q1985" i="9"/>
  <c r="S1985" i="9" s="1"/>
  <c r="T1985" i="9" s="1"/>
  <c r="U1985" i="9" s="1"/>
  <c r="Q1983" i="9"/>
  <c r="S1983" i="9" s="1"/>
  <c r="T1983" i="9" s="1"/>
  <c r="U1983" i="9" s="1"/>
  <c r="O1989" i="9"/>
  <c r="R1989" i="9" s="1"/>
  <c r="S1989" i="9" s="1"/>
  <c r="T1989" i="9" s="1"/>
  <c r="U1989" i="9" s="1"/>
  <c r="I1992" i="9"/>
  <c r="N1990" i="9"/>
  <c r="J1990" i="9"/>
  <c r="L1990" i="9"/>
  <c r="K1990" i="9"/>
  <c r="M1990" i="9"/>
  <c r="J1991" i="9" a="1"/>
  <c r="O1990" i="9" l="1"/>
  <c r="R1990" i="9" s="1"/>
  <c r="S1990" i="9" s="1"/>
  <c r="T1990" i="9" s="1"/>
  <c r="U1990" i="9" s="1"/>
  <c r="J1991" i="9"/>
  <c r="L1991" i="9"/>
  <c r="N1991" i="9"/>
  <c r="M1991" i="9"/>
  <c r="K1991" i="9"/>
  <c r="I1993" i="9"/>
  <c r="J1992" i="9" a="1"/>
  <c r="O1991" i="9" l="1"/>
  <c r="R1991" i="9" s="1"/>
  <c r="J1992" i="9"/>
  <c r="L1992" i="9"/>
  <c r="N1992" i="9"/>
  <c r="K1992" i="9"/>
  <c r="M1992" i="9"/>
  <c r="I1994" i="9"/>
  <c r="J1993" i="9" a="1"/>
  <c r="O1992" i="9" l="1"/>
  <c r="R1992" i="9" s="1"/>
  <c r="L1993" i="9"/>
  <c r="N1993" i="9"/>
  <c r="J1993" i="9"/>
  <c r="K1993" i="9"/>
  <c r="M1993" i="9"/>
  <c r="I1995" i="9"/>
  <c r="J1994" i="9" a="1"/>
  <c r="O1993" i="9" l="1"/>
  <c r="R1993" i="9" s="1"/>
  <c r="I1996" i="9"/>
  <c r="M1994" i="9"/>
  <c r="N1994" i="9"/>
  <c r="J1994" i="9"/>
  <c r="L1994" i="9"/>
  <c r="K1994" i="9"/>
  <c r="J1995" i="9" a="1"/>
  <c r="O1994" i="9" l="1"/>
  <c r="R1994" i="9" s="1"/>
  <c r="N1995" i="9"/>
  <c r="K1995" i="9"/>
  <c r="M1995" i="9"/>
  <c r="J1995" i="9"/>
  <c r="L1995" i="9"/>
  <c r="I1997" i="9"/>
  <c r="J1996" i="9" a="1"/>
  <c r="O1995" i="9" l="1"/>
  <c r="R1995" i="9" s="1"/>
  <c r="I1998" i="9"/>
  <c r="K1996" i="9"/>
  <c r="M1996" i="9"/>
  <c r="J1996" i="9"/>
  <c r="L1996" i="9"/>
  <c r="N1996" i="9"/>
  <c r="J1997" i="9" a="1"/>
  <c r="O1996" i="9" l="1"/>
  <c r="P1996" i="9" s="1"/>
  <c r="L1997" i="9"/>
  <c r="N1997" i="9"/>
  <c r="J1997" i="9"/>
  <c r="K1997" i="9"/>
  <c r="M1997" i="9"/>
  <c r="I1999" i="9"/>
  <c r="J1998" i="9" a="1"/>
  <c r="R1996" i="9" l="1"/>
  <c r="O1997" i="9"/>
  <c r="R1997" i="9" s="1"/>
  <c r="L1998" i="9"/>
  <c r="K1998" i="9"/>
  <c r="M1998" i="9"/>
  <c r="N1998" i="9"/>
  <c r="J1998" i="9"/>
  <c r="I2000" i="9"/>
  <c r="Q1998" i="9"/>
  <c r="Q1994" i="9"/>
  <c r="S1994" i="9" s="1"/>
  <c r="T1994" i="9" s="1"/>
  <c r="U1994" i="9" s="1"/>
  <c r="Q1991" i="9"/>
  <c r="S1991" i="9" s="1"/>
  <c r="T1991" i="9" s="1"/>
  <c r="U1991" i="9" s="1"/>
  <c r="Q1999" i="9"/>
  <c r="Q1996" i="9"/>
  <c r="S1996" i="9" s="1"/>
  <c r="T1996" i="9" s="1"/>
  <c r="U1996" i="9" s="1"/>
  <c r="Q1995" i="9"/>
  <c r="S1995" i="9" s="1"/>
  <c r="T1995" i="9" s="1"/>
  <c r="U1995" i="9" s="1"/>
  <c r="Q1997" i="9"/>
  <c r="S1997" i="9" s="1"/>
  <c r="T1997" i="9" s="1"/>
  <c r="U1997" i="9" s="1"/>
  <c r="Q1992" i="9"/>
  <c r="S1992" i="9" s="1"/>
  <c r="T1992" i="9" s="1"/>
  <c r="U1992" i="9" s="1"/>
  <c r="Q1993" i="9"/>
  <c r="S1993" i="9" s="1"/>
  <c r="T1993" i="9" s="1"/>
  <c r="U1993" i="9" s="1"/>
  <c r="J1999" i="9" a="1"/>
  <c r="O1998" i="9" l="1"/>
  <c r="R1998" i="9" s="1"/>
  <c r="S1998" i="9" s="1"/>
  <c r="T1998" i="9" s="1"/>
  <c r="U1998" i="9" s="1"/>
  <c r="I2001" i="9"/>
  <c r="J1999" i="9"/>
  <c r="L1999" i="9"/>
  <c r="N1999" i="9"/>
  <c r="M1999" i="9"/>
  <c r="K1999" i="9"/>
  <c r="J2000" i="9" a="1"/>
  <c r="O1999" i="9" l="1"/>
  <c r="R1999" i="9" s="1"/>
  <c r="S1999" i="9" s="1"/>
  <c r="T1999" i="9" s="1"/>
  <c r="U1999" i="9" s="1"/>
  <c r="J2000" i="9"/>
  <c r="L2000" i="9"/>
  <c r="N2000" i="9"/>
  <c r="K2000" i="9"/>
  <c r="M2000" i="9"/>
  <c r="I2002" i="9"/>
  <c r="J2001" i="9" a="1"/>
  <c r="O2000" i="9" l="1"/>
  <c r="R2000" i="9" s="1"/>
  <c r="M2001" i="9"/>
  <c r="L2001" i="9"/>
  <c r="N2001" i="9"/>
  <c r="J2001" i="9"/>
  <c r="K2001" i="9"/>
  <c r="I2003" i="9"/>
  <c r="J2002" i="9" a="1"/>
  <c r="O2001" i="9" l="1"/>
  <c r="R2001" i="9" s="1"/>
  <c r="I2004" i="9"/>
  <c r="N2002" i="9"/>
  <c r="J2002" i="9"/>
  <c r="K2002" i="9"/>
  <c r="M2002" i="9"/>
  <c r="L2002" i="9"/>
  <c r="J2003" i="9" a="1"/>
  <c r="O2002" i="9" l="1"/>
  <c r="R2002" i="9" s="1"/>
  <c r="L2003" i="9"/>
  <c r="N2003" i="9"/>
  <c r="K2003" i="9"/>
  <c r="M2003" i="9"/>
  <c r="J2003" i="9"/>
  <c r="I2005" i="9"/>
  <c r="J2004" i="9" a="1"/>
  <c r="O2003" i="9" l="1"/>
  <c r="R2003" i="9" s="1"/>
  <c r="I2006" i="9"/>
  <c r="N2004" i="9"/>
  <c r="K2004" i="9"/>
  <c r="M2004" i="9"/>
  <c r="J2004" i="9"/>
  <c r="L2004" i="9"/>
  <c r="J2005" i="9" a="1"/>
  <c r="O2004" i="9" l="1"/>
  <c r="R2004" i="9" s="1"/>
  <c r="L2005" i="9"/>
  <c r="N2005" i="9"/>
  <c r="J2005" i="9"/>
  <c r="K2005" i="9"/>
  <c r="M2005" i="9"/>
  <c r="I2007" i="9"/>
  <c r="J2006" i="9" a="1"/>
  <c r="O2005" i="9" l="1"/>
  <c r="R2005" i="9" s="1"/>
  <c r="I2008" i="9"/>
  <c r="J2006" i="9"/>
  <c r="L2006" i="9"/>
  <c r="K2006" i="9"/>
  <c r="M2006" i="9"/>
  <c r="N2006" i="9"/>
  <c r="J2007" i="9" a="1"/>
  <c r="P2005" i="9" l="1"/>
  <c r="O2006" i="9"/>
  <c r="R2006" i="9" s="1"/>
  <c r="Q2003" i="9"/>
  <c r="S2003" i="9" s="1"/>
  <c r="T2003" i="9" s="1"/>
  <c r="U2003" i="9" s="1"/>
  <c r="Q2001" i="9"/>
  <c r="S2001" i="9" s="1"/>
  <c r="T2001" i="9" s="1"/>
  <c r="U2001" i="9" s="1"/>
  <c r="Q2006" i="9"/>
  <c r="S2006" i="9" s="1"/>
  <c r="T2006" i="9" s="1"/>
  <c r="U2006" i="9" s="1"/>
  <c r="Q2002" i="9"/>
  <c r="S2002" i="9" s="1"/>
  <c r="T2002" i="9" s="1"/>
  <c r="U2002" i="9" s="1"/>
  <c r="Q2004" i="9"/>
  <c r="S2004" i="9" s="1"/>
  <c r="T2004" i="9" s="1"/>
  <c r="U2004" i="9" s="1"/>
  <c r="Q2008" i="9"/>
  <c r="Q2005" i="9"/>
  <c r="S2005" i="9" s="1"/>
  <c r="T2005" i="9" s="1"/>
  <c r="U2005" i="9" s="1"/>
  <c r="Q2000" i="9"/>
  <c r="S2000" i="9" s="1"/>
  <c r="T2000" i="9" s="1"/>
  <c r="U2000" i="9" s="1"/>
  <c r="Q2007" i="9"/>
  <c r="K2007" i="9"/>
  <c r="J2007" i="9"/>
  <c r="L2007" i="9"/>
  <c r="N2007" i="9"/>
  <c r="M2007" i="9"/>
  <c r="I2009" i="9"/>
  <c r="J2008" i="9" a="1"/>
  <c r="O2007" i="9" l="1"/>
  <c r="R2007" i="9" s="1"/>
  <c r="S2007" i="9" s="1"/>
  <c r="T2007" i="9" s="1"/>
  <c r="U2007" i="9" s="1"/>
  <c r="M2008" i="9"/>
  <c r="J2008" i="9"/>
  <c r="L2008" i="9"/>
  <c r="N2008" i="9"/>
  <c r="K2008" i="9"/>
  <c r="I2010" i="9"/>
  <c r="J2009" i="9" a="1"/>
  <c r="O2008" i="9" l="1"/>
  <c r="R2008" i="9" s="1"/>
  <c r="S2008" i="9" s="1"/>
  <c r="T2008" i="9" s="1"/>
  <c r="U2008" i="9" s="1"/>
  <c r="K2009" i="9"/>
  <c r="M2009" i="9"/>
  <c r="L2009" i="9"/>
  <c r="N2009" i="9"/>
  <c r="J2009" i="9"/>
  <c r="I2011" i="9"/>
  <c r="J2010" i="9" a="1"/>
  <c r="O2009" i="9" l="1"/>
  <c r="R2009" i="9" s="1"/>
  <c r="I2012" i="9"/>
  <c r="N2010" i="9"/>
  <c r="J2010" i="9"/>
  <c r="L2010" i="9"/>
  <c r="M2010" i="9"/>
  <c r="K2010" i="9"/>
  <c r="J2011" i="9" a="1"/>
  <c r="O2010" i="9" l="1"/>
  <c r="R2010" i="9" s="1"/>
  <c r="J2011" i="9"/>
  <c r="L2011" i="9"/>
  <c r="N2011" i="9"/>
  <c r="K2011" i="9"/>
  <c r="M2011" i="9"/>
  <c r="I2013" i="9"/>
  <c r="J2012" i="9" a="1"/>
  <c r="O2011" i="9" l="1"/>
  <c r="R2011" i="9" s="1"/>
  <c r="L2012" i="9"/>
  <c r="N2012" i="9"/>
  <c r="K2012" i="9"/>
  <c r="M2012" i="9"/>
  <c r="J2012" i="9"/>
  <c r="I2014" i="9"/>
  <c r="J2013" i="9" a="1"/>
  <c r="O2012" i="9" l="1"/>
  <c r="R2012" i="9" s="1"/>
  <c r="I2015" i="9"/>
  <c r="M2013" i="9"/>
  <c r="L2013" i="9"/>
  <c r="N2013" i="9"/>
  <c r="J2013" i="9"/>
  <c r="K2013" i="9"/>
  <c r="J2014" i="9" a="1"/>
  <c r="O2013" i="9" l="1"/>
  <c r="R2013" i="9" s="1"/>
  <c r="N2014" i="9"/>
  <c r="J2014" i="9"/>
  <c r="L2014" i="9"/>
  <c r="K2014" i="9"/>
  <c r="M2014" i="9"/>
  <c r="I2016" i="9"/>
  <c r="J2015" i="9" a="1"/>
  <c r="O2014" i="9" l="1"/>
  <c r="R2014" i="9" s="1"/>
  <c r="I2017" i="9"/>
  <c r="M2015" i="9"/>
  <c r="K2015" i="9"/>
  <c r="J2015" i="9"/>
  <c r="L2015" i="9"/>
  <c r="N2015" i="9"/>
  <c r="J2016" i="9" a="1"/>
  <c r="P2014" i="9" l="1"/>
  <c r="O2015" i="9"/>
  <c r="Q2009" i="9"/>
  <c r="S2009" i="9" s="1"/>
  <c r="T2009" i="9" s="1"/>
  <c r="U2009" i="9" s="1"/>
  <c r="Q2014" i="9"/>
  <c r="S2014" i="9" s="1"/>
  <c r="T2014" i="9" s="1"/>
  <c r="U2014" i="9" s="1"/>
  <c r="Q2015" i="9"/>
  <c r="Q2012" i="9"/>
  <c r="S2012" i="9" s="1"/>
  <c r="T2012" i="9" s="1"/>
  <c r="U2012" i="9" s="1"/>
  <c r="Q2013" i="9"/>
  <c r="S2013" i="9" s="1"/>
  <c r="T2013" i="9" s="1"/>
  <c r="U2013" i="9" s="1"/>
  <c r="Q2011" i="9"/>
  <c r="S2011" i="9" s="1"/>
  <c r="T2011" i="9" s="1"/>
  <c r="U2011" i="9" s="1"/>
  <c r="Q2016" i="9"/>
  <c r="Q2017" i="9"/>
  <c r="Q2010" i="9"/>
  <c r="S2010" i="9" s="1"/>
  <c r="T2010" i="9" s="1"/>
  <c r="U2010" i="9" s="1"/>
  <c r="K2016" i="9"/>
  <c r="M2016" i="9"/>
  <c r="J2016" i="9"/>
  <c r="L2016" i="9"/>
  <c r="N2016" i="9"/>
  <c r="R2015" i="9"/>
  <c r="I2018" i="9"/>
  <c r="J2017" i="9" a="1"/>
  <c r="O2016" i="9" l="1"/>
  <c r="R2016" i="9" s="1"/>
  <c r="S2016" i="9" s="1"/>
  <c r="T2016" i="9" s="1"/>
  <c r="U2016" i="9" s="1"/>
  <c r="I2019" i="9"/>
  <c r="S2015" i="9"/>
  <c r="T2015" i="9" s="1"/>
  <c r="U2015" i="9" s="1"/>
  <c r="J2017" i="9"/>
  <c r="K2017" i="9"/>
  <c r="M2017" i="9"/>
  <c r="L2017" i="9"/>
  <c r="N2017" i="9"/>
  <c r="J2018" i="9" a="1"/>
  <c r="O2017" i="9" l="1"/>
  <c r="R2017" i="9" s="1"/>
  <c r="S2017" i="9" s="1"/>
  <c r="T2017" i="9" s="1"/>
  <c r="U2017" i="9" s="1"/>
  <c r="N2018" i="9"/>
  <c r="J2018" i="9"/>
  <c r="L2018" i="9"/>
  <c r="K2018" i="9"/>
  <c r="M2018" i="9"/>
  <c r="I2020" i="9"/>
  <c r="J2019" i="9" a="1"/>
  <c r="O2018" i="9" l="1"/>
  <c r="R2018" i="9" s="1"/>
  <c r="I2021" i="9"/>
  <c r="J2019" i="9"/>
  <c r="L2019" i="9"/>
  <c r="N2019" i="9"/>
  <c r="K2019" i="9"/>
  <c r="M2019" i="9"/>
  <c r="J2020" i="9" a="1"/>
  <c r="O2019" i="9" l="1"/>
  <c r="R2019" i="9" s="1"/>
  <c r="J2020" i="9"/>
  <c r="L2020" i="9"/>
  <c r="N2020" i="9"/>
  <c r="K2020" i="9"/>
  <c r="M2020" i="9"/>
  <c r="I2022" i="9"/>
  <c r="J2021" i="9" a="1"/>
  <c r="O2020" i="9" l="1"/>
  <c r="R2020" i="9" s="1"/>
  <c r="K2021" i="9"/>
  <c r="M2021" i="9"/>
  <c r="L2021" i="9"/>
  <c r="N2021" i="9"/>
  <c r="J2021" i="9"/>
  <c r="I2023" i="9"/>
  <c r="J2022" i="9" a="1"/>
  <c r="O2021" i="9" l="1"/>
  <c r="R2021" i="9" s="1"/>
  <c r="I2024" i="9"/>
  <c r="N2022" i="9"/>
  <c r="J2022" i="9"/>
  <c r="L2022" i="9"/>
  <c r="K2022" i="9"/>
  <c r="M2022" i="9"/>
  <c r="J2023" i="9" a="1"/>
  <c r="O2022" i="9" l="1"/>
  <c r="R2022" i="9" s="1"/>
  <c r="N2023" i="9"/>
  <c r="M2023" i="9"/>
  <c r="K2023" i="9"/>
  <c r="J2023" i="9"/>
  <c r="L2023" i="9"/>
  <c r="I2025" i="9"/>
  <c r="J2024" i="9" a="1"/>
  <c r="O2023" i="9" l="1"/>
  <c r="R2023" i="9" s="1"/>
  <c r="I2026" i="9"/>
  <c r="N2024" i="9"/>
  <c r="K2024" i="9"/>
  <c r="M2024" i="9"/>
  <c r="J2024" i="9"/>
  <c r="L2024" i="9"/>
  <c r="J2025" i="9" a="1"/>
  <c r="P2023" i="9" l="1"/>
  <c r="O2024" i="9"/>
  <c r="N2025" i="9"/>
  <c r="J2025" i="9"/>
  <c r="K2025" i="9"/>
  <c r="M2025" i="9"/>
  <c r="L2025" i="9"/>
  <c r="Q2023" i="9"/>
  <c r="S2023" i="9" s="1"/>
  <c r="T2023" i="9" s="1"/>
  <c r="U2023" i="9" s="1"/>
  <c r="Q2026" i="9"/>
  <c r="Q2024" i="9"/>
  <c r="Q2020" i="9"/>
  <c r="S2020" i="9" s="1"/>
  <c r="T2020" i="9" s="1"/>
  <c r="U2020" i="9" s="1"/>
  <c r="Q2025" i="9"/>
  <c r="Q2021" i="9"/>
  <c r="S2021" i="9" s="1"/>
  <c r="T2021" i="9" s="1"/>
  <c r="U2021" i="9" s="1"/>
  <c r="Q2018" i="9"/>
  <c r="S2018" i="9" s="1"/>
  <c r="T2018" i="9" s="1"/>
  <c r="U2018" i="9" s="1"/>
  <c r="Q2022" i="9"/>
  <c r="S2022" i="9" s="1"/>
  <c r="T2022" i="9" s="1"/>
  <c r="U2022" i="9" s="1"/>
  <c r="Q2019" i="9"/>
  <c r="S2019" i="9" s="1"/>
  <c r="T2019" i="9" s="1"/>
  <c r="U2019" i="9" s="1"/>
  <c r="R2024" i="9"/>
  <c r="I2027" i="9"/>
  <c r="J2026" i="9" a="1"/>
  <c r="O2025" i="9" l="1"/>
  <c r="R2025" i="9" s="1"/>
  <c r="S2025" i="9" s="1"/>
  <c r="T2025" i="9" s="1"/>
  <c r="U2025" i="9" s="1"/>
  <c r="J2026" i="9"/>
  <c r="L2026" i="9"/>
  <c r="M2026" i="9"/>
  <c r="K2026" i="9"/>
  <c r="N2026" i="9"/>
  <c r="I2028" i="9"/>
  <c r="S2024" i="9"/>
  <c r="T2024" i="9" s="1"/>
  <c r="U2024" i="9" s="1"/>
  <c r="J2027" i="9" a="1"/>
  <c r="O2026" i="9" l="1"/>
  <c r="R2026" i="9" s="1"/>
  <c r="S2026" i="9" s="1"/>
  <c r="T2026" i="9" s="1"/>
  <c r="U2026" i="9" s="1"/>
  <c r="I2029" i="9"/>
  <c r="M2027" i="9"/>
  <c r="J2027" i="9"/>
  <c r="L2027" i="9"/>
  <c r="N2027" i="9"/>
  <c r="K2027" i="9"/>
  <c r="J2028" i="9" a="1"/>
  <c r="O2027" i="9" l="1"/>
  <c r="R2027" i="9" s="1"/>
  <c r="J2028" i="9"/>
  <c r="L2028" i="9"/>
  <c r="N2028" i="9"/>
  <c r="K2028" i="9"/>
  <c r="M2028" i="9"/>
  <c r="I2030" i="9"/>
  <c r="J2029" i="9" a="1"/>
  <c r="O2028" i="9" l="1"/>
  <c r="R2028" i="9" s="1"/>
  <c r="J2029" i="9"/>
  <c r="K2029" i="9"/>
  <c r="M2029" i="9"/>
  <c r="L2029" i="9"/>
  <c r="N2029" i="9"/>
  <c r="I2031" i="9"/>
  <c r="J2030" i="9" a="1"/>
  <c r="O2029" i="9" l="1"/>
  <c r="R2029" i="9" s="1"/>
  <c r="M2030" i="9"/>
  <c r="N2030" i="9"/>
  <c r="J2030" i="9"/>
  <c r="L2030" i="9"/>
  <c r="K2030" i="9"/>
  <c r="I2032" i="9"/>
  <c r="J2031" i="9" a="1"/>
  <c r="O2030" i="9" l="1"/>
  <c r="R2030" i="9" s="1"/>
  <c r="I2033" i="9"/>
  <c r="L2031" i="9"/>
  <c r="N2031" i="9"/>
  <c r="M2031" i="9"/>
  <c r="K2031" i="9"/>
  <c r="J2031" i="9"/>
  <c r="J2032" i="9" a="1"/>
  <c r="O2031" i="9" l="1"/>
  <c r="R2031" i="9" s="1"/>
  <c r="L2032" i="9"/>
  <c r="N2032" i="9"/>
  <c r="K2032" i="9"/>
  <c r="M2032" i="9"/>
  <c r="J2032" i="9"/>
  <c r="I2034" i="9"/>
  <c r="J2033" i="9" a="1"/>
  <c r="O2032" i="9" l="1"/>
  <c r="R2032" i="9" s="1"/>
  <c r="I2035" i="9"/>
  <c r="L2033" i="9"/>
  <c r="N2033" i="9"/>
  <c r="J2033" i="9"/>
  <c r="K2033" i="9"/>
  <c r="M2033" i="9"/>
  <c r="J2034" i="9" a="1"/>
  <c r="P2032" i="9" l="1"/>
  <c r="O2033" i="9"/>
  <c r="J2034" i="9"/>
  <c r="L2034" i="9"/>
  <c r="K2034" i="9"/>
  <c r="M2034" i="9"/>
  <c r="N2034" i="9"/>
  <c r="Q2028" i="9"/>
  <c r="S2028" i="9" s="1"/>
  <c r="T2028" i="9" s="1"/>
  <c r="U2028" i="9" s="1"/>
  <c r="Q2032" i="9"/>
  <c r="S2032" i="9" s="1"/>
  <c r="T2032" i="9" s="1"/>
  <c r="U2032" i="9" s="1"/>
  <c r="Q2029" i="9"/>
  <c r="S2029" i="9" s="1"/>
  <c r="T2029" i="9" s="1"/>
  <c r="U2029" i="9" s="1"/>
  <c r="Q2033" i="9"/>
  <c r="Q2035" i="9"/>
  <c r="Q2030" i="9"/>
  <c r="S2030" i="9" s="1"/>
  <c r="T2030" i="9" s="1"/>
  <c r="U2030" i="9" s="1"/>
  <c r="Q2027" i="9"/>
  <c r="S2027" i="9" s="1"/>
  <c r="T2027" i="9" s="1"/>
  <c r="U2027" i="9" s="1"/>
  <c r="Q2034" i="9"/>
  <c r="Q2031" i="9"/>
  <c r="S2031" i="9" s="1"/>
  <c r="T2031" i="9" s="1"/>
  <c r="U2031" i="9" s="1"/>
  <c r="R2033" i="9"/>
  <c r="I2036" i="9"/>
  <c r="J2035" i="9" a="1"/>
  <c r="O2034" i="9" l="1"/>
  <c r="R2034" i="9" s="1"/>
  <c r="S2034" i="9" s="1"/>
  <c r="T2034" i="9" s="1"/>
  <c r="U2034" i="9" s="1"/>
  <c r="K2035" i="9"/>
  <c r="M2035" i="9"/>
  <c r="J2035" i="9"/>
  <c r="L2035" i="9"/>
  <c r="N2035" i="9"/>
  <c r="I2037" i="9"/>
  <c r="S2033" i="9"/>
  <c r="T2033" i="9" s="1"/>
  <c r="U2033" i="9" s="1"/>
  <c r="J2036" i="9" a="1"/>
  <c r="O2035" i="9" l="1"/>
  <c r="R2035" i="9" s="1"/>
  <c r="S2035" i="9" s="1"/>
  <c r="T2035" i="9" s="1"/>
  <c r="U2035" i="9" s="1"/>
  <c r="M2036" i="9"/>
  <c r="J2036" i="9"/>
  <c r="L2036" i="9"/>
  <c r="N2036" i="9"/>
  <c r="K2036" i="9"/>
  <c r="I2038" i="9"/>
  <c r="J2037" i="9" a="1"/>
  <c r="O2036" i="9" l="1"/>
  <c r="R2036" i="9" s="1"/>
  <c r="N2037" i="9"/>
  <c r="J2037" i="9"/>
  <c r="K2037" i="9"/>
  <c r="M2037" i="9"/>
  <c r="L2037" i="9"/>
  <c r="I2039" i="9"/>
  <c r="J2038" i="9" a="1"/>
  <c r="O2037" i="9" l="1"/>
  <c r="R2037" i="9" s="1"/>
  <c r="I2040" i="9"/>
  <c r="K2038" i="9"/>
  <c r="M2038" i="9"/>
  <c r="N2038" i="9"/>
  <c r="J2038" i="9"/>
  <c r="L2038" i="9"/>
  <c r="J2039" i="9" a="1"/>
  <c r="O2038" i="9" l="1"/>
  <c r="R2038" i="9" s="1"/>
  <c r="J2039" i="9"/>
  <c r="N2039" i="9"/>
  <c r="L2039" i="9"/>
  <c r="M2039" i="9"/>
  <c r="K2039" i="9"/>
  <c r="I2041" i="9"/>
  <c r="J2040" i="9" a="1"/>
  <c r="O2039" i="9" l="1"/>
  <c r="R2039" i="9" s="1"/>
  <c r="K2040" i="9"/>
  <c r="M2040" i="9"/>
  <c r="N2040" i="9"/>
  <c r="J2040" i="9"/>
  <c r="L2040" i="9"/>
  <c r="I2042" i="9"/>
  <c r="J2041" i="9" a="1"/>
  <c r="O2040" i="9" l="1"/>
  <c r="R2040" i="9" s="1"/>
  <c r="I2043" i="9"/>
  <c r="L2041" i="9"/>
  <c r="N2041" i="9"/>
  <c r="J2041" i="9"/>
  <c r="M2041" i="9"/>
  <c r="K2041" i="9"/>
  <c r="J2042" i="9" a="1"/>
  <c r="O2041" i="9" l="1"/>
  <c r="R2041" i="9" s="1"/>
  <c r="N2042" i="9"/>
  <c r="L2042" i="9"/>
  <c r="J2042" i="9"/>
  <c r="K2042" i="9"/>
  <c r="M2042" i="9"/>
  <c r="I2044" i="9"/>
  <c r="J2043" i="9" a="1"/>
  <c r="P2041" i="9" l="1"/>
  <c r="O2042" i="9"/>
  <c r="R2042" i="9" s="1"/>
  <c r="K2043" i="9"/>
  <c r="L2043" i="9"/>
  <c r="J2043" i="9"/>
  <c r="N2043" i="9"/>
  <c r="M2043" i="9"/>
  <c r="I2045" i="9"/>
  <c r="Q2037" i="9"/>
  <c r="S2037" i="9" s="1"/>
  <c r="T2037" i="9" s="1"/>
  <c r="U2037" i="9" s="1"/>
  <c r="Q2040" i="9"/>
  <c r="S2040" i="9" s="1"/>
  <c r="T2040" i="9" s="1"/>
  <c r="U2040" i="9" s="1"/>
  <c r="Q2038" i="9"/>
  <c r="S2038" i="9" s="1"/>
  <c r="T2038" i="9" s="1"/>
  <c r="U2038" i="9" s="1"/>
  <c r="Q2041" i="9"/>
  <c r="S2041" i="9" s="1"/>
  <c r="T2041" i="9" s="1"/>
  <c r="U2041" i="9" s="1"/>
  <c r="Q2043" i="9"/>
  <c r="Q2042" i="9"/>
  <c r="S2042" i="9" s="1"/>
  <c r="T2042" i="9" s="1"/>
  <c r="U2042" i="9" s="1"/>
  <c r="Q2039" i="9"/>
  <c r="S2039" i="9" s="1"/>
  <c r="T2039" i="9" s="1"/>
  <c r="U2039" i="9" s="1"/>
  <c r="Q2036" i="9"/>
  <c r="S2036" i="9" s="1"/>
  <c r="T2036" i="9" s="1"/>
  <c r="U2036" i="9" s="1"/>
  <c r="Q2044" i="9"/>
  <c r="J2044" i="9" a="1"/>
  <c r="O2043" i="9" l="1"/>
  <c r="R2043" i="9" s="1"/>
  <c r="S2043" i="9" s="1"/>
  <c r="T2043" i="9" s="1"/>
  <c r="U2043" i="9" s="1"/>
  <c r="I2046" i="9"/>
  <c r="J2044" i="9"/>
  <c r="L2044" i="9"/>
  <c r="K2044" i="9"/>
  <c r="M2044" i="9"/>
  <c r="N2044" i="9"/>
  <c r="J2045" i="9" a="1"/>
  <c r="O2044" i="9" l="1"/>
  <c r="R2044" i="9" s="1"/>
  <c r="S2044" i="9" s="1"/>
  <c r="T2044" i="9" s="1"/>
  <c r="U2044" i="9" s="1"/>
  <c r="J2045" i="9"/>
  <c r="K2045" i="9"/>
  <c r="M2045" i="9"/>
  <c r="L2045" i="9"/>
  <c r="N2045" i="9"/>
  <c r="I2047" i="9"/>
  <c r="J2046" i="9" a="1"/>
  <c r="O2045" i="9" l="1"/>
  <c r="R2045" i="9" s="1"/>
  <c r="N2046" i="9"/>
  <c r="L2046" i="9"/>
  <c r="J2046" i="9"/>
  <c r="K2046" i="9"/>
  <c r="M2046" i="9"/>
  <c r="I2048" i="9"/>
  <c r="J2047" i="9" a="1"/>
  <c r="O2046" i="9" l="1"/>
  <c r="R2046" i="9" s="1"/>
  <c r="I2049" i="9"/>
  <c r="J2047" i="9"/>
  <c r="N2047" i="9"/>
  <c r="K2047" i="9"/>
  <c r="L2047" i="9"/>
  <c r="M2047" i="9"/>
  <c r="J2048" i="9" a="1"/>
  <c r="O2047" i="9" l="1"/>
  <c r="R2047" i="9" s="1"/>
  <c r="J2048" i="9"/>
  <c r="L2048" i="9"/>
  <c r="K2048" i="9"/>
  <c r="M2048" i="9"/>
  <c r="N2048" i="9"/>
  <c r="I2050" i="9"/>
  <c r="J2049" i="9" a="1"/>
  <c r="O2048" i="9" l="1"/>
  <c r="R2048" i="9" s="1"/>
  <c r="M2049" i="9"/>
  <c r="L2049" i="9"/>
  <c r="N2049" i="9"/>
  <c r="J2049" i="9"/>
  <c r="K2049" i="9"/>
  <c r="I2051" i="9"/>
  <c r="J2050" i="9" a="1"/>
  <c r="O2049" i="9" l="1"/>
  <c r="R2049" i="9" s="1"/>
  <c r="I2052" i="9"/>
  <c r="M2050" i="9"/>
  <c r="L2050" i="9"/>
  <c r="J2050" i="9"/>
  <c r="N2050" i="9"/>
  <c r="K2050" i="9"/>
  <c r="J2051" i="9" a="1"/>
  <c r="O2050" i="9" l="1"/>
  <c r="P2050" i="9" s="1"/>
  <c r="K2051" i="9"/>
  <c r="L2051" i="9"/>
  <c r="M2051" i="9"/>
  <c r="J2051" i="9"/>
  <c r="N2051" i="9"/>
  <c r="I2053" i="9"/>
  <c r="J2052" i="9" a="1"/>
  <c r="R2050" i="9" l="1"/>
  <c r="O2051" i="9"/>
  <c r="R2051" i="9" s="1"/>
  <c r="I2054" i="9"/>
  <c r="J2052" i="9"/>
  <c r="L2052" i="9"/>
  <c r="K2052" i="9"/>
  <c r="M2052" i="9"/>
  <c r="N2052" i="9"/>
  <c r="Q2049" i="9"/>
  <c r="S2049" i="9" s="1"/>
  <c r="T2049" i="9" s="1"/>
  <c r="U2049" i="9" s="1"/>
  <c r="Q2052" i="9"/>
  <c r="Q2053" i="9"/>
  <c r="Q2045" i="9"/>
  <c r="S2045" i="9" s="1"/>
  <c r="T2045" i="9" s="1"/>
  <c r="U2045" i="9" s="1"/>
  <c r="Q2047" i="9"/>
  <c r="S2047" i="9" s="1"/>
  <c r="T2047" i="9" s="1"/>
  <c r="U2047" i="9" s="1"/>
  <c r="Q2048" i="9"/>
  <c r="S2048" i="9" s="1"/>
  <c r="T2048" i="9" s="1"/>
  <c r="U2048" i="9" s="1"/>
  <c r="Q2046" i="9"/>
  <c r="S2046" i="9" s="1"/>
  <c r="T2046" i="9" s="1"/>
  <c r="U2046" i="9" s="1"/>
  <c r="Q2050" i="9"/>
  <c r="S2050" i="9" s="1"/>
  <c r="T2050" i="9" s="1"/>
  <c r="U2050" i="9" s="1"/>
  <c r="Q2051" i="9"/>
  <c r="J2053" i="9" a="1"/>
  <c r="S2051" i="9" l="1"/>
  <c r="T2051" i="9" s="1"/>
  <c r="U2051" i="9" s="1"/>
  <c r="O2052" i="9"/>
  <c r="R2052" i="9" s="1"/>
  <c r="S2052" i="9" s="1"/>
  <c r="T2052" i="9" s="1"/>
  <c r="U2052" i="9" s="1"/>
  <c r="N2053" i="9"/>
  <c r="J2053" i="9"/>
  <c r="K2053" i="9"/>
  <c r="M2053" i="9"/>
  <c r="L2053" i="9"/>
  <c r="I2055" i="9"/>
  <c r="J2054" i="9" a="1"/>
  <c r="O2053" i="9" l="1"/>
  <c r="R2053" i="9" s="1"/>
  <c r="S2053" i="9" s="1"/>
  <c r="T2053" i="9" s="1"/>
  <c r="U2053" i="9" s="1"/>
  <c r="J2054" i="9"/>
  <c r="N2054" i="9"/>
  <c r="L2054" i="9"/>
  <c r="K2054" i="9"/>
  <c r="M2054" i="9"/>
  <c r="I2056" i="9"/>
  <c r="J2055" i="9" a="1"/>
  <c r="O2054" i="9" l="1"/>
  <c r="R2054" i="9" s="1"/>
  <c r="N2055" i="9"/>
  <c r="K2055" i="9"/>
  <c r="L2055" i="9"/>
  <c r="M2055" i="9"/>
  <c r="J2055" i="9"/>
  <c r="I2057" i="9"/>
  <c r="J2056" i="9" a="1"/>
  <c r="O2055" i="9" l="1"/>
  <c r="R2055" i="9" s="1"/>
  <c r="I2058" i="9"/>
  <c r="N2056" i="9"/>
  <c r="K2056" i="9"/>
  <c r="J2056" i="9"/>
  <c r="L2056" i="9"/>
  <c r="M2056" i="9"/>
  <c r="J2057" i="9" a="1"/>
  <c r="O2056" i="9" l="1"/>
  <c r="R2056" i="9" s="1"/>
  <c r="L2057" i="9"/>
  <c r="N2057" i="9"/>
  <c r="J2057" i="9"/>
  <c r="K2057" i="9"/>
  <c r="M2057" i="9"/>
  <c r="I2059" i="9"/>
  <c r="J2058" i="9" a="1"/>
  <c r="O2057" i="9" l="1"/>
  <c r="R2057" i="9" s="1"/>
  <c r="I2060" i="9"/>
  <c r="L2058" i="9"/>
  <c r="M2058" i="9"/>
  <c r="J2058" i="9"/>
  <c r="K2058" i="9"/>
  <c r="N2058" i="9"/>
  <c r="J2059" i="9" a="1"/>
  <c r="O2058" i="9" l="1"/>
  <c r="R2058" i="9" s="1"/>
  <c r="M2059" i="9"/>
  <c r="J2059" i="9"/>
  <c r="N2059" i="9"/>
  <c r="K2059" i="9"/>
  <c r="L2059" i="9"/>
  <c r="I2061" i="9"/>
  <c r="J2060" i="9" a="1"/>
  <c r="O2059" i="9" l="1"/>
  <c r="P2059" i="9" s="1"/>
  <c r="I2062" i="9"/>
  <c r="J2060" i="9"/>
  <c r="L2060" i="9"/>
  <c r="N2060" i="9"/>
  <c r="K2060" i="9"/>
  <c r="M2060" i="9"/>
  <c r="J2061" i="9" a="1"/>
  <c r="R2059" i="9" l="1"/>
  <c r="O2060" i="9"/>
  <c r="R2060" i="9" s="1"/>
  <c r="Q2061" i="9"/>
  <c r="Q2054" i="9"/>
  <c r="S2054" i="9" s="1"/>
  <c r="T2054" i="9" s="1"/>
  <c r="U2054" i="9" s="1"/>
  <c r="Q2062" i="9"/>
  <c r="Q2060" i="9"/>
  <c r="Q2055" i="9"/>
  <c r="S2055" i="9" s="1"/>
  <c r="T2055" i="9" s="1"/>
  <c r="U2055" i="9" s="1"/>
  <c r="Q2058" i="9"/>
  <c r="S2058" i="9" s="1"/>
  <c r="T2058" i="9" s="1"/>
  <c r="U2058" i="9" s="1"/>
  <c r="Q2056" i="9"/>
  <c r="S2056" i="9" s="1"/>
  <c r="T2056" i="9" s="1"/>
  <c r="U2056" i="9" s="1"/>
  <c r="Q2059" i="9"/>
  <c r="S2059" i="9" s="1"/>
  <c r="T2059" i="9" s="1"/>
  <c r="U2059" i="9" s="1"/>
  <c r="Q2057" i="9"/>
  <c r="S2057" i="9" s="1"/>
  <c r="T2057" i="9" s="1"/>
  <c r="U2057" i="9" s="1"/>
  <c r="K2061" i="9"/>
  <c r="M2061" i="9"/>
  <c r="L2061" i="9"/>
  <c r="N2061" i="9"/>
  <c r="J2061" i="9"/>
  <c r="I2063" i="9"/>
  <c r="J2062" i="9" a="1"/>
  <c r="O2061" i="9" l="1"/>
  <c r="R2061" i="9" s="1"/>
  <c r="S2061" i="9" s="1"/>
  <c r="T2061" i="9" s="1"/>
  <c r="U2061" i="9" s="1"/>
  <c r="S2060" i="9"/>
  <c r="T2060" i="9" s="1"/>
  <c r="U2060" i="9" s="1"/>
  <c r="K2062" i="9"/>
  <c r="M2062" i="9"/>
  <c r="N2062" i="9"/>
  <c r="L2062" i="9"/>
  <c r="J2062" i="9"/>
  <c r="I2064" i="9"/>
  <c r="J2063" i="9" a="1"/>
  <c r="O2062" i="9" l="1"/>
  <c r="R2062" i="9" s="1"/>
  <c r="S2062" i="9" s="1"/>
  <c r="T2062" i="9" s="1"/>
  <c r="U2062" i="9" s="1"/>
  <c r="M2063" i="9"/>
  <c r="J2063" i="9"/>
  <c r="N2063" i="9"/>
  <c r="K2063" i="9"/>
  <c r="L2063" i="9"/>
  <c r="I2065" i="9"/>
  <c r="J2064" i="9" a="1"/>
  <c r="O2063" i="9" l="1"/>
  <c r="R2063" i="9" s="1"/>
  <c r="I2066" i="9"/>
  <c r="K2064" i="9"/>
  <c r="M2064" i="9"/>
  <c r="N2064" i="9"/>
  <c r="J2064" i="9"/>
  <c r="L2064" i="9"/>
  <c r="J2065" i="9" a="1"/>
  <c r="O2064" i="9" l="1"/>
  <c r="R2064" i="9" s="1"/>
  <c r="K2065" i="9"/>
  <c r="M2065" i="9"/>
  <c r="L2065" i="9"/>
  <c r="N2065" i="9"/>
  <c r="J2065" i="9"/>
  <c r="I2067" i="9"/>
  <c r="J2066" i="9" a="1"/>
  <c r="O2065" i="9" l="1"/>
  <c r="R2065" i="9" s="1"/>
  <c r="I2068" i="9"/>
  <c r="N2066" i="9"/>
  <c r="L2066" i="9"/>
  <c r="J2066" i="9"/>
  <c r="K2066" i="9"/>
  <c r="M2066" i="9"/>
  <c r="J2067" i="9" a="1"/>
  <c r="O2066" i="9" l="1"/>
  <c r="R2066" i="9" s="1"/>
  <c r="L2067" i="9"/>
  <c r="M2067" i="9"/>
  <c r="N2067" i="9"/>
  <c r="K2067" i="9"/>
  <c r="J2067" i="9"/>
  <c r="I2069" i="9"/>
  <c r="J2068" i="9" a="1"/>
  <c r="O2067" i="9" l="1"/>
  <c r="R2067" i="9" s="1"/>
  <c r="I2070" i="9"/>
  <c r="J2068" i="9"/>
  <c r="L2068" i="9"/>
  <c r="K2068" i="9"/>
  <c r="M2068" i="9"/>
  <c r="N2068" i="9"/>
  <c r="J2069" i="9" a="1"/>
  <c r="O2068" i="9" l="1"/>
  <c r="R2068" i="9" s="1"/>
  <c r="L2069" i="9"/>
  <c r="N2069" i="9"/>
  <c r="J2069" i="9"/>
  <c r="K2069" i="9"/>
  <c r="M2069" i="9"/>
  <c r="I2071" i="9"/>
  <c r="J2070" i="9" a="1"/>
  <c r="P2068" i="9" l="1"/>
  <c r="O2069" i="9"/>
  <c r="R2069" i="9" s="1"/>
  <c r="I2072" i="9"/>
  <c r="N2070" i="9"/>
  <c r="L2070" i="9"/>
  <c r="J2070" i="9"/>
  <c r="K2070" i="9"/>
  <c r="M2070" i="9"/>
  <c r="Q2068" i="9"/>
  <c r="S2068" i="9" s="1"/>
  <c r="T2068" i="9" s="1"/>
  <c r="U2068" i="9" s="1"/>
  <c r="Q2071" i="9"/>
  <c r="Q2066" i="9"/>
  <c r="S2066" i="9" s="1"/>
  <c r="T2066" i="9" s="1"/>
  <c r="U2066" i="9" s="1"/>
  <c r="Q2064" i="9"/>
  <c r="S2064" i="9" s="1"/>
  <c r="T2064" i="9" s="1"/>
  <c r="U2064" i="9" s="1"/>
  <c r="Q2067" i="9"/>
  <c r="S2067" i="9" s="1"/>
  <c r="T2067" i="9" s="1"/>
  <c r="U2067" i="9" s="1"/>
  <c r="Q2069" i="9"/>
  <c r="S2069" i="9" s="1"/>
  <c r="T2069" i="9" s="1"/>
  <c r="U2069" i="9" s="1"/>
  <c r="Q2070" i="9"/>
  <c r="Q2065" i="9"/>
  <c r="S2065" i="9" s="1"/>
  <c r="T2065" i="9" s="1"/>
  <c r="U2065" i="9" s="1"/>
  <c r="Q2063" i="9"/>
  <c r="S2063" i="9" s="1"/>
  <c r="T2063" i="9" s="1"/>
  <c r="U2063" i="9" s="1"/>
  <c r="J2071" i="9" a="1"/>
  <c r="O2070" i="9" l="1"/>
  <c r="R2070" i="9" s="1"/>
  <c r="S2070" i="9" s="1"/>
  <c r="T2070" i="9" s="1"/>
  <c r="U2070" i="9" s="1"/>
  <c r="L2071" i="9"/>
  <c r="M2071" i="9"/>
  <c r="K2071" i="9"/>
  <c r="J2071" i="9"/>
  <c r="N2071" i="9"/>
  <c r="I2073" i="9"/>
  <c r="J2072" i="9" a="1"/>
  <c r="O2071" i="9" l="1"/>
  <c r="R2071" i="9" s="1"/>
  <c r="S2071" i="9" s="1"/>
  <c r="T2071" i="9" s="1"/>
  <c r="U2071" i="9" s="1"/>
  <c r="N2072" i="9"/>
  <c r="J2072" i="9"/>
  <c r="L2072" i="9"/>
  <c r="K2072" i="9"/>
  <c r="M2072" i="9"/>
  <c r="I2074" i="9"/>
  <c r="J2073" i="9" a="1"/>
  <c r="O2072" i="9" l="1"/>
  <c r="R2072" i="9" s="1"/>
  <c r="I2075" i="9"/>
  <c r="N2073" i="9"/>
  <c r="J2073" i="9"/>
  <c r="M2073" i="9"/>
  <c r="K2073" i="9"/>
  <c r="L2073" i="9"/>
  <c r="J2074" i="9" a="1"/>
  <c r="O2073" i="9" l="1"/>
  <c r="R2073" i="9" s="1"/>
  <c r="J2074" i="9"/>
  <c r="K2074" i="9"/>
  <c r="M2074" i="9"/>
  <c r="N2074" i="9"/>
  <c r="L2074" i="9"/>
  <c r="I2076" i="9"/>
  <c r="J2075" i="9" a="1"/>
  <c r="O2074" i="9" l="1"/>
  <c r="R2074" i="9" s="1"/>
  <c r="J2075" i="9"/>
  <c r="N2075" i="9"/>
  <c r="M2075" i="9"/>
  <c r="K2075" i="9"/>
  <c r="L2075" i="9"/>
  <c r="I2077" i="9"/>
  <c r="J2076" i="9" a="1"/>
  <c r="O2075" i="9" l="1"/>
  <c r="R2075" i="9" s="1"/>
  <c r="L2076" i="9"/>
  <c r="K2076" i="9"/>
  <c r="M2076" i="9"/>
  <c r="N2076" i="9"/>
  <c r="J2076" i="9"/>
  <c r="I2078" i="9"/>
  <c r="J2077" i="9" a="1"/>
  <c r="O2076" i="9" l="1"/>
  <c r="R2076" i="9" s="1"/>
  <c r="I2079" i="9"/>
  <c r="M2077" i="9"/>
  <c r="L2077" i="9"/>
  <c r="N2077" i="9"/>
  <c r="J2077" i="9"/>
  <c r="K2077" i="9"/>
  <c r="J2078" i="9" a="1"/>
  <c r="O2077" i="9" l="1"/>
  <c r="R2077" i="9" s="1"/>
  <c r="J2078" i="9"/>
  <c r="K2078" i="9"/>
  <c r="M2078" i="9"/>
  <c r="N2078" i="9"/>
  <c r="L2078" i="9"/>
  <c r="I2080" i="9"/>
  <c r="J2079" i="9" a="1"/>
  <c r="P2077" i="9" l="1"/>
  <c r="O2078" i="9"/>
  <c r="N2079" i="9"/>
  <c r="K2079" i="9"/>
  <c r="L2079" i="9"/>
  <c r="M2079" i="9"/>
  <c r="J2079" i="9"/>
  <c r="I2081" i="9"/>
  <c r="Q2077" i="9"/>
  <c r="S2077" i="9" s="1"/>
  <c r="T2077" i="9" s="1"/>
  <c r="U2077" i="9" s="1"/>
  <c r="Q2074" i="9"/>
  <c r="S2074" i="9" s="1"/>
  <c r="T2074" i="9" s="1"/>
  <c r="U2074" i="9" s="1"/>
  <c r="Q2073" i="9"/>
  <c r="S2073" i="9" s="1"/>
  <c r="T2073" i="9" s="1"/>
  <c r="U2073" i="9" s="1"/>
  <c r="Q2079" i="9"/>
  <c r="Q2080" i="9"/>
  <c r="Q2072" i="9"/>
  <c r="S2072" i="9" s="1"/>
  <c r="T2072" i="9" s="1"/>
  <c r="U2072" i="9" s="1"/>
  <c r="Q2078" i="9"/>
  <c r="Q2076" i="9"/>
  <c r="S2076" i="9" s="1"/>
  <c r="T2076" i="9" s="1"/>
  <c r="U2076" i="9" s="1"/>
  <c r="Q2075" i="9"/>
  <c r="S2075" i="9" s="1"/>
  <c r="T2075" i="9" s="1"/>
  <c r="U2075" i="9" s="1"/>
  <c r="R2078" i="9"/>
  <c r="J2080" i="9" a="1"/>
  <c r="S2078" i="9" l="1"/>
  <c r="T2078" i="9" s="1"/>
  <c r="U2078" i="9" s="1"/>
  <c r="O2079" i="9"/>
  <c r="R2079" i="9" s="1"/>
  <c r="S2079" i="9" s="1"/>
  <c r="T2079" i="9" s="1"/>
  <c r="U2079" i="9" s="1"/>
  <c r="I2082" i="9"/>
  <c r="J2080" i="9"/>
  <c r="K2080" i="9"/>
  <c r="M2080" i="9"/>
  <c r="N2080" i="9"/>
  <c r="L2080" i="9"/>
  <c r="J2081" i="9" a="1"/>
  <c r="O2080" i="9" l="1"/>
  <c r="R2080" i="9" s="1"/>
  <c r="S2080" i="9" s="1"/>
  <c r="T2080" i="9" s="1"/>
  <c r="U2080" i="9" s="1"/>
  <c r="I2083" i="9"/>
  <c r="K2081" i="9"/>
  <c r="L2081" i="9"/>
  <c r="N2081" i="9"/>
  <c r="J2081" i="9"/>
  <c r="M2081" i="9"/>
  <c r="J2082" i="9" a="1"/>
  <c r="O2081" i="9" l="1"/>
  <c r="R2081" i="9" s="1"/>
  <c r="L2082" i="9"/>
  <c r="J2082" i="9"/>
  <c r="K2082" i="9"/>
  <c r="M2082" i="9"/>
  <c r="N2082" i="9"/>
  <c r="I2084" i="9"/>
  <c r="J2083" i="9" a="1"/>
  <c r="O2082" i="9" l="1"/>
  <c r="R2082" i="9" s="1"/>
  <c r="I2085" i="9"/>
  <c r="J2083" i="9"/>
  <c r="N2083" i="9"/>
  <c r="L2083" i="9"/>
  <c r="M2083" i="9"/>
  <c r="K2083" i="9"/>
  <c r="J2084" i="9" a="1"/>
  <c r="O2083" i="9" l="1"/>
  <c r="R2083" i="9" s="1"/>
  <c r="M2084" i="9"/>
  <c r="N2084" i="9"/>
  <c r="L2084" i="9"/>
  <c r="J2084" i="9"/>
  <c r="K2084" i="9"/>
  <c r="I2086" i="9"/>
  <c r="J2085" i="9" a="1"/>
  <c r="O2084" i="9" l="1"/>
  <c r="R2084" i="9" s="1"/>
  <c r="I2087" i="9"/>
  <c r="M2085" i="9"/>
  <c r="N2085" i="9"/>
  <c r="J2085" i="9"/>
  <c r="K2085" i="9"/>
  <c r="L2085" i="9"/>
  <c r="J2086" i="9" a="1"/>
  <c r="O2085" i="9" l="1"/>
  <c r="R2085" i="9" s="1"/>
  <c r="N2086" i="9"/>
  <c r="L2086" i="9"/>
  <c r="J2086" i="9"/>
  <c r="K2086" i="9"/>
  <c r="M2086" i="9"/>
  <c r="I2088" i="9"/>
  <c r="J2087" i="9" a="1"/>
  <c r="O2086" i="9" l="1"/>
  <c r="P2086" i="9" s="1"/>
  <c r="I2089" i="9"/>
  <c r="J2087" i="9"/>
  <c r="N2087" i="9"/>
  <c r="K2087" i="9"/>
  <c r="L2087" i="9"/>
  <c r="M2087" i="9"/>
  <c r="J2088" i="9" a="1"/>
  <c r="R2086" i="9" l="1"/>
  <c r="O2087" i="9"/>
  <c r="R2087" i="9" s="1"/>
  <c r="Q2081" i="9"/>
  <c r="S2081" i="9" s="1"/>
  <c r="T2081" i="9" s="1"/>
  <c r="U2081" i="9" s="1"/>
  <c r="Q2088" i="9"/>
  <c r="Q2082" i="9"/>
  <c r="S2082" i="9" s="1"/>
  <c r="T2082" i="9" s="1"/>
  <c r="U2082" i="9" s="1"/>
  <c r="Q2089" i="9"/>
  <c r="Q2084" i="9"/>
  <c r="S2084" i="9" s="1"/>
  <c r="T2084" i="9" s="1"/>
  <c r="U2084" i="9" s="1"/>
  <c r="Q2085" i="9"/>
  <c r="S2085" i="9" s="1"/>
  <c r="T2085" i="9" s="1"/>
  <c r="U2085" i="9" s="1"/>
  <c r="Q2086" i="9"/>
  <c r="S2086" i="9" s="1"/>
  <c r="T2086" i="9" s="1"/>
  <c r="U2086" i="9" s="1"/>
  <c r="Q2087" i="9"/>
  <c r="Q2083" i="9"/>
  <c r="S2083" i="9" s="1"/>
  <c r="T2083" i="9" s="1"/>
  <c r="U2083" i="9" s="1"/>
  <c r="L2088" i="9"/>
  <c r="N2088" i="9"/>
  <c r="J2088" i="9"/>
  <c r="K2088" i="9"/>
  <c r="M2088" i="9"/>
  <c r="I2090" i="9"/>
  <c r="J2089" i="9" a="1"/>
  <c r="S2087" i="9" l="1"/>
  <c r="T2087" i="9" s="1"/>
  <c r="U2087" i="9" s="1"/>
  <c r="O2088" i="9"/>
  <c r="R2088" i="9" s="1"/>
  <c r="S2088" i="9" s="1"/>
  <c r="T2088" i="9" s="1"/>
  <c r="U2088" i="9" s="1"/>
  <c r="I2091" i="9"/>
  <c r="N2089" i="9"/>
  <c r="J2089" i="9"/>
  <c r="K2089" i="9"/>
  <c r="L2089" i="9"/>
  <c r="M2089" i="9"/>
  <c r="J2090" i="9" a="1"/>
  <c r="O2089" i="9" l="1"/>
  <c r="R2089" i="9" s="1"/>
  <c r="S2089" i="9" s="1"/>
  <c r="T2089" i="9" s="1"/>
  <c r="U2089" i="9" s="1"/>
  <c r="N2090" i="9"/>
  <c r="J2090" i="9"/>
  <c r="K2090" i="9"/>
  <c r="L2090" i="9"/>
  <c r="M2090" i="9"/>
  <c r="I2092" i="9"/>
  <c r="J2091" i="9" a="1"/>
  <c r="O2090" i="9" l="1"/>
  <c r="R2090" i="9" s="1"/>
  <c r="I2093" i="9"/>
  <c r="K2091" i="9"/>
  <c r="L2091" i="9"/>
  <c r="M2091" i="9"/>
  <c r="J2091" i="9"/>
  <c r="N2091" i="9"/>
  <c r="J2092" i="9" a="1"/>
  <c r="O2091" i="9" l="1"/>
  <c r="R2091" i="9" s="1"/>
  <c r="L2092" i="9"/>
  <c r="K2092" i="9"/>
  <c r="M2092" i="9"/>
  <c r="N2092" i="9"/>
  <c r="J2092" i="9"/>
  <c r="I2094" i="9"/>
  <c r="J2093" i="9" a="1"/>
  <c r="O2092" i="9" l="1"/>
  <c r="R2092" i="9" s="1"/>
  <c r="I2095" i="9"/>
  <c r="L2093" i="9"/>
  <c r="M2093" i="9"/>
  <c r="N2093" i="9"/>
  <c r="J2093" i="9"/>
  <c r="K2093" i="9"/>
  <c r="J2094" i="9" a="1"/>
  <c r="O2093" i="9" l="1"/>
  <c r="R2093" i="9" s="1"/>
  <c r="L2094" i="9"/>
  <c r="J2094" i="9"/>
  <c r="M2094" i="9"/>
  <c r="N2094" i="9"/>
  <c r="K2094" i="9"/>
  <c r="I2096" i="9"/>
  <c r="J2095" i="9" a="1"/>
  <c r="O2094" i="9" l="1"/>
  <c r="R2094" i="9" s="1"/>
  <c r="I2097" i="9"/>
  <c r="J2095" i="9"/>
  <c r="N2095" i="9"/>
  <c r="K2095" i="9"/>
  <c r="L2095" i="9"/>
  <c r="M2095" i="9"/>
  <c r="J2096" i="9" a="1"/>
  <c r="O2095" i="9" l="1"/>
  <c r="P2095" i="9" s="1"/>
  <c r="L2096" i="9"/>
  <c r="J2096" i="9"/>
  <c r="K2096" i="9"/>
  <c r="M2096" i="9"/>
  <c r="N2096" i="9"/>
  <c r="I2098" i="9"/>
  <c r="J2097" i="9" a="1"/>
  <c r="R2095" i="9" l="1"/>
  <c r="O2096" i="9"/>
  <c r="R2096" i="9" s="1"/>
  <c r="J2097" i="9"/>
  <c r="M2097" i="9"/>
  <c r="K2097" i="9"/>
  <c r="L2097" i="9"/>
  <c r="N2097" i="9"/>
  <c r="I2099" i="9"/>
  <c r="Q2091" i="9"/>
  <c r="S2091" i="9" s="1"/>
  <c r="T2091" i="9" s="1"/>
  <c r="U2091" i="9" s="1"/>
  <c r="Q2094" i="9"/>
  <c r="S2094" i="9" s="1"/>
  <c r="T2094" i="9" s="1"/>
  <c r="U2094" i="9" s="1"/>
  <c r="Q2090" i="9"/>
  <c r="S2090" i="9" s="1"/>
  <c r="T2090" i="9" s="1"/>
  <c r="U2090" i="9" s="1"/>
  <c r="Q2093" i="9"/>
  <c r="S2093" i="9" s="1"/>
  <c r="T2093" i="9" s="1"/>
  <c r="U2093" i="9" s="1"/>
  <c r="Q2096" i="9"/>
  <c r="Q2097" i="9"/>
  <c r="Q2095" i="9"/>
  <c r="S2095" i="9" s="1"/>
  <c r="T2095" i="9" s="1"/>
  <c r="U2095" i="9" s="1"/>
  <c r="Q2098" i="9"/>
  <c r="Q2092" i="9"/>
  <c r="S2092" i="9" s="1"/>
  <c r="T2092" i="9" s="1"/>
  <c r="U2092" i="9" s="1"/>
  <c r="J2098" i="9" a="1"/>
  <c r="O2097" i="9" l="1"/>
  <c r="R2097" i="9" s="1"/>
  <c r="S2097" i="9" s="1"/>
  <c r="T2097" i="9" s="1"/>
  <c r="U2097" i="9" s="1"/>
  <c r="S2096" i="9"/>
  <c r="T2096" i="9" s="1"/>
  <c r="U2096" i="9" s="1"/>
  <c r="I2100" i="9"/>
  <c r="N2098" i="9"/>
  <c r="L2098" i="9"/>
  <c r="J2098" i="9"/>
  <c r="K2098" i="9"/>
  <c r="M2098" i="9"/>
  <c r="J2099" i="9" a="1"/>
  <c r="O2098" i="9" l="1"/>
  <c r="R2098" i="9" s="1"/>
  <c r="S2098" i="9" s="1"/>
  <c r="T2098" i="9" s="1"/>
  <c r="U2098" i="9" s="1"/>
  <c r="K2099" i="9"/>
  <c r="J2099" i="9"/>
  <c r="N2099" i="9"/>
  <c r="L2099" i="9"/>
  <c r="M2099" i="9"/>
  <c r="I2101" i="9"/>
  <c r="J2100" i="9" a="1"/>
  <c r="O2099" i="9" l="1"/>
  <c r="R2099" i="9" s="1"/>
  <c r="J2100" i="9"/>
  <c r="K2100" i="9"/>
  <c r="M2100" i="9"/>
  <c r="N2100" i="9"/>
  <c r="L2100" i="9"/>
  <c r="I2102" i="9"/>
  <c r="J2101" i="9" a="1"/>
  <c r="O2100" i="9" l="1"/>
  <c r="R2100" i="9" s="1"/>
  <c r="L2101" i="9"/>
  <c r="M2101" i="9"/>
  <c r="N2101" i="9"/>
  <c r="J2101" i="9"/>
  <c r="K2101" i="9"/>
  <c r="I2103" i="9"/>
  <c r="J2102" i="9" a="1"/>
  <c r="O2101" i="9" l="1"/>
  <c r="R2101" i="9" s="1"/>
  <c r="I2104" i="9"/>
  <c r="K2102" i="9"/>
  <c r="M2102" i="9"/>
  <c r="N2102" i="9"/>
  <c r="L2102" i="9"/>
  <c r="J2102" i="9"/>
  <c r="J2103" i="9" a="1"/>
  <c r="O2102" i="9" l="1"/>
  <c r="R2102" i="9" s="1"/>
  <c r="M2103" i="9"/>
  <c r="J2103" i="9"/>
  <c r="N2103" i="9"/>
  <c r="K2103" i="9"/>
  <c r="L2103" i="9"/>
  <c r="I2105" i="9"/>
  <c r="J2104" i="9" a="1"/>
  <c r="O2103" i="9" l="1"/>
  <c r="R2103" i="9" s="1"/>
  <c r="I2106" i="9"/>
  <c r="M2104" i="9"/>
  <c r="L2104" i="9"/>
  <c r="N2104" i="9"/>
  <c r="J2104" i="9"/>
  <c r="K2104" i="9"/>
  <c r="J2105" i="9" a="1"/>
  <c r="O2104" i="9" l="1"/>
  <c r="R2104" i="9" s="1"/>
  <c r="L2105" i="9"/>
  <c r="M2105" i="9"/>
  <c r="N2105" i="9"/>
  <c r="J2105" i="9"/>
  <c r="K2105" i="9"/>
  <c r="I2107" i="9"/>
  <c r="J2106" i="9" a="1"/>
  <c r="O2105" i="9" l="1"/>
  <c r="R2105" i="9" s="1"/>
  <c r="P2104" i="9"/>
  <c r="Q2101" i="9" s="1"/>
  <c r="S2101" i="9" s="1"/>
  <c r="T2101" i="9" s="1"/>
  <c r="U2101" i="9" s="1"/>
  <c r="L2106" i="9"/>
  <c r="M2106" i="9"/>
  <c r="N2106" i="9"/>
  <c r="J2106" i="9"/>
  <c r="K2106" i="9"/>
  <c r="Q2105" i="9"/>
  <c r="S2105" i="9" s="1"/>
  <c r="T2105" i="9" s="1"/>
  <c r="U2105" i="9" s="1"/>
  <c r="Q2102" i="9"/>
  <c r="S2102" i="9" s="1"/>
  <c r="T2102" i="9" s="1"/>
  <c r="U2102" i="9" s="1"/>
  <c r="Q2107" i="9"/>
  <c r="Q2099" i="9"/>
  <c r="S2099" i="9" s="1"/>
  <c r="T2099" i="9" s="1"/>
  <c r="U2099" i="9" s="1"/>
  <c r="Q2103" i="9"/>
  <c r="S2103" i="9" s="1"/>
  <c r="T2103" i="9" s="1"/>
  <c r="U2103" i="9" s="1"/>
  <c r="Q2106" i="9"/>
  <c r="Q2100" i="9"/>
  <c r="S2100" i="9" s="1"/>
  <c r="T2100" i="9" s="1"/>
  <c r="U2100" i="9" s="1"/>
  <c r="I2108" i="9"/>
  <c r="J2107" i="9" a="1"/>
  <c r="Q2104" i="9" l="1"/>
  <c r="S2104" i="9" s="1"/>
  <c r="T2104" i="9" s="1"/>
  <c r="U2104" i="9" s="1"/>
  <c r="O2106" i="9"/>
  <c r="R2106" i="9" s="1"/>
  <c r="S2106" i="9" s="1"/>
  <c r="T2106" i="9" s="1"/>
  <c r="U2106" i="9" s="1"/>
  <c r="J2107" i="9"/>
  <c r="N2107" i="9"/>
  <c r="K2107" i="9"/>
  <c r="L2107" i="9"/>
  <c r="M2107" i="9"/>
  <c r="I2109" i="9"/>
  <c r="J2108" i="9" a="1"/>
  <c r="O2107" i="9" l="1"/>
  <c r="R2107" i="9" s="1"/>
  <c r="S2107" i="9" s="1"/>
  <c r="T2107" i="9" s="1"/>
  <c r="U2107" i="9" s="1"/>
  <c r="N2108" i="9"/>
  <c r="J2108" i="9"/>
  <c r="L2108" i="9"/>
  <c r="K2108" i="9"/>
  <c r="M2108" i="9"/>
  <c r="I2110" i="9"/>
  <c r="J2109" i="9" a="1"/>
  <c r="O2108" i="9" l="1"/>
  <c r="R2108" i="9" s="1"/>
  <c r="I2111" i="9"/>
  <c r="J2109" i="9"/>
  <c r="K2109" i="9"/>
  <c r="L2109" i="9"/>
  <c r="M2109" i="9"/>
  <c r="N2109" i="9"/>
  <c r="J2110" i="9" a="1"/>
  <c r="O2109" i="9" l="1"/>
  <c r="R2109" i="9" s="1"/>
  <c r="K2110" i="9"/>
  <c r="M2110" i="9"/>
  <c r="N2110" i="9"/>
  <c r="L2110" i="9"/>
  <c r="J2110" i="9"/>
  <c r="I2112" i="9"/>
  <c r="J2111" i="9" a="1"/>
  <c r="O2110" i="9" l="1"/>
  <c r="R2110" i="9" s="1"/>
  <c r="I2113" i="9"/>
  <c r="L2111" i="9"/>
  <c r="M2111" i="9"/>
  <c r="J2111" i="9"/>
  <c r="N2111" i="9"/>
  <c r="K2111" i="9"/>
  <c r="J2112" i="9" a="1"/>
  <c r="O2111" i="9" l="1"/>
  <c r="R2111" i="9" s="1"/>
  <c r="M2112" i="9"/>
  <c r="N2112" i="9"/>
  <c r="L2112" i="9"/>
  <c r="J2112" i="9"/>
  <c r="K2112" i="9"/>
  <c r="I2114" i="9"/>
  <c r="J2113" i="9" a="1"/>
  <c r="O2112" i="9" l="1"/>
  <c r="R2112" i="9" s="1"/>
  <c r="I2115" i="9"/>
  <c r="N2113" i="9"/>
  <c r="J2113" i="9"/>
  <c r="M2113" i="9"/>
  <c r="K2113" i="9"/>
  <c r="L2113" i="9"/>
  <c r="J2114" i="9" a="1"/>
  <c r="O2113" i="9" l="1"/>
  <c r="P2113" i="9" s="1"/>
  <c r="K2114" i="9"/>
  <c r="M2114" i="9"/>
  <c r="N2114" i="9"/>
  <c r="L2114" i="9"/>
  <c r="J2114" i="9"/>
  <c r="I2116" i="9"/>
  <c r="J2115" i="9" a="1"/>
  <c r="O2114" i="9" l="1"/>
  <c r="R2114" i="9" s="1"/>
  <c r="R2113" i="9"/>
  <c r="I2117" i="9"/>
  <c r="L2115" i="9"/>
  <c r="M2115" i="9"/>
  <c r="K2115" i="9"/>
  <c r="J2115" i="9"/>
  <c r="N2115" i="9"/>
  <c r="Q2108" i="9"/>
  <c r="S2108" i="9" s="1"/>
  <c r="T2108" i="9" s="1"/>
  <c r="U2108" i="9" s="1"/>
  <c r="Q2110" i="9"/>
  <c r="S2110" i="9" s="1"/>
  <c r="T2110" i="9" s="1"/>
  <c r="U2110" i="9" s="1"/>
  <c r="Q2114" i="9"/>
  <c r="S2114" i="9" s="1"/>
  <c r="T2114" i="9" s="1"/>
  <c r="U2114" i="9" s="1"/>
  <c r="Q2112" i="9"/>
  <c r="S2112" i="9" s="1"/>
  <c r="T2112" i="9" s="1"/>
  <c r="U2112" i="9" s="1"/>
  <c r="Q2116" i="9"/>
  <c r="Q2111" i="9"/>
  <c r="S2111" i="9" s="1"/>
  <c r="T2111" i="9" s="1"/>
  <c r="U2111" i="9" s="1"/>
  <c r="Q2113" i="9"/>
  <c r="S2113" i="9" s="1"/>
  <c r="T2113" i="9" s="1"/>
  <c r="U2113" i="9" s="1"/>
  <c r="Q2109" i="9"/>
  <c r="S2109" i="9" s="1"/>
  <c r="T2109" i="9" s="1"/>
  <c r="U2109" i="9" s="1"/>
  <c r="Q2115" i="9"/>
  <c r="J2116" i="9" a="1"/>
  <c r="O2115" i="9" l="1"/>
  <c r="R2115" i="9" s="1"/>
  <c r="S2115" i="9" s="1"/>
  <c r="T2115" i="9" s="1"/>
  <c r="U2115" i="9" s="1"/>
  <c r="L2116" i="9"/>
  <c r="J2116" i="9"/>
  <c r="K2116" i="9"/>
  <c r="M2116" i="9"/>
  <c r="N2116" i="9"/>
  <c r="I2118" i="9"/>
  <c r="J2117" i="9" a="1"/>
  <c r="O2116" i="9" l="1"/>
  <c r="R2116" i="9" s="1"/>
  <c r="S2116" i="9" s="1"/>
  <c r="T2116" i="9" s="1"/>
  <c r="U2116" i="9" s="1"/>
  <c r="M2117" i="9"/>
  <c r="N2117" i="9"/>
  <c r="J2117" i="9"/>
  <c r="K2117" i="9"/>
  <c r="L2117" i="9"/>
  <c r="I2119" i="9"/>
  <c r="J2118" i="9" a="1"/>
  <c r="O2117" i="9" l="1"/>
  <c r="R2117" i="9" s="1"/>
  <c r="I2120" i="9"/>
  <c r="L2118" i="9"/>
  <c r="J2118" i="9"/>
  <c r="K2118" i="9"/>
  <c r="M2118" i="9"/>
  <c r="N2118" i="9"/>
  <c r="J2119" i="9" a="1"/>
  <c r="O2118" i="9" l="1"/>
  <c r="R2118" i="9" s="1"/>
  <c r="K2119" i="9"/>
  <c r="L2119" i="9"/>
  <c r="M2119" i="9"/>
  <c r="J2119" i="9"/>
  <c r="N2119" i="9"/>
  <c r="I2121" i="9"/>
  <c r="J2120" i="9" a="1"/>
  <c r="O2119" i="9" l="1"/>
  <c r="R2119" i="9" s="1"/>
  <c r="I2122" i="9"/>
  <c r="J2120" i="9"/>
  <c r="K2120" i="9"/>
  <c r="M2120" i="9"/>
  <c r="L2120" i="9"/>
  <c r="N2120" i="9"/>
  <c r="J2121" i="9" a="1"/>
  <c r="O2120" i="9" l="1"/>
  <c r="R2120" i="9" s="1"/>
  <c r="J2121" i="9"/>
  <c r="K2121" i="9"/>
  <c r="L2121" i="9"/>
  <c r="M2121" i="9"/>
  <c r="N2121" i="9"/>
  <c r="I2123" i="9"/>
  <c r="J2122" i="9" a="1"/>
  <c r="O2121" i="9" l="1"/>
  <c r="R2121" i="9" s="1"/>
  <c r="K2122" i="9"/>
  <c r="L2122" i="9"/>
  <c r="M2122" i="9"/>
  <c r="N2122" i="9"/>
  <c r="J2122" i="9"/>
  <c r="I2124" i="9"/>
  <c r="J2123" i="9" a="1"/>
  <c r="O2122" i="9" l="1"/>
  <c r="R2122" i="9" s="1"/>
  <c r="I2125" i="9"/>
  <c r="M2123" i="9"/>
  <c r="J2123" i="9"/>
  <c r="N2123" i="9"/>
  <c r="K2123" i="9"/>
  <c r="L2123" i="9"/>
  <c r="J2124" i="9" a="1"/>
  <c r="P2122" i="9" l="1"/>
  <c r="O2123" i="9"/>
  <c r="R2123" i="9" s="1"/>
  <c r="K2124" i="9"/>
  <c r="M2124" i="9"/>
  <c r="N2124" i="9"/>
  <c r="J2124" i="9"/>
  <c r="L2124" i="9"/>
  <c r="Q2122" i="9"/>
  <c r="S2122" i="9" s="1"/>
  <c r="T2122" i="9" s="1"/>
  <c r="U2122" i="9" s="1"/>
  <c r="Q2118" i="9"/>
  <c r="S2118" i="9" s="1"/>
  <c r="T2118" i="9" s="1"/>
  <c r="U2118" i="9" s="1"/>
  <c r="Q2125" i="9"/>
  <c r="Q2121" i="9"/>
  <c r="S2121" i="9" s="1"/>
  <c r="T2121" i="9" s="1"/>
  <c r="U2121" i="9" s="1"/>
  <c r="Q2124" i="9"/>
  <c r="Q2123" i="9"/>
  <c r="S2123" i="9" s="1"/>
  <c r="T2123" i="9" s="1"/>
  <c r="U2123" i="9" s="1"/>
  <c r="Q2120" i="9"/>
  <c r="S2120" i="9" s="1"/>
  <c r="T2120" i="9" s="1"/>
  <c r="U2120" i="9" s="1"/>
  <c r="Q2119" i="9"/>
  <c r="S2119" i="9" s="1"/>
  <c r="T2119" i="9" s="1"/>
  <c r="U2119" i="9" s="1"/>
  <c r="Q2117" i="9"/>
  <c r="S2117" i="9" s="1"/>
  <c r="T2117" i="9" s="1"/>
  <c r="U2117" i="9" s="1"/>
  <c r="I2126" i="9"/>
  <c r="J2125" i="9" a="1"/>
  <c r="O2124" i="9" l="1"/>
  <c r="R2124" i="9" s="1"/>
  <c r="S2124" i="9" s="1"/>
  <c r="T2124" i="9" s="1"/>
  <c r="U2124" i="9" s="1"/>
  <c r="N2125" i="9"/>
  <c r="J2125" i="9"/>
  <c r="K2125" i="9"/>
  <c r="L2125" i="9"/>
  <c r="M2125" i="9"/>
  <c r="I2127" i="9"/>
  <c r="J2126" i="9" a="1"/>
  <c r="O2125" i="9" l="1"/>
  <c r="R2125" i="9" s="1"/>
  <c r="S2125" i="9" s="1"/>
  <c r="T2125" i="9" s="1"/>
  <c r="U2125" i="9" s="1"/>
  <c r="I2128" i="9"/>
  <c r="K2126" i="9"/>
  <c r="M2126" i="9"/>
  <c r="J2126" i="9"/>
  <c r="N2126" i="9"/>
  <c r="L2126" i="9"/>
  <c r="J2127" i="9" a="1"/>
  <c r="O2126" i="9" l="1"/>
  <c r="R2126" i="9" s="1"/>
  <c r="N2127" i="9"/>
  <c r="K2127" i="9"/>
  <c r="L2127" i="9"/>
  <c r="M2127" i="9"/>
  <c r="J2127" i="9"/>
  <c r="I2129" i="9"/>
  <c r="J2128" i="9" a="1"/>
  <c r="O2127" i="9" l="1"/>
  <c r="R2127" i="9" s="1"/>
  <c r="I2130" i="9"/>
  <c r="J2128" i="9"/>
  <c r="K2128" i="9"/>
  <c r="M2128" i="9"/>
  <c r="N2128" i="9"/>
  <c r="L2128" i="9"/>
  <c r="J2129" i="9" a="1"/>
  <c r="O2128" i="9" l="1"/>
  <c r="R2128" i="9" s="1"/>
  <c r="K2129" i="9"/>
  <c r="L2129" i="9"/>
  <c r="N2129" i="9"/>
  <c r="J2129" i="9"/>
  <c r="M2129" i="9"/>
  <c r="I2131" i="9"/>
  <c r="J2130" i="9" a="1"/>
  <c r="O2129" i="9" l="1"/>
  <c r="R2129" i="9" s="1"/>
  <c r="I2132" i="9"/>
  <c r="L2130" i="9"/>
  <c r="J2130" i="9"/>
  <c r="K2130" i="9"/>
  <c r="M2130" i="9"/>
  <c r="N2130" i="9"/>
  <c r="J2131" i="9" a="1"/>
  <c r="O2130" i="9" l="1"/>
  <c r="R2130" i="9" s="1"/>
  <c r="J2131" i="9"/>
  <c r="N2131" i="9"/>
  <c r="L2131" i="9"/>
  <c r="M2131" i="9"/>
  <c r="K2131" i="9"/>
  <c r="I2133" i="9"/>
  <c r="J2132" i="9" a="1"/>
  <c r="O2131" i="9" l="1"/>
  <c r="R2131" i="9" s="1"/>
  <c r="I2134" i="9"/>
  <c r="M2132" i="9"/>
  <c r="N2132" i="9"/>
  <c r="L2132" i="9"/>
  <c r="J2132" i="9"/>
  <c r="K2132" i="9"/>
  <c r="J2133" i="9" a="1"/>
  <c r="O2132" i="9" l="1"/>
  <c r="R2132" i="9" s="1"/>
  <c r="P2131" i="9"/>
  <c r="M2133" i="9"/>
  <c r="N2133" i="9"/>
  <c r="J2133" i="9"/>
  <c r="K2133" i="9"/>
  <c r="L2133" i="9"/>
  <c r="Q2134" i="9"/>
  <c r="Q2127" i="9"/>
  <c r="S2127" i="9" s="1"/>
  <c r="T2127" i="9" s="1"/>
  <c r="U2127" i="9" s="1"/>
  <c r="Q2132" i="9"/>
  <c r="S2132" i="9" s="1"/>
  <c r="T2132" i="9" s="1"/>
  <c r="U2132" i="9" s="1"/>
  <c r="Q2126" i="9"/>
  <c r="S2126" i="9" s="1"/>
  <c r="T2126" i="9" s="1"/>
  <c r="U2126" i="9" s="1"/>
  <c r="Q2129" i="9"/>
  <c r="S2129" i="9" s="1"/>
  <c r="T2129" i="9" s="1"/>
  <c r="U2129" i="9" s="1"/>
  <c r="Q2133" i="9"/>
  <c r="Q2131" i="9"/>
  <c r="S2131" i="9" s="1"/>
  <c r="T2131" i="9" s="1"/>
  <c r="U2131" i="9" s="1"/>
  <c r="Q2128" i="9"/>
  <c r="S2128" i="9" s="1"/>
  <c r="T2128" i="9" s="1"/>
  <c r="U2128" i="9" s="1"/>
  <c r="Q2130" i="9"/>
  <c r="S2130" i="9" s="1"/>
  <c r="T2130" i="9" s="1"/>
  <c r="U2130" i="9" s="1"/>
  <c r="I2135" i="9"/>
  <c r="J2134" i="9" a="1"/>
  <c r="O2133" i="9" l="1"/>
  <c r="R2133" i="9" s="1"/>
  <c r="S2133" i="9" s="1"/>
  <c r="T2133" i="9" s="1"/>
  <c r="U2133" i="9" s="1"/>
  <c r="N2134" i="9"/>
  <c r="L2134" i="9"/>
  <c r="J2134" i="9"/>
  <c r="K2134" i="9"/>
  <c r="M2134" i="9"/>
  <c r="I2136" i="9"/>
  <c r="J2135" i="9" a="1"/>
  <c r="O2134" i="9" l="1"/>
  <c r="R2134" i="9" s="1"/>
  <c r="S2134" i="9" s="1"/>
  <c r="T2134" i="9" s="1"/>
  <c r="U2134" i="9" s="1"/>
  <c r="J2135" i="9"/>
  <c r="N2135" i="9"/>
  <c r="K2135" i="9"/>
  <c r="L2135" i="9"/>
  <c r="M2135" i="9"/>
  <c r="I2137" i="9"/>
  <c r="J2136" i="9" a="1"/>
  <c r="O2135" i="9" l="1"/>
  <c r="R2135" i="9" s="1"/>
  <c r="L2136" i="9"/>
  <c r="N2136" i="9"/>
  <c r="J2136" i="9"/>
  <c r="K2136" i="9"/>
  <c r="M2136" i="9"/>
  <c r="I2138" i="9"/>
  <c r="J2137" i="9" a="1"/>
  <c r="O2136" i="9" l="1"/>
  <c r="R2136" i="9" s="1"/>
  <c r="I2139" i="9"/>
  <c r="N2137" i="9"/>
  <c r="J2137" i="9"/>
  <c r="K2137" i="9"/>
  <c r="L2137" i="9"/>
  <c r="M2137" i="9"/>
  <c r="J2138" i="9" a="1"/>
  <c r="O2137" i="9" l="1"/>
  <c r="R2137" i="9" s="1"/>
  <c r="N2138" i="9"/>
  <c r="J2138" i="9"/>
  <c r="K2138" i="9"/>
  <c r="L2138" i="9"/>
  <c r="M2138" i="9"/>
  <c r="I2140" i="9"/>
  <c r="J2139" i="9" a="1"/>
  <c r="O2138" i="9" l="1"/>
  <c r="R2138" i="9" s="1"/>
  <c r="I2141" i="9"/>
  <c r="K2139" i="9"/>
  <c r="L2139" i="9"/>
  <c r="M2139" i="9"/>
  <c r="J2139" i="9"/>
  <c r="N2139" i="9"/>
  <c r="J2140" i="9" a="1"/>
  <c r="O2139" i="9" l="1"/>
  <c r="R2139" i="9" s="1"/>
  <c r="L2140" i="9"/>
  <c r="K2140" i="9"/>
  <c r="M2140" i="9"/>
  <c r="N2140" i="9"/>
  <c r="J2140" i="9"/>
  <c r="I2142" i="9"/>
  <c r="J2141" i="9" a="1"/>
  <c r="O2140" i="9" l="1"/>
  <c r="R2140" i="9" s="1"/>
  <c r="I2143" i="9"/>
  <c r="L2141" i="9"/>
  <c r="M2141" i="9"/>
  <c r="N2141" i="9"/>
  <c r="J2141" i="9"/>
  <c r="K2141" i="9"/>
  <c r="J2142" i="9" a="1"/>
  <c r="P2140" i="9" l="1"/>
  <c r="O2141" i="9"/>
  <c r="R2141" i="9" s="1"/>
  <c r="Q2136" i="9"/>
  <c r="S2136" i="9" s="1"/>
  <c r="T2136" i="9" s="1"/>
  <c r="U2136" i="9" s="1"/>
  <c r="Q2137" i="9"/>
  <c r="S2137" i="9" s="1"/>
  <c r="T2137" i="9" s="1"/>
  <c r="U2137" i="9" s="1"/>
  <c r="Q2143" i="9"/>
  <c r="Q2139" i="9"/>
  <c r="S2139" i="9" s="1"/>
  <c r="T2139" i="9" s="1"/>
  <c r="U2139" i="9" s="1"/>
  <c r="Q2142" i="9"/>
  <c r="Q2141" i="9"/>
  <c r="S2141" i="9" s="1"/>
  <c r="T2141" i="9" s="1"/>
  <c r="U2141" i="9" s="1"/>
  <c r="Q2138" i="9"/>
  <c r="S2138" i="9" s="1"/>
  <c r="T2138" i="9" s="1"/>
  <c r="U2138" i="9" s="1"/>
  <c r="Q2140" i="9"/>
  <c r="S2140" i="9" s="1"/>
  <c r="T2140" i="9" s="1"/>
  <c r="U2140" i="9" s="1"/>
  <c r="Q2135" i="9"/>
  <c r="S2135" i="9" s="1"/>
  <c r="T2135" i="9" s="1"/>
  <c r="U2135" i="9" s="1"/>
  <c r="M2142" i="9"/>
  <c r="N2142" i="9"/>
  <c r="L2142" i="9"/>
  <c r="J2142" i="9"/>
  <c r="K2142" i="9"/>
  <c r="I2144" i="9"/>
  <c r="J2143" i="9" a="1"/>
  <c r="O2142" i="9" l="1"/>
  <c r="R2142" i="9" s="1"/>
  <c r="S2142" i="9" s="1"/>
  <c r="T2142" i="9" s="1"/>
  <c r="U2142" i="9" s="1"/>
  <c r="J2143" i="9"/>
  <c r="N2143" i="9"/>
  <c r="K2143" i="9"/>
  <c r="L2143" i="9"/>
  <c r="M2143" i="9"/>
  <c r="I2145" i="9"/>
  <c r="J2144" i="9" a="1"/>
  <c r="O2143" i="9" l="1"/>
  <c r="R2143" i="9" s="1"/>
  <c r="S2143" i="9" s="1"/>
  <c r="T2143" i="9" s="1"/>
  <c r="U2143" i="9" s="1"/>
  <c r="L2144" i="9"/>
  <c r="J2144" i="9"/>
  <c r="K2144" i="9"/>
  <c r="M2144" i="9"/>
  <c r="N2144" i="9"/>
  <c r="I2146" i="9"/>
  <c r="J2145" i="9" a="1"/>
  <c r="O2144" i="9" l="1"/>
  <c r="R2144" i="9" s="1"/>
  <c r="I2147" i="9"/>
  <c r="J2145" i="9"/>
  <c r="M2145" i="9"/>
  <c r="K2145" i="9"/>
  <c r="L2145" i="9"/>
  <c r="N2145" i="9"/>
  <c r="J2146" i="9" a="1"/>
  <c r="O2145" i="9" l="1"/>
  <c r="R2145" i="9" s="1"/>
  <c r="N2146" i="9"/>
  <c r="L2146" i="9"/>
  <c r="J2146" i="9"/>
  <c r="K2146" i="9"/>
  <c r="M2146" i="9"/>
  <c r="I2148" i="9"/>
  <c r="J2147" i="9" a="1"/>
  <c r="O2146" i="9" l="1"/>
  <c r="R2146" i="9" s="1"/>
  <c r="I2149" i="9"/>
  <c r="K2147" i="9"/>
  <c r="J2147" i="9"/>
  <c r="N2147" i="9"/>
  <c r="L2147" i="9"/>
  <c r="M2147" i="9"/>
  <c r="J2148" i="9" a="1"/>
  <c r="O2147" i="9" l="1"/>
  <c r="R2147" i="9" s="1"/>
  <c r="J2148" i="9"/>
  <c r="K2148" i="9"/>
  <c r="M2148" i="9"/>
  <c r="N2148" i="9"/>
  <c r="L2148" i="9"/>
  <c r="I2150" i="9"/>
  <c r="J2149" i="9" a="1"/>
  <c r="O2148" i="9" l="1"/>
  <c r="R2148" i="9" s="1"/>
  <c r="N2149" i="9"/>
  <c r="K2149" i="9"/>
  <c r="L2149" i="9"/>
  <c r="J2149" i="9"/>
  <c r="M2149" i="9"/>
  <c r="I2151" i="9"/>
  <c r="J2150" i="9" a="1"/>
  <c r="O2149" i="9" l="1"/>
  <c r="R2149" i="9" s="1"/>
  <c r="I2152" i="9"/>
  <c r="K2150" i="9"/>
  <c r="M2150" i="9"/>
  <c r="N2150" i="9"/>
  <c r="L2150" i="9"/>
  <c r="J2150" i="9"/>
  <c r="J2151" i="9" a="1"/>
  <c r="P2149" i="9" l="1"/>
  <c r="O2150" i="9"/>
  <c r="R2150" i="9" s="1"/>
  <c r="M2151" i="9"/>
  <c r="J2151" i="9"/>
  <c r="N2151" i="9"/>
  <c r="K2151" i="9"/>
  <c r="L2151" i="9"/>
  <c r="Q2150" i="9"/>
  <c r="Q2151" i="9"/>
  <c r="Q2152" i="9"/>
  <c r="Q2144" i="9"/>
  <c r="S2144" i="9" s="1"/>
  <c r="T2144" i="9" s="1"/>
  <c r="U2144" i="9" s="1"/>
  <c r="Q2145" i="9"/>
  <c r="S2145" i="9" s="1"/>
  <c r="T2145" i="9" s="1"/>
  <c r="U2145" i="9" s="1"/>
  <c r="Q2148" i="9"/>
  <c r="S2148" i="9" s="1"/>
  <c r="T2148" i="9" s="1"/>
  <c r="U2148" i="9" s="1"/>
  <c r="Q2146" i="9"/>
  <c r="S2146" i="9" s="1"/>
  <c r="T2146" i="9" s="1"/>
  <c r="U2146" i="9" s="1"/>
  <c r="Q2149" i="9"/>
  <c r="S2149" i="9" s="1"/>
  <c r="T2149" i="9" s="1"/>
  <c r="U2149" i="9" s="1"/>
  <c r="Q2147" i="9"/>
  <c r="S2147" i="9" s="1"/>
  <c r="T2147" i="9" s="1"/>
  <c r="U2147" i="9" s="1"/>
  <c r="I2153" i="9"/>
  <c r="J2152" i="9" a="1"/>
  <c r="S2150" i="9" l="1"/>
  <c r="T2150" i="9" s="1"/>
  <c r="U2150" i="9" s="1"/>
  <c r="O2151" i="9"/>
  <c r="R2151" i="9" s="1"/>
  <c r="S2151" i="9" s="1"/>
  <c r="T2151" i="9" s="1"/>
  <c r="U2151" i="9" s="1"/>
  <c r="M2152" i="9"/>
  <c r="L2152" i="9"/>
  <c r="N2152" i="9"/>
  <c r="J2152" i="9"/>
  <c r="K2152" i="9"/>
  <c r="I2154" i="9"/>
  <c r="J2153" i="9" a="1"/>
  <c r="O2152" i="9" l="1"/>
  <c r="R2152" i="9" s="1"/>
  <c r="S2152" i="9" s="1"/>
  <c r="T2152" i="9" s="1"/>
  <c r="U2152" i="9" s="1"/>
  <c r="I2155" i="9"/>
  <c r="L2153" i="9"/>
  <c r="M2153" i="9"/>
  <c r="N2153" i="9"/>
  <c r="J2153" i="9"/>
  <c r="K2153" i="9"/>
  <c r="J2154" i="9" a="1"/>
  <c r="O2153" i="9" l="1"/>
  <c r="R2153" i="9" s="1"/>
  <c r="L2154" i="9"/>
  <c r="M2154" i="9"/>
  <c r="N2154" i="9"/>
  <c r="J2154" i="9"/>
  <c r="K2154" i="9"/>
  <c r="I2156" i="9"/>
  <c r="J2155" i="9" a="1"/>
  <c r="O2154" i="9" l="1"/>
  <c r="R2154" i="9" s="1"/>
  <c r="I2157" i="9"/>
  <c r="J2155" i="9"/>
  <c r="N2155" i="9"/>
  <c r="K2155" i="9"/>
  <c r="L2155" i="9"/>
  <c r="M2155" i="9"/>
  <c r="J2156" i="9" a="1"/>
  <c r="O2155" i="9" l="1"/>
  <c r="R2155" i="9" s="1"/>
  <c r="N2156" i="9"/>
  <c r="J2156" i="9"/>
  <c r="L2156" i="9"/>
  <c r="K2156" i="9"/>
  <c r="M2156" i="9"/>
  <c r="I2158" i="9"/>
  <c r="J2157" i="9" a="1"/>
  <c r="O2156" i="9" l="1"/>
  <c r="R2156" i="9" s="1"/>
  <c r="I2159" i="9"/>
  <c r="J2157" i="9"/>
  <c r="K2157" i="9"/>
  <c r="L2157" i="9"/>
  <c r="M2157" i="9"/>
  <c r="N2157" i="9"/>
  <c r="J2158" i="9" a="1"/>
  <c r="O2157" i="9" l="1"/>
  <c r="R2157" i="9" s="1"/>
  <c r="K2158" i="9"/>
  <c r="M2158" i="9"/>
  <c r="N2158" i="9"/>
  <c r="L2158" i="9"/>
  <c r="J2158" i="9"/>
  <c r="I2160" i="9"/>
  <c r="J2159" i="9" a="1"/>
  <c r="O2158" i="9" l="1"/>
  <c r="R2158" i="9" s="1"/>
  <c r="I2161" i="9"/>
  <c r="L2159" i="9"/>
  <c r="M2159" i="9"/>
  <c r="J2159" i="9"/>
  <c r="N2159" i="9"/>
  <c r="K2159" i="9"/>
  <c r="J2160" i="9" a="1"/>
  <c r="P2158" i="9" l="1"/>
  <c r="O2159" i="9"/>
  <c r="R2159" i="9" s="1"/>
  <c r="Q2161" i="9"/>
  <c r="Q2157" i="9"/>
  <c r="S2157" i="9" s="1"/>
  <c r="T2157" i="9" s="1"/>
  <c r="U2157" i="9" s="1"/>
  <c r="Q2159" i="9"/>
  <c r="Q2155" i="9"/>
  <c r="S2155" i="9" s="1"/>
  <c r="T2155" i="9" s="1"/>
  <c r="U2155" i="9" s="1"/>
  <c r="Q2160" i="9"/>
  <c r="Q2154" i="9"/>
  <c r="S2154" i="9" s="1"/>
  <c r="T2154" i="9" s="1"/>
  <c r="U2154" i="9" s="1"/>
  <c r="Q2158" i="9"/>
  <c r="S2158" i="9" s="1"/>
  <c r="T2158" i="9" s="1"/>
  <c r="U2158" i="9" s="1"/>
  <c r="Q2153" i="9"/>
  <c r="S2153" i="9" s="1"/>
  <c r="T2153" i="9" s="1"/>
  <c r="U2153" i="9" s="1"/>
  <c r="Q2156" i="9"/>
  <c r="S2156" i="9" s="1"/>
  <c r="T2156" i="9" s="1"/>
  <c r="U2156" i="9" s="1"/>
  <c r="M2160" i="9"/>
  <c r="N2160" i="9"/>
  <c r="L2160" i="9"/>
  <c r="J2160" i="9"/>
  <c r="K2160" i="9"/>
  <c r="I2162" i="9"/>
  <c r="J2161" i="9" a="1"/>
  <c r="S2159" i="9" l="1"/>
  <c r="T2159" i="9" s="1"/>
  <c r="U2159" i="9" s="1"/>
  <c r="O2160" i="9"/>
  <c r="R2160" i="9" s="1"/>
  <c r="S2160" i="9" s="1"/>
  <c r="T2160" i="9" s="1"/>
  <c r="U2160" i="9" s="1"/>
  <c r="I2163" i="9"/>
  <c r="N2161" i="9"/>
  <c r="J2161" i="9"/>
  <c r="M2161" i="9"/>
  <c r="K2161" i="9"/>
  <c r="L2161" i="9"/>
  <c r="J2162" i="9" a="1"/>
  <c r="O2161" i="9" l="1"/>
  <c r="R2161" i="9" s="1"/>
  <c r="S2161" i="9" s="1"/>
  <c r="T2161" i="9" s="1"/>
  <c r="U2161" i="9" s="1"/>
  <c r="K2162" i="9"/>
  <c r="M2162" i="9"/>
  <c r="N2162" i="9"/>
  <c r="L2162" i="9"/>
  <c r="J2162" i="9"/>
  <c r="I2164" i="9"/>
  <c r="J2163" i="9" a="1"/>
  <c r="O2162" i="9" l="1"/>
  <c r="R2162" i="9" s="1"/>
  <c r="I2165" i="9"/>
  <c r="L2163" i="9"/>
  <c r="M2163" i="9"/>
  <c r="K2163" i="9"/>
  <c r="J2163" i="9"/>
  <c r="N2163" i="9"/>
  <c r="J2164" i="9" a="1"/>
  <c r="O2163" i="9" l="1"/>
  <c r="R2163" i="9" s="1"/>
  <c r="L2164" i="9"/>
  <c r="J2164" i="9"/>
  <c r="K2164" i="9"/>
  <c r="M2164" i="9"/>
  <c r="N2164" i="9"/>
  <c r="I2166" i="9"/>
  <c r="J2165" i="9" a="1"/>
  <c r="O2164" i="9" l="1"/>
  <c r="R2164" i="9" s="1"/>
  <c r="I2167" i="9"/>
  <c r="N2165" i="9"/>
  <c r="K2165" i="9"/>
  <c r="L2165" i="9"/>
  <c r="J2165" i="9"/>
  <c r="M2165" i="9"/>
  <c r="J2166" i="9" a="1"/>
  <c r="O2165" i="9" l="1"/>
  <c r="R2165" i="9" s="1"/>
  <c r="L2166" i="9"/>
  <c r="J2166" i="9"/>
  <c r="K2166" i="9"/>
  <c r="M2166" i="9"/>
  <c r="N2166" i="9"/>
  <c r="I2168" i="9"/>
  <c r="J2167" i="9" a="1"/>
  <c r="O2166" i="9" l="1"/>
  <c r="R2166" i="9" s="1"/>
  <c r="I2169" i="9"/>
  <c r="K2167" i="9"/>
  <c r="L2167" i="9"/>
  <c r="M2167" i="9"/>
  <c r="J2167" i="9"/>
  <c r="N2167" i="9"/>
  <c r="J2168" i="9" a="1"/>
  <c r="O2167" i="9" l="1"/>
  <c r="P2167" i="9" s="1"/>
  <c r="J2168" i="9"/>
  <c r="K2168" i="9"/>
  <c r="M2168" i="9"/>
  <c r="L2168" i="9"/>
  <c r="N2168" i="9"/>
  <c r="I2170" i="9"/>
  <c r="J2169" i="9" a="1"/>
  <c r="R2167" i="9" l="1"/>
  <c r="O2168" i="9"/>
  <c r="J2169" i="9"/>
  <c r="K2169" i="9"/>
  <c r="L2169" i="9"/>
  <c r="M2169" i="9"/>
  <c r="N2169" i="9"/>
  <c r="I2171" i="9"/>
  <c r="Q2167" i="9"/>
  <c r="Q2168" i="9"/>
  <c r="Q2163" i="9"/>
  <c r="S2163" i="9" s="1"/>
  <c r="T2163" i="9" s="1"/>
  <c r="U2163" i="9" s="1"/>
  <c r="Q2169" i="9"/>
  <c r="Q2164" i="9"/>
  <c r="S2164" i="9" s="1"/>
  <c r="T2164" i="9" s="1"/>
  <c r="U2164" i="9" s="1"/>
  <c r="Q2162" i="9"/>
  <c r="S2162" i="9" s="1"/>
  <c r="T2162" i="9" s="1"/>
  <c r="U2162" i="9" s="1"/>
  <c r="Q2166" i="9"/>
  <c r="S2166" i="9" s="1"/>
  <c r="T2166" i="9" s="1"/>
  <c r="U2166" i="9" s="1"/>
  <c r="Q2170" i="9"/>
  <c r="Q2165" i="9"/>
  <c r="S2165" i="9" s="1"/>
  <c r="T2165" i="9" s="1"/>
  <c r="U2165" i="9" s="1"/>
  <c r="R2168" i="9"/>
  <c r="J2170" i="9" a="1"/>
  <c r="S2167" i="9" l="1"/>
  <c r="T2167" i="9" s="1"/>
  <c r="U2167" i="9" s="1"/>
  <c r="O2169" i="9"/>
  <c r="R2169" i="9" s="1"/>
  <c r="S2169" i="9" s="1"/>
  <c r="T2169" i="9" s="1"/>
  <c r="U2169" i="9" s="1"/>
  <c r="S2168" i="9"/>
  <c r="T2168" i="9" s="1"/>
  <c r="U2168" i="9" s="1"/>
  <c r="I2172" i="9"/>
  <c r="K2170" i="9"/>
  <c r="L2170" i="9"/>
  <c r="M2170" i="9"/>
  <c r="N2170" i="9"/>
  <c r="J2170" i="9"/>
  <c r="J2171" i="9" a="1"/>
  <c r="O2170" i="9" l="1"/>
  <c r="R2170" i="9" s="1"/>
  <c r="S2170" i="9" s="1"/>
  <c r="T2170" i="9" s="1"/>
  <c r="U2170" i="9" s="1"/>
  <c r="M2171" i="9"/>
  <c r="J2171" i="9"/>
  <c r="N2171" i="9"/>
  <c r="K2171" i="9"/>
  <c r="L2171" i="9"/>
  <c r="I2173" i="9"/>
  <c r="J2172" i="9" a="1"/>
  <c r="O2171" i="9" l="1"/>
  <c r="R2171" i="9" s="1"/>
  <c r="I2174" i="9"/>
  <c r="K2172" i="9"/>
  <c r="M2172" i="9"/>
  <c r="N2172" i="9"/>
  <c r="J2172" i="9"/>
  <c r="L2172" i="9"/>
  <c r="J2173" i="9" a="1"/>
  <c r="O2172" i="9" l="1"/>
  <c r="R2172" i="9" s="1"/>
  <c r="N2173" i="9"/>
  <c r="J2173" i="9"/>
  <c r="K2173" i="9"/>
  <c r="L2173" i="9"/>
  <c r="M2173" i="9"/>
  <c r="I2175" i="9"/>
  <c r="J2174" i="9" a="1"/>
  <c r="O2173" i="9" l="1"/>
  <c r="R2173" i="9" s="1"/>
  <c r="I2176" i="9"/>
  <c r="M2174" i="9"/>
  <c r="N2174" i="9"/>
  <c r="L2174" i="9"/>
  <c r="J2174" i="9"/>
  <c r="K2174" i="9"/>
  <c r="J2175" i="9" a="1"/>
  <c r="O2174" i="9" l="1"/>
  <c r="R2174" i="9" s="1"/>
  <c r="N2175" i="9"/>
  <c r="K2175" i="9"/>
  <c r="L2175" i="9"/>
  <c r="M2175" i="9"/>
  <c r="J2175" i="9"/>
  <c r="I2177" i="9"/>
  <c r="J2176" i="9" a="1"/>
  <c r="O2175" i="9" l="1"/>
  <c r="R2175" i="9" s="1"/>
  <c r="I2178" i="9"/>
  <c r="J2176" i="9"/>
  <c r="K2176" i="9"/>
  <c r="M2176" i="9"/>
  <c r="N2176" i="9"/>
  <c r="L2176" i="9"/>
  <c r="J2177" i="9" a="1"/>
  <c r="O2176" i="9" l="1"/>
  <c r="R2176" i="9" s="1"/>
  <c r="K2177" i="9"/>
  <c r="L2177" i="9"/>
  <c r="N2177" i="9"/>
  <c r="J2177" i="9"/>
  <c r="M2177" i="9"/>
  <c r="I2179" i="9"/>
  <c r="J2178" i="9" a="1"/>
  <c r="P2176" i="9" l="1"/>
  <c r="O2177" i="9"/>
  <c r="R2177" i="9" s="1"/>
  <c r="Q2176" i="9"/>
  <c r="S2176" i="9" s="1"/>
  <c r="T2176" i="9" s="1"/>
  <c r="U2176" i="9" s="1"/>
  <c r="Q2177" i="9"/>
  <c r="S2177" i="9" s="1"/>
  <c r="T2177" i="9" s="1"/>
  <c r="U2177" i="9" s="1"/>
  <c r="Q2172" i="9"/>
  <c r="S2172" i="9" s="1"/>
  <c r="T2172" i="9" s="1"/>
  <c r="U2172" i="9" s="1"/>
  <c r="Q2178" i="9"/>
  <c r="Q2173" i="9"/>
  <c r="S2173" i="9" s="1"/>
  <c r="T2173" i="9" s="1"/>
  <c r="U2173" i="9" s="1"/>
  <c r="Q2171" i="9"/>
  <c r="S2171" i="9" s="1"/>
  <c r="T2171" i="9" s="1"/>
  <c r="U2171" i="9" s="1"/>
  <c r="Q2174" i="9"/>
  <c r="S2174" i="9" s="1"/>
  <c r="T2174" i="9" s="1"/>
  <c r="U2174" i="9" s="1"/>
  <c r="Q2179" i="9"/>
  <c r="Q2175" i="9"/>
  <c r="S2175" i="9" s="1"/>
  <c r="T2175" i="9" s="1"/>
  <c r="U2175" i="9" s="1"/>
  <c r="L2178" i="9"/>
  <c r="J2178" i="9"/>
  <c r="K2178" i="9"/>
  <c r="M2178" i="9"/>
  <c r="N2178" i="9"/>
  <c r="I2180" i="9"/>
  <c r="J2179" i="9" a="1"/>
  <c r="O2178" i="9" l="1"/>
  <c r="R2178" i="9" s="1"/>
  <c r="S2178" i="9" s="1"/>
  <c r="T2178" i="9" s="1"/>
  <c r="U2178" i="9" s="1"/>
  <c r="I2181" i="9"/>
  <c r="J2179" i="9"/>
  <c r="N2179" i="9"/>
  <c r="L2179" i="9"/>
  <c r="M2179" i="9"/>
  <c r="K2179" i="9"/>
  <c r="J2180" i="9" a="1"/>
  <c r="O2179" i="9" l="1"/>
  <c r="R2179" i="9" s="1"/>
  <c r="S2179" i="9" s="1"/>
  <c r="T2179" i="9" s="1"/>
  <c r="U2179" i="9" s="1"/>
  <c r="M2180" i="9"/>
  <c r="N2180" i="9"/>
  <c r="L2180" i="9"/>
  <c r="J2180" i="9"/>
  <c r="K2180" i="9"/>
  <c r="I2182" i="9"/>
  <c r="J2181" i="9" a="1"/>
  <c r="O2180" i="9" l="1"/>
  <c r="R2180" i="9" s="1"/>
  <c r="I2183" i="9"/>
  <c r="J2181" i="9"/>
  <c r="K2181" i="9"/>
  <c r="N2181" i="9"/>
  <c r="M2181" i="9"/>
  <c r="L2181" i="9"/>
  <c r="J2182" i="9" a="1"/>
  <c r="O2181" i="9" l="1"/>
  <c r="R2181" i="9" s="1"/>
  <c r="N2182" i="9"/>
  <c r="L2182" i="9"/>
  <c r="J2182" i="9"/>
  <c r="K2182" i="9"/>
  <c r="M2182" i="9"/>
  <c r="I2184" i="9"/>
  <c r="J2183" i="9" a="1"/>
  <c r="O2182" i="9" l="1"/>
  <c r="R2182" i="9" s="1"/>
  <c r="I2185" i="9"/>
  <c r="J2183" i="9"/>
  <c r="N2183" i="9"/>
  <c r="K2183" i="9"/>
  <c r="L2183" i="9"/>
  <c r="M2183" i="9"/>
  <c r="J2184" i="9" a="1"/>
  <c r="O2183" i="9" l="1"/>
  <c r="R2183" i="9" s="1"/>
  <c r="L2184" i="9"/>
  <c r="N2184" i="9"/>
  <c r="J2184" i="9"/>
  <c r="K2184" i="9"/>
  <c r="M2184" i="9"/>
  <c r="I2186" i="9"/>
  <c r="J2185" i="9" a="1"/>
  <c r="O2184" i="9" l="1"/>
  <c r="R2184" i="9" s="1"/>
  <c r="I2187" i="9"/>
  <c r="N2185" i="9"/>
  <c r="J2185" i="9"/>
  <c r="K2185" i="9"/>
  <c r="L2185" i="9"/>
  <c r="M2185" i="9"/>
  <c r="J2186" i="9" a="1"/>
  <c r="O2185" i="9" l="1"/>
  <c r="P2185" i="9" s="1"/>
  <c r="N2186" i="9"/>
  <c r="J2186" i="9"/>
  <c r="K2186" i="9"/>
  <c r="L2186" i="9"/>
  <c r="M2186" i="9"/>
  <c r="I2188" i="9"/>
  <c r="J2187" i="9" a="1"/>
  <c r="R2185" i="9" l="1"/>
  <c r="O2186" i="9"/>
  <c r="R2186" i="9" s="1"/>
  <c r="K2187" i="9"/>
  <c r="L2187" i="9"/>
  <c r="M2187" i="9"/>
  <c r="J2187" i="9"/>
  <c r="N2187" i="9"/>
  <c r="I2189" i="9"/>
  <c r="Q2181" i="9"/>
  <c r="S2181" i="9" s="1"/>
  <c r="T2181" i="9" s="1"/>
  <c r="U2181" i="9" s="1"/>
  <c r="Q2187" i="9"/>
  <c r="Q2185" i="9"/>
  <c r="S2185" i="9" s="1"/>
  <c r="T2185" i="9" s="1"/>
  <c r="U2185" i="9" s="1"/>
  <c r="Q2188" i="9"/>
  <c r="Q2183" i="9"/>
  <c r="S2183" i="9" s="1"/>
  <c r="T2183" i="9" s="1"/>
  <c r="U2183" i="9" s="1"/>
  <c r="Q2186" i="9"/>
  <c r="S2186" i="9" s="1"/>
  <c r="T2186" i="9" s="1"/>
  <c r="U2186" i="9" s="1"/>
  <c r="Q2184" i="9"/>
  <c r="S2184" i="9" s="1"/>
  <c r="T2184" i="9" s="1"/>
  <c r="U2184" i="9" s="1"/>
  <c r="Q2180" i="9"/>
  <c r="S2180" i="9" s="1"/>
  <c r="T2180" i="9" s="1"/>
  <c r="U2180" i="9" s="1"/>
  <c r="Q2182" i="9"/>
  <c r="S2182" i="9" s="1"/>
  <c r="T2182" i="9" s="1"/>
  <c r="U2182" i="9" s="1"/>
  <c r="J2188" i="9" a="1"/>
  <c r="O2187" i="9" l="1"/>
  <c r="R2187" i="9" s="1"/>
  <c r="S2187" i="9" s="1"/>
  <c r="T2187" i="9" s="1"/>
  <c r="U2187" i="9" s="1"/>
  <c r="I2190" i="9"/>
  <c r="L2188" i="9"/>
  <c r="K2188" i="9"/>
  <c r="M2188" i="9"/>
  <c r="N2188" i="9"/>
  <c r="J2188" i="9"/>
  <c r="J2189" i="9" a="1"/>
  <c r="O2188" i="9" l="1"/>
  <c r="R2188" i="9" s="1"/>
  <c r="S2188" i="9" s="1"/>
  <c r="T2188" i="9" s="1"/>
  <c r="U2188" i="9" s="1"/>
  <c r="L2189" i="9"/>
  <c r="M2189" i="9"/>
  <c r="N2189" i="9"/>
  <c r="J2189" i="9"/>
  <c r="K2189" i="9"/>
  <c r="I2191" i="9"/>
  <c r="J2190" i="9" a="1"/>
  <c r="O2189" i="9" l="1"/>
  <c r="R2189" i="9" s="1"/>
  <c r="I2192" i="9"/>
  <c r="M2190" i="9"/>
  <c r="N2190" i="9"/>
  <c r="L2190" i="9"/>
  <c r="J2190" i="9"/>
  <c r="K2190" i="9"/>
  <c r="J2191" i="9" a="1"/>
  <c r="O2190" i="9" l="1"/>
  <c r="R2190" i="9" s="1"/>
  <c r="J2191" i="9"/>
  <c r="N2191" i="9"/>
  <c r="K2191" i="9"/>
  <c r="L2191" i="9"/>
  <c r="M2191" i="9"/>
  <c r="I2193" i="9"/>
  <c r="J2192" i="9" a="1"/>
  <c r="O2191" i="9" l="1"/>
  <c r="R2191" i="9" s="1"/>
  <c r="L2192" i="9"/>
  <c r="J2192" i="9"/>
  <c r="K2192" i="9"/>
  <c r="M2192" i="9"/>
  <c r="N2192" i="9"/>
  <c r="I2194" i="9"/>
  <c r="J2193" i="9" a="1"/>
  <c r="O2192" i="9" l="1"/>
  <c r="R2192" i="9" s="1"/>
  <c r="I2195" i="9"/>
  <c r="J2193" i="9"/>
  <c r="M2193" i="9"/>
  <c r="K2193" i="9"/>
  <c r="L2193" i="9"/>
  <c r="N2193" i="9"/>
  <c r="J2194" i="9" a="1"/>
  <c r="O2193" i="9" l="1"/>
  <c r="R2193" i="9" s="1"/>
  <c r="N2194" i="9"/>
  <c r="L2194" i="9"/>
  <c r="J2194" i="9"/>
  <c r="K2194" i="9"/>
  <c r="M2194" i="9"/>
  <c r="I2196" i="9"/>
  <c r="J2195" i="9" a="1"/>
  <c r="O2194" i="9" l="1"/>
  <c r="R2194" i="9" s="1"/>
  <c r="I2197" i="9"/>
  <c r="K2195" i="9"/>
  <c r="J2195" i="9"/>
  <c r="N2195" i="9"/>
  <c r="L2195" i="9"/>
  <c r="M2195" i="9"/>
  <c r="J2196" i="9" a="1"/>
  <c r="P2194" i="9" l="1"/>
  <c r="O2195" i="9"/>
  <c r="R2195" i="9" s="1"/>
  <c r="J2196" i="9"/>
  <c r="K2196" i="9"/>
  <c r="M2196" i="9"/>
  <c r="N2196" i="9"/>
  <c r="L2196" i="9"/>
  <c r="Q2192" i="9"/>
  <c r="S2192" i="9" s="1"/>
  <c r="T2192" i="9" s="1"/>
  <c r="U2192" i="9" s="1"/>
  <c r="Q2193" i="9"/>
  <c r="S2193" i="9" s="1"/>
  <c r="T2193" i="9" s="1"/>
  <c r="U2193" i="9" s="1"/>
  <c r="Q2191" i="9"/>
  <c r="S2191" i="9" s="1"/>
  <c r="T2191" i="9" s="1"/>
  <c r="U2191" i="9" s="1"/>
  <c r="Q2194" i="9"/>
  <c r="S2194" i="9" s="1"/>
  <c r="T2194" i="9" s="1"/>
  <c r="U2194" i="9" s="1"/>
  <c r="Q2196" i="9"/>
  <c r="Q2190" i="9"/>
  <c r="S2190" i="9" s="1"/>
  <c r="T2190" i="9" s="1"/>
  <c r="U2190" i="9" s="1"/>
  <c r="Q2197" i="9"/>
  <c r="Q2195" i="9"/>
  <c r="S2195" i="9" s="1"/>
  <c r="T2195" i="9" s="1"/>
  <c r="U2195" i="9" s="1"/>
  <c r="Q2189" i="9"/>
  <c r="S2189" i="9" s="1"/>
  <c r="T2189" i="9" s="1"/>
  <c r="U2189" i="9" s="1"/>
  <c r="I2198" i="9"/>
  <c r="J2197" i="9" a="1"/>
  <c r="O2196" i="9" l="1"/>
  <c r="R2196" i="9" s="1"/>
  <c r="S2196" i="9" s="1"/>
  <c r="T2196" i="9" s="1"/>
  <c r="U2196" i="9" s="1"/>
  <c r="J2197" i="9"/>
  <c r="K2197" i="9"/>
  <c r="L2197" i="9"/>
  <c r="M2197" i="9"/>
  <c r="N2197" i="9"/>
  <c r="I2199" i="9"/>
  <c r="J2198" i="9" a="1"/>
  <c r="O2197" i="9" l="1"/>
  <c r="R2197" i="9" s="1"/>
  <c r="S2197" i="9" s="1"/>
  <c r="T2197" i="9" s="1"/>
  <c r="U2197" i="9" s="1"/>
  <c r="K2198" i="9"/>
  <c r="M2198" i="9"/>
  <c r="N2198" i="9"/>
  <c r="L2198" i="9"/>
  <c r="J2198" i="9"/>
  <c r="I2200" i="9"/>
  <c r="J2199" i="9" a="1"/>
  <c r="O2198" i="9" l="1"/>
  <c r="R2198" i="9" s="1"/>
  <c r="I2201" i="9"/>
  <c r="M2199" i="9"/>
  <c r="J2199" i="9"/>
  <c r="N2199" i="9"/>
  <c r="K2199" i="9"/>
  <c r="L2199" i="9"/>
  <c r="J2200" i="9" a="1"/>
  <c r="O2199" i="9" l="1"/>
  <c r="R2199" i="9" s="1"/>
  <c r="M2200" i="9"/>
  <c r="L2200" i="9"/>
  <c r="N2200" i="9"/>
  <c r="J2200" i="9"/>
  <c r="K2200" i="9"/>
  <c r="I2202" i="9"/>
  <c r="J2201" i="9" a="1"/>
  <c r="O2200" i="9" l="1"/>
  <c r="R2200" i="9" s="1"/>
  <c r="I2203" i="9"/>
  <c r="L2201" i="9"/>
  <c r="M2201" i="9"/>
  <c r="N2201" i="9"/>
  <c r="J2201" i="9"/>
  <c r="K2201" i="9"/>
  <c r="J2202" i="9" a="1"/>
  <c r="O2201" i="9" l="1"/>
  <c r="R2201" i="9" s="1"/>
  <c r="L2202" i="9"/>
  <c r="M2202" i="9"/>
  <c r="N2202" i="9"/>
  <c r="J2202" i="9"/>
  <c r="K2202" i="9"/>
  <c r="I2204" i="9"/>
  <c r="J2203" i="9" a="1"/>
  <c r="O2202" i="9" l="1"/>
  <c r="R2202" i="9" s="1"/>
  <c r="I2205" i="9"/>
  <c r="J2203" i="9"/>
  <c r="N2203" i="9"/>
  <c r="K2203" i="9"/>
  <c r="L2203" i="9"/>
  <c r="M2203" i="9"/>
  <c r="J2204" i="9" a="1"/>
  <c r="O2203" i="9" l="1"/>
  <c r="P2203" i="9" s="1"/>
  <c r="N2204" i="9"/>
  <c r="J2204" i="9"/>
  <c r="L2204" i="9"/>
  <c r="K2204" i="9"/>
  <c r="M2204" i="9"/>
  <c r="I2206" i="9"/>
  <c r="J2205" i="9" a="1"/>
  <c r="R2203" i="9" l="1"/>
  <c r="O2204" i="9"/>
  <c r="R2204" i="9" s="1"/>
  <c r="J2205" i="9"/>
  <c r="K2205" i="9"/>
  <c r="L2205" i="9"/>
  <c r="M2205" i="9"/>
  <c r="N2205" i="9"/>
  <c r="I2207" i="9"/>
  <c r="Q2199" i="9"/>
  <c r="S2199" i="9" s="1"/>
  <c r="T2199" i="9" s="1"/>
  <c r="U2199" i="9" s="1"/>
  <c r="Q2205" i="9"/>
  <c r="Q2200" i="9"/>
  <c r="S2200" i="9" s="1"/>
  <c r="T2200" i="9" s="1"/>
  <c r="U2200" i="9" s="1"/>
  <c r="Q2201" i="9"/>
  <c r="S2201" i="9" s="1"/>
  <c r="T2201" i="9" s="1"/>
  <c r="U2201" i="9" s="1"/>
  <c r="Q2202" i="9"/>
  <c r="S2202" i="9" s="1"/>
  <c r="T2202" i="9" s="1"/>
  <c r="U2202" i="9" s="1"/>
  <c r="Q2198" i="9"/>
  <c r="S2198" i="9" s="1"/>
  <c r="T2198" i="9" s="1"/>
  <c r="U2198" i="9" s="1"/>
  <c r="Q2203" i="9"/>
  <c r="S2203" i="9" s="1"/>
  <c r="T2203" i="9" s="1"/>
  <c r="U2203" i="9" s="1"/>
  <c r="Q2206" i="9"/>
  <c r="Q2204" i="9"/>
  <c r="S2204" i="9" s="1"/>
  <c r="T2204" i="9" s="1"/>
  <c r="U2204" i="9" s="1"/>
  <c r="J2206" i="9" a="1"/>
  <c r="O2205" i="9" l="1"/>
  <c r="R2205" i="9" s="1"/>
  <c r="S2205" i="9" s="1"/>
  <c r="T2205" i="9" s="1"/>
  <c r="U2205" i="9" s="1"/>
  <c r="I2208" i="9"/>
  <c r="N2206" i="9"/>
  <c r="J2206" i="9"/>
  <c r="K2206" i="9"/>
  <c r="L2206" i="9"/>
  <c r="M2206" i="9"/>
  <c r="J2207" i="9" a="1"/>
  <c r="O2206" i="9" l="1"/>
  <c r="R2206" i="9" s="1"/>
  <c r="S2206" i="9" s="1"/>
  <c r="T2206" i="9" s="1"/>
  <c r="U2206" i="9" s="1"/>
  <c r="L2207" i="9"/>
  <c r="M2207" i="9"/>
  <c r="J2207" i="9"/>
  <c r="N2207" i="9"/>
  <c r="K2207" i="9"/>
  <c r="I2209" i="9"/>
  <c r="J2208" i="9" a="1"/>
  <c r="O2207" i="9" l="1"/>
  <c r="R2207" i="9" s="1"/>
  <c r="I2210" i="9"/>
  <c r="M2208" i="9"/>
  <c r="N2208" i="9"/>
  <c r="L2208" i="9"/>
  <c r="J2208" i="9"/>
  <c r="K2208" i="9"/>
  <c r="J2209" i="9" a="1"/>
  <c r="O2208" i="9" l="1"/>
  <c r="R2208" i="9" s="1"/>
  <c r="N2209" i="9"/>
  <c r="J2209" i="9"/>
  <c r="M2209" i="9"/>
  <c r="K2209" i="9"/>
  <c r="L2209" i="9"/>
  <c r="I2211" i="9"/>
  <c r="J2210" i="9" a="1"/>
  <c r="O2209" i="9" l="1"/>
  <c r="R2209" i="9" s="1"/>
  <c r="I2212" i="9"/>
  <c r="K2210" i="9"/>
  <c r="M2210" i="9"/>
  <c r="N2210" i="9"/>
  <c r="L2210" i="9"/>
  <c r="J2210" i="9"/>
  <c r="J2211" i="9" a="1"/>
  <c r="O2210" i="9" l="1"/>
  <c r="R2210" i="9" s="1"/>
  <c r="L2211" i="9"/>
  <c r="M2211" i="9"/>
  <c r="K2211" i="9"/>
  <c r="J2211" i="9"/>
  <c r="N2211" i="9"/>
  <c r="I2213" i="9"/>
  <c r="J2212" i="9" a="1"/>
  <c r="O2211" i="9" l="1"/>
  <c r="R2211" i="9" s="1"/>
  <c r="I2214" i="9"/>
  <c r="L2212" i="9"/>
  <c r="J2212" i="9"/>
  <c r="K2212" i="9"/>
  <c r="M2212" i="9"/>
  <c r="N2212" i="9"/>
  <c r="J2213" i="9" a="1"/>
  <c r="O2212" i="9" l="1"/>
  <c r="R2212" i="9" s="1"/>
  <c r="K2213" i="9"/>
  <c r="L2213" i="9"/>
  <c r="M2213" i="9"/>
  <c r="N2213" i="9"/>
  <c r="J2213" i="9"/>
  <c r="I2215" i="9"/>
  <c r="J2214" i="9" a="1"/>
  <c r="P2212" i="9" l="1"/>
  <c r="O2213" i="9"/>
  <c r="L2214" i="9"/>
  <c r="J2214" i="9"/>
  <c r="K2214" i="9"/>
  <c r="M2214" i="9"/>
  <c r="N2214" i="9"/>
  <c r="I2216" i="9"/>
  <c r="Q2212" i="9"/>
  <c r="S2212" i="9" s="1"/>
  <c r="T2212" i="9" s="1"/>
  <c r="U2212" i="9" s="1"/>
  <c r="Q2214" i="9"/>
  <c r="Q2215" i="9"/>
  <c r="Q2213" i="9"/>
  <c r="Q2208" i="9"/>
  <c r="S2208" i="9" s="1"/>
  <c r="T2208" i="9" s="1"/>
  <c r="U2208" i="9" s="1"/>
  <c r="Q2207" i="9"/>
  <c r="S2207" i="9" s="1"/>
  <c r="T2207" i="9" s="1"/>
  <c r="U2207" i="9" s="1"/>
  <c r="Q2209" i="9"/>
  <c r="S2209" i="9" s="1"/>
  <c r="T2209" i="9" s="1"/>
  <c r="U2209" i="9" s="1"/>
  <c r="Q2210" i="9"/>
  <c r="S2210" i="9" s="1"/>
  <c r="T2210" i="9" s="1"/>
  <c r="U2210" i="9" s="1"/>
  <c r="Q2211" i="9"/>
  <c r="S2211" i="9" s="1"/>
  <c r="T2211" i="9" s="1"/>
  <c r="U2211" i="9" s="1"/>
  <c r="R2213" i="9"/>
  <c r="J2215" i="9" a="1"/>
  <c r="O2214" i="9" l="1"/>
  <c r="R2214" i="9" s="1"/>
  <c r="S2214" i="9" s="1"/>
  <c r="T2214" i="9" s="1"/>
  <c r="U2214" i="9" s="1"/>
  <c r="S2213" i="9"/>
  <c r="T2213" i="9" s="1"/>
  <c r="U2213" i="9" s="1"/>
  <c r="I2217" i="9"/>
  <c r="K2215" i="9"/>
  <c r="L2215" i="9"/>
  <c r="M2215" i="9"/>
  <c r="J2215" i="9"/>
  <c r="N2215" i="9"/>
  <c r="J2216" i="9" a="1"/>
  <c r="O2215" i="9" l="1"/>
  <c r="R2215" i="9" s="1"/>
  <c r="S2215" i="9" s="1"/>
  <c r="T2215" i="9" s="1"/>
  <c r="U2215" i="9" s="1"/>
  <c r="J2216" i="9"/>
  <c r="K2216" i="9"/>
  <c r="M2216" i="9"/>
  <c r="L2216" i="9"/>
  <c r="N2216" i="9"/>
  <c r="I2218" i="9"/>
  <c r="J2217" i="9" a="1"/>
  <c r="O2216" i="9" l="1"/>
  <c r="R2216" i="9" s="1"/>
  <c r="J2217" i="9"/>
  <c r="K2217" i="9"/>
  <c r="L2217" i="9"/>
  <c r="M2217" i="9"/>
  <c r="N2217" i="9"/>
  <c r="I2219" i="9"/>
  <c r="J2218" i="9" a="1"/>
  <c r="O2217" i="9" l="1"/>
  <c r="R2217" i="9" s="1"/>
  <c r="K2218" i="9"/>
  <c r="L2218" i="9"/>
  <c r="M2218" i="9"/>
  <c r="N2218" i="9"/>
  <c r="J2218" i="9"/>
  <c r="I2220" i="9"/>
  <c r="J2219" i="9" a="1"/>
  <c r="O2218" i="9" l="1"/>
  <c r="R2218" i="9" s="1"/>
  <c r="I2221" i="9"/>
  <c r="M2219" i="9"/>
  <c r="J2219" i="9"/>
  <c r="N2219" i="9"/>
  <c r="K2219" i="9"/>
  <c r="L2219" i="9"/>
  <c r="J2220" i="9" a="1"/>
  <c r="O2219" i="9" l="1"/>
  <c r="R2219" i="9" s="1"/>
  <c r="K2220" i="9"/>
  <c r="M2220" i="9"/>
  <c r="N2220" i="9"/>
  <c r="J2220" i="9"/>
  <c r="L2220" i="9"/>
  <c r="I2222" i="9"/>
  <c r="J2221" i="9" a="1"/>
  <c r="O2220" i="9" l="1"/>
  <c r="R2220" i="9" s="1"/>
  <c r="I2223" i="9"/>
  <c r="N2221" i="9"/>
  <c r="J2221" i="9"/>
  <c r="K2221" i="9"/>
  <c r="L2221" i="9"/>
  <c r="M2221" i="9"/>
  <c r="J2222" i="9" a="1"/>
  <c r="O2221" i="9" l="1"/>
  <c r="R2221" i="9" s="1"/>
  <c r="N2222" i="9"/>
  <c r="J2222" i="9"/>
  <c r="K2222" i="9"/>
  <c r="L2222" i="9"/>
  <c r="M2222" i="9"/>
  <c r="I2224" i="9"/>
  <c r="J2223" i="9" a="1"/>
  <c r="P2221" i="9" l="1"/>
  <c r="O2222" i="9"/>
  <c r="R2222" i="9" s="1"/>
  <c r="N2223" i="9"/>
  <c r="K2223" i="9"/>
  <c r="L2223" i="9"/>
  <c r="M2223" i="9"/>
  <c r="J2223" i="9"/>
  <c r="I2225" i="9"/>
  <c r="Q2219" i="9"/>
  <c r="S2219" i="9" s="1"/>
  <c r="T2219" i="9" s="1"/>
  <c r="U2219" i="9" s="1"/>
  <c r="Q2220" i="9"/>
  <c r="S2220" i="9" s="1"/>
  <c r="T2220" i="9" s="1"/>
  <c r="U2220" i="9" s="1"/>
  <c r="Q2223" i="9"/>
  <c r="Q2217" i="9"/>
  <c r="S2217" i="9" s="1"/>
  <c r="T2217" i="9" s="1"/>
  <c r="U2217" i="9" s="1"/>
  <c r="Q2216" i="9"/>
  <c r="S2216" i="9" s="1"/>
  <c r="T2216" i="9" s="1"/>
  <c r="U2216" i="9" s="1"/>
  <c r="Q2221" i="9"/>
  <c r="S2221" i="9" s="1"/>
  <c r="T2221" i="9" s="1"/>
  <c r="U2221" i="9" s="1"/>
  <c r="Q2224" i="9"/>
  <c r="Q2222" i="9"/>
  <c r="S2222" i="9" s="1"/>
  <c r="T2222" i="9" s="1"/>
  <c r="U2222" i="9" s="1"/>
  <c r="Q2218" i="9"/>
  <c r="S2218" i="9" s="1"/>
  <c r="T2218" i="9" s="1"/>
  <c r="U2218" i="9" s="1"/>
  <c r="J2224" i="9" a="1"/>
  <c r="O2223" i="9" l="1"/>
  <c r="R2223" i="9" s="1"/>
  <c r="S2223" i="9" s="1"/>
  <c r="T2223" i="9" s="1"/>
  <c r="U2223" i="9" s="1"/>
  <c r="I2226" i="9"/>
  <c r="J2224" i="9"/>
  <c r="K2224" i="9"/>
  <c r="M2224" i="9"/>
  <c r="N2224" i="9"/>
  <c r="L2224" i="9"/>
  <c r="J2225" i="9" a="1"/>
  <c r="O2224" i="9" l="1"/>
  <c r="R2224" i="9" s="1"/>
  <c r="S2224" i="9" s="1"/>
  <c r="T2224" i="9" s="1"/>
  <c r="U2224" i="9" s="1"/>
  <c r="K2225" i="9"/>
  <c r="L2225" i="9"/>
  <c r="N2225" i="9"/>
  <c r="J2225" i="9"/>
  <c r="M2225" i="9"/>
  <c r="I2227" i="9"/>
  <c r="J2226" i="9" a="1"/>
  <c r="O2225" i="9" l="1"/>
  <c r="R2225" i="9" s="1"/>
  <c r="L2226" i="9"/>
  <c r="J2226" i="9"/>
  <c r="K2226" i="9"/>
  <c r="M2226" i="9"/>
  <c r="N2226" i="9"/>
  <c r="I2228" i="9"/>
  <c r="J2227" i="9" a="1"/>
  <c r="O2226" i="9" l="1"/>
  <c r="R2226" i="9" s="1"/>
  <c r="I2229" i="9"/>
  <c r="J2227" i="9"/>
  <c r="N2227" i="9"/>
  <c r="L2227" i="9"/>
  <c r="M2227" i="9"/>
  <c r="K2227" i="9"/>
  <c r="J2228" i="9" a="1"/>
  <c r="O2227" i="9" l="1"/>
  <c r="R2227" i="9" s="1"/>
  <c r="M2228" i="9"/>
  <c r="N2228" i="9"/>
  <c r="L2228" i="9"/>
  <c r="J2228" i="9"/>
  <c r="K2228" i="9"/>
  <c r="I2230" i="9"/>
  <c r="J2229" i="9" a="1"/>
  <c r="O2228" i="9" l="1"/>
  <c r="R2228" i="9" s="1"/>
  <c r="I2231" i="9"/>
  <c r="J2229" i="9"/>
  <c r="K2229" i="9"/>
  <c r="L2229" i="9"/>
  <c r="M2229" i="9"/>
  <c r="N2229" i="9"/>
  <c r="J2230" i="9" a="1"/>
  <c r="O2229" i="9" l="1"/>
  <c r="R2229" i="9" s="1"/>
  <c r="M2230" i="9"/>
  <c r="N2230" i="9"/>
  <c r="J2230" i="9"/>
  <c r="K2230" i="9"/>
  <c r="L2230" i="9"/>
  <c r="I2232" i="9"/>
  <c r="J2231" i="9" a="1"/>
  <c r="O2230" i="9" l="1"/>
  <c r="R2230" i="9" s="1"/>
  <c r="I2233" i="9"/>
  <c r="L2231" i="9"/>
  <c r="M2231" i="9"/>
  <c r="N2231" i="9"/>
  <c r="J2231" i="9"/>
  <c r="K2231" i="9"/>
  <c r="J2232" i="9" a="1"/>
  <c r="P2230" i="9" l="1"/>
  <c r="O2231" i="9"/>
  <c r="R2231" i="9" s="1"/>
  <c r="Q2233" i="9"/>
  <c r="Q2231" i="9"/>
  <c r="S2231" i="9" s="1"/>
  <c r="T2231" i="9" s="1"/>
  <c r="U2231" i="9" s="1"/>
  <c r="Q2230" i="9"/>
  <c r="S2230" i="9" s="1"/>
  <c r="T2230" i="9" s="1"/>
  <c r="U2230" i="9" s="1"/>
  <c r="Q2225" i="9"/>
  <c r="S2225" i="9" s="1"/>
  <c r="T2225" i="9" s="1"/>
  <c r="U2225" i="9" s="1"/>
  <c r="Q2226" i="9"/>
  <c r="S2226" i="9" s="1"/>
  <c r="T2226" i="9" s="1"/>
  <c r="U2226" i="9" s="1"/>
  <c r="Q2229" i="9"/>
  <c r="S2229" i="9" s="1"/>
  <c r="T2229" i="9" s="1"/>
  <c r="U2229" i="9" s="1"/>
  <c r="Q2227" i="9"/>
  <c r="S2227" i="9" s="1"/>
  <c r="T2227" i="9" s="1"/>
  <c r="U2227" i="9" s="1"/>
  <c r="Q2228" i="9"/>
  <c r="S2228" i="9" s="1"/>
  <c r="T2228" i="9" s="1"/>
  <c r="U2228" i="9" s="1"/>
  <c r="Q2232" i="9"/>
  <c r="K2232" i="9"/>
  <c r="M2232" i="9"/>
  <c r="N2232" i="9"/>
  <c r="L2232" i="9"/>
  <c r="J2232" i="9"/>
  <c r="I2234" i="9"/>
  <c r="J2233" i="9" a="1"/>
  <c r="O2232" i="9" l="1"/>
  <c r="R2232" i="9" s="1"/>
  <c r="S2232" i="9" s="1"/>
  <c r="T2232" i="9" s="1"/>
  <c r="U2232" i="9" s="1"/>
  <c r="N2233" i="9"/>
  <c r="M2233" i="9"/>
  <c r="J2233" i="9"/>
  <c r="K2233" i="9"/>
  <c r="L2233" i="9"/>
  <c r="I2235" i="9"/>
  <c r="J2234" i="9" a="1"/>
  <c r="O2233" i="9" l="1"/>
  <c r="R2233" i="9" s="1"/>
  <c r="S2233" i="9" s="1"/>
  <c r="T2233" i="9" s="1"/>
  <c r="U2233" i="9" s="1"/>
  <c r="I2236" i="9"/>
  <c r="J2234" i="9"/>
  <c r="K2234" i="9"/>
  <c r="L2234" i="9"/>
  <c r="M2234" i="9"/>
  <c r="N2234" i="9"/>
  <c r="J2235" i="9" a="1"/>
  <c r="O2234" i="9" l="1"/>
  <c r="R2234" i="9" s="1"/>
  <c r="M2235" i="9"/>
  <c r="N2235" i="9"/>
  <c r="J2235" i="9"/>
  <c r="K2235" i="9"/>
  <c r="L2235" i="9"/>
  <c r="I2237" i="9"/>
  <c r="J2236" i="9" a="1"/>
  <c r="O2235" i="9" l="1"/>
  <c r="R2235" i="9" s="1"/>
  <c r="I2238" i="9"/>
  <c r="M2236" i="9"/>
  <c r="L2236" i="9"/>
  <c r="N2236" i="9"/>
  <c r="J2236" i="9"/>
  <c r="K2236" i="9"/>
  <c r="J2237" i="9" a="1"/>
  <c r="O2236" i="9" l="1"/>
  <c r="R2236" i="9" s="1"/>
  <c r="M2237" i="9"/>
  <c r="N2237" i="9"/>
  <c r="J2237" i="9"/>
  <c r="K2237" i="9"/>
  <c r="L2237" i="9"/>
  <c r="I2239" i="9"/>
  <c r="J2238" i="9" a="1"/>
  <c r="O2237" i="9" l="1"/>
  <c r="R2237" i="9" s="1"/>
  <c r="I2240" i="9"/>
  <c r="K2238" i="9"/>
  <c r="L2238" i="9"/>
  <c r="M2238" i="9"/>
  <c r="N2238" i="9"/>
  <c r="J2238" i="9"/>
  <c r="J2239" i="9" a="1"/>
  <c r="O2238" i="9" l="1"/>
  <c r="R2238" i="9" s="1"/>
  <c r="L2239" i="9"/>
  <c r="M2239" i="9"/>
  <c r="J2239" i="9"/>
  <c r="N2239" i="9"/>
  <c r="K2239" i="9"/>
  <c r="I2241" i="9"/>
  <c r="J2240" i="9" a="1"/>
  <c r="O2239" i="9" l="1"/>
  <c r="R2239" i="9" s="1"/>
  <c r="I2242" i="9"/>
  <c r="M2240" i="9"/>
  <c r="N2240" i="9"/>
  <c r="L2240" i="9"/>
  <c r="J2240" i="9"/>
  <c r="K2240" i="9"/>
  <c r="J2241" i="9" a="1"/>
  <c r="P2239" i="9" l="1"/>
  <c r="Q2235" i="9" s="1"/>
  <c r="S2235" i="9" s="1"/>
  <c r="T2235" i="9" s="1"/>
  <c r="U2235" i="9" s="1"/>
  <c r="O2240" i="9"/>
  <c r="R2240" i="9" s="1"/>
  <c r="I2243" i="9"/>
  <c r="J2241" i="9"/>
  <c r="N2241" i="9"/>
  <c r="K2241" i="9"/>
  <c r="L2241" i="9"/>
  <c r="M2241" i="9"/>
  <c r="Q2241" i="9"/>
  <c r="Q2240" i="9"/>
  <c r="S2240" i="9" s="1"/>
  <c r="T2240" i="9" s="1"/>
  <c r="U2240" i="9" s="1"/>
  <c r="Q2239" i="9"/>
  <c r="S2239" i="9" s="1"/>
  <c r="T2239" i="9" s="1"/>
  <c r="U2239" i="9" s="1"/>
  <c r="Q2237" i="9"/>
  <c r="S2237" i="9" s="1"/>
  <c r="T2237" i="9" s="1"/>
  <c r="U2237" i="9" s="1"/>
  <c r="J2242" i="9" a="1"/>
  <c r="Q2242" i="9" l="1"/>
  <c r="Q2234" i="9"/>
  <c r="S2234" i="9" s="1"/>
  <c r="T2234" i="9" s="1"/>
  <c r="U2234" i="9" s="1"/>
  <c r="Q2238" i="9"/>
  <c r="S2238" i="9" s="1"/>
  <c r="T2238" i="9" s="1"/>
  <c r="U2238" i="9" s="1"/>
  <c r="Q2236" i="9"/>
  <c r="S2236" i="9" s="1"/>
  <c r="T2236" i="9" s="1"/>
  <c r="U2236" i="9" s="1"/>
  <c r="O2241" i="9"/>
  <c r="R2241" i="9" s="1"/>
  <c r="S2241" i="9" s="1"/>
  <c r="T2241" i="9" s="1"/>
  <c r="U2241" i="9" s="1"/>
  <c r="M2242" i="9"/>
  <c r="N2242" i="9"/>
  <c r="J2242" i="9"/>
  <c r="K2242" i="9"/>
  <c r="L2242" i="9"/>
  <c r="I2244" i="9"/>
  <c r="J2243" i="9" a="1"/>
  <c r="O2242" i="9" l="1"/>
  <c r="R2242" i="9" s="1"/>
  <c r="S2242" i="9" s="1"/>
  <c r="T2242" i="9" s="1"/>
  <c r="U2242" i="9" s="1"/>
  <c r="L2243" i="9"/>
  <c r="M2243" i="9"/>
  <c r="N2243" i="9"/>
  <c r="J2243" i="9"/>
  <c r="K2243" i="9"/>
  <c r="I2245" i="9"/>
  <c r="J2244" i="9" a="1"/>
  <c r="O2243" i="9" l="1"/>
  <c r="R2243" i="9" s="1"/>
  <c r="I2246" i="9"/>
  <c r="N2244" i="9"/>
  <c r="J2244" i="9"/>
  <c r="L2244" i="9"/>
  <c r="K2244" i="9"/>
  <c r="M2244" i="9"/>
  <c r="J2245" i="9" a="1"/>
  <c r="O2244" i="9" l="1"/>
  <c r="R2244" i="9" s="1"/>
  <c r="L2245" i="9"/>
  <c r="M2245" i="9"/>
  <c r="N2245" i="9"/>
  <c r="J2245" i="9"/>
  <c r="K2245" i="9"/>
  <c r="I2247" i="9"/>
  <c r="J2246" i="9" a="1"/>
  <c r="O2245" i="9" l="1"/>
  <c r="R2245" i="9" s="1"/>
  <c r="I2248" i="9"/>
  <c r="J2246" i="9"/>
  <c r="K2246" i="9"/>
  <c r="L2246" i="9"/>
  <c r="M2246" i="9"/>
  <c r="N2246" i="9"/>
  <c r="J2247" i="9" a="1"/>
  <c r="O2246" i="9" l="1"/>
  <c r="R2246" i="9" s="1"/>
  <c r="M2247" i="9"/>
  <c r="N2247" i="9"/>
  <c r="K2247" i="9"/>
  <c r="J2247" i="9"/>
  <c r="L2247" i="9"/>
  <c r="I2249" i="9"/>
  <c r="J2248" i="9" a="1"/>
  <c r="O2247" i="9" l="1"/>
  <c r="R2247" i="9" s="1"/>
  <c r="I2250" i="9"/>
  <c r="K2248" i="9"/>
  <c r="M2248" i="9"/>
  <c r="N2248" i="9"/>
  <c r="L2248" i="9"/>
  <c r="J2248" i="9"/>
  <c r="J2249" i="9" a="1"/>
  <c r="O2248" i="9" l="1"/>
  <c r="P2248" i="9" s="1"/>
  <c r="N2249" i="9"/>
  <c r="J2249" i="9"/>
  <c r="K2249" i="9"/>
  <c r="L2249" i="9"/>
  <c r="M2249" i="9"/>
  <c r="I2251" i="9"/>
  <c r="J2250" i="9" a="1"/>
  <c r="O2249" i="9" l="1"/>
  <c r="R2249" i="9" s="1"/>
  <c r="R2248" i="9"/>
  <c r="N2250" i="9"/>
  <c r="J2250" i="9"/>
  <c r="K2250" i="9"/>
  <c r="L2250" i="9"/>
  <c r="M2250" i="9"/>
  <c r="I2252" i="9"/>
  <c r="Q2246" i="9"/>
  <c r="S2246" i="9" s="1"/>
  <c r="T2246" i="9" s="1"/>
  <c r="U2246" i="9" s="1"/>
  <c r="Q2245" i="9"/>
  <c r="S2245" i="9" s="1"/>
  <c r="T2245" i="9" s="1"/>
  <c r="U2245" i="9" s="1"/>
  <c r="Q2251" i="9"/>
  <c r="Q2249" i="9"/>
  <c r="S2249" i="9" s="1"/>
  <c r="T2249" i="9" s="1"/>
  <c r="U2249" i="9" s="1"/>
  <c r="Q2248" i="9"/>
  <c r="Q2243" i="9"/>
  <c r="S2243" i="9" s="1"/>
  <c r="T2243" i="9" s="1"/>
  <c r="U2243" i="9" s="1"/>
  <c r="Q2244" i="9"/>
  <c r="S2244" i="9" s="1"/>
  <c r="T2244" i="9" s="1"/>
  <c r="U2244" i="9" s="1"/>
  <c r="Q2250" i="9"/>
  <c r="Q2247" i="9"/>
  <c r="S2247" i="9" s="1"/>
  <c r="T2247" i="9" s="1"/>
  <c r="U2247" i="9" s="1"/>
  <c r="J2251" i="9" a="1"/>
  <c r="S2248" i="9" l="1"/>
  <c r="T2248" i="9" s="1"/>
  <c r="U2248" i="9" s="1"/>
  <c r="O2250" i="9"/>
  <c r="R2250" i="9" s="1"/>
  <c r="S2250" i="9" s="1"/>
  <c r="T2250" i="9" s="1"/>
  <c r="U2250" i="9" s="1"/>
  <c r="I2253" i="9"/>
  <c r="K2251" i="9"/>
  <c r="L2251" i="9"/>
  <c r="M2251" i="9"/>
  <c r="N2251" i="9"/>
  <c r="J2251" i="9"/>
  <c r="J2252" i="9" a="1"/>
  <c r="O2251" i="9" l="1"/>
  <c r="R2251" i="9" s="1"/>
  <c r="S2251" i="9" s="1"/>
  <c r="T2251" i="9" s="1"/>
  <c r="U2251" i="9" s="1"/>
  <c r="N2252" i="9"/>
  <c r="L2252" i="9"/>
  <c r="J2252" i="9"/>
  <c r="K2252" i="9"/>
  <c r="M2252" i="9"/>
  <c r="I2254" i="9"/>
  <c r="J2253" i="9" a="1"/>
  <c r="O2252" i="9" l="1"/>
  <c r="R2252" i="9" s="1"/>
  <c r="I2255" i="9"/>
  <c r="L2253" i="9"/>
  <c r="M2253" i="9"/>
  <c r="J2253" i="9"/>
  <c r="K2253" i="9"/>
  <c r="N2253" i="9"/>
  <c r="J2254" i="9" a="1"/>
  <c r="O2253" i="9" l="1"/>
  <c r="R2253" i="9" s="1"/>
  <c r="K2254" i="9"/>
  <c r="L2254" i="9"/>
  <c r="M2254" i="9"/>
  <c r="N2254" i="9"/>
  <c r="J2254" i="9"/>
  <c r="I2256" i="9"/>
  <c r="J2255" i="9" a="1"/>
  <c r="O2254" i="9" l="1"/>
  <c r="R2254" i="9" s="1"/>
  <c r="I2257" i="9"/>
  <c r="M2255" i="9"/>
  <c r="N2255" i="9"/>
  <c r="J2255" i="9"/>
  <c r="K2255" i="9"/>
  <c r="L2255" i="9"/>
  <c r="J2256" i="9" a="1"/>
  <c r="O2255" i="9" l="1"/>
  <c r="R2255" i="9" s="1"/>
  <c r="L2256" i="9"/>
  <c r="M2256" i="9"/>
  <c r="N2256" i="9"/>
  <c r="J2256" i="9"/>
  <c r="K2256" i="9"/>
  <c r="I2258" i="9"/>
  <c r="J2257" i="9" a="1"/>
  <c r="O2256" i="9" l="1"/>
  <c r="R2256" i="9" s="1"/>
  <c r="I2259" i="9"/>
  <c r="N2257" i="9"/>
  <c r="J2257" i="9"/>
  <c r="K2257" i="9"/>
  <c r="L2257" i="9"/>
  <c r="M2257" i="9"/>
  <c r="J2258" i="9" a="1"/>
  <c r="O2257" i="9" l="1"/>
  <c r="R2257" i="9" s="1"/>
  <c r="K2258" i="9"/>
  <c r="L2258" i="9"/>
  <c r="M2258" i="9"/>
  <c r="N2258" i="9"/>
  <c r="J2258" i="9"/>
  <c r="I2260" i="9"/>
  <c r="J2259" i="9" a="1"/>
  <c r="O2258" i="9" l="1"/>
  <c r="R2258" i="9" s="1"/>
  <c r="P2257" i="9"/>
  <c r="Q2257" i="9" s="1"/>
  <c r="S2257" i="9" s="1"/>
  <c r="T2257" i="9" s="1"/>
  <c r="U2257" i="9" s="1"/>
  <c r="I2261" i="9"/>
  <c r="L2259" i="9"/>
  <c r="M2259" i="9"/>
  <c r="J2259" i="9"/>
  <c r="K2259" i="9"/>
  <c r="N2259" i="9"/>
  <c r="Q2252" i="9"/>
  <c r="S2252" i="9" s="1"/>
  <c r="T2252" i="9" s="1"/>
  <c r="U2252" i="9" s="1"/>
  <c r="Q2253" i="9"/>
  <c r="S2253" i="9" s="1"/>
  <c r="T2253" i="9" s="1"/>
  <c r="U2253" i="9" s="1"/>
  <c r="Q2254" i="9"/>
  <c r="S2254" i="9" s="1"/>
  <c r="T2254" i="9" s="1"/>
  <c r="U2254" i="9" s="1"/>
  <c r="Q2259" i="9"/>
  <c r="Q2258" i="9"/>
  <c r="Q2255" i="9"/>
  <c r="S2255" i="9" s="1"/>
  <c r="T2255" i="9" s="1"/>
  <c r="U2255" i="9" s="1"/>
  <c r="J2260" i="9" a="1"/>
  <c r="S2258" i="9" l="1"/>
  <c r="T2258" i="9" s="1"/>
  <c r="U2258" i="9" s="1"/>
  <c r="Q2260" i="9"/>
  <c r="Q2256" i="9"/>
  <c r="S2256" i="9" s="1"/>
  <c r="T2256" i="9" s="1"/>
  <c r="U2256" i="9" s="1"/>
  <c r="O2259" i="9"/>
  <c r="R2259" i="9" s="1"/>
  <c r="S2259" i="9" s="1"/>
  <c r="T2259" i="9" s="1"/>
  <c r="U2259" i="9" s="1"/>
  <c r="L2260" i="9"/>
  <c r="M2260" i="9"/>
  <c r="N2260" i="9"/>
  <c r="J2260" i="9"/>
  <c r="K2260" i="9"/>
  <c r="I2262" i="9"/>
  <c r="J2261" i="9" a="1"/>
  <c r="O2260" i="9" l="1"/>
  <c r="R2260" i="9" s="1"/>
  <c r="S2260" i="9" s="1"/>
  <c r="T2260" i="9" s="1"/>
  <c r="U2260" i="9" s="1"/>
  <c r="N2261" i="9"/>
  <c r="J2261" i="9"/>
  <c r="K2261" i="9"/>
  <c r="L2261" i="9"/>
  <c r="M2261" i="9"/>
  <c r="I2263" i="9"/>
  <c r="J2262" i="9" a="1"/>
  <c r="O2261" i="9" l="1"/>
  <c r="R2261" i="9" s="1"/>
  <c r="I2264" i="9"/>
  <c r="J2262" i="9"/>
  <c r="K2262" i="9"/>
  <c r="L2262" i="9"/>
  <c r="M2262" i="9"/>
  <c r="N2262" i="9"/>
  <c r="J2263" i="9" a="1"/>
  <c r="O2262" i="9" l="1"/>
  <c r="R2262" i="9" s="1"/>
  <c r="K2263" i="9"/>
  <c r="L2263" i="9"/>
  <c r="M2263" i="9"/>
  <c r="N2263" i="9"/>
  <c r="J2263" i="9"/>
  <c r="I2265" i="9"/>
  <c r="J2264" i="9" a="1"/>
  <c r="O2263" i="9" l="1"/>
  <c r="R2263" i="9" s="1"/>
  <c r="I2266" i="9"/>
  <c r="K2264" i="9"/>
  <c r="L2264" i="9"/>
  <c r="M2264" i="9"/>
  <c r="N2264" i="9"/>
  <c r="J2264" i="9"/>
  <c r="J2265" i="9" a="1"/>
  <c r="O2264" i="9" l="1"/>
  <c r="R2264" i="9" s="1"/>
  <c r="M2265" i="9"/>
  <c r="N2265" i="9"/>
  <c r="K2265" i="9"/>
  <c r="J2265" i="9"/>
  <c r="L2265" i="9"/>
  <c r="I2267" i="9"/>
  <c r="J2266" i="9" a="1"/>
  <c r="O2265" i="9" l="1"/>
  <c r="R2265" i="9" s="1"/>
  <c r="I2268" i="9"/>
  <c r="J2266" i="9"/>
  <c r="K2266" i="9"/>
  <c r="L2266" i="9"/>
  <c r="M2266" i="9"/>
  <c r="N2266" i="9"/>
  <c r="J2267" i="9" a="1"/>
  <c r="O2266" i="9" l="1"/>
  <c r="R2266" i="9" s="1"/>
  <c r="K2267" i="9"/>
  <c r="L2267" i="9"/>
  <c r="M2267" i="9"/>
  <c r="N2267" i="9"/>
  <c r="J2267" i="9"/>
  <c r="I2269" i="9"/>
  <c r="J2268" i="9" a="1"/>
  <c r="O2267" i="9" l="1"/>
  <c r="R2267" i="9" s="1"/>
  <c r="P2266" i="9"/>
  <c r="I2270" i="9"/>
  <c r="J2268" i="9"/>
  <c r="K2268" i="9"/>
  <c r="L2268" i="9"/>
  <c r="M2268" i="9"/>
  <c r="N2268" i="9"/>
  <c r="Q2262" i="9"/>
  <c r="S2262" i="9" s="1"/>
  <c r="T2262" i="9" s="1"/>
  <c r="U2262" i="9" s="1"/>
  <c r="Q2265" i="9"/>
  <c r="S2265" i="9" s="1"/>
  <c r="T2265" i="9" s="1"/>
  <c r="U2265" i="9" s="1"/>
  <c r="Q2264" i="9"/>
  <c r="S2264" i="9" s="1"/>
  <c r="T2264" i="9" s="1"/>
  <c r="U2264" i="9" s="1"/>
  <c r="Q2266" i="9"/>
  <c r="S2266" i="9" s="1"/>
  <c r="T2266" i="9" s="1"/>
  <c r="U2266" i="9" s="1"/>
  <c r="Q2268" i="9"/>
  <c r="Q2261" i="9"/>
  <c r="S2261" i="9" s="1"/>
  <c r="T2261" i="9" s="1"/>
  <c r="U2261" i="9" s="1"/>
  <c r="Q2267" i="9"/>
  <c r="S2267" i="9" s="1"/>
  <c r="T2267" i="9" s="1"/>
  <c r="U2267" i="9" s="1"/>
  <c r="Q2269" i="9"/>
  <c r="Q2263" i="9"/>
  <c r="S2263" i="9" s="1"/>
  <c r="T2263" i="9" s="1"/>
  <c r="U2263" i="9" s="1"/>
  <c r="J2269" i="9" a="1"/>
  <c r="O2268" i="9" l="1"/>
  <c r="R2268" i="9" s="1"/>
  <c r="S2268" i="9" s="1"/>
  <c r="T2268" i="9" s="1"/>
  <c r="U2268" i="9" s="1"/>
  <c r="L2269" i="9"/>
  <c r="M2269" i="9"/>
  <c r="N2269" i="9"/>
  <c r="J2269" i="9"/>
  <c r="K2269" i="9"/>
  <c r="I2271" i="9"/>
  <c r="J2270" i="9" a="1"/>
  <c r="O2269" i="9" l="1"/>
  <c r="R2269" i="9" s="1"/>
  <c r="S2269" i="9" s="1"/>
  <c r="T2269" i="9" s="1"/>
  <c r="U2269" i="9" s="1"/>
  <c r="N2270" i="9"/>
  <c r="J2270" i="9"/>
  <c r="K2270" i="9"/>
  <c r="L2270" i="9"/>
  <c r="M2270" i="9"/>
  <c r="I2272" i="9"/>
  <c r="J2271" i="9" a="1"/>
  <c r="O2270" i="9" l="1"/>
  <c r="R2270" i="9" s="1"/>
  <c r="I2273" i="9"/>
  <c r="J2271" i="9"/>
  <c r="K2271" i="9"/>
  <c r="N2271" i="9"/>
  <c r="L2271" i="9"/>
  <c r="M2271" i="9"/>
  <c r="J2272" i="9" a="1"/>
  <c r="O2271" i="9" l="1"/>
  <c r="R2271" i="9" s="1"/>
  <c r="N2272" i="9"/>
  <c r="J2272" i="9"/>
  <c r="K2272" i="9"/>
  <c r="L2272" i="9"/>
  <c r="M2272" i="9"/>
  <c r="I2274" i="9"/>
  <c r="J2273" i="9" a="1"/>
  <c r="O2272" i="9" l="1"/>
  <c r="R2272" i="9" s="1"/>
  <c r="I2275" i="9"/>
  <c r="K2273" i="9"/>
  <c r="L2273" i="9"/>
  <c r="M2273" i="9"/>
  <c r="N2273" i="9"/>
  <c r="J2273" i="9"/>
  <c r="J2274" i="9" a="1"/>
  <c r="O2273" i="9" l="1"/>
  <c r="R2273" i="9" s="1"/>
  <c r="M2274" i="9"/>
  <c r="N2274" i="9"/>
  <c r="J2274" i="9"/>
  <c r="K2274" i="9"/>
  <c r="L2274" i="9"/>
  <c r="I2276" i="9"/>
  <c r="J2275" i="9" a="1"/>
  <c r="O2274" i="9" l="1"/>
  <c r="R2274" i="9" s="1"/>
  <c r="I2277" i="9"/>
  <c r="J2275" i="9"/>
  <c r="K2275" i="9"/>
  <c r="L2275" i="9"/>
  <c r="M2275" i="9"/>
  <c r="N2275" i="9"/>
  <c r="J2276" i="9" a="1"/>
  <c r="O2275" i="9" l="1"/>
  <c r="R2275" i="9" s="1"/>
  <c r="N2276" i="9"/>
  <c r="J2276" i="9"/>
  <c r="K2276" i="9"/>
  <c r="M2276" i="9"/>
  <c r="L2276" i="9"/>
  <c r="I2278" i="9"/>
  <c r="J2277" i="9" a="1"/>
  <c r="P2275" i="9" l="1"/>
  <c r="O2276" i="9"/>
  <c r="R2276" i="9" s="1"/>
  <c r="Q2272" i="9"/>
  <c r="S2272" i="9" s="1"/>
  <c r="T2272" i="9" s="1"/>
  <c r="U2272" i="9" s="1"/>
  <c r="Q2271" i="9"/>
  <c r="S2271" i="9" s="1"/>
  <c r="T2271" i="9" s="1"/>
  <c r="U2271" i="9" s="1"/>
  <c r="Q2270" i="9"/>
  <c r="S2270" i="9" s="1"/>
  <c r="T2270" i="9" s="1"/>
  <c r="U2270" i="9" s="1"/>
  <c r="Q2273" i="9"/>
  <c r="S2273" i="9" s="1"/>
  <c r="T2273" i="9" s="1"/>
  <c r="U2273" i="9" s="1"/>
  <c r="Q2276" i="9"/>
  <c r="S2276" i="9" s="1"/>
  <c r="T2276" i="9" s="1"/>
  <c r="U2276" i="9" s="1"/>
  <c r="Q2278" i="9"/>
  <c r="Q2275" i="9"/>
  <c r="S2275" i="9" s="1"/>
  <c r="T2275" i="9" s="1"/>
  <c r="U2275" i="9" s="1"/>
  <c r="Q2274" i="9"/>
  <c r="S2274" i="9" s="1"/>
  <c r="T2274" i="9" s="1"/>
  <c r="U2274" i="9" s="1"/>
  <c r="Q2277" i="9"/>
  <c r="J2277" i="9"/>
  <c r="K2277" i="9"/>
  <c r="L2277" i="9"/>
  <c r="M2277" i="9"/>
  <c r="N2277" i="9"/>
  <c r="I2279" i="9"/>
  <c r="J2278" i="9" a="1"/>
  <c r="O2277" i="9" l="1"/>
  <c r="R2277" i="9" s="1"/>
  <c r="S2277" i="9" s="1"/>
  <c r="T2277" i="9" s="1"/>
  <c r="U2277" i="9" s="1"/>
  <c r="K2278" i="9"/>
  <c r="L2278" i="9"/>
  <c r="N2278" i="9"/>
  <c r="J2278" i="9"/>
  <c r="M2278" i="9"/>
  <c r="I2280" i="9"/>
  <c r="J2279" i="9" a="1"/>
  <c r="O2278" i="9" l="1"/>
  <c r="R2278" i="9" s="1"/>
  <c r="S2278" i="9" s="1"/>
  <c r="T2278" i="9" s="1"/>
  <c r="U2278" i="9" s="1"/>
  <c r="J2279" i="9"/>
  <c r="L2279" i="9"/>
  <c r="M2279" i="9"/>
  <c r="K2279" i="9"/>
  <c r="N2279" i="9"/>
  <c r="I2281" i="9"/>
  <c r="J2280" i="9" a="1"/>
  <c r="O2279" i="9" l="1"/>
  <c r="R2279" i="9" s="1"/>
  <c r="L2280" i="9"/>
  <c r="N2280" i="9"/>
  <c r="J2280" i="9"/>
  <c r="K2280" i="9"/>
  <c r="M2280" i="9"/>
  <c r="I2282" i="9"/>
  <c r="J2281" i="9" a="1"/>
  <c r="O2280" i="9" l="1"/>
  <c r="R2280" i="9" s="1"/>
  <c r="I2283" i="9"/>
  <c r="N2281" i="9"/>
  <c r="J2281" i="9"/>
  <c r="K2281" i="9"/>
  <c r="L2281" i="9"/>
  <c r="M2281" i="9"/>
  <c r="J2282" i="9" a="1"/>
  <c r="O2281" i="9" l="1"/>
  <c r="R2281" i="9" s="1"/>
  <c r="J2282" i="9"/>
  <c r="K2282" i="9"/>
  <c r="L2282" i="9"/>
  <c r="M2282" i="9"/>
  <c r="N2282" i="9"/>
  <c r="I2284" i="9"/>
  <c r="J2283" i="9" a="1"/>
  <c r="O2282" i="9" l="1"/>
  <c r="R2282" i="9" s="1"/>
  <c r="N2283" i="9"/>
  <c r="K2283" i="9"/>
  <c r="J2283" i="9"/>
  <c r="L2283" i="9"/>
  <c r="M2283" i="9"/>
  <c r="I2285" i="9"/>
  <c r="J2284" i="9" a="1"/>
  <c r="O2283" i="9" l="1"/>
  <c r="R2283" i="9" s="1"/>
  <c r="I2286" i="9"/>
  <c r="L2284" i="9"/>
  <c r="N2284" i="9"/>
  <c r="J2284" i="9"/>
  <c r="K2284" i="9"/>
  <c r="M2284" i="9"/>
  <c r="J2285" i="9" a="1"/>
  <c r="O2284" i="9" l="1"/>
  <c r="R2284" i="9" s="1"/>
  <c r="N2285" i="9"/>
  <c r="J2285" i="9"/>
  <c r="L2285" i="9"/>
  <c r="K2285" i="9"/>
  <c r="M2285" i="9"/>
  <c r="I2287" i="9"/>
  <c r="J2286" i="9" a="1"/>
  <c r="P2284" i="9" l="1"/>
  <c r="O2285" i="9"/>
  <c r="R2285" i="9" s="1"/>
  <c r="N2286" i="9"/>
  <c r="K2286" i="9"/>
  <c r="M2286" i="9"/>
  <c r="J2286" i="9"/>
  <c r="L2286" i="9"/>
  <c r="I2288" i="9"/>
  <c r="Q2281" i="9"/>
  <c r="S2281" i="9" s="1"/>
  <c r="T2281" i="9" s="1"/>
  <c r="U2281" i="9" s="1"/>
  <c r="Q2284" i="9"/>
  <c r="S2284" i="9" s="1"/>
  <c r="T2284" i="9" s="1"/>
  <c r="U2284" i="9" s="1"/>
  <c r="Q2287" i="9"/>
  <c r="Q2285" i="9"/>
  <c r="S2285" i="9" s="1"/>
  <c r="T2285" i="9" s="1"/>
  <c r="U2285" i="9" s="1"/>
  <c r="Q2286" i="9"/>
  <c r="Q2283" i="9"/>
  <c r="S2283" i="9" s="1"/>
  <c r="T2283" i="9" s="1"/>
  <c r="U2283" i="9" s="1"/>
  <c r="Q2280" i="9"/>
  <c r="S2280" i="9" s="1"/>
  <c r="T2280" i="9" s="1"/>
  <c r="U2280" i="9" s="1"/>
  <c r="Q2282" i="9"/>
  <c r="S2282" i="9" s="1"/>
  <c r="T2282" i="9" s="1"/>
  <c r="U2282" i="9" s="1"/>
  <c r="Q2279" i="9"/>
  <c r="S2279" i="9" s="1"/>
  <c r="T2279" i="9" s="1"/>
  <c r="U2279" i="9" s="1"/>
  <c r="J2287" i="9" a="1"/>
  <c r="O2286" i="9" l="1"/>
  <c r="R2286" i="9" s="1"/>
  <c r="S2286" i="9" s="1"/>
  <c r="T2286" i="9" s="1"/>
  <c r="U2286" i="9" s="1"/>
  <c r="I2289" i="9"/>
  <c r="J2287" i="9"/>
  <c r="L2287" i="9"/>
  <c r="K2287" i="9"/>
  <c r="M2287" i="9"/>
  <c r="N2287" i="9"/>
  <c r="J2288" i="9" a="1"/>
  <c r="O2287" i="9" l="1"/>
  <c r="R2287" i="9" s="1"/>
  <c r="S2287" i="9" s="1"/>
  <c r="T2287" i="9" s="1"/>
  <c r="U2287" i="9" s="1"/>
  <c r="L2288" i="9"/>
  <c r="N2288" i="9"/>
  <c r="J2288" i="9"/>
  <c r="K2288" i="9"/>
  <c r="M2288" i="9"/>
  <c r="I2290" i="9"/>
  <c r="J2289" i="9" a="1"/>
  <c r="O2288" i="9" l="1"/>
  <c r="R2288" i="9" s="1"/>
  <c r="I2291" i="9"/>
  <c r="N2289" i="9"/>
  <c r="J2289" i="9"/>
  <c r="L2289" i="9"/>
  <c r="K2289" i="9"/>
  <c r="M2289" i="9"/>
  <c r="J2290" i="9" a="1"/>
  <c r="O2289" i="9" l="1"/>
  <c r="R2289" i="9" s="1"/>
  <c r="K2290" i="9"/>
  <c r="L2290" i="9"/>
  <c r="N2290" i="9"/>
  <c r="J2290" i="9"/>
  <c r="M2290" i="9"/>
  <c r="I2292" i="9"/>
  <c r="J2291" i="9" a="1"/>
  <c r="O2290" i="9" l="1"/>
  <c r="R2290" i="9" s="1"/>
  <c r="I2293" i="9"/>
  <c r="J2291" i="9"/>
  <c r="L2291" i="9"/>
  <c r="N2291" i="9"/>
  <c r="K2291" i="9"/>
  <c r="M2291" i="9"/>
  <c r="J2292" i="9" a="1"/>
  <c r="O2291" i="9" l="1"/>
  <c r="R2291" i="9" s="1"/>
  <c r="J2292" i="9"/>
  <c r="K2292" i="9"/>
  <c r="L2292" i="9"/>
  <c r="N2292" i="9"/>
  <c r="M2292" i="9"/>
  <c r="I2294" i="9"/>
  <c r="J2293" i="9" a="1"/>
  <c r="O2292" i="9" l="1"/>
  <c r="R2292" i="9" s="1"/>
  <c r="N2293" i="9"/>
  <c r="J2293" i="9"/>
  <c r="K2293" i="9"/>
  <c r="M2293" i="9"/>
  <c r="L2293" i="9"/>
  <c r="I2295" i="9"/>
  <c r="J2294" i="9" a="1"/>
  <c r="O2293" i="9" l="1"/>
  <c r="R2293" i="9" s="1"/>
  <c r="I2296" i="9"/>
  <c r="L2294" i="9"/>
  <c r="N2294" i="9"/>
  <c r="K2294" i="9"/>
  <c r="M2294" i="9"/>
  <c r="J2294" i="9"/>
  <c r="J2295" i="9" a="1"/>
  <c r="P2293" i="9" l="1"/>
  <c r="O2294" i="9"/>
  <c r="R2294" i="9" s="1"/>
  <c r="J2295" i="9"/>
  <c r="N2295" i="9"/>
  <c r="K2295" i="9"/>
  <c r="L2295" i="9"/>
  <c r="M2295" i="9"/>
  <c r="Q2290" i="9"/>
  <c r="S2290" i="9" s="1"/>
  <c r="T2290" i="9" s="1"/>
  <c r="U2290" i="9" s="1"/>
  <c r="Q2292" i="9"/>
  <c r="S2292" i="9" s="1"/>
  <c r="T2292" i="9" s="1"/>
  <c r="U2292" i="9" s="1"/>
  <c r="Q2289" i="9"/>
  <c r="S2289" i="9" s="1"/>
  <c r="T2289" i="9" s="1"/>
  <c r="U2289" i="9" s="1"/>
  <c r="Q2293" i="9"/>
  <c r="S2293" i="9" s="1"/>
  <c r="T2293" i="9" s="1"/>
  <c r="U2293" i="9" s="1"/>
  <c r="Q2288" i="9"/>
  <c r="S2288" i="9" s="1"/>
  <c r="T2288" i="9" s="1"/>
  <c r="U2288" i="9" s="1"/>
  <c r="Q2295" i="9"/>
  <c r="Q2294" i="9"/>
  <c r="Q2296" i="9"/>
  <c r="Q2291" i="9"/>
  <c r="S2291" i="9" s="1"/>
  <c r="T2291" i="9" s="1"/>
  <c r="U2291" i="9" s="1"/>
  <c r="I2297" i="9"/>
  <c r="J2296" i="9" a="1"/>
  <c r="O2295" i="9" l="1"/>
  <c r="R2295" i="9" s="1"/>
  <c r="S2295" i="9" s="1"/>
  <c r="T2295" i="9" s="1"/>
  <c r="U2295" i="9" s="1"/>
  <c r="S2294" i="9"/>
  <c r="T2294" i="9" s="1"/>
  <c r="U2294" i="9" s="1"/>
  <c r="L2296" i="9"/>
  <c r="N2296" i="9"/>
  <c r="J2296" i="9"/>
  <c r="K2296" i="9"/>
  <c r="M2296" i="9"/>
  <c r="I2298" i="9"/>
  <c r="J2297" i="9" a="1"/>
  <c r="O2296" i="9" l="1"/>
  <c r="R2296" i="9" s="1"/>
  <c r="S2296" i="9" s="1"/>
  <c r="T2296" i="9" s="1"/>
  <c r="U2296" i="9" s="1"/>
  <c r="I2299" i="9"/>
  <c r="M2297" i="9"/>
  <c r="N2297" i="9"/>
  <c r="J2297" i="9"/>
  <c r="L2297" i="9"/>
  <c r="K2297" i="9"/>
  <c r="J2298" i="9" a="1"/>
  <c r="O2297" i="9" l="1"/>
  <c r="R2297" i="9" s="1"/>
  <c r="M2298" i="9"/>
  <c r="K2298" i="9"/>
  <c r="L2298" i="9"/>
  <c r="N2298" i="9"/>
  <c r="J2298" i="9"/>
  <c r="I2300" i="9"/>
  <c r="J2299" i="9" a="1"/>
  <c r="O2298" i="9" l="1"/>
  <c r="R2298" i="9" s="1"/>
  <c r="I2301" i="9"/>
  <c r="M2299" i="9"/>
  <c r="J2299" i="9"/>
  <c r="L2299" i="9"/>
  <c r="N2299" i="9"/>
  <c r="K2299" i="9"/>
  <c r="J2300" i="9" a="1"/>
  <c r="O2299" i="9" l="1"/>
  <c r="R2299" i="9" s="1"/>
  <c r="N2300" i="9"/>
  <c r="J2300" i="9"/>
  <c r="K2300" i="9"/>
  <c r="L2300" i="9"/>
  <c r="M2300" i="9"/>
  <c r="I2302" i="9"/>
  <c r="J2301" i="9" a="1"/>
  <c r="O2300" i="9" l="1"/>
  <c r="R2300" i="9" s="1"/>
  <c r="I2303" i="9"/>
  <c r="N2301" i="9"/>
  <c r="K2301" i="9"/>
  <c r="M2301" i="9"/>
  <c r="J2301" i="9"/>
  <c r="L2301" i="9"/>
  <c r="J2302" i="9" a="1"/>
  <c r="O2301" i="9" l="1"/>
  <c r="R2301" i="9" s="1"/>
  <c r="J2302" i="9"/>
  <c r="L2302" i="9"/>
  <c r="N2302" i="9"/>
  <c r="K2302" i="9"/>
  <c r="M2302" i="9"/>
  <c r="I2304" i="9"/>
  <c r="J2303" i="9" a="1"/>
  <c r="O2302" i="9" l="1"/>
  <c r="R2302" i="9" s="1"/>
  <c r="M2303" i="9"/>
  <c r="L2303" i="9"/>
  <c r="N2303" i="9"/>
  <c r="J2303" i="9"/>
  <c r="K2303" i="9"/>
  <c r="I2305" i="9"/>
  <c r="J2304" i="9" a="1"/>
  <c r="P2302" i="9" l="1"/>
  <c r="Q2300" i="9" s="1"/>
  <c r="S2300" i="9" s="1"/>
  <c r="T2300" i="9" s="1"/>
  <c r="U2300" i="9" s="1"/>
  <c r="O2303" i="9"/>
  <c r="R2303" i="9" s="1"/>
  <c r="I2306" i="9"/>
  <c r="Q2301" i="9"/>
  <c r="S2301" i="9" s="1"/>
  <c r="T2301" i="9" s="1"/>
  <c r="U2301" i="9" s="1"/>
  <c r="Q2303" i="9"/>
  <c r="S2303" i="9" s="1"/>
  <c r="T2303" i="9" s="1"/>
  <c r="U2303" i="9" s="1"/>
  <c r="Q2305" i="9"/>
  <c r="Q2298" i="9"/>
  <c r="S2298" i="9" s="1"/>
  <c r="T2298" i="9" s="1"/>
  <c r="U2298" i="9" s="1"/>
  <c r="Q2304" i="9"/>
  <c r="M2304" i="9"/>
  <c r="L2304" i="9"/>
  <c r="N2304" i="9"/>
  <c r="J2304" i="9"/>
  <c r="K2304" i="9"/>
  <c r="J2305" i="9" a="1"/>
  <c r="Q2299" i="9" l="1"/>
  <c r="S2299" i="9" s="1"/>
  <c r="T2299" i="9" s="1"/>
  <c r="U2299" i="9" s="1"/>
  <c r="Q2297" i="9"/>
  <c r="S2297" i="9" s="1"/>
  <c r="T2297" i="9" s="1"/>
  <c r="U2297" i="9" s="1"/>
  <c r="Q2302" i="9"/>
  <c r="S2302" i="9" s="1"/>
  <c r="T2302" i="9" s="1"/>
  <c r="U2302" i="9" s="1"/>
  <c r="O2304" i="9"/>
  <c r="R2304" i="9" s="1"/>
  <c r="S2304" i="9" s="1"/>
  <c r="T2304" i="9" s="1"/>
  <c r="U2304" i="9" s="1"/>
  <c r="L2305" i="9"/>
  <c r="K2305" i="9"/>
  <c r="M2305" i="9"/>
  <c r="N2305" i="9"/>
  <c r="J2305" i="9"/>
  <c r="I2307" i="9"/>
  <c r="J2306" i="9" a="1"/>
  <c r="O2305" i="9" l="1"/>
  <c r="R2305" i="9" s="1"/>
  <c r="S2305" i="9" s="1"/>
  <c r="T2305" i="9" s="1"/>
  <c r="U2305" i="9" s="1"/>
  <c r="N2306" i="9"/>
  <c r="M2306" i="9"/>
  <c r="L2306" i="9"/>
  <c r="K2306" i="9"/>
  <c r="J2306" i="9"/>
  <c r="I2308" i="9"/>
  <c r="J2307" i="9" a="1"/>
  <c r="O2306" i="9" l="1"/>
  <c r="R2306" i="9" s="1"/>
  <c r="I2309" i="9"/>
  <c r="K2307" i="9"/>
  <c r="M2307" i="9"/>
  <c r="J2307" i="9"/>
  <c r="L2307" i="9"/>
  <c r="N2307" i="9"/>
  <c r="J2308" i="9" a="1"/>
  <c r="O2307" i="9" l="1"/>
  <c r="R2307" i="9" s="1"/>
  <c r="L2308" i="9"/>
  <c r="N2308" i="9"/>
  <c r="K2308" i="9"/>
  <c r="M2308" i="9"/>
  <c r="J2308" i="9"/>
  <c r="I2310" i="9"/>
  <c r="J2309" i="9" a="1"/>
  <c r="O2308" i="9" l="1"/>
  <c r="R2308" i="9" s="1"/>
  <c r="I2311" i="9"/>
  <c r="M2309" i="9"/>
  <c r="N2309" i="9"/>
  <c r="J2309" i="9"/>
  <c r="K2309" i="9"/>
  <c r="L2309" i="9"/>
  <c r="J2310" i="9" a="1"/>
  <c r="O2309" i="9" l="1"/>
  <c r="R2309" i="9" s="1"/>
  <c r="J2310" i="9"/>
  <c r="L2310" i="9"/>
  <c r="N2310" i="9"/>
  <c r="K2310" i="9"/>
  <c r="M2310" i="9"/>
  <c r="I2312" i="9"/>
  <c r="J2311" i="9" a="1"/>
  <c r="O2310" i="9" l="1"/>
  <c r="R2310" i="9" s="1"/>
  <c r="K2311" i="9"/>
  <c r="M2311" i="9"/>
  <c r="J2311" i="9"/>
  <c r="L2311" i="9"/>
  <c r="N2311" i="9"/>
  <c r="I2313" i="9"/>
  <c r="J2312" i="9" a="1"/>
  <c r="O2311" i="9" l="1"/>
  <c r="R2311" i="9" s="1"/>
  <c r="I2314" i="9"/>
  <c r="K2312" i="9"/>
  <c r="M2312" i="9"/>
  <c r="L2312" i="9"/>
  <c r="N2312" i="9"/>
  <c r="J2312" i="9"/>
  <c r="J2313" i="9" a="1"/>
  <c r="P2311" i="9" l="1"/>
  <c r="O2312" i="9"/>
  <c r="R2312" i="9" s="1"/>
  <c r="Q2308" i="9"/>
  <c r="S2308" i="9" s="1"/>
  <c r="T2308" i="9" s="1"/>
  <c r="U2308" i="9" s="1"/>
  <c r="Q2307" i="9"/>
  <c r="S2307" i="9" s="1"/>
  <c r="T2307" i="9" s="1"/>
  <c r="U2307" i="9" s="1"/>
  <c r="Q2313" i="9"/>
  <c r="Q2309" i="9"/>
  <c r="S2309" i="9" s="1"/>
  <c r="T2309" i="9" s="1"/>
  <c r="U2309" i="9" s="1"/>
  <c r="Q2306" i="9"/>
  <c r="S2306" i="9" s="1"/>
  <c r="T2306" i="9" s="1"/>
  <c r="U2306" i="9" s="1"/>
  <c r="Q2310" i="9"/>
  <c r="S2310" i="9" s="1"/>
  <c r="T2310" i="9" s="1"/>
  <c r="U2310" i="9" s="1"/>
  <c r="Q2314" i="9"/>
  <c r="Q2312" i="9"/>
  <c r="S2312" i="9" s="1"/>
  <c r="T2312" i="9" s="1"/>
  <c r="U2312" i="9" s="1"/>
  <c r="Q2311" i="9"/>
  <c r="S2311" i="9" s="1"/>
  <c r="T2311" i="9" s="1"/>
  <c r="U2311" i="9" s="1"/>
  <c r="J2313" i="9"/>
  <c r="K2313" i="9"/>
  <c r="M2313" i="9"/>
  <c r="N2313" i="9"/>
  <c r="L2313" i="9"/>
  <c r="I2315" i="9"/>
  <c r="J2314" i="9" a="1"/>
  <c r="O2313" i="9" l="1"/>
  <c r="R2313" i="9" s="1"/>
  <c r="S2313" i="9" s="1"/>
  <c r="T2313" i="9" s="1"/>
  <c r="U2313" i="9" s="1"/>
  <c r="L2314" i="9"/>
  <c r="N2314" i="9"/>
  <c r="M2314" i="9"/>
  <c r="K2314" i="9"/>
  <c r="J2314" i="9"/>
  <c r="I2316" i="9"/>
  <c r="J2315" i="9" a="1"/>
  <c r="O2314" i="9" l="1"/>
  <c r="R2314" i="9" s="1"/>
  <c r="S2314" i="9" s="1"/>
  <c r="T2314" i="9" s="1"/>
  <c r="U2314" i="9" s="1"/>
  <c r="N2315" i="9"/>
  <c r="K2315" i="9"/>
  <c r="M2315" i="9"/>
  <c r="J2315" i="9"/>
  <c r="L2315" i="9"/>
  <c r="I2317" i="9"/>
  <c r="J2316" i="9" a="1"/>
  <c r="O2315" i="9" l="1"/>
  <c r="R2315" i="9" s="1"/>
  <c r="I2318" i="9"/>
  <c r="L2316" i="9"/>
  <c r="J2316" i="9"/>
  <c r="M2316" i="9"/>
  <c r="N2316" i="9"/>
  <c r="K2316" i="9"/>
  <c r="J2317" i="9" a="1"/>
  <c r="O2316" i="9" l="1"/>
  <c r="R2316" i="9" s="1"/>
  <c r="K2317" i="9"/>
  <c r="M2317" i="9"/>
  <c r="N2317" i="9"/>
  <c r="J2317" i="9"/>
  <c r="L2317" i="9"/>
  <c r="I2319" i="9"/>
  <c r="J2318" i="9" a="1"/>
  <c r="O2317" i="9" l="1"/>
  <c r="R2317" i="9" s="1"/>
  <c r="I2320" i="9"/>
  <c r="M2318" i="9"/>
  <c r="J2318" i="9"/>
  <c r="L2318" i="9"/>
  <c r="N2318" i="9"/>
  <c r="K2318" i="9"/>
  <c r="J2319" i="9" a="1"/>
  <c r="O2318" i="9" l="1"/>
  <c r="R2318" i="9" s="1"/>
  <c r="N2319" i="9"/>
  <c r="K2319" i="9"/>
  <c r="J2319" i="9"/>
  <c r="M2319" i="9"/>
  <c r="L2319" i="9"/>
  <c r="I2321" i="9"/>
  <c r="J2320" i="9" a="1"/>
  <c r="O2319" i="9" l="1"/>
  <c r="R2319" i="9" s="1"/>
  <c r="I2322" i="9"/>
  <c r="J2320" i="9"/>
  <c r="K2320" i="9"/>
  <c r="M2320" i="9"/>
  <c r="L2320" i="9"/>
  <c r="N2320" i="9"/>
  <c r="J2321" i="9" a="1"/>
  <c r="O2320" i="9" l="1"/>
  <c r="P2320" i="9" s="1"/>
  <c r="N2321" i="9"/>
  <c r="L2321" i="9"/>
  <c r="K2321" i="9"/>
  <c r="J2321" i="9"/>
  <c r="M2321" i="9"/>
  <c r="I2323" i="9"/>
  <c r="J2322" i="9" a="1"/>
  <c r="R2320" i="9" l="1"/>
  <c r="O2321" i="9"/>
  <c r="R2321" i="9" s="1"/>
  <c r="M2322" i="9"/>
  <c r="K2322" i="9"/>
  <c r="J2322" i="9"/>
  <c r="L2322" i="9"/>
  <c r="N2322" i="9"/>
  <c r="I2324" i="9"/>
  <c r="Q2320" i="9"/>
  <c r="S2320" i="9" s="1"/>
  <c r="T2320" i="9" s="1"/>
  <c r="U2320" i="9" s="1"/>
  <c r="Q2323" i="9"/>
  <c r="Q2316" i="9"/>
  <c r="S2316" i="9" s="1"/>
  <c r="T2316" i="9" s="1"/>
  <c r="U2316" i="9" s="1"/>
  <c r="Q2318" i="9"/>
  <c r="S2318" i="9" s="1"/>
  <c r="T2318" i="9" s="1"/>
  <c r="U2318" i="9" s="1"/>
  <c r="Q2321" i="9"/>
  <c r="Q2322" i="9"/>
  <c r="Q2319" i="9"/>
  <c r="S2319" i="9" s="1"/>
  <c r="T2319" i="9" s="1"/>
  <c r="U2319" i="9" s="1"/>
  <c r="Q2315" i="9"/>
  <c r="S2315" i="9" s="1"/>
  <c r="T2315" i="9" s="1"/>
  <c r="U2315" i="9" s="1"/>
  <c r="Q2317" i="9"/>
  <c r="S2317" i="9" s="1"/>
  <c r="T2317" i="9" s="1"/>
  <c r="U2317" i="9" s="1"/>
  <c r="J2323" i="9" a="1"/>
  <c r="S2321" i="9" l="1"/>
  <c r="T2321" i="9" s="1"/>
  <c r="U2321" i="9" s="1"/>
  <c r="O2322" i="9"/>
  <c r="R2322" i="9" s="1"/>
  <c r="S2322" i="9" s="1"/>
  <c r="T2322" i="9" s="1"/>
  <c r="U2322" i="9" s="1"/>
  <c r="I2325" i="9"/>
  <c r="L2323" i="9"/>
  <c r="N2323" i="9"/>
  <c r="K2323" i="9"/>
  <c r="M2323" i="9"/>
  <c r="J2323" i="9"/>
  <c r="J2324" i="9" a="1"/>
  <c r="O2323" i="9" l="1"/>
  <c r="R2323" i="9" s="1"/>
  <c r="S2323" i="9" s="1"/>
  <c r="T2323" i="9" s="1"/>
  <c r="U2323" i="9" s="1"/>
  <c r="M2324" i="9"/>
  <c r="N2324" i="9"/>
  <c r="J2324" i="9"/>
  <c r="L2324" i="9"/>
  <c r="K2324" i="9"/>
  <c r="I2326" i="9"/>
  <c r="J2325" i="9" a="1"/>
  <c r="O2324" i="9" l="1"/>
  <c r="R2324" i="9" s="1"/>
  <c r="I2327" i="9"/>
  <c r="L2325" i="9"/>
  <c r="K2325" i="9"/>
  <c r="N2325" i="9"/>
  <c r="J2325" i="9"/>
  <c r="M2325" i="9"/>
  <c r="J2326" i="9" a="1"/>
  <c r="O2325" i="9" l="1"/>
  <c r="R2325" i="9" s="1"/>
  <c r="K2326" i="9"/>
  <c r="M2326" i="9"/>
  <c r="J2326" i="9"/>
  <c r="L2326" i="9"/>
  <c r="N2326" i="9"/>
  <c r="I2328" i="9"/>
  <c r="J2327" i="9" a="1"/>
  <c r="O2326" i="9" l="1"/>
  <c r="R2326" i="9" s="1"/>
  <c r="I2329" i="9"/>
  <c r="L2327" i="9"/>
  <c r="N2327" i="9"/>
  <c r="M2327" i="9"/>
  <c r="J2327" i="9"/>
  <c r="K2327" i="9"/>
  <c r="J2328" i="9" a="1"/>
  <c r="O2327" i="9" l="1"/>
  <c r="R2327" i="9" s="1"/>
  <c r="N2328" i="9"/>
  <c r="J2328" i="9"/>
  <c r="K2328" i="9"/>
  <c r="M2328" i="9"/>
  <c r="L2328" i="9"/>
  <c r="I2330" i="9"/>
  <c r="J2329" i="9" a="1"/>
  <c r="O2328" i="9" l="1"/>
  <c r="R2328" i="9" s="1"/>
  <c r="I2331" i="9"/>
  <c r="J2329" i="9"/>
  <c r="L2329" i="9"/>
  <c r="N2329" i="9"/>
  <c r="K2329" i="9"/>
  <c r="M2329" i="9"/>
  <c r="J2330" i="9" a="1"/>
  <c r="O2329" i="9" l="1"/>
  <c r="P2329" i="9" s="1"/>
  <c r="J2330" i="9"/>
  <c r="L2330" i="9"/>
  <c r="M2330" i="9"/>
  <c r="K2330" i="9"/>
  <c r="N2330" i="9"/>
  <c r="I2332" i="9"/>
  <c r="J2331" i="9" a="1"/>
  <c r="R2329" i="9" l="1"/>
  <c r="O2330" i="9"/>
  <c r="R2330" i="9" s="1"/>
  <c r="J2331" i="9"/>
  <c r="L2331" i="9"/>
  <c r="N2331" i="9"/>
  <c r="K2331" i="9"/>
  <c r="M2331" i="9"/>
  <c r="I2333" i="9"/>
  <c r="Q2332" i="9"/>
  <c r="Q2326" i="9"/>
  <c r="S2326" i="9" s="1"/>
  <c r="T2326" i="9" s="1"/>
  <c r="U2326" i="9" s="1"/>
  <c r="Q2331" i="9"/>
  <c r="Q2327" i="9"/>
  <c r="S2327" i="9" s="1"/>
  <c r="T2327" i="9" s="1"/>
  <c r="U2327" i="9" s="1"/>
  <c r="Q2325" i="9"/>
  <c r="S2325" i="9" s="1"/>
  <c r="T2325" i="9" s="1"/>
  <c r="U2325" i="9" s="1"/>
  <c r="Q2328" i="9"/>
  <c r="S2328" i="9" s="1"/>
  <c r="T2328" i="9" s="1"/>
  <c r="U2328" i="9" s="1"/>
  <c r="Q2324" i="9"/>
  <c r="S2324" i="9" s="1"/>
  <c r="T2324" i="9" s="1"/>
  <c r="U2324" i="9" s="1"/>
  <c r="Q2329" i="9"/>
  <c r="S2329" i="9" s="1"/>
  <c r="T2329" i="9" s="1"/>
  <c r="U2329" i="9" s="1"/>
  <c r="Q2330" i="9"/>
  <c r="J2332" i="9" a="1"/>
  <c r="S2330" i="9" l="1"/>
  <c r="T2330" i="9" s="1"/>
  <c r="U2330" i="9" s="1"/>
  <c r="O2331" i="9"/>
  <c r="R2331" i="9" s="1"/>
  <c r="S2331" i="9" s="1"/>
  <c r="T2331" i="9" s="1"/>
  <c r="U2331" i="9" s="1"/>
  <c r="I2334" i="9"/>
  <c r="M2332" i="9"/>
  <c r="K2332" i="9"/>
  <c r="L2332" i="9"/>
  <c r="N2332" i="9"/>
  <c r="J2332" i="9"/>
  <c r="J2333" i="9" a="1"/>
  <c r="O2332" i="9" l="1"/>
  <c r="R2332" i="9" s="1"/>
  <c r="S2332" i="9" s="1"/>
  <c r="T2332" i="9" s="1"/>
  <c r="U2332" i="9" s="1"/>
  <c r="J2333" i="9"/>
  <c r="L2333" i="9"/>
  <c r="N2333" i="9"/>
  <c r="K2333" i="9"/>
  <c r="M2333" i="9"/>
  <c r="I2335" i="9"/>
  <c r="J2334" i="9" a="1"/>
  <c r="O2333" i="9" l="1"/>
  <c r="R2333" i="9" s="1"/>
  <c r="N2334" i="9"/>
  <c r="K2334" i="9"/>
  <c r="M2334" i="9"/>
  <c r="J2334" i="9"/>
  <c r="L2334" i="9"/>
  <c r="I2336" i="9"/>
  <c r="J2335" i="9" a="1"/>
  <c r="O2334" i="9" l="1"/>
  <c r="R2334" i="9" s="1"/>
  <c r="I2337" i="9"/>
  <c r="J2335" i="9"/>
  <c r="L2335" i="9"/>
  <c r="M2335" i="9"/>
  <c r="K2335" i="9"/>
  <c r="N2335" i="9"/>
  <c r="J2336" i="9" a="1"/>
  <c r="O2335" i="9" l="1"/>
  <c r="R2335" i="9" s="1"/>
  <c r="L2336" i="9"/>
  <c r="N2336" i="9"/>
  <c r="J2336" i="9"/>
  <c r="K2336" i="9"/>
  <c r="M2336" i="9"/>
  <c r="I2338" i="9"/>
  <c r="J2337" i="9" a="1"/>
  <c r="O2336" i="9" l="1"/>
  <c r="R2336" i="9" s="1"/>
  <c r="I2339" i="9"/>
  <c r="M2337" i="9"/>
  <c r="N2337" i="9"/>
  <c r="J2337" i="9"/>
  <c r="L2337" i="9"/>
  <c r="K2337" i="9"/>
  <c r="J2338" i="9" a="1"/>
  <c r="O2337" i="9" l="1"/>
  <c r="R2337" i="9" s="1"/>
  <c r="J2338" i="9"/>
  <c r="M2338" i="9"/>
  <c r="K2338" i="9"/>
  <c r="L2338" i="9"/>
  <c r="N2338" i="9"/>
  <c r="I2340" i="9"/>
  <c r="J2339" i="9" a="1"/>
  <c r="O2338" i="9" l="1"/>
  <c r="R2338" i="9" s="1"/>
  <c r="I2341" i="9"/>
  <c r="J2339" i="9"/>
  <c r="L2339" i="9"/>
  <c r="N2339" i="9"/>
  <c r="K2339" i="9"/>
  <c r="M2339" i="9"/>
  <c r="J2340" i="9" a="1"/>
  <c r="O2339" i="9" l="1"/>
  <c r="P2338" i="9"/>
  <c r="Q2338" i="9" s="1"/>
  <c r="S2338" i="9" s="1"/>
  <c r="T2338" i="9" s="1"/>
  <c r="U2338" i="9" s="1"/>
  <c r="Q2336" i="9"/>
  <c r="S2336" i="9" s="1"/>
  <c r="T2336" i="9" s="1"/>
  <c r="U2336" i="9" s="1"/>
  <c r="Q2334" i="9"/>
  <c r="S2334" i="9" s="1"/>
  <c r="T2334" i="9" s="1"/>
  <c r="U2334" i="9" s="1"/>
  <c r="Q2339" i="9"/>
  <c r="Q2335" i="9"/>
  <c r="S2335" i="9" s="1"/>
  <c r="T2335" i="9" s="1"/>
  <c r="U2335" i="9" s="1"/>
  <c r="Q2333" i="9"/>
  <c r="S2333" i="9" s="1"/>
  <c r="T2333" i="9" s="1"/>
  <c r="U2333" i="9" s="1"/>
  <c r="J2340" i="9"/>
  <c r="K2340" i="9"/>
  <c r="L2340" i="9"/>
  <c r="M2340" i="9"/>
  <c r="N2340" i="9"/>
  <c r="R2339" i="9"/>
  <c r="I2342" i="9"/>
  <c r="J2341" i="9" a="1"/>
  <c r="O2340" i="9" l="1"/>
  <c r="R2340" i="9" s="1"/>
  <c r="Q2337" i="9"/>
  <c r="S2337" i="9" s="1"/>
  <c r="T2337" i="9" s="1"/>
  <c r="U2337" i="9" s="1"/>
  <c r="Q2340" i="9"/>
  <c r="Q2341" i="9"/>
  <c r="I2343" i="9"/>
  <c r="N2341" i="9"/>
  <c r="J2341" i="9"/>
  <c r="L2341" i="9"/>
  <c r="K2341" i="9"/>
  <c r="M2341" i="9"/>
  <c r="S2339" i="9"/>
  <c r="T2339" i="9" s="1"/>
  <c r="U2339" i="9" s="1"/>
  <c r="J2342" i="9" a="1"/>
  <c r="O2341" i="9" l="1"/>
  <c r="R2341" i="9" s="1"/>
  <c r="S2341" i="9" s="1"/>
  <c r="T2341" i="9" s="1"/>
  <c r="U2341" i="9" s="1"/>
  <c r="S2340" i="9"/>
  <c r="T2340" i="9" s="1"/>
  <c r="U2340" i="9" s="1"/>
  <c r="L2342" i="9"/>
  <c r="N2342" i="9"/>
  <c r="K2342" i="9"/>
  <c r="M2342" i="9"/>
  <c r="J2342" i="9"/>
  <c r="I2344" i="9"/>
  <c r="J2343" i="9" a="1"/>
  <c r="O2342" i="9" l="1"/>
  <c r="R2342" i="9" s="1"/>
  <c r="I2345" i="9"/>
  <c r="J2343" i="9"/>
  <c r="N2343" i="9"/>
  <c r="K2343" i="9"/>
  <c r="L2343" i="9"/>
  <c r="M2343" i="9"/>
  <c r="J2344" i="9" a="1"/>
  <c r="O2343" i="9" l="1"/>
  <c r="R2343" i="9" s="1"/>
  <c r="L2344" i="9"/>
  <c r="N2344" i="9"/>
  <c r="J2344" i="9"/>
  <c r="K2344" i="9"/>
  <c r="M2344" i="9"/>
  <c r="I2346" i="9"/>
  <c r="J2345" i="9" a="1"/>
  <c r="O2344" i="9" l="1"/>
  <c r="R2344" i="9" s="1"/>
  <c r="I2347" i="9"/>
  <c r="K2345" i="9"/>
  <c r="N2345" i="9"/>
  <c r="M2345" i="9"/>
  <c r="J2345" i="9"/>
  <c r="L2345" i="9"/>
  <c r="J2346" i="9" a="1"/>
  <c r="O2345" i="9" l="1"/>
  <c r="R2345" i="9" s="1"/>
  <c r="K2346" i="9"/>
  <c r="J2346" i="9"/>
  <c r="L2346" i="9"/>
  <c r="M2346" i="9"/>
  <c r="N2346" i="9"/>
  <c r="I2348" i="9"/>
  <c r="J2347" i="9" a="1"/>
  <c r="O2346" i="9" l="1"/>
  <c r="R2346" i="9" s="1"/>
  <c r="I2349" i="9"/>
  <c r="M2347" i="9"/>
  <c r="J2347" i="9"/>
  <c r="L2347" i="9"/>
  <c r="N2347" i="9"/>
  <c r="K2347" i="9"/>
  <c r="J2348" i="9" a="1"/>
  <c r="O2347" i="9" l="1"/>
  <c r="R2347" i="9" s="1"/>
  <c r="N2348" i="9"/>
  <c r="J2348" i="9"/>
  <c r="M2348" i="9"/>
  <c r="L2348" i="9"/>
  <c r="K2348" i="9"/>
  <c r="I2350" i="9"/>
  <c r="J2349" i="9" a="1"/>
  <c r="P2347" i="9" l="1"/>
  <c r="O2348" i="9"/>
  <c r="R2348" i="9" s="1"/>
  <c r="Q2346" i="9"/>
  <c r="S2346" i="9" s="1"/>
  <c r="T2346" i="9" s="1"/>
  <c r="U2346" i="9" s="1"/>
  <c r="Q2345" i="9"/>
  <c r="S2345" i="9" s="1"/>
  <c r="T2345" i="9" s="1"/>
  <c r="U2345" i="9" s="1"/>
  <c r="Q2344" i="9"/>
  <c r="S2344" i="9" s="1"/>
  <c r="T2344" i="9" s="1"/>
  <c r="U2344" i="9" s="1"/>
  <c r="Q2350" i="9"/>
  <c r="Q2349" i="9"/>
  <c r="Q2342" i="9"/>
  <c r="S2342" i="9" s="1"/>
  <c r="T2342" i="9" s="1"/>
  <c r="U2342" i="9" s="1"/>
  <c r="Q2347" i="9"/>
  <c r="S2347" i="9" s="1"/>
  <c r="T2347" i="9" s="1"/>
  <c r="U2347" i="9" s="1"/>
  <c r="Q2343" i="9"/>
  <c r="S2343" i="9" s="1"/>
  <c r="T2343" i="9" s="1"/>
  <c r="U2343" i="9" s="1"/>
  <c r="Q2348" i="9"/>
  <c r="S2348" i="9" s="1"/>
  <c r="T2348" i="9" s="1"/>
  <c r="U2348" i="9" s="1"/>
  <c r="N2349" i="9"/>
  <c r="L2349" i="9"/>
  <c r="K2349" i="9"/>
  <c r="J2349" i="9"/>
  <c r="M2349" i="9"/>
  <c r="I2351" i="9"/>
  <c r="J2350" i="9" a="1"/>
  <c r="O2349" i="9" l="1"/>
  <c r="R2349" i="9" s="1"/>
  <c r="S2349" i="9" s="1"/>
  <c r="T2349" i="9" s="1"/>
  <c r="U2349" i="9" s="1"/>
  <c r="J2350" i="9"/>
  <c r="L2350" i="9"/>
  <c r="N2350" i="9"/>
  <c r="K2350" i="9"/>
  <c r="M2350" i="9"/>
  <c r="I2352" i="9"/>
  <c r="J2351" i="9" a="1"/>
  <c r="O2350" i="9" l="1"/>
  <c r="R2350" i="9" s="1"/>
  <c r="S2350" i="9" s="1"/>
  <c r="T2350" i="9" s="1"/>
  <c r="U2350" i="9" s="1"/>
  <c r="L2351" i="9"/>
  <c r="M2351" i="9"/>
  <c r="J2351" i="9"/>
  <c r="N2351" i="9"/>
  <c r="K2351" i="9"/>
  <c r="I2353" i="9"/>
  <c r="J2352" i="9" a="1"/>
  <c r="O2351" i="9" l="1"/>
  <c r="R2351" i="9" s="1"/>
  <c r="I2354" i="9"/>
  <c r="M2352" i="9"/>
  <c r="L2352" i="9"/>
  <c r="N2352" i="9"/>
  <c r="J2352" i="9"/>
  <c r="K2352" i="9"/>
  <c r="J2353" i="9" a="1"/>
  <c r="O2352" i="9" l="1"/>
  <c r="R2352" i="9" s="1"/>
  <c r="L2353" i="9"/>
  <c r="M2353" i="9"/>
  <c r="N2353" i="9"/>
  <c r="J2353" i="9"/>
  <c r="K2353" i="9"/>
  <c r="I2355" i="9"/>
  <c r="J2354" i="9" a="1"/>
  <c r="O2353" i="9" l="1"/>
  <c r="R2353" i="9" s="1"/>
  <c r="I2356" i="9"/>
  <c r="M2354" i="9"/>
  <c r="K2354" i="9"/>
  <c r="J2354" i="9"/>
  <c r="L2354" i="9"/>
  <c r="N2354" i="9"/>
  <c r="J2355" i="9" a="1"/>
  <c r="O2354" i="9" l="1"/>
  <c r="R2354" i="9" s="1"/>
  <c r="K2355" i="9"/>
  <c r="M2355" i="9"/>
  <c r="J2355" i="9"/>
  <c r="L2355" i="9"/>
  <c r="N2355" i="9"/>
  <c r="I2357" i="9"/>
  <c r="J2356" i="9" a="1"/>
  <c r="O2355" i="9" l="1"/>
  <c r="R2355" i="9" s="1"/>
  <c r="I2358" i="9"/>
  <c r="L2356" i="9"/>
  <c r="N2356" i="9"/>
  <c r="M2356" i="9"/>
  <c r="K2356" i="9"/>
  <c r="J2356" i="9"/>
  <c r="J2357" i="9" a="1"/>
  <c r="O2356" i="9" l="1"/>
  <c r="R2356" i="9" s="1"/>
  <c r="M2357" i="9"/>
  <c r="L2357" i="9"/>
  <c r="K2357" i="9"/>
  <c r="N2357" i="9"/>
  <c r="J2357" i="9"/>
  <c r="I2359" i="9"/>
  <c r="J2358" i="9" a="1"/>
  <c r="O2357" i="9" l="1"/>
  <c r="R2357" i="9" s="1"/>
  <c r="P2356" i="9"/>
  <c r="Q2351" i="9"/>
  <c r="S2351" i="9" s="1"/>
  <c r="T2351" i="9" s="1"/>
  <c r="U2351" i="9" s="1"/>
  <c r="Q2356" i="9"/>
  <c r="S2356" i="9" s="1"/>
  <c r="T2356" i="9" s="1"/>
  <c r="U2356" i="9" s="1"/>
  <c r="Q2359" i="9"/>
  <c r="Q2358" i="9"/>
  <c r="Q2357" i="9"/>
  <c r="S2357" i="9" s="1"/>
  <c r="T2357" i="9" s="1"/>
  <c r="U2357" i="9" s="1"/>
  <c r="Q2355" i="9"/>
  <c r="S2355" i="9" s="1"/>
  <c r="T2355" i="9" s="1"/>
  <c r="U2355" i="9" s="1"/>
  <c r="Q2354" i="9"/>
  <c r="S2354" i="9" s="1"/>
  <c r="T2354" i="9" s="1"/>
  <c r="U2354" i="9" s="1"/>
  <c r="Q2352" i="9"/>
  <c r="S2352" i="9" s="1"/>
  <c r="T2352" i="9" s="1"/>
  <c r="U2352" i="9" s="1"/>
  <c r="Q2353" i="9"/>
  <c r="S2353" i="9" s="1"/>
  <c r="T2353" i="9" s="1"/>
  <c r="U2353" i="9" s="1"/>
  <c r="I2360" i="9"/>
  <c r="J2358" i="9"/>
  <c r="L2358" i="9"/>
  <c r="N2358" i="9"/>
  <c r="K2358" i="9"/>
  <c r="M2358" i="9"/>
  <c r="J2359" i="9" a="1"/>
  <c r="O2358" i="9" l="1"/>
  <c r="R2358" i="9" s="1"/>
  <c r="S2358" i="9" s="1"/>
  <c r="T2358" i="9" s="1"/>
  <c r="U2358" i="9" s="1"/>
  <c r="I2361" i="9"/>
  <c r="J2359" i="9"/>
  <c r="L2359" i="9"/>
  <c r="N2359" i="9"/>
  <c r="K2359" i="9"/>
  <c r="M2359" i="9"/>
  <c r="J2360" i="9" a="1"/>
  <c r="O2359" i="9" l="1"/>
  <c r="R2359" i="9" s="1"/>
  <c r="S2359" i="9" s="1"/>
  <c r="T2359" i="9" s="1"/>
  <c r="U2359" i="9" s="1"/>
  <c r="K2360" i="9"/>
  <c r="M2360" i="9"/>
  <c r="L2360" i="9"/>
  <c r="N2360" i="9"/>
  <c r="J2360" i="9"/>
  <c r="I2362" i="9"/>
  <c r="J2361" i="9" a="1"/>
  <c r="O2360" i="9" l="1"/>
  <c r="R2360" i="9" s="1"/>
  <c r="I2363" i="9"/>
  <c r="J2361" i="9"/>
  <c r="K2361" i="9"/>
  <c r="M2361" i="9"/>
  <c r="L2361" i="9"/>
  <c r="N2361" i="9"/>
  <c r="J2362" i="9" a="1"/>
  <c r="O2361" i="9" l="1"/>
  <c r="R2361" i="9" s="1"/>
  <c r="L2362" i="9"/>
  <c r="N2362" i="9"/>
  <c r="K2362" i="9"/>
  <c r="J2362" i="9"/>
  <c r="M2362" i="9"/>
  <c r="I2364" i="9"/>
  <c r="J2363" i="9" a="1"/>
  <c r="O2362" i="9" l="1"/>
  <c r="R2362" i="9" s="1"/>
  <c r="I2365" i="9"/>
  <c r="N2363" i="9"/>
  <c r="K2363" i="9"/>
  <c r="M2363" i="9"/>
  <c r="J2363" i="9"/>
  <c r="L2363" i="9"/>
  <c r="J2364" i="9" a="1"/>
  <c r="O2363" i="9" l="1"/>
  <c r="R2363" i="9" s="1"/>
  <c r="L2364" i="9"/>
  <c r="J2364" i="9"/>
  <c r="K2364" i="9"/>
  <c r="N2364" i="9"/>
  <c r="M2364" i="9"/>
  <c r="I2366" i="9"/>
  <c r="J2365" i="9" a="1"/>
  <c r="O2364" i="9" l="1"/>
  <c r="R2364" i="9" s="1"/>
  <c r="I2367" i="9"/>
  <c r="K2365" i="9"/>
  <c r="M2365" i="9"/>
  <c r="N2365" i="9"/>
  <c r="L2365" i="9"/>
  <c r="J2365" i="9"/>
  <c r="J2366" i="9" a="1"/>
  <c r="O2365" i="9" l="1"/>
  <c r="R2365" i="9" s="1"/>
  <c r="M2366" i="9"/>
  <c r="J2366" i="9"/>
  <c r="L2366" i="9"/>
  <c r="N2366" i="9"/>
  <c r="K2366" i="9"/>
  <c r="I2368" i="9"/>
  <c r="J2367" i="9" a="1"/>
  <c r="P2365" i="9" l="1"/>
  <c r="O2366" i="9"/>
  <c r="R2366" i="9" s="1"/>
  <c r="Q2367" i="9"/>
  <c r="Q2368" i="9"/>
  <c r="Q2365" i="9"/>
  <c r="S2365" i="9" s="1"/>
  <c r="T2365" i="9" s="1"/>
  <c r="U2365" i="9" s="1"/>
  <c r="Q2360" i="9"/>
  <c r="S2360" i="9" s="1"/>
  <c r="T2360" i="9" s="1"/>
  <c r="U2360" i="9" s="1"/>
  <c r="Q2364" i="9"/>
  <c r="S2364" i="9" s="1"/>
  <c r="T2364" i="9" s="1"/>
  <c r="U2364" i="9" s="1"/>
  <c r="Q2366" i="9"/>
  <c r="Q2363" i="9"/>
  <c r="S2363" i="9" s="1"/>
  <c r="T2363" i="9" s="1"/>
  <c r="U2363" i="9" s="1"/>
  <c r="Q2362" i="9"/>
  <c r="S2362" i="9" s="1"/>
  <c r="T2362" i="9" s="1"/>
  <c r="U2362" i="9" s="1"/>
  <c r="Q2361" i="9"/>
  <c r="S2361" i="9" s="1"/>
  <c r="T2361" i="9" s="1"/>
  <c r="U2361" i="9" s="1"/>
  <c r="J2367" i="9"/>
  <c r="N2367" i="9"/>
  <c r="K2367" i="9"/>
  <c r="L2367" i="9"/>
  <c r="M2367" i="9"/>
  <c r="I2369" i="9"/>
  <c r="J2368" i="9" a="1"/>
  <c r="O2367" i="9" l="1"/>
  <c r="R2367" i="9" s="1"/>
  <c r="S2367" i="9" s="1"/>
  <c r="T2367" i="9" s="1"/>
  <c r="U2367" i="9" s="1"/>
  <c r="S2366" i="9"/>
  <c r="T2366" i="9" s="1"/>
  <c r="U2366" i="9" s="1"/>
  <c r="J2368" i="9"/>
  <c r="K2368" i="9"/>
  <c r="M2368" i="9"/>
  <c r="L2368" i="9"/>
  <c r="N2368" i="9"/>
  <c r="I2370" i="9"/>
  <c r="J2369" i="9" a="1"/>
  <c r="O2368" i="9" l="1"/>
  <c r="R2368" i="9" s="1"/>
  <c r="S2368" i="9" s="1"/>
  <c r="T2368" i="9" s="1"/>
  <c r="U2368" i="9" s="1"/>
  <c r="N2369" i="9"/>
  <c r="L2369" i="9"/>
  <c r="K2369" i="9"/>
  <c r="J2369" i="9"/>
  <c r="M2369" i="9"/>
  <c r="I2371" i="9"/>
  <c r="J2370" i="9" a="1"/>
  <c r="O2369" i="9" l="1"/>
  <c r="R2369" i="9" s="1"/>
  <c r="I2372" i="9"/>
  <c r="N2370" i="9"/>
  <c r="M2370" i="9"/>
  <c r="J2370" i="9"/>
  <c r="L2370" i="9"/>
  <c r="K2370" i="9"/>
  <c r="J2371" i="9" a="1"/>
  <c r="O2370" i="9" l="1"/>
  <c r="R2370" i="9" s="1"/>
  <c r="L2371" i="9"/>
  <c r="N2371" i="9"/>
  <c r="K2371" i="9"/>
  <c r="M2371" i="9"/>
  <c r="J2371" i="9"/>
  <c r="I2373" i="9"/>
  <c r="J2372" i="9" a="1"/>
  <c r="O2371" i="9" l="1"/>
  <c r="R2371" i="9" s="1"/>
  <c r="I2374" i="9"/>
  <c r="K2372" i="9"/>
  <c r="N2372" i="9"/>
  <c r="J2372" i="9"/>
  <c r="L2372" i="9"/>
  <c r="M2372" i="9"/>
  <c r="J2373" i="9" a="1"/>
  <c r="O2372" i="9" l="1"/>
  <c r="R2372" i="9" s="1"/>
  <c r="L2373" i="9"/>
  <c r="K2373" i="9"/>
  <c r="M2373" i="9"/>
  <c r="N2373" i="9"/>
  <c r="J2373" i="9"/>
  <c r="I2375" i="9"/>
  <c r="J2374" i="9" a="1"/>
  <c r="O2373" i="9" l="1"/>
  <c r="R2373" i="9" s="1"/>
  <c r="I2376" i="9"/>
  <c r="K2374" i="9"/>
  <c r="M2374" i="9"/>
  <c r="J2374" i="9"/>
  <c r="L2374" i="9"/>
  <c r="N2374" i="9"/>
  <c r="J2375" i="9" a="1"/>
  <c r="O2374" i="9" l="1"/>
  <c r="R2374" i="9" s="1"/>
  <c r="M2375" i="9"/>
  <c r="N2375" i="9"/>
  <c r="K2375" i="9"/>
  <c r="J2375" i="9"/>
  <c r="L2375" i="9"/>
  <c r="I2377" i="9"/>
  <c r="J2376" i="9" a="1"/>
  <c r="P2374" i="9" l="1"/>
  <c r="O2375" i="9"/>
  <c r="R2375" i="9" s="1"/>
  <c r="Q2370" i="9"/>
  <c r="S2370" i="9" s="1"/>
  <c r="T2370" i="9" s="1"/>
  <c r="U2370" i="9" s="1"/>
  <c r="Q2372" i="9"/>
  <c r="S2372" i="9" s="1"/>
  <c r="T2372" i="9" s="1"/>
  <c r="U2372" i="9" s="1"/>
  <c r="Q2375" i="9"/>
  <c r="Q2373" i="9"/>
  <c r="S2373" i="9" s="1"/>
  <c r="T2373" i="9" s="1"/>
  <c r="U2373" i="9" s="1"/>
  <c r="Q2376" i="9"/>
  <c r="Q2374" i="9"/>
  <c r="S2374" i="9" s="1"/>
  <c r="T2374" i="9" s="1"/>
  <c r="U2374" i="9" s="1"/>
  <c r="Q2371" i="9"/>
  <c r="S2371" i="9" s="1"/>
  <c r="T2371" i="9" s="1"/>
  <c r="U2371" i="9" s="1"/>
  <c r="Q2377" i="9"/>
  <c r="Q2369" i="9"/>
  <c r="S2369" i="9" s="1"/>
  <c r="T2369" i="9" s="1"/>
  <c r="U2369" i="9" s="1"/>
  <c r="I2378" i="9"/>
  <c r="N2376" i="9"/>
  <c r="J2376" i="9"/>
  <c r="K2376" i="9"/>
  <c r="M2376" i="9"/>
  <c r="L2376" i="9"/>
  <c r="J2377" i="9" a="1"/>
  <c r="S2375" i="9" l="1"/>
  <c r="T2375" i="9" s="1"/>
  <c r="U2375" i="9" s="1"/>
  <c r="O2376" i="9"/>
  <c r="R2376" i="9" s="1"/>
  <c r="S2376" i="9" s="1"/>
  <c r="T2376" i="9" s="1"/>
  <c r="U2376" i="9" s="1"/>
  <c r="I2379" i="9"/>
  <c r="J2377" i="9"/>
  <c r="L2377" i="9"/>
  <c r="N2377" i="9"/>
  <c r="K2377" i="9"/>
  <c r="M2377" i="9"/>
  <c r="J2378" i="9" a="1"/>
  <c r="O2377" i="9" l="1"/>
  <c r="R2377" i="9" s="1"/>
  <c r="S2377" i="9" s="1"/>
  <c r="T2377" i="9" s="1"/>
  <c r="U2377" i="9" s="1"/>
  <c r="I2380" i="9"/>
  <c r="J2378" i="9"/>
  <c r="N2378" i="9"/>
  <c r="M2378" i="9"/>
  <c r="L2378" i="9"/>
  <c r="K2378" i="9"/>
  <c r="J2379" i="9" a="1"/>
  <c r="O2378" i="9" l="1"/>
  <c r="R2378" i="9" s="1"/>
  <c r="J2379" i="9"/>
  <c r="L2379" i="9"/>
  <c r="N2379" i="9"/>
  <c r="K2379" i="9"/>
  <c r="M2379" i="9"/>
  <c r="I2381" i="9"/>
  <c r="J2380" i="9" a="1"/>
  <c r="O2379" i="9" l="1"/>
  <c r="R2379" i="9" s="1"/>
  <c r="M2380" i="9"/>
  <c r="K2380" i="9"/>
  <c r="L2380" i="9"/>
  <c r="N2380" i="9"/>
  <c r="J2380" i="9"/>
  <c r="I2382" i="9"/>
  <c r="J2381" i="9" a="1"/>
  <c r="O2380" i="9" l="1"/>
  <c r="R2380" i="9" s="1"/>
  <c r="I2383" i="9"/>
  <c r="J2381" i="9"/>
  <c r="L2381" i="9"/>
  <c r="N2381" i="9"/>
  <c r="M2381" i="9"/>
  <c r="K2381" i="9"/>
  <c r="J2382" i="9" a="1"/>
  <c r="O2381" i="9" l="1"/>
  <c r="R2381" i="9" s="1"/>
  <c r="N2382" i="9"/>
  <c r="K2382" i="9"/>
  <c r="M2382" i="9"/>
  <c r="J2382" i="9"/>
  <c r="L2382" i="9"/>
  <c r="I2384" i="9"/>
  <c r="J2383" i="9" a="1"/>
  <c r="O2382" i="9" l="1"/>
  <c r="R2382" i="9" s="1"/>
  <c r="I2385" i="9"/>
  <c r="K2383" i="9"/>
  <c r="M2383" i="9"/>
  <c r="J2383" i="9"/>
  <c r="N2383" i="9"/>
  <c r="L2383" i="9"/>
  <c r="J2384" i="9" a="1"/>
  <c r="O2383" i="9" l="1"/>
  <c r="R2383" i="9" s="1"/>
  <c r="L2384" i="9"/>
  <c r="N2384" i="9"/>
  <c r="J2384" i="9"/>
  <c r="K2384" i="9"/>
  <c r="M2384" i="9"/>
  <c r="I2386" i="9"/>
  <c r="J2385" i="9" a="1"/>
  <c r="P2383" i="9" l="1"/>
  <c r="Q2381" i="9" s="1"/>
  <c r="S2381" i="9" s="1"/>
  <c r="T2381" i="9" s="1"/>
  <c r="U2381" i="9" s="1"/>
  <c r="O2384" i="9"/>
  <c r="R2384" i="9" s="1"/>
  <c r="Q2380" i="9"/>
  <c r="S2380" i="9" s="1"/>
  <c r="T2380" i="9" s="1"/>
  <c r="U2380" i="9" s="1"/>
  <c r="Q2383" i="9"/>
  <c r="S2383" i="9" s="1"/>
  <c r="T2383" i="9" s="1"/>
  <c r="U2383" i="9" s="1"/>
  <c r="Q2384" i="9"/>
  <c r="S2384" i="9" s="1"/>
  <c r="T2384" i="9" s="1"/>
  <c r="U2384" i="9" s="1"/>
  <c r="Q2385" i="9"/>
  <c r="Q2386" i="9"/>
  <c r="M2385" i="9"/>
  <c r="N2385" i="9"/>
  <c r="J2385" i="9"/>
  <c r="L2385" i="9"/>
  <c r="K2385" i="9"/>
  <c r="I2387" i="9"/>
  <c r="J2386" i="9" a="1"/>
  <c r="Q2382" i="9" l="1"/>
  <c r="S2382" i="9" s="1"/>
  <c r="T2382" i="9" s="1"/>
  <c r="U2382" i="9" s="1"/>
  <c r="Q2379" i="9"/>
  <c r="S2379" i="9" s="1"/>
  <c r="T2379" i="9" s="1"/>
  <c r="U2379" i="9" s="1"/>
  <c r="Q2378" i="9"/>
  <c r="S2378" i="9" s="1"/>
  <c r="T2378" i="9" s="1"/>
  <c r="U2378" i="9" s="1"/>
  <c r="O2385" i="9"/>
  <c r="R2385" i="9" s="1"/>
  <c r="S2385" i="9" s="1"/>
  <c r="T2385" i="9" s="1"/>
  <c r="U2385" i="9" s="1"/>
  <c r="J2386" i="9"/>
  <c r="L2386" i="9"/>
  <c r="M2386" i="9"/>
  <c r="K2386" i="9"/>
  <c r="N2386" i="9"/>
  <c r="I2388" i="9"/>
  <c r="J2387" i="9" a="1"/>
  <c r="O2386" i="9" l="1"/>
  <c r="R2386" i="9" s="1"/>
  <c r="S2386" i="9" s="1"/>
  <c r="T2386" i="9" s="1"/>
  <c r="U2386" i="9" s="1"/>
  <c r="J2387" i="9"/>
  <c r="L2387" i="9"/>
  <c r="N2387" i="9"/>
  <c r="K2387" i="9"/>
  <c r="M2387" i="9"/>
  <c r="I2389" i="9"/>
  <c r="J2388" i="9" a="1"/>
  <c r="O2387" i="9" l="1"/>
  <c r="R2387" i="9" s="1"/>
  <c r="J2388" i="9"/>
  <c r="M2388" i="9"/>
  <c r="L2388" i="9"/>
  <c r="N2388" i="9"/>
  <c r="K2388" i="9"/>
  <c r="I2390" i="9"/>
  <c r="J2389" i="9" a="1"/>
  <c r="O2388" i="9" l="1"/>
  <c r="R2388" i="9" s="1"/>
  <c r="N2389" i="9"/>
  <c r="J2389" i="9"/>
  <c r="M2389" i="9"/>
  <c r="L2389" i="9"/>
  <c r="K2389" i="9"/>
  <c r="I2391" i="9"/>
  <c r="J2390" i="9" a="1"/>
  <c r="O2389" i="9" l="1"/>
  <c r="R2389" i="9" s="1"/>
  <c r="I2392" i="9"/>
  <c r="L2390" i="9"/>
  <c r="N2390" i="9"/>
  <c r="K2390" i="9"/>
  <c r="M2390" i="9"/>
  <c r="J2390" i="9"/>
  <c r="J2391" i="9" a="1"/>
  <c r="O2390" i="9" l="1"/>
  <c r="R2390" i="9" s="1"/>
  <c r="N2391" i="9"/>
  <c r="K2391" i="9"/>
  <c r="M2391" i="9"/>
  <c r="J2391" i="9"/>
  <c r="L2391" i="9"/>
  <c r="I2393" i="9"/>
  <c r="J2392" i="9" a="1"/>
  <c r="O2391" i="9" l="1"/>
  <c r="R2391" i="9" s="1"/>
  <c r="I2394" i="9"/>
  <c r="L2392" i="9"/>
  <c r="N2392" i="9"/>
  <c r="J2392" i="9"/>
  <c r="K2392" i="9"/>
  <c r="M2392" i="9"/>
  <c r="J2393" i="9" a="1"/>
  <c r="O2392" i="9" l="1"/>
  <c r="R2392" i="9" s="1"/>
  <c r="K2393" i="9"/>
  <c r="N2393" i="9"/>
  <c r="J2393" i="9"/>
  <c r="L2393" i="9"/>
  <c r="M2393" i="9"/>
  <c r="I2395" i="9"/>
  <c r="J2394" i="9" a="1"/>
  <c r="O2393" i="9" l="1"/>
  <c r="R2393" i="9" s="1"/>
  <c r="P2392" i="9"/>
  <c r="Q2388" i="9" s="1"/>
  <c r="S2388" i="9" s="1"/>
  <c r="T2388" i="9" s="1"/>
  <c r="U2388" i="9" s="1"/>
  <c r="Q2391" i="9"/>
  <c r="S2391" i="9" s="1"/>
  <c r="T2391" i="9" s="1"/>
  <c r="U2391" i="9" s="1"/>
  <c r="Q2394" i="9"/>
  <c r="Q2392" i="9"/>
  <c r="S2392" i="9" s="1"/>
  <c r="T2392" i="9" s="1"/>
  <c r="U2392" i="9" s="1"/>
  <c r="Q2387" i="9"/>
  <c r="S2387" i="9" s="1"/>
  <c r="T2387" i="9" s="1"/>
  <c r="U2387" i="9" s="1"/>
  <c r="Q2390" i="9"/>
  <c r="S2390" i="9" s="1"/>
  <c r="T2390" i="9" s="1"/>
  <c r="U2390" i="9" s="1"/>
  <c r="Q2393" i="9"/>
  <c r="S2393" i="9" s="1"/>
  <c r="T2393" i="9" s="1"/>
  <c r="U2393" i="9" s="1"/>
  <c r="N2394" i="9"/>
  <c r="M2394" i="9"/>
  <c r="K2394" i="9"/>
  <c r="J2394" i="9"/>
  <c r="L2394" i="9"/>
  <c r="I2396" i="9"/>
  <c r="J2395" i="9" a="1"/>
  <c r="O2394" i="9" l="1"/>
  <c r="R2394" i="9" s="1"/>
  <c r="S2394" i="9" s="1"/>
  <c r="T2394" i="9" s="1"/>
  <c r="U2394" i="9" s="1"/>
  <c r="Q2395" i="9"/>
  <c r="Q2389" i="9"/>
  <c r="S2389" i="9" s="1"/>
  <c r="T2389" i="9" s="1"/>
  <c r="U2389" i="9" s="1"/>
  <c r="I2397" i="9"/>
  <c r="M2395" i="9"/>
  <c r="J2395" i="9"/>
  <c r="L2395" i="9"/>
  <c r="N2395" i="9"/>
  <c r="K2395" i="9"/>
  <c r="J2396" i="9" a="1"/>
  <c r="O2395" i="9" l="1"/>
  <c r="R2395" i="9" s="1"/>
  <c r="S2395" i="9" s="1"/>
  <c r="T2395" i="9" s="1"/>
  <c r="U2395" i="9" s="1"/>
  <c r="I2398" i="9"/>
  <c r="N2396" i="9"/>
  <c r="J2396" i="9"/>
  <c r="M2396" i="9"/>
  <c r="K2396" i="9"/>
  <c r="L2396" i="9"/>
  <c r="J2397" i="9" a="1"/>
  <c r="O2396" i="9" l="1"/>
  <c r="R2396" i="9" s="1"/>
  <c r="N2397" i="9"/>
  <c r="J2397" i="9"/>
  <c r="L2397" i="9"/>
  <c r="M2397" i="9"/>
  <c r="K2397" i="9"/>
  <c r="I2399" i="9"/>
  <c r="J2398" i="9" a="1"/>
  <c r="O2397" i="9" l="1"/>
  <c r="R2397" i="9" s="1"/>
  <c r="I2400" i="9"/>
  <c r="J2398" i="9"/>
  <c r="L2398" i="9"/>
  <c r="N2398" i="9"/>
  <c r="K2398" i="9"/>
  <c r="M2398" i="9"/>
  <c r="J2399" i="9" a="1"/>
  <c r="O2398" i="9" l="1"/>
  <c r="R2398" i="9" s="1"/>
  <c r="L2399" i="9"/>
  <c r="N2399" i="9"/>
  <c r="J2399" i="9"/>
  <c r="M2399" i="9"/>
  <c r="K2399" i="9"/>
  <c r="I2401" i="9"/>
  <c r="J2400" i="9" a="1"/>
  <c r="O2399" i="9" l="1"/>
  <c r="R2399" i="9" s="1"/>
  <c r="I2402" i="9"/>
  <c r="M2400" i="9"/>
  <c r="L2400" i="9"/>
  <c r="N2400" i="9"/>
  <c r="J2400" i="9"/>
  <c r="K2400" i="9"/>
  <c r="J2401" i="9" a="1"/>
  <c r="O2400" i="9" l="1"/>
  <c r="R2400" i="9" s="1"/>
  <c r="L2401" i="9"/>
  <c r="M2401" i="9"/>
  <c r="K2401" i="9"/>
  <c r="N2401" i="9"/>
  <c r="J2401" i="9"/>
  <c r="I2403" i="9"/>
  <c r="J2402" i="9" a="1"/>
  <c r="O2401" i="9" l="1"/>
  <c r="P2401" i="9" s="1"/>
  <c r="I2404" i="9"/>
  <c r="K2402" i="9"/>
  <c r="L2402" i="9"/>
  <c r="N2402" i="9"/>
  <c r="J2402" i="9"/>
  <c r="M2402" i="9"/>
  <c r="J2403" i="9" a="1"/>
  <c r="R2401" i="9" l="1"/>
  <c r="O2402" i="9"/>
  <c r="R2402" i="9" s="1"/>
  <c r="Q2399" i="9"/>
  <c r="S2399" i="9" s="1"/>
  <c r="T2399" i="9" s="1"/>
  <c r="U2399" i="9" s="1"/>
  <c r="Q2397" i="9"/>
  <c r="S2397" i="9" s="1"/>
  <c r="T2397" i="9" s="1"/>
  <c r="U2397" i="9" s="1"/>
  <c r="Q2400" i="9"/>
  <c r="S2400" i="9" s="1"/>
  <c r="T2400" i="9" s="1"/>
  <c r="U2400" i="9" s="1"/>
  <c r="Q2401" i="9"/>
  <c r="S2401" i="9" s="1"/>
  <c r="T2401" i="9" s="1"/>
  <c r="U2401" i="9" s="1"/>
  <c r="Q2402" i="9"/>
  <c r="S2402" i="9" s="1"/>
  <c r="T2402" i="9" s="1"/>
  <c r="U2402" i="9" s="1"/>
  <c r="Q2398" i="9"/>
  <c r="S2398" i="9" s="1"/>
  <c r="T2398" i="9" s="1"/>
  <c r="U2398" i="9" s="1"/>
  <c r="Q2396" i="9"/>
  <c r="S2396" i="9" s="1"/>
  <c r="T2396" i="9" s="1"/>
  <c r="U2396" i="9" s="1"/>
  <c r="Q2404" i="9"/>
  <c r="Q2403" i="9"/>
  <c r="K2403" i="9"/>
  <c r="M2403" i="9"/>
  <c r="J2403" i="9"/>
  <c r="L2403" i="9"/>
  <c r="N2403" i="9"/>
  <c r="I2405" i="9"/>
  <c r="J2404" i="9" a="1"/>
  <c r="O2403" i="9" l="1"/>
  <c r="R2403" i="9" s="1"/>
  <c r="S2403" i="9" s="1"/>
  <c r="T2403" i="9" s="1"/>
  <c r="U2403" i="9" s="1"/>
  <c r="I2406" i="9"/>
  <c r="L2404" i="9"/>
  <c r="N2404" i="9"/>
  <c r="M2404" i="9"/>
  <c r="K2404" i="9"/>
  <c r="J2404" i="9"/>
  <c r="J2405" i="9" a="1"/>
  <c r="O2404" i="9" l="1"/>
  <c r="R2404" i="9" s="1"/>
  <c r="S2404" i="9" s="1"/>
  <c r="T2404" i="9" s="1"/>
  <c r="U2404" i="9" s="1"/>
  <c r="M2405" i="9"/>
  <c r="J2405" i="9"/>
  <c r="L2405" i="9"/>
  <c r="N2405" i="9"/>
  <c r="K2405" i="9"/>
  <c r="I2407" i="9"/>
  <c r="J2406" i="9" a="1"/>
  <c r="O2405" i="9" l="1"/>
  <c r="R2405" i="9" s="1"/>
  <c r="J2406" i="9"/>
  <c r="L2406" i="9"/>
  <c r="N2406" i="9"/>
  <c r="K2406" i="9"/>
  <c r="M2406" i="9"/>
  <c r="I2408" i="9"/>
  <c r="J2407" i="9" a="1"/>
  <c r="O2406" i="9" l="1"/>
  <c r="R2406" i="9" s="1"/>
  <c r="J2407" i="9"/>
  <c r="N2407" i="9"/>
  <c r="L2407" i="9"/>
  <c r="M2407" i="9"/>
  <c r="K2407" i="9"/>
  <c r="I2409" i="9"/>
  <c r="J2408" i="9" a="1"/>
  <c r="O2407" i="9" l="1"/>
  <c r="R2407" i="9" s="1"/>
  <c r="K2408" i="9"/>
  <c r="M2408" i="9"/>
  <c r="N2408" i="9"/>
  <c r="L2408" i="9"/>
  <c r="J2408" i="9"/>
  <c r="I2410" i="9"/>
  <c r="J2409" i="9" a="1"/>
  <c r="O2408" i="9" l="1"/>
  <c r="R2408" i="9" s="1"/>
  <c r="I2411" i="9"/>
  <c r="N2409" i="9"/>
  <c r="J2409" i="9"/>
  <c r="M2409" i="9"/>
  <c r="L2409" i="9"/>
  <c r="K2409" i="9"/>
  <c r="J2410" i="9" a="1"/>
  <c r="O2409" i="9" l="1"/>
  <c r="R2409" i="9" s="1"/>
  <c r="J2410" i="9"/>
  <c r="K2410" i="9"/>
  <c r="M2410" i="9"/>
  <c r="N2410" i="9"/>
  <c r="L2410" i="9"/>
  <c r="I2412" i="9"/>
  <c r="J2411" i="9" a="1"/>
  <c r="O2410" i="9" l="1"/>
  <c r="P2410" i="9" s="1"/>
  <c r="I2413" i="9"/>
  <c r="N2411" i="9"/>
  <c r="L2411" i="9"/>
  <c r="J2411" i="9"/>
  <c r="M2411" i="9"/>
  <c r="K2411" i="9"/>
  <c r="J2412" i="9" a="1"/>
  <c r="O2411" i="9" l="1"/>
  <c r="R2411" i="9" s="1"/>
  <c r="R2410" i="9"/>
  <c r="M2412" i="9"/>
  <c r="L2412" i="9"/>
  <c r="J2412" i="9"/>
  <c r="N2412" i="9"/>
  <c r="K2412" i="9"/>
  <c r="Q2405" i="9"/>
  <c r="S2405" i="9" s="1"/>
  <c r="T2405" i="9" s="1"/>
  <c r="U2405" i="9" s="1"/>
  <c r="Q2412" i="9"/>
  <c r="Q2407" i="9"/>
  <c r="S2407" i="9" s="1"/>
  <c r="T2407" i="9" s="1"/>
  <c r="U2407" i="9" s="1"/>
  <c r="Q2409" i="9"/>
  <c r="S2409" i="9" s="1"/>
  <c r="T2409" i="9" s="1"/>
  <c r="U2409" i="9" s="1"/>
  <c r="Q2408" i="9"/>
  <c r="S2408" i="9" s="1"/>
  <c r="T2408" i="9" s="1"/>
  <c r="U2408" i="9" s="1"/>
  <c r="Q2413" i="9"/>
  <c r="Q2406" i="9"/>
  <c r="S2406" i="9" s="1"/>
  <c r="T2406" i="9" s="1"/>
  <c r="U2406" i="9" s="1"/>
  <c r="Q2411" i="9"/>
  <c r="S2411" i="9" s="1"/>
  <c r="T2411" i="9" s="1"/>
  <c r="U2411" i="9" s="1"/>
  <c r="Q2410" i="9"/>
  <c r="S2410" i="9" s="1"/>
  <c r="T2410" i="9" s="1"/>
  <c r="U2410" i="9" s="1"/>
  <c r="I2414" i="9"/>
  <c r="J2413" i="9" a="1"/>
  <c r="O2412" i="9" l="1"/>
  <c r="R2412" i="9" s="1"/>
  <c r="S2412" i="9" s="1"/>
  <c r="T2412" i="9" s="1"/>
  <c r="U2412" i="9" s="1"/>
  <c r="L2413" i="9"/>
  <c r="M2413" i="9"/>
  <c r="J2413" i="9"/>
  <c r="K2413" i="9"/>
  <c r="N2413" i="9"/>
  <c r="I2415" i="9"/>
  <c r="J2414" i="9" a="1"/>
  <c r="O2413" i="9" l="1"/>
  <c r="R2413" i="9" s="1"/>
  <c r="S2413" i="9" s="1"/>
  <c r="T2413" i="9" s="1"/>
  <c r="U2413" i="9" s="1"/>
  <c r="J2414" i="9"/>
  <c r="N2414" i="9"/>
  <c r="M2414" i="9"/>
  <c r="L2414" i="9"/>
  <c r="K2414" i="9"/>
  <c r="I2416" i="9"/>
  <c r="J2415" i="9" a="1"/>
  <c r="O2414" i="9" l="1"/>
  <c r="R2414" i="9" s="1"/>
  <c r="L2415" i="9"/>
  <c r="M2415" i="9"/>
  <c r="J2415" i="9"/>
  <c r="N2415" i="9"/>
  <c r="K2415" i="9"/>
  <c r="I2417" i="9"/>
  <c r="J2416" i="9" a="1"/>
  <c r="O2415" i="9" l="1"/>
  <c r="R2415" i="9" s="1"/>
  <c r="I2418" i="9"/>
  <c r="L2416" i="9"/>
  <c r="K2416" i="9"/>
  <c r="J2416" i="9"/>
  <c r="N2416" i="9"/>
  <c r="M2416" i="9"/>
  <c r="J2417" i="9" a="1"/>
  <c r="O2416" i="9" l="1"/>
  <c r="R2416" i="9" s="1"/>
  <c r="N2417" i="9"/>
  <c r="J2417" i="9"/>
  <c r="K2417" i="9"/>
  <c r="L2417" i="9"/>
  <c r="M2417" i="9"/>
  <c r="I2419" i="9"/>
  <c r="J2418" i="9" a="1"/>
  <c r="O2417" i="9" l="1"/>
  <c r="R2417" i="9" s="1"/>
  <c r="I2420" i="9"/>
  <c r="K2418" i="9"/>
  <c r="M2418" i="9"/>
  <c r="N2418" i="9"/>
  <c r="L2418" i="9"/>
  <c r="J2418" i="9"/>
  <c r="J2419" i="9" a="1"/>
  <c r="O2418" i="9" l="1"/>
  <c r="R2418" i="9" s="1"/>
  <c r="L2419" i="9"/>
  <c r="M2419" i="9"/>
  <c r="J2419" i="9"/>
  <c r="N2419" i="9"/>
  <c r="K2419" i="9"/>
  <c r="I2421" i="9"/>
  <c r="J2420" i="9" a="1"/>
  <c r="O2419" i="9" l="1"/>
  <c r="P2419" i="9" s="1"/>
  <c r="I2422" i="9"/>
  <c r="L2420" i="9"/>
  <c r="M2420" i="9"/>
  <c r="N2420" i="9"/>
  <c r="K2420" i="9"/>
  <c r="J2420" i="9"/>
  <c r="J2421" i="9" a="1"/>
  <c r="R2419" i="9" l="1"/>
  <c r="O2420" i="9"/>
  <c r="R2420" i="9" s="1"/>
  <c r="N2421" i="9"/>
  <c r="M2421" i="9"/>
  <c r="K2421" i="9"/>
  <c r="J2421" i="9"/>
  <c r="L2421" i="9"/>
  <c r="I2423" i="9"/>
  <c r="Q2414" i="9"/>
  <c r="S2414" i="9" s="1"/>
  <c r="T2414" i="9" s="1"/>
  <c r="U2414" i="9" s="1"/>
  <c r="Q2416" i="9"/>
  <c r="S2416" i="9" s="1"/>
  <c r="T2416" i="9" s="1"/>
  <c r="U2416" i="9" s="1"/>
  <c r="Q2421" i="9"/>
  <c r="Q2420" i="9"/>
  <c r="S2420" i="9" s="1"/>
  <c r="T2420" i="9" s="1"/>
  <c r="U2420" i="9" s="1"/>
  <c r="Q2419" i="9"/>
  <c r="S2419" i="9" s="1"/>
  <c r="T2419" i="9" s="1"/>
  <c r="U2419" i="9" s="1"/>
  <c r="Q2417" i="9"/>
  <c r="S2417" i="9" s="1"/>
  <c r="T2417" i="9" s="1"/>
  <c r="U2417" i="9" s="1"/>
  <c r="Q2415" i="9"/>
  <c r="S2415" i="9" s="1"/>
  <c r="T2415" i="9" s="1"/>
  <c r="U2415" i="9" s="1"/>
  <c r="Q2418" i="9"/>
  <c r="S2418" i="9" s="1"/>
  <c r="T2418" i="9" s="1"/>
  <c r="U2418" i="9" s="1"/>
  <c r="Q2422" i="9"/>
  <c r="J2422" i="9" a="1"/>
  <c r="O2421" i="9" l="1"/>
  <c r="R2421" i="9" s="1"/>
  <c r="S2421" i="9" s="1"/>
  <c r="T2421" i="9" s="1"/>
  <c r="U2421" i="9" s="1"/>
  <c r="I2424" i="9"/>
  <c r="K2422" i="9"/>
  <c r="M2422" i="9"/>
  <c r="J2422" i="9"/>
  <c r="N2422" i="9"/>
  <c r="L2422" i="9"/>
  <c r="J2423" i="9" a="1"/>
  <c r="O2422" i="9" l="1"/>
  <c r="R2422" i="9" s="1"/>
  <c r="S2422" i="9" s="1"/>
  <c r="T2422" i="9" s="1"/>
  <c r="U2422" i="9" s="1"/>
  <c r="L2423" i="9"/>
  <c r="N2423" i="9"/>
  <c r="K2423" i="9"/>
  <c r="J2423" i="9"/>
  <c r="M2423" i="9"/>
  <c r="I2425" i="9"/>
  <c r="J2424" i="9" a="1"/>
  <c r="O2423" i="9" l="1"/>
  <c r="R2423" i="9" s="1"/>
  <c r="I2426" i="9"/>
  <c r="K2424" i="9"/>
  <c r="M2424" i="9"/>
  <c r="N2424" i="9"/>
  <c r="L2424" i="9"/>
  <c r="J2424" i="9"/>
  <c r="J2425" i="9" a="1"/>
  <c r="O2424" i="9" l="1"/>
  <c r="R2424" i="9" s="1"/>
  <c r="K2425" i="9"/>
  <c r="L2425" i="9"/>
  <c r="J2425" i="9"/>
  <c r="M2425" i="9"/>
  <c r="N2425" i="9"/>
  <c r="I2427" i="9"/>
  <c r="J2426" i="9" a="1"/>
  <c r="O2425" i="9" l="1"/>
  <c r="R2425" i="9" s="1"/>
  <c r="I2428" i="9"/>
  <c r="L2426" i="9"/>
  <c r="J2426" i="9"/>
  <c r="K2426" i="9"/>
  <c r="M2426" i="9"/>
  <c r="N2426" i="9"/>
  <c r="J2427" i="9" a="1"/>
  <c r="O2426" i="9" l="1"/>
  <c r="R2426" i="9" s="1"/>
  <c r="L2427" i="9"/>
  <c r="M2427" i="9"/>
  <c r="J2427" i="9"/>
  <c r="K2427" i="9"/>
  <c r="N2427" i="9"/>
  <c r="I2429" i="9"/>
  <c r="J2428" i="9" a="1"/>
  <c r="O2427" i="9" l="1"/>
  <c r="R2427" i="9" s="1"/>
  <c r="I2430" i="9"/>
  <c r="J2428" i="9"/>
  <c r="K2428" i="9"/>
  <c r="M2428" i="9"/>
  <c r="L2428" i="9"/>
  <c r="N2428" i="9"/>
  <c r="J2429" i="9" a="1"/>
  <c r="O2428" i="9" l="1"/>
  <c r="R2428" i="9" s="1"/>
  <c r="J2429" i="9"/>
  <c r="K2429" i="9"/>
  <c r="L2429" i="9"/>
  <c r="M2429" i="9"/>
  <c r="N2429" i="9"/>
  <c r="I2431" i="9"/>
  <c r="J2430" i="9" a="1"/>
  <c r="P2428" i="9" l="1"/>
  <c r="O2429" i="9"/>
  <c r="M2430" i="9"/>
  <c r="J2430" i="9"/>
  <c r="L2430" i="9"/>
  <c r="K2430" i="9"/>
  <c r="N2430" i="9"/>
  <c r="Q2427" i="9"/>
  <c r="S2427" i="9" s="1"/>
  <c r="T2427" i="9" s="1"/>
  <c r="U2427" i="9" s="1"/>
  <c r="Q2423" i="9"/>
  <c r="S2423" i="9" s="1"/>
  <c r="T2423" i="9" s="1"/>
  <c r="U2423" i="9" s="1"/>
  <c r="Q2426" i="9"/>
  <c r="S2426" i="9" s="1"/>
  <c r="T2426" i="9" s="1"/>
  <c r="U2426" i="9" s="1"/>
  <c r="Q2430" i="9"/>
  <c r="Q2425" i="9"/>
  <c r="S2425" i="9" s="1"/>
  <c r="T2425" i="9" s="1"/>
  <c r="U2425" i="9" s="1"/>
  <c r="Q2431" i="9"/>
  <c r="Q2424" i="9"/>
  <c r="S2424" i="9" s="1"/>
  <c r="T2424" i="9" s="1"/>
  <c r="U2424" i="9" s="1"/>
  <c r="Q2429" i="9"/>
  <c r="Q2428" i="9"/>
  <c r="S2428" i="9" s="1"/>
  <c r="T2428" i="9" s="1"/>
  <c r="U2428" i="9" s="1"/>
  <c r="I2432" i="9"/>
  <c r="R2429" i="9"/>
  <c r="J2431" i="9" a="1"/>
  <c r="S2429" i="9" l="1"/>
  <c r="T2429" i="9" s="1"/>
  <c r="U2429" i="9" s="1"/>
  <c r="O2430" i="9"/>
  <c r="R2430" i="9" s="1"/>
  <c r="S2430" i="9" s="1"/>
  <c r="T2430" i="9" s="1"/>
  <c r="U2430" i="9" s="1"/>
  <c r="N2431" i="9"/>
  <c r="K2431" i="9"/>
  <c r="L2431" i="9"/>
  <c r="M2431" i="9"/>
  <c r="J2431" i="9"/>
  <c r="I2433" i="9"/>
  <c r="J2432" i="9" a="1"/>
  <c r="O2431" i="9" l="1"/>
  <c r="R2431" i="9" s="1"/>
  <c r="S2431" i="9" s="1"/>
  <c r="T2431" i="9" s="1"/>
  <c r="U2431" i="9" s="1"/>
  <c r="J2432" i="9"/>
  <c r="M2432" i="9"/>
  <c r="L2432" i="9"/>
  <c r="N2432" i="9"/>
  <c r="K2432" i="9"/>
  <c r="I2434" i="9"/>
  <c r="J2433" i="9" a="1"/>
  <c r="O2432" i="9" l="1"/>
  <c r="R2432" i="9" s="1"/>
  <c r="M2433" i="9"/>
  <c r="N2433" i="9"/>
  <c r="J2433" i="9"/>
  <c r="K2433" i="9"/>
  <c r="L2433" i="9"/>
  <c r="I2435" i="9"/>
  <c r="J2434" i="9" a="1"/>
  <c r="O2433" i="9" l="1"/>
  <c r="R2433" i="9" s="1"/>
  <c r="I2436" i="9"/>
  <c r="J2434" i="9"/>
  <c r="N2434" i="9"/>
  <c r="M2434" i="9"/>
  <c r="K2434" i="9"/>
  <c r="L2434" i="9"/>
  <c r="J2435" i="9" a="1"/>
  <c r="O2434" i="9" l="1"/>
  <c r="R2434" i="9" s="1"/>
  <c r="N2435" i="9"/>
  <c r="K2435" i="9"/>
  <c r="L2435" i="9"/>
  <c r="M2435" i="9"/>
  <c r="J2435" i="9"/>
  <c r="I2437" i="9"/>
  <c r="J2436" i="9" a="1"/>
  <c r="O2435" i="9" l="1"/>
  <c r="R2435" i="9" s="1"/>
  <c r="I2438" i="9"/>
  <c r="M2436" i="9"/>
  <c r="N2436" i="9"/>
  <c r="J2436" i="9"/>
  <c r="L2436" i="9"/>
  <c r="K2436" i="9"/>
  <c r="J2437" i="9" a="1"/>
  <c r="O2436" i="9" l="1"/>
  <c r="R2436" i="9" s="1"/>
  <c r="L2437" i="9"/>
  <c r="N2437" i="9"/>
  <c r="J2437" i="9"/>
  <c r="M2437" i="9"/>
  <c r="K2437" i="9"/>
  <c r="I2439" i="9"/>
  <c r="J2438" i="9" a="1"/>
  <c r="O2437" i="9" l="1"/>
  <c r="R2437" i="9" s="1"/>
  <c r="I2440" i="9"/>
  <c r="L2438" i="9"/>
  <c r="J2438" i="9"/>
  <c r="M2438" i="9"/>
  <c r="N2438" i="9"/>
  <c r="K2438" i="9"/>
  <c r="J2439" i="9" a="1"/>
  <c r="P2437" i="9" l="1"/>
  <c r="O2438" i="9"/>
  <c r="R2438" i="9" s="1"/>
  <c r="L2439" i="9"/>
  <c r="K2439" i="9"/>
  <c r="J2439" i="9"/>
  <c r="N2439" i="9"/>
  <c r="M2439" i="9"/>
  <c r="Q2432" i="9"/>
  <c r="S2432" i="9" s="1"/>
  <c r="T2432" i="9" s="1"/>
  <c r="U2432" i="9" s="1"/>
  <c r="Q2439" i="9"/>
  <c r="Q2433" i="9"/>
  <c r="S2433" i="9" s="1"/>
  <c r="T2433" i="9" s="1"/>
  <c r="U2433" i="9" s="1"/>
  <c r="Q2434" i="9"/>
  <c r="S2434" i="9" s="1"/>
  <c r="T2434" i="9" s="1"/>
  <c r="U2434" i="9" s="1"/>
  <c r="Q2435" i="9"/>
  <c r="S2435" i="9" s="1"/>
  <c r="T2435" i="9" s="1"/>
  <c r="U2435" i="9" s="1"/>
  <c r="Q2437" i="9"/>
  <c r="S2437" i="9" s="1"/>
  <c r="T2437" i="9" s="1"/>
  <c r="U2437" i="9" s="1"/>
  <c r="Q2436" i="9"/>
  <c r="S2436" i="9" s="1"/>
  <c r="T2436" i="9" s="1"/>
  <c r="U2436" i="9" s="1"/>
  <c r="Q2438" i="9"/>
  <c r="S2438" i="9" s="1"/>
  <c r="T2438" i="9" s="1"/>
  <c r="U2438" i="9" s="1"/>
  <c r="Q2440" i="9"/>
  <c r="I2441" i="9"/>
  <c r="J2440" i="9" a="1"/>
  <c r="O2439" i="9" l="1"/>
  <c r="R2439" i="9" s="1"/>
  <c r="S2439" i="9" s="1"/>
  <c r="T2439" i="9" s="1"/>
  <c r="U2439" i="9" s="1"/>
  <c r="L2440" i="9"/>
  <c r="J2440" i="9"/>
  <c r="K2440" i="9"/>
  <c r="M2440" i="9"/>
  <c r="N2440" i="9"/>
  <c r="I2442" i="9"/>
  <c r="J2441" i="9" a="1"/>
  <c r="O2440" i="9" l="1"/>
  <c r="R2440" i="9" s="1"/>
  <c r="S2440" i="9" s="1"/>
  <c r="T2440" i="9" s="1"/>
  <c r="U2440" i="9" s="1"/>
  <c r="I2443" i="9"/>
  <c r="J2441" i="9"/>
  <c r="M2441" i="9"/>
  <c r="K2441" i="9"/>
  <c r="L2441" i="9"/>
  <c r="N2441" i="9"/>
  <c r="J2442" i="9" a="1"/>
  <c r="O2441" i="9" l="1"/>
  <c r="R2441" i="9" s="1"/>
  <c r="M2442" i="9"/>
  <c r="N2442" i="9"/>
  <c r="L2442" i="9"/>
  <c r="J2442" i="9"/>
  <c r="K2442" i="9"/>
  <c r="I2444" i="9"/>
  <c r="J2443" i="9" a="1"/>
  <c r="O2442" i="9" l="1"/>
  <c r="R2442" i="9" s="1"/>
  <c r="I2445" i="9"/>
  <c r="K2443" i="9"/>
  <c r="N2443" i="9"/>
  <c r="L2443" i="9"/>
  <c r="J2443" i="9"/>
  <c r="M2443" i="9"/>
  <c r="J2444" i="9" a="1"/>
  <c r="O2443" i="9" l="1"/>
  <c r="R2443" i="9" s="1"/>
  <c r="L2444" i="9"/>
  <c r="N2444" i="9"/>
  <c r="J2444" i="9"/>
  <c r="K2444" i="9"/>
  <c r="M2444" i="9"/>
  <c r="I2446" i="9"/>
  <c r="J2445" i="9" a="1"/>
  <c r="O2444" i="9" l="1"/>
  <c r="R2444" i="9" s="1"/>
  <c r="I2447" i="9"/>
  <c r="N2445" i="9"/>
  <c r="L2445" i="9"/>
  <c r="M2445" i="9"/>
  <c r="J2445" i="9"/>
  <c r="K2445" i="9"/>
  <c r="J2446" i="9" a="1"/>
  <c r="O2445" i="9" l="1"/>
  <c r="R2445" i="9" s="1"/>
  <c r="K2446" i="9"/>
  <c r="L2446" i="9"/>
  <c r="N2446" i="9"/>
  <c r="M2446" i="9"/>
  <c r="J2446" i="9"/>
  <c r="I2448" i="9"/>
  <c r="J2447" i="9" a="1"/>
  <c r="O2446" i="9" l="1"/>
  <c r="P2446" i="9" s="1"/>
  <c r="I2449" i="9"/>
  <c r="J2447" i="9"/>
  <c r="N2447" i="9"/>
  <c r="K2447" i="9"/>
  <c r="L2447" i="9"/>
  <c r="M2447" i="9"/>
  <c r="J2448" i="9" a="1"/>
  <c r="O2447" i="9" l="1"/>
  <c r="R2447" i="9" s="1"/>
  <c r="R2446" i="9"/>
  <c r="N2448" i="9"/>
  <c r="K2448" i="9"/>
  <c r="M2448" i="9"/>
  <c r="L2448" i="9"/>
  <c r="J2448" i="9"/>
  <c r="Q2449" i="9"/>
  <c r="Q2446" i="9"/>
  <c r="S2446" i="9" s="1"/>
  <c r="T2446" i="9" s="1"/>
  <c r="U2446" i="9" s="1"/>
  <c r="Q2442" i="9"/>
  <c r="S2442" i="9" s="1"/>
  <c r="T2442" i="9" s="1"/>
  <c r="U2442" i="9" s="1"/>
  <c r="Q2447" i="9"/>
  <c r="Q2443" i="9"/>
  <c r="S2443" i="9" s="1"/>
  <c r="T2443" i="9" s="1"/>
  <c r="U2443" i="9" s="1"/>
  <c r="Q2448" i="9"/>
  <c r="Q2445" i="9"/>
  <c r="S2445" i="9" s="1"/>
  <c r="T2445" i="9" s="1"/>
  <c r="U2445" i="9" s="1"/>
  <c r="Q2444" i="9"/>
  <c r="S2444" i="9" s="1"/>
  <c r="T2444" i="9" s="1"/>
  <c r="U2444" i="9" s="1"/>
  <c r="Q2441" i="9"/>
  <c r="S2441" i="9" s="1"/>
  <c r="T2441" i="9" s="1"/>
  <c r="U2441" i="9" s="1"/>
  <c r="I2450" i="9"/>
  <c r="J2449" i="9" a="1"/>
  <c r="S2447" i="9" l="1"/>
  <c r="T2447" i="9" s="1"/>
  <c r="U2447" i="9" s="1"/>
  <c r="O2448" i="9"/>
  <c r="R2448" i="9" s="1"/>
  <c r="S2448" i="9" s="1"/>
  <c r="T2448" i="9" s="1"/>
  <c r="U2448" i="9" s="1"/>
  <c r="K2449" i="9"/>
  <c r="L2449" i="9"/>
  <c r="M2449" i="9"/>
  <c r="N2449" i="9"/>
  <c r="J2449" i="9"/>
  <c r="I2451" i="9"/>
  <c r="J2450" i="9" a="1"/>
  <c r="O2449" i="9" l="1"/>
  <c r="R2449" i="9" s="1"/>
  <c r="S2449" i="9" s="1"/>
  <c r="T2449" i="9" s="1"/>
  <c r="U2449" i="9" s="1"/>
  <c r="L2450" i="9"/>
  <c r="M2450" i="9"/>
  <c r="J2450" i="9"/>
  <c r="K2450" i="9"/>
  <c r="N2450" i="9"/>
  <c r="I2452" i="9"/>
  <c r="J2451" i="9" a="1"/>
  <c r="O2450" i="9" l="1"/>
  <c r="R2450" i="9" s="1"/>
  <c r="I2453" i="9"/>
  <c r="J2451" i="9"/>
  <c r="N2451" i="9"/>
  <c r="K2451" i="9"/>
  <c r="L2451" i="9"/>
  <c r="M2451" i="9"/>
  <c r="J2452" i="9" a="1"/>
  <c r="O2451" i="9" l="1"/>
  <c r="R2451" i="9" s="1"/>
  <c r="K2452" i="9"/>
  <c r="M2452" i="9"/>
  <c r="N2452" i="9"/>
  <c r="J2452" i="9"/>
  <c r="L2452" i="9"/>
  <c r="I2454" i="9"/>
  <c r="J2453" i="9" a="1"/>
  <c r="O2452" i="9" l="1"/>
  <c r="R2452" i="9" s="1"/>
  <c r="I2455" i="9"/>
  <c r="K2453" i="9"/>
  <c r="L2453" i="9"/>
  <c r="N2453" i="9"/>
  <c r="J2453" i="9"/>
  <c r="M2453" i="9"/>
  <c r="J2454" i="9" a="1"/>
  <c r="O2453" i="9" l="1"/>
  <c r="R2453" i="9" s="1"/>
  <c r="N2454" i="9"/>
  <c r="L2454" i="9"/>
  <c r="J2454" i="9"/>
  <c r="M2454" i="9"/>
  <c r="K2454" i="9"/>
  <c r="I2456" i="9"/>
  <c r="J2455" i="9" a="1"/>
  <c r="O2454" i="9" l="1"/>
  <c r="R2454" i="9" s="1"/>
  <c r="I2457" i="9"/>
  <c r="J2455" i="9"/>
  <c r="N2455" i="9"/>
  <c r="L2455" i="9"/>
  <c r="M2455" i="9"/>
  <c r="K2455" i="9"/>
  <c r="J2456" i="9" a="1"/>
  <c r="O2455" i="9" l="1"/>
  <c r="R2455" i="9" s="1"/>
  <c r="N2456" i="9"/>
  <c r="L2456" i="9"/>
  <c r="J2456" i="9"/>
  <c r="K2456" i="9"/>
  <c r="M2456" i="9"/>
  <c r="I2458" i="9"/>
  <c r="J2457" i="9" a="1"/>
  <c r="O2456" i="9" l="1"/>
  <c r="R2456" i="9" s="1"/>
  <c r="P2455" i="9"/>
  <c r="N2457" i="9"/>
  <c r="L2457" i="9"/>
  <c r="K2457" i="9"/>
  <c r="J2457" i="9"/>
  <c r="M2457" i="9"/>
  <c r="I2459" i="9"/>
  <c r="Q2456" i="9"/>
  <c r="S2456" i="9" s="1"/>
  <c r="T2456" i="9" s="1"/>
  <c r="U2456" i="9" s="1"/>
  <c r="Q2454" i="9"/>
  <c r="S2454" i="9" s="1"/>
  <c r="T2454" i="9" s="1"/>
  <c r="U2454" i="9" s="1"/>
  <c r="Q2453" i="9"/>
  <c r="S2453" i="9" s="1"/>
  <c r="T2453" i="9" s="1"/>
  <c r="U2453" i="9" s="1"/>
  <c r="Q2457" i="9"/>
  <c r="Q2451" i="9"/>
  <c r="S2451" i="9" s="1"/>
  <c r="T2451" i="9" s="1"/>
  <c r="U2451" i="9" s="1"/>
  <c r="Q2452" i="9"/>
  <c r="S2452" i="9" s="1"/>
  <c r="T2452" i="9" s="1"/>
  <c r="U2452" i="9" s="1"/>
  <c r="Q2450" i="9"/>
  <c r="S2450" i="9" s="1"/>
  <c r="T2450" i="9" s="1"/>
  <c r="U2450" i="9" s="1"/>
  <c r="Q2455" i="9"/>
  <c r="S2455" i="9" s="1"/>
  <c r="T2455" i="9" s="1"/>
  <c r="U2455" i="9" s="1"/>
  <c r="Q2458" i="9"/>
  <c r="J2458" i="9" a="1"/>
  <c r="O2457" i="9" l="1"/>
  <c r="R2457" i="9" s="1"/>
  <c r="S2457" i="9" s="1"/>
  <c r="T2457" i="9" s="1"/>
  <c r="U2457" i="9" s="1"/>
  <c r="I2460" i="9"/>
  <c r="J2458" i="9"/>
  <c r="K2458" i="9"/>
  <c r="M2458" i="9"/>
  <c r="N2458" i="9"/>
  <c r="L2458" i="9"/>
  <c r="J2459" i="9" a="1"/>
  <c r="O2458" i="9" l="1"/>
  <c r="R2458" i="9" s="1"/>
  <c r="S2458" i="9" s="1"/>
  <c r="T2458" i="9" s="1"/>
  <c r="U2458" i="9" s="1"/>
  <c r="M2459" i="9"/>
  <c r="K2459" i="9"/>
  <c r="J2459" i="9"/>
  <c r="N2459" i="9"/>
  <c r="L2459" i="9"/>
  <c r="I2461" i="9"/>
  <c r="J2460" i="9" a="1"/>
  <c r="O2459" i="9" l="1"/>
  <c r="R2459" i="9" s="1"/>
  <c r="I2462" i="9"/>
  <c r="N2460" i="9"/>
  <c r="L2460" i="9"/>
  <c r="J2460" i="9"/>
  <c r="K2460" i="9"/>
  <c r="M2460" i="9"/>
  <c r="J2461" i="9" a="1"/>
  <c r="O2460" i="9" l="1"/>
  <c r="R2460" i="9" s="1"/>
  <c r="N2461" i="9"/>
  <c r="L2461" i="9"/>
  <c r="M2461" i="9"/>
  <c r="J2461" i="9"/>
  <c r="K2461" i="9"/>
  <c r="I2463" i="9"/>
  <c r="J2462" i="9" a="1"/>
  <c r="O2461" i="9" l="1"/>
  <c r="R2461" i="9" s="1"/>
  <c r="I2464" i="9"/>
  <c r="M2462" i="9"/>
  <c r="K2462" i="9"/>
  <c r="N2462" i="9"/>
  <c r="J2462" i="9"/>
  <c r="L2462" i="9"/>
  <c r="J2463" i="9" a="1"/>
  <c r="O2462" i="9" l="1"/>
  <c r="R2462" i="9" s="1"/>
  <c r="L2463" i="9"/>
  <c r="M2463" i="9"/>
  <c r="J2463" i="9"/>
  <c r="N2463" i="9"/>
  <c r="K2463" i="9"/>
  <c r="I2465" i="9"/>
  <c r="J2464" i="9" a="1"/>
  <c r="O2463" i="9" l="1"/>
  <c r="R2463" i="9" s="1"/>
  <c r="I2466" i="9"/>
  <c r="L2464" i="9"/>
  <c r="J2464" i="9"/>
  <c r="M2464" i="9"/>
  <c r="N2464" i="9"/>
  <c r="K2464" i="9"/>
  <c r="J2465" i="9" a="1"/>
  <c r="O2464" i="9" l="1"/>
  <c r="R2464" i="9" s="1"/>
  <c r="N2465" i="9"/>
  <c r="J2465" i="9"/>
  <c r="K2465" i="9"/>
  <c r="L2465" i="9"/>
  <c r="M2465" i="9"/>
  <c r="I2467" i="9"/>
  <c r="J2466" i="9" a="1"/>
  <c r="P2464" i="9" l="1"/>
  <c r="O2465" i="9"/>
  <c r="R2465" i="9" s="1"/>
  <c r="K2466" i="9"/>
  <c r="L2466" i="9"/>
  <c r="M2466" i="9"/>
  <c r="N2466" i="9"/>
  <c r="J2466" i="9"/>
  <c r="Q2464" i="9"/>
  <c r="S2464" i="9" s="1"/>
  <c r="T2464" i="9" s="1"/>
  <c r="U2464" i="9" s="1"/>
  <c r="Q2461" i="9"/>
  <c r="S2461" i="9" s="1"/>
  <c r="T2461" i="9" s="1"/>
  <c r="U2461" i="9" s="1"/>
  <c r="Q2460" i="9"/>
  <c r="S2460" i="9" s="1"/>
  <c r="T2460" i="9" s="1"/>
  <c r="U2460" i="9" s="1"/>
  <c r="Q2466" i="9"/>
  <c r="Q2462" i="9"/>
  <c r="S2462" i="9" s="1"/>
  <c r="T2462" i="9" s="1"/>
  <c r="U2462" i="9" s="1"/>
  <c r="Q2459" i="9"/>
  <c r="S2459" i="9" s="1"/>
  <c r="T2459" i="9" s="1"/>
  <c r="U2459" i="9" s="1"/>
  <c r="Q2463" i="9"/>
  <c r="S2463" i="9" s="1"/>
  <c r="T2463" i="9" s="1"/>
  <c r="U2463" i="9" s="1"/>
  <c r="Q2467" i="9"/>
  <c r="Q2465" i="9"/>
  <c r="S2465" i="9" s="1"/>
  <c r="T2465" i="9" s="1"/>
  <c r="U2465" i="9" s="1"/>
  <c r="I2468" i="9"/>
  <c r="J2467" i="9" a="1"/>
  <c r="O2466" i="9" l="1"/>
  <c r="R2466" i="9" s="1"/>
  <c r="S2466" i="9" s="1"/>
  <c r="T2466" i="9" s="1"/>
  <c r="U2466" i="9" s="1"/>
  <c r="L2467" i="9"/>
  <c r="M2467" i="9"/>
  <c r="J2467" i="9"/>
  <c r="N2467" i="9"/>
  <c r="K2467" i="9"/>
  <c r="I2469" i="9"/>
  <c r="J2468" i="9" a="1"/>
  <c r="O2467" i="9" l="1"/>
  <c r="R2467" i="9" s="1"/>
  <c r="S2467" i="9" s="1"/>
  <c r="T2467" i="9" s="1"/>
  <c r="U2467" i="9" s="1"/>
  <c r="I2470" i="9"/>
  <c r="J2468" i="9"/>
  <c r="K2468" i="9"/>
  <c r="M2468" i="9"/>
  <c r="N2468" i="9"/>
  <c r="L2468" i="9"/>
  <c r="J2469" i="9" a="1"/>
  <c r="O2468" i="9" l="1"/>
  <c r="R2468" i="9" s="1"/>
  <c r="N2469" i="9"/>
  <c r="K2469" i="9"/>
  <c r="L2469" i="9"/>
  <c r="J2469" i="9"/>
  <c r="M2469" i="9"/>
  <c r="I2471" i="9"/>
  <c r="J2470" i="9" a="1"/>
  <c r="O2469" i="9" l="1"/>
  <c r="R2469" i="9" s="1"/>
  <c r="I2472" i="9"/>
  <c r="K2470" i="9"/>
  <c r="M2470" i="9"/>
  <c r="L2470" i="9"/>
  <c r="N2470" i="9"/>
  <c r="J2470" i="9"/>
  <c r="J2471" i="9" a="1"/>
  <c r="O2470" i="9" l="1"/>
  <c r="R2470" i="9" s="1"/>
  <c r="M2471" i="9"/>
  <c r="N2471" i="9"/>
  <c r="L2471" i="9"/>
  <c r="J2471" i="9"/>
  <c r="K2471" i="9"/>
  <c r="I2473" i="9"/>
  <c r="J2472" i="9" a="1"/>
  <c r="O2471" i="9" l="1"/>
  <c r="R2471" i="9" s="1"/>
  <c r="I2474" i="9"/>
  <c r="K2472" i="9"/>
  <c r="M2472" i="9"/>
  <c r="N2472" i="9"/>
  <c r="L2472" i="9"/>
  <c r="J2472" i="9"/>
  <c r="J2473" i="9" a="1"/>
  <c r="O2472" i="9" l="1"/>
  <c r="R2472" i="9" s="1"/>
  <c r="K2473" i="9"/>
  <c r="L2473" i="9"/>
  <c r="N2473" i="9"/>
  <c r="J2473" i="9"/>
  <c r="M2473" i="9"/>
  <c r="I2475" i="9"/>
  <c r="J2474" i="9" a="1"/>
  <c r="O2473" i="9" l="1"/>
  <c r="P2473" i="9" s="1"/>
  <c r="I2476" i="9"/>
  <c r="L2474" i="9"/>
  <c r="J2474" i="9"/>
  <c r="K2474" i="9"/>
  <c r="M2474" i="9"/>
  <c r="N2474" i="9"/>
  <c r="J2475" i="9" a="1"/>
  <c r="R2473" i="9" l="1"/>
  <c r="O2474" i="9"/>
  <c r="R2474" i="9" s="1"/>
  <c r="J2475" i="9"/>
  <c r="N2475" i="9"/>
  <c r="L2475" i="9"/>
  <c r="M2475" i="9"/>
  <c r="K2475" i="9"/>
  <c r="Q2470" i="9"/>
  <c r="S2470" i="9" s="1"/>
  <c r="T2470" i="9" s="1"/>
  <c r="U2470" i="9" s="1"/>
  <c r="Q2472" i="9"/>
  <c r="S2472" i="9" s="1"/>
  <c r="T2472" i="9" s="1"/>
  <c r="U2472" i="9" s="1"/>
  <c r="Q2469" i="9"/>
  <c r="S2469" i="9" s="1"/>
  <c r="T2469" i="9" s="1"/>
  <c r="U2469" i="9" s="1"/>
  <c r="Q2476" i="9"/>
  <c r="Q2473" i="9"/>
  <c r="S2473" i="9" s="1"/>
  <c r="T2473" i="9" s="1"/>
  <c r="U2473" i="9" s="1"/>
  <c r="Q2471" i="9"/>
  <c r="S2471" i="9" s="1"/>
  <c r="T2471" i="9" s="1"/>
  <c r="U2471" i="9" s="1"/>
  <c r="Q2475" i="9"/>
  <c r="Q2468" i="9"/>
  <c r="S2468" i="9" s="1"/>
  <c r="T2468" i="9" s="1"/>
  <c r="U2468" i="9" s="1"/>
  <c r="Q2474" i="9"/>
  <c r="S2474" i="9" s="1"/>
  <c r="T2474" i="9" s="1"/>
  <c r="U2474" i="9" s="1"/>
  <c r="I2477" i="9"/>
  <c r="J2476" i="9" a="1"/>
  <c r="O2475" i="9" l="1"/>
  <c r="R2475" i="9" s="1"/>
  <c r="S2475" i="9" s="1"/>
  <c r="T2475" i="9" s="1"/>
  <c r="U2475" i="9" s="1"/>
  <c r="J2476" i="9"/>
  <c r="K2476" i="9"/>
  <c r="M2476" i="9"/>
  <c r="L2476" i="9"/>
  <c r="N2476" i="9"/>
  <c r="I2478" i="9"/>
  <c r="J2477" i="9" a="1"/>
  <c r="O2476" i="9" l="1"/>
  <c r="R2476" i="9" s="1"/>
  <c r="S2476" i="9" s="1"/>
  <c r="T2476" i="9" s="1"/>
  <c r="U2476" i="9" s="1"/>
  <c r="M2477" i="9"/>
  <c r="J2477" i="9"/>
  <c r="K2477" i="9"/>
  <c r="L2477" i="9"/>
  <c r="N2477" i="9"/>
  <c r="I2479" i="9"/>
  <c r="J2478" i="9" a="1"/>
  <c r="O2477" i="9" l="1"/>
  <c r="R2477" i="9" s="1"/>
  <c r="I2480" i="9"/>
  <c r="J2478" i="9"/>
  <c r="K2478" i="9"/>
  <c r="L2478" i="9"/>
  <c r="M2478" i="9"/>
  <c r="N2478" i="9"/>
  <c r="J2479" i="9" a="1"/>
  <c r="O2478" i="9" l="1"/>
  <c r="R2478" i="9" s="1"/>
  <c r="N2479" i="9"/>
  <c r="K2479" i="9"/>
  <c r="L2479" i="9"/>
  <c r="M2479" i="9"/>
  <c r="J2479" i="9"/>
  <c r="I2481" i="9"/>
  <c r="J2480" i="9" a="1"/>
  <c r="O2479" i="9" l="1"/>
  <c r="R2479" i="9" s="1"/>
  <c r="I2482" i="9"/>
  <c r="J2480" i="9"/>
  <c r="M2480" i="9"/>
  <c r="L2480" i="9"/>
  <c r="N2480" i="9"/>
  <c r="K2480" i="9"/>
  <c r="J2481" i="9" a="1"/>
  <c r="O2480" i="9" l="1"/>
  <c r="R2480" i="9" s="1"/>
  <c r="M2481" i="9"/>
  <c r="N2481" i="9"/>
  <c r="J2481" i="9"/>
  <c r="K2481" i="9"/>
  <c r="L2481" i="9"/>
  <c r="I2483" i="9"/>
  <c r="J2482" i="9" a="1"/>
  <c r="O2481" i="9" l="1"/>
  <c r="R2481" i="9" s="1"/>
  <c r="I2484" i="9"/>
  <c r="J2482" i="9"/>
  <c r="N2482" i="9"/>
  <c r="L2482" i="9"/>
  <c r="M2482" i="9"/>
  <c r="K2482" i="9"/>
  <c r="J2483" i="9" a="1"/>
  <c r="O2482" i="9" l="1"/>
  <c r="R2482" i="9" s="1"/>
  <c r="N2483" i="9"/>
  <c r="K2483" i="9"/>
  <c r="L2483" i="9"/>
  <c r="M2483" i="9"/>
  <c r="J2483" i="9"/>
  <c r="I2485" i="9"/>
  <c r="J2484" i="9" a="1"/>
  <c r="O2483" i="9" l="1"/>
  <c r="R2483" i="9" s="1"/>
  <c r="P2482" i="9"/>
  <c r="Q2477" i="9"/>
  <c r="S2477" i="9" s="1"/>
  <c r="T2477" i="9" s="1"/>
  <c r="U2477" i="9" s="1"/>
  <c r="Q2484" i="9"/>
  <c r="Q2483" i="9"/>
  <c r="S2483" i="9" s="1"/>
  <c r="T2483" i="9" s="1"/>
  <c r="U2483" i="9" s="1"/>
  <c r="Q2481" i="9"/>
  <c r="S2481" i="9" s="1"/>
  <c r="T2481" i="9" s="1"/>
  <c r="U2481" i="9" s="1"/>
  <c r="Q2485" i="9"/>
  <c r="Q2480" i="9"/>
  <c r="S2480" i="9" s="1"/>
  <c r="T2480" i="9" s="1"/>
  <c r="U2480" i="9" s="1"/>
  <c r="Q2478" i="9"/>
  <c r="S2478" i="9" s="1"/>
  <c r="T2478" i="9" s="1"/>
  <c r="U2478" i="9" s="1"/>
  <c r="Q2479" i="9"/>
  <c r="S2479" i="9" s="1"/>
  <c r="T2479" i="9" s="1"/>
  <c r="U2479" i="9" s="1"/>
  <c r="Q2482" i="9"/>
  <c r="S2482" i="9" s="1"/>
  <c r="T2482" i="9" s="1"/>
  <c r="U2482" i="9" s="1"/>
  <c r="L2484" i="9"/>
  <c r="K2484" i="9"/>
  <c r="M2484" i="9"/>
  <c r="N2484" i="9"/>
  <c r="J2484" i="9"/>
  <c r="I2486" i="9"/>
  <c r="J2485" i="9" a="1"/>
  <c r="O2484" i="9" l="1"/>
  <c r="R2484" i="9" s="1"/>
  <c r="S2484" i="9" s="1"/>
  <c r="T2484" i="9" s="1"/>
  <c r="U2484" i="9" s="1"/>
  <c r="I2487" i="9"/>
  <c r="K2485" i="9"/>
  <c r="L2485" i="9"/>
  <c r="N2485" i="9"/>
  <c r="J2485" i="9"/>
  <c r="M2485" i="9"/>
  <c r="J2486" i="9" a="1"/>
  <c r="O2485" i="9" l="1"/>
  <c r="R2485" i="9" s="1"/>
  <c r="S2485" i="9" s="1"/>
  <c r="T2485" i="9" s="1"/>
  <c r="U2485" i="9" s="1"/>
  <c r="M2486" i="9"/>
  <c r="L2486" i="9"/>
  <c r="J2486" i="9"/>
  <c r="K2486" i="9"/>
  <c r="N2486" i="9"/>
  <c r="I2488" i="9"/>
  <c r="J2487" i="9" a="1"/>
  <c r="O2486" i="9" l="1"/>
  <c r="R2486" i="9" s="1"/>
  <c r="I2489" i="9"/>
  <c r="L2487" i="9"/>
  <c r="K2487" i="9"/>
  <c r="J2487" i="9"/>
  <c r="M2487" i="9"/>
  <c r="N2487" i="9"/>
  <c r="J2488" i="9" a="1"/>
  <c r="O2487" i="9" l="1"/>
  <c r="R2487" i="9" s="1"/>
  <c r="L2488" i="9"/>
  <c r="J2488" i="9"/>
  <c r="K2488" i="9"/>
  <c r="M2488" i="9"/>
  <c r="N2488" i="9"/>
  <c r="I2490" i="9"/>
  <c r="J2489" i="9" a="1"/>
  <c r="O2488" i="9" l="1"/>
  <c r="R2488" i="9" s="1"/>
  <c r="I2491" i="9"/>
  <c r="J2489" i="9"/>
  <c r="M2489" i="9"/>
  <c r="N2489" i="9"/>
  <c r="K2489" i="9"/>
  <c r="L2489" i="9"/>
  <c r="J2490" i="9" a="1"/>
  <c r="O2489" i="9" l="1"/>
  <c r="R2489" i="9" s="1"/>
  <c r="M2490" i="9"/>
  <c r="N2490" i="9"/>
  <c r="L2490" i="9"/>
  <c r="J2490" i="9"/>
  <c r="K2490" i="9"/>
  <c r="I2492" i="9"/>
  <c r="J2491" i="9" a="1"/>
  <c r="O2490" i="9" l="1"/>
  <c r="R2490" i="9" s="1"/>
  <c r="I2493" i="9"/>
  <c r="N2491" i="9"/>
  <c r="L2491" i="9"/>
  <c r="M2491" i="9"/>
  <c r="K2491" i="9"/>
  <c r="J2491" i="9"/>
  <c r="J2492" i="9" a="1"/>
  <c r="O2491" i="9" l="1"/>
  <c r="R2491" i="9" s="1"/>
  <c r="L2492" i="9"/>
  <c r="J2492" i="9"/>
  <c r="K2492" i="9"/>
  <c r="N2492" i="9"/>
  <c r="M2492" i="9"/>
  <c r="I2494" i="9"/>
  <c r="J2493" i="9" a="1"/>
  <c r="P2491" i="9" l="1"/>
  <c r="O2492" i="9"/>
  <c r="R2492" i="9" s="1"/>
  <c r="K2493" i="9"/>
  <c r="N2493" i="9"/>
  <c r="J2493" i="9"/>
  <c r="L2493" i="9"/>
  <c r="M2493" i="9"/>
  <c r="Q2487" i="9"/>
  <c r="S2487" i="9" s="1"/>
  <c r="T2487" i="9" s="1"/>
  <c r="U2487" i="9" s="1"/>
  <c r="Q2486" i="9"/>
  <c r="S2486" i="9" s="1"/>
  <c r="T2486" i="9" s="1"/>
  <c r="U2486" i="9" s="1"/>
  <c r="Q2488" i="9"/>
  <c r="S2488" i="9" s="1"/>
  <c r="T2488" i="9" s="1"/>
  <c r="U2488" i="9" s="1"/>
  <c r="Q2489" i="9"/>
  <c r="S2489" i="9" s="1"/>
  <c r="T2489" i="9" s="1"/>
  <c r="U2489" i="9" s="1"/>
  <c r="Q2494" i="9"/>
  <c r="Q2492" i="9"/>
  <c r="Q2493" i="9"/>
  <c r="Q2490" i="9"/>
  <c r="S2490" i="9" s="1"/>
  <c r="T2490" i="9" s="1"/>
  <c r="U2490" i="9" s="1"/>
  <c r="Q2491" i="9"/>
  <c r="S2491" i="9" s="1"/>
  <c r="T2491" i="9" s="1"/>
  <c r="U2491" i="9" s="1"/>
  <c r="I2495" i="9"/>
  <c r="J2494" i="9" a="1"/>
  <c r="S2492" i="9" l="1"/>
  <c r="T2492" i="9" s="1"/>
  <c r="U2492" i="9" s="1"/>
  <c r="O2493" i="9"/>
  <c r="R2493" i="9" s="1"/>
  <c r="S2493" i="9" s="1"/>
  <c r="T2493" i="9" s="1"/>
  <c r="U2493" i="9" s="1"/>
  <c r="K2494" i="9"/>
  <c r="N2494" i="9"/>
  <c r="L2494" i="9"/>
  <c r="J2494" i="9"/>
  <c r="M2494" i="9"/>
  <c r="I2496" i="9"/>
  <c r="J2495" i="9" a="1"/>
  <c r="O2494" i="9" l="1"/>
  <c r="R2494" i="9" s="1"/>
  <c r="S2494" i="9" s="1"/>
  <c r="T2494" i="9" s="1"/>
  <c r="U2494" i="9" s="1"/>
  <c r="J2495" i="9"/>
  <c r="N2495" i="9"/>
  <c r="K2495" i="9"/>
  <c r="L2495" i="9"/>
  <c r="M2495" i="9"/>
  <c r="I2497" i="9"/>
  <c r="J2496" i="9" a="1"/>
  <c r="O2495" i="9" l="1"/>
  <c r="R2495" i="9" s="1"/>
  <c r="N2496" i="9"/>
  <c r="K2496" i="9"/>
  <c r="M2496" i="9"/>
  <c r="L2496" i="9"/>
  <c r="J2496" i="9"/>
  <c r="I2498" i="9"/>
  <c r="J2497" i="9" a="1"/>
  <c r="O2496" i="9" l="1"/>
  <c r="R2496" i="9" s="1"/>
  <c r="I2499" i="9"/>
  <c r="K2497" i="9"/>
  <c r="L2497" i="9"/>
  <c r="M2497" i="9"/>
  <c r="N2497" i="9"/>
  <c r="J2497" i="9"/>
  <c r="J2498" i="9" a="1"/>
  <c r="O2497" i="9" l="1"/>
  <c r="R2497" i="9" s="1"/>
  <c r="L2498" i="9"/>
  <c r="M2498" i="9"/>
  <c r="J2498" i="9"/>
  <c r="N2498" i="9"/>
  <c r="K2498" i="9"/>
  <c r="I2500" i="9"/>
  <c r="J2499" i="9" a="1"/>
  <c r="O2498" i="9" l="1"/>
  <c r="R2498" i="9" s="1"/>
  <c r="I2501" i="9"/>
  <c r="J2499" i="9"/>
  <c r="N2499" i="9"/>
  <c r="K2499" i="9"/>
  <c r="L2499" i="9"/>
  <c r="M2499" i="9"/>
  <c r="J2500" i="9" a="1"/>
  <c r="O2499" i="9" l="1"/>
  <c r="R2499" i="9" s="1"/>
  <c r="L2500" i="9"/>
  <c r="K2500" i="9"/>
  <c r="M2500" i="9"/>
  <c r="N2500" i="9"/>
  <c r="J2500" i="9"/>
  <c r="I2502" i="9"/>
  <c r="J2501" i="9" a="1"/>
  <c r="O2500" i="9" l="1"/>
  <c r="R2500" i="9" s="1"/>
  <c r="I2503" i="9"/>
  <c r="J2501" i="9"/>
  <c r="K2501" i="9"/>
  <c r="L2501" i="9"/>
  <c r="N2501" i="9"/>
  <c r="M2501" i="9"/>
  <c r="J2502" i="9" a="1"/>
  <c r="P2500" i="9" l="1"/>
  <c r="O2501" i="9"/>
  <c r="R2501" i="9" s="1"/>
  <c r="Q2502" i="9"/>
  <c r="Q2495" i="9"/>
  <c r="S2495" i="9" s="1"/>
  <c r="T2495" i="9" s="1"/>
  <c r="U2495" i="9" s="1"/>
  <c r="Q2501" i="9"/>
  <c r="S2501" i="9" s="1"/>
  <c r="T2501" i="9" s="1"/>
  <c r="U2501" i="9" s="1"/>
  <c r="Q2499" i="9"/>
  <c r="S2499" i="9" s="1"/>
  <c r="T2499" i="9" s="1"/>
  <c r="U2499" i="9" s="1"/>
  <c r="Q2500" i="9"/>
  <c r="S2500" i="9" s="1"/>
  <c r="T2500" i="9" s="1"/>
  <c r="U2500" i="9" s="1"/>
  <c r="Q2498" i="9"/>
  <c r="S2498" i="9" s="1"/>
  <c r="T2498" i="9" s="1"/>
  <c r="U2498" i="9" s="1"/>
  <c r="Q2496" i="9"/>
  <c r="S2496" i="9" s="1"/>
  <c r="T2496" i="9" s="1"/>
  <c r="U2496" i="9" s="1"/>
  <c r="Q2497" i="9"/>
  <c r="S2497" i="9" s="1"/>
  <c r="T2497" i="9" s="1"/>
  <c r="U2497" i="9" s="1"/>
  <c r="Q2503" i="9"/>
  <c r="J2502" i="9"/>
  <c r="N2502" i="9"/>
  <c r="L2502" i="9"/>
  <c r="K2502" i="9"/>
  <c r="M2502" i="9"/>
  <c r="I2504" i="9"/>
  <c r="J2503" i="9" a="1"/>
  <c r="O2502" i="9" l="1"/>
  <c r="R2502" i="9" s="1"/>
  <c r="S2502" i="9" s="1"/>
  <c r="T2502" i="9" s="1"/>
  <c r="U2502" i="9" s="1"/>
  <c r="J2503" i="9"/>
  <c r="N2503" i="9"/>
  <c r="K2503" i="9"/>
  <c r="M2503" i="9"/>
  <c r="L2503" i="9"/>
  <c r="I2505" i="9"/>
  <c r="J2504" i="9" a="1"/>
  <c r="O2503" i="9" l="1"/>
  <c r="R2503" i="9" s="1"/>
  <c r="S2503" i="9" s="1"/>
  <c r="T2503" i="9" s="1"/>
  <c r="U2503" i="9" s="1"/>
  <c r="N2504" i="9"/>
  <c r="L2504" i="9"/>
  <c r="J2504" i="9"/>
  <c r="K2504" i="9"/>
  <c r="M2504" i="9"/>
  <c r="I2506" i="9"/>
  <c r="J2505" i="9" a="1"/>
  <c r="O2504" i="9" l="1"/>
  <c r="R2504" i="9" s="1"/>
  <c r="I2507" i="9"/>
  <c r="N2505" i="9"/>
  <c r="M2505" i="9"/>
  <c r="K2505" i="9"/>
  <c r="J2505" i="9"/>
  <c r="L2505" i="9"/>
  <c r="J2506" i="9" a="1"/>
  <c r="O2505" i="9" l="1"/>
  <c r="R2505" i="9" s="1"/>
  <c r="J2506" i="9"/>
  <c r="K2506" i="9"/>
  <c r="M2506" i="9"/>
  <c r="N2506" i="9"/>
  <c r="L2506" i="9"/>
  <c r="I2508" i="9"/>
  <c r="J2507" i="9" a="1"/>
  <c r="O2506" i="9" l="1"/>
  <c r="R2506" i="9" s="1"/>
  <c r="L2507" i="9"/>
  <c r="M2507" i="9"/>
  <c r="J2507" i="9"/>
  <c r="K2507" i="9"/>
  <c r="N2507" i="9"/>
  <c r="I2509" i="9"/>
  <c r="J2508" i="9" a="1"/>
  <c r="O2507" i="9" l="1"/>
  <c r="R2507" i="9" s="1"/>
  <c r="I2510" i="9"/>
  <c r="N2508" i="9"/>
  <c r="L2508" i="9"/>
  <c r="J2508" i="9"/>
  <c r="K2508" i="9"/>
  <c r="M2508" i="9"/>
  <c r="J2509" i="9" a="1"/>
  <c r="O2508" i="9" l="1"/>
  <c r="R2508" i="9" s="1"/>
  <c r="N2509" i="9"/>
  <c r="L2509" i="9"/>
  <c r="M2509" i="9"/>
  <c r="J2509" i="9"/>
  <c r="K2509" i="9"/>
  <c r="I2511" i="9"/>
  <c r="J2510" i="9" a="1"/>
  <c r="O2509" i="9" l="1"/>
  <c r="R2509" i="9" s="1"/>
  <c r="I2512" i="9"/>
  <c r="L2510" i="9"/>
  <c r="M2510" i="9"/>
  <c r="K2510" i="9"/>
  <c r="N2510" i="9"/>
  <c r="J2510" i="9"/>
  <c r="J2511" i="9" a="1"/>
  <c r="P2509" i="9" l="1"/>
  <c r="O2510" i="9"/>
  <c r="R2510" i="9" s="1"/>
  <c r="L2511" i="9"/>
  <c r="M2511" i="9"/>
  <c r="J2511" i="9"/>
  <c r="N2511" i="9"/>
  <c r="K2511" i="9"/>
  <c r="Q2508" i="9"/>
  <c r="S2508" i="9" s="1"/>
  <c r="T2508" i="9" s="1"/>
  <c r="U2508" i="9" s="1"/>
  <c r="Q2510" i="9"/>
  <c r="S2510" i="9" s="1"/>
  <c r="T2510" i="9" s="1"/>
  <c r="U2510" i="9" s="1"/>
  <c r="Q2506" i="9"/>
  <c r="S2506" i="9" s="1"/>
  <c r="T2506" i="9" s="1"/>
  <c r="U2506" i="9" s="1"/>
  <c r="Q2511" i="9"/>
  <c r="Q2507" i="9"/>
  <c r="S2507" i="9" s="1"/>
  <c r="T2507" i="9" s="1"/>
  <c r="U2507" i="9" s="1"/>
  <c r="Q2504" i="9"/>
  <c r="S2504" i="9" s="1"/>
  <c r="T2504" i="9" s="1"/>
  <c r="U2504" i="9" s="1"/>
  <c r="Q2509" i="9"/>
  <c r="S2509" i="9" s="1"/>
  <c r="T2509" i="9" s="1"/>
  <c r="U2509" i="9" s="1"/>
  <c r="Q2512" i="9"/>
  <c r="Q2505" i="9"/>
  <c r="S2505" i="9" s="1"/>
  <c r="T2505" i="9" s="1"/>
  <c r="U2505" i="9" s="1"/>
  <c r="I2513" i="9"/>
  <c r="J2512" i="9" a="1"/>
  <c r="O2511" i="9" l="1"/>
  <c r="R2511" i="9" s="1"/>
  <c r="S2511" i="9" s="1"/>
  <c r="T2511" i="9" s="1"/>
  <c r="U2511" i="9" s="1"/>
  <c r="L2512" i="9"/>
  <c r="J2512" i="9"/>
  <c r="K2512" i="9"/>
  <c r="N2512" i="9"/>
  <c r="M2512" i="9"/>
  <c r="I2514" i="9"/>
  <c r="J2513" i="9" a="1"/>
  <c r="O2512" i="9" l="1"/>
  <c r="R2512" i="9" s="1"/>
  <c r="S2512" i="9" s="1"/>
  <c r="T2512" i="9" s="1"/>
  <c r="U2512" i="9" s="1"/>
  <c r="I2515" i="9"/>
  <c r="N2513" i="9"/>
  <c r="J2513" i="9"/>
  <c r="K2513" i="9"/>
  <c r="L2513" i="9"/>
  <c r="M2513" i="9"/>
  <c r="J2514" i="9" a="1"/>
  <c r="O2513" i="9" l="1"/>
  <c r="R2513" i="9" s="1"/>
  <c r="K2514" i="9"/>
  <c r="N2514" i="9"/>
  <c r="J2514" i="9"/>
  <c r="L2514" i="9"/>
  <c r="M2514" i="9"/>
  <c r="I2516" i="9"/>
  <c r="J2515" i="9" a="1"/>
  <c r="O2514" i="9" l="1"/>
  <c r="R2514" i="9" s="1"/>
  <c r="I2517" i="9"/>
  <c r="L2515" i="9"/>
  <c r="M2515" i="9"/>
  <c r="J2515" i="9"/>
  <c r="N2515" i="9"/>
  <c r="K2515" i="9"/>
  <c r="J2516" i="9" a="1"/>
  <c r="O2515" i="9" l="1"/>
  <c r="R2515" i="9" s="1"/>
  <c r="N2516" i="9"/>
  <c r="J2516" i="9"/>
  <c r="L2516" i="9"/>
  <c r="K2516" i="9"/>
  <c r="M2516" i="9"/>
  <c r="I2518" i="9"/>
  <c r="J2517" i="9" a="1"/>
  <c r="O2516" i="9" l="1"/>
  <c r="R2516" i="9" s="1"/>
  <c r="I2519" i="9"/>
  <c r="N2517" i="9"/>
  <c r="K2517" i="9"/>
  <c r="L2517" i="9"/>
  <c r="J2517" i="9"/>
  <c r="M2517" i="9"/>
  <c r="J2518" i="9" a="1"/>
  <c r="O2517" i="9" l="1"/>
  <c r="R2517" i="9" s="1"/>
  <c r="K2518" i="9"/>
  <c r="M2518" i="9"/>
  <c r="N2518" i="9"/>
  <c r="L2518" i="9"/>
  <c r="J2518" i="9"/>
  <c r="I2520" i="9"/>
  <c r="J2519" i="9" a="1"/>
  <c r="O2518" i="9" l="1"/>
  <c r="P2518" i="9" s="1"/>
  <c r="I2521" i="9"/>
  <c r="K2519" i="9"/>
  <c r="N2519" i="9"/>
  <c r="J2519" i="9"/>
  <c r="M2519" i="9"/>
  <c r="L2519" i="9"/>
  <c r="J2520" i="9" a="1"/>
  <c r="R2518" i="9" l="1"/>
  <c r="O2519" i="9"/>
  <c r="Q2520" i="9"/>
  <c r="Q2517" i="9"/>
  <c r="S2517" i="9" s="1"/>
  <c r="T2517" i="9" s="1"/>
  <c r="U2517" i="9" s="1"/>
  <c r="Q2516" i="9"/>
  <c r="S2516" i="9" s="1"/>
  <c r="T2516" i="9" s="1"/>
  <c r="U2516" i="9" s="1"/>
  <c r="Q2518" i="9"/>
  <c r="S2518" i="9" s="1"/>
  <c r="T2518" i="9" s="1"/>
  <c r="U2518" i="9" s="1"/>
  <c r="Q2515" i="9"/>
  <c r="S2515" i="9" s="1"/>
  <c r="T2515" i="9" s="1"/>
  <c r="U2515" i="9" s="1"/>
  <c r="Q2521" i="9"/>
  <c r="Q2514" i="9"/>
  <c r="S2514" i="9" s="1"/>
  <c r="T2514" i="9" s="1"/>
  <c r="U2514" i="9" s="1"/>
  <c r="Q2513" i="9"/>
  <c r="S2513" i="9" s="1"/>
  <c r="T2513" i="9" s="1"/>
  <c r="U2513" i="9" s="1"/>
  <c r="Q2519" i="9"/>
  <c r="L2520" i="9"/>
  <c r="N2520" i="9"/>
  <c r="M2520" i="9"/>
  <c r="J2520" i="9"/>
  <c r="K2520" i="9"/>
  <c r="R2519" i="9"/>
  <c r="I2522" i="9"/>
  <c r="J2521" i="9" a="1"/>
  <c r="S2519" i="9" l="1"/>
  <c r="T2519" i="9" s="1"/>
  <c r="U2519" i="9" s="1"/>
  <c r="O2520" i="9"/>
  <c r="R2520" i="9" s="1"/>
  <c r="S2520" i="9" s="1"/>
  <c r="T2520" i="9" s="1"/>
  <c r="U2520" i="9" s="1"/>
  <c r="L2521" i="9"/>
  <c r="M2521" i="9"/>
  <c r="N2521" i="9"/>
  <c r="J2521" i="9"/>
  <c r="K2521" i="9"/>
  <c r="I2523" i="9"/>
  <c r="J2522" i="9" a="1"/>
  <c r="O2521" i="9" l="1"/>
  <c r="R2521" i="9" s="1"/>
  <c r="S2521" i="9" s="1"/>
  <c r="T2521" i="9" s="1"/>
  <c r="U2521" i="9" s="1"/>
  <c r="N2522" i="9"/>
  <c r="K2522" i="9"/>
  <c r="L2522" i="9"/>
  <c r="M2522" i="9"/>
  <c r="J2522" i="9"/>
  <c r="I2524" i="9"/>
  <c r="J2523" i="9" a="1"/>
  <c r="O2522" i="9" l="1"/>
  <c r="R2522" i="9" s="1"/>
  <c r="I2525" i="9"/>
  <c r="K2523" i="9"/>
  <c r="L2523" i="9"/>
  <c r="M2523" i="9"/>
  <c r="N2523" i="9"/>
  <c r="J2523" i="9"/>
  <c r="J2524" i="9" a="1"/>
  <c r="O2523" i="9" l="1"/>
  <c r="R2523" i="9" s="1"/>
  <c r="M2524" i="9"/>
  <c r="K2524" i="9"/>
  <c r="L2524" i="9"/>
  <c r="N2524" i="9"/>
  <c r="J2524" i="9"/>
  <c r="I2526" i="9"/>
  <c r="J2525" i="9" a="1"/>
  <c r="O2524" i="9" l="1"/>
  <c r="R2524" i="9" s="1"/>
  <c r="I2527" i="9"/>
  <c r="K2525" i="9"/>
  <c r="L2525" i="9"/>
  <c r="M2525" i="9"/>
  <c r="N2525" i="9"/>
  <c r="J2525" i="9"/>
  <c r="J2526" i="9" a="1"/>
  <c r="O2525" i="9" l="1"/>
  <c r="R2525" i="9" s="1"/>
  <c r="K2526" i="9"/>
  <c r="L2526" i="9"/>
  <c r="M2526" i="9"/>
  <c r="N2526" i="9"/>
  <c r="J2526" i="9"/>
  <c r="I2528" i="9"/>
  <c r="J2527" i="9" a="1"/>
  <c r="O2526" i="9" l="1"/>
  <c r="R2526" i="9" s="1"/>
  <c r="I2529" i="9"/>
  <c r="J2527" i="9"/>
  <c r="K2527" i="9"/>
  <c r="M2527" i="9"/>
  <c r="N2527" i="9"/>
  <c r="L2527" i="9"/>
  <c r="J2528" i="9" a="1"/>
  <c r="O2527" i="9" l="1"/>
  <c r="R2527" i="9" s="1"/>
  <c r="M2528" i="9"/>
  <c r="J2528" i="9"/>
  <c r="K2528" i="9"/>
  <c r="L2528" i="9"/>
  <c r="N2528" i="9"/>
  <c r="I2530" i="9"/>
  <c r="J2529" i="9" a="1"/>
  <c r="P2527" i="9" l="1"/>
  <c r="O2528" i="9"/>
  <c r="R2528" i="9" s="1"/>
  <c r="Q2524" i="9"/>
  <c r="S2524" i="9" s="1"/>
  <c r="T2524" i="9" s="1"/>
  <c r="U2524" i="9" s="1"/>
  <c r="Q2526" i="9"/>
  <c r="S2526" i="9" s="1"/>
  <c r="T2526" i="9" s="1"/>
  <c r="U2526" i="9" s="1"/>
  <c r="Q2523" i="9"/>
  <c r="S2523" i="9" s="1"/>
  <c r="T2523" i="9" s="1"/>
  <c r="U2523" i="9" s="1"/>
  <c r="Q2525" i="9"/>
  <c r="S2525" i="9" s="1"/>
  <c r="T2525" i="9" s="1"/>
  <c r="U2525" i="9" s="1"/>
  <c r="Q2530" i="9"/>
  <c r="Q2529" i="9"/>
  <c r="Q2528" i="9"/>
  <c r="Q2527" i="9"/>
  <c r="S2527" i="9" s="1"/>
  <c r="T2527" i="9" s="1"/>
  <c r="U2527" i="9" s="1"/>
  <c r="Q2522" i="9"/>
  <c r="S2522" i="9" s="1"/>
  <c r="T2522" i="9" s="1"/>
  <c r="U2522" i="9" s="1"/>
  <c r="J2529" i="9"/>
  <c r="K2529" i="9"/>
  <c r="L2529" i="9"/>
  <c r="M2529" i="9"/>
  <c r="N2529" i="9"/>
  <c r="I2531" i="9"/>
  <c r="J2530" i="9" a="1"/>
  <c r="O2529" i="9" l="1"/>
  <c r="R2529" i="9" s="1"/>
  <c r="S2529" i="9" s="1"/>
  <c r="T2529" i="9" s="1"/>
  <c r="U2529" i="9" s="1"/>
  <c r="S2528" i="9"/>
  <c r="T2528" i="9" s="1"/>
  <c r="U2528" i="9" s="1"/>
  <c r="K2530" i="9"/>
  <c r="L2530" i="9"/>
  <c r="M2530" i="9"/>
  <c r="N2530" i="9"/>
  <c r="J2530" i="9"/>
  <c r="I2532" i="9"/>
  <c r="J2531" i="9" a="1"/>
  <c r="O2530" i="9" l="1"/>
  <c r="R2530" i="9" s="1"/>
  <c r="S2530" i="9" s="1"/>
  <c r="T2530" i="9" s="1"/>
  <c r="U2530" i="9" s="1"/>
  <c r="I2533" i="9"/>
  <c r="N2531" i="9"/>
  <c r="K2531" i="9"/>
  <c r="L2531" i="9"/>
  <c r="J2531" i="9"/>
  <c r="M2531" i="9"/>
  <c r="J2532" i="9" a="1"/>
  <c r="O2531" i="9" l="1"/>
  <c r="R2531" i="9" s="1"/>
  <c r="J2532" i="9"/>
  <c r="K2532" i="9"/>
  <c r="M2532" i="9"/>
  <c r="L2532" i="9"/>
  <c r="N2532" i="9"/>
  <c r="I2534" i="9"/>
  <c r="J2533" i="9" a="1"/>
  <c r="O2532" i="9" l="1"/>
  <c r="R2532" i="9" s="1"/>
  <c r="J2533" i="9"/>
  <c r="K2533" i="9"/>
  <c r="L2533" i="9"/>
  <c r="M2533" i="9"/>
  <c r="N2533" i="9"/>
  <c r="I2535" i="9"/>
  <c r="J2534" i="9" a="1"/>
  <c r="O2533" i="9" l="1"/>
  <c r="R2533" i="9" s="1"/>
  <c r="M2534" i="9"/>
  <c r="N2534" i="9"/>
  <c r="K2534" i="9"/>
  <c r="J2534" i="9"/>
  <c r="L2534" i="9"/>
  <c r="I2536" i="9"/>
  <c r="J2535" i="9" a="1"/>
  <c r="O2534" i="9" l="1"/>
  <c r="R2534" i="9" s="1"/>
  <c r="I2537" i="9"/>
  <c r="M2535" i="9"/>
  <c r="N2535" i="9"/>
  <c r="K2535" i="9"/>
  <c r="L2535" i="9"/>
  <c r="J2535" i="9"/>
  <c r="J2536" i="9" a="1"/>
  <c r="O2535" i="9" l="1"/>
  <c r="R2535" i="9" s="1"/>
  <c r="N2536" i="9"/>
  <c r="J2536" i="9"/>
  <c r="K2536" i="9"/>
  <c r="L2536" i="9"/>
  <c r="M2536" i="9"/>
  <c r="I2538" i="9"/>
  <c r="J2537" i="9" a="1"/>
  <c r="O2536" i="9" l="1"/>
  <c r="P2536" i="9" s="1"/>
  <c r="I2539" i="9"/>
  <c r="N2537" i="9"/>
  <c r="J2537" i="9"/>
  <c r="K2537" i="9"/>
  <c r="L2537" i="9"/>
  <c r="M2537" i="9"/>
  <c r="J2538" i="9" a="1"/>
  <c r="R2536" i="9" l="1"/>
  <c r="O2537" i="9"/>
  <c r="R2537" i="9" s="1"/>
  <c r="Q2536" i="9"/>
  <c r="S2536" i="9" s="1"/>
  <c r="T2536" i="9" s="1"/>
  <c r="U2536" i="9" s="1"/>
  <c r="Q2533" i="9"/>
  <c r="S2533" i="9" s="1"/>
  <c r="T2533" i="9" s="1"/>
  <c r="U2533" i="9" s="1"/>
  <c r="Q2537" i="9"/>
  <c r="S2537" i="9" s="1"/>
  <c r="T2537" i="9" s="1"/>
  <c r="U2537" i="9" s="1"/>
  <c r="Q2538" i="9"/>
  <c r="Q2531" i="9"/>
  <c r="S2531" i="9" s="1"/>
  <c r="T2531" i="9" s="1"/>
  <c r="U2531" i="9" s="1"/>
  <c r="Q2534" i="9"/>
  <c r="S2534" i="9" s="1"/>
  <c r="T2534" i="9" s="1"/>
  <c r="U2534" i="9" s="1"/>
  <c r="Q2539" i="9"/>
  <c r="Q2535" i="9"/>
  <c r="S2535" i="9" s="1"/>
  <c r="T2535" i="9" s="1"/>
  <c r="U2535" i="9" s="1"/>
  <c r="Q2532" i="9"/>
  <c r="S2532" i="9" s="1"/>
  <c r="T2532" i="9" s="1"/>
  <c r="U2532" i="9" s="1"/>
  <c r="L2538" i="9"/>
  <c r="M2538" i="9"/>
  <c r="J2538" i="9"/>
  <c r="K2538" i="9"/>
  <c r="N2538" i="9"/>
  <c r="I2540" i="9"/>
  <c r="J2539" i="9" a="1"/>
  <c r="O2538" i="9" l="1"/>
  <c r="R2538" i="9" s="1"/>
  <c r="S2538" i="9" s="1"/>
  <c r="T2538" i="9" s="1"/>
  <c r="U2538" i="9" s="1"/>
  <c r="M2539" i="9"/>
  <c r="K2539" i="9"/>
  <c r="J2539" i="9"/>
  <c r="N2539" i="9"/>
  <c r="L2539" i="9"/>
  <c r="I2541" i="9"/>
  <c r="J2540" i="9" a="1"/>
  <c r="O2539" i="9" l="1"/>
  <c r="R2539" i="9" s="1"/>
  <c r="S2539" i="9" s="1"/>
  <c r="T2539" i="9" s="1"/>
  <c r="U2539" i="9" s="1"/>
  <c r="M2540" i="9"/>
  <c r="N2540" i="9"/>
  <c r="J2540" i="9"/>
  <c r="K2540" i="9"/>
  <c r="L2540" i="9"/>
  <c r="I2542" i="9"/>
  <c r="J2541" i="9" a="1"/>
  <c r="O2540" i="9" l="1"/>
  <c r="R2540" i="9" s="1"/>
  <c r="I2543" i="9"/>
  <c r="M2541" i="9"/>
  <c r="N2541" i="9"/>
  <c r="J2541" i="9"/>
  <c r="K2541" i="9"/>
  <c r="L2541" i="9"/>
  <c r="J2542" i="9" a="1"/>
  <c r="O2541" i="9" l="1"/>
  <c r="R2541" i="9" s="1"/>
  <c r="M2542" i="9"/>
  <c r="K2542" i="9"/>
  <c r="L2542" i="9"/>
  <c r="N2542" i="9"/>
  <c r="J2542" i="9"/>
  <c r="I2544" i="9"/>
  <c r="J2543" i="9" a="1"/>
  <c r="O2542" i="9" l="1"/>
  <c r="R2542" i="9" s="1"/>
  <c r="I2545" i="9"/>
  <c r="L2543" i="9"/>
  <c r="N2543" i="9"/>
  <c r="J2543" i="9"/>
  <c r="M2543" i="9"/>
  <c r="K2543" i="9"/>
  <c r="J2544" i="9" a="1"/>
  <c r="O2543" i="9" l="1"/>
  <c r="R2543" i="9" s="1"/>
  <c r="K2544" i="9"/>
  <c r="L2544" i="9"/>
  <c r="N2544" i="9"/>
  <c r="M2544" i="9"/>
  <c r="J2544" i="9"/>
  <c r="I2546" i="9"/>
  <c r="J2545" i="9" a="1"/>
  <c r="O2544" i="9" l="1"/>
  <c r="R2544" i="9" s="1"/>
  <c r="I2547" i="9"/>
  <c r="L2545" i="9"/>
  <c r="M2545" i="9"/>
  <c r="N2545" i="9"/>
  <c r="J2545" i="9"/>
  <c r="K2545" i="9"/>
  <c r="J2546" i="9" a="1"/>
  <c r="O2545" i="9" l="1"/>
  <c r="R2545" i="9" s="1"/>
  <c r="K2546" i="9"/>
  <c r="M2546" i="9"/>
  <c r="N2546" i="9"/>
  <c r="L2546" i="9"/>
  <c r="J2546" i="9"/>
  <c r="I2548" i="9"/>
  <c r="J2547" i="9" a="1"/>
  <c r="O2546" i="9" l="1"/>
  <c r="R2546" i="9" s="1"/>
  <c r="P2545" i="9"/>
  <c r="Q2543" i="9"/>
  <c r="S2543" i="9" s="1"/>
  <c r="T2543" i="9" s="1"/>
  <c r="U2543" i="9" s="1"/>
  <c r="Q2548" i="9"/>
  <c r="Q2540" i="9"/>
  <c r="S2540" i="9" s="1"/>
  <c r="T2540" i="9" s="1"/>
  <c r="U2540" i="9" s="1"/>
  <c r="Q2541" i="9"/>
  <c r="S2541" i="9" s="1"/>
  <c r="T2541" i="9" s="1"/>
  <c r="U2541" i="9" s="1"/>
  <c r="Q2546" i="9"/>
  <c r="S2546" i="9" s="1"/>
  <c r="T2546" i="9" s="1"/>
  <c r="U2546" i="9" s="1"/>
  <c r="Q2547" i="9"/>
  <c r="Q2545" i="9"/>
  <c r="S2545" i="9" s="1"/>
  <c r="T2545" i="9" s="1"/>
  <c r="U2545" i="9" s="1"/>
  <c r="Q2542" i="9"/>
  <c r="S2542" i="9" s="1"/>
  <c r="T2542" i="9" s="1"/>
  <c r="U2542" i="9" s="1"/>
  <c r="Q2544" i="9"/>
  <c r="S2544" i="9" s="1"/>
  <c r="T2544" i="9" s="1"/>
  <c r="U2544" i="9" s="1"/>
  <c r="J2547" i="9"/>
  <c r="L2547" i="9"/>
  <c r="M2547" i="9"/>
  <c r="N2547" i="9"/>
  <c r="K2547" i="9"/>
  <c r="I2549" i="9"/>
  <c r="J2548" i="9" a="1"/>
  <c r="O2547" i="9" l="1"/>
  <c r="R2547" i="9" s="1"/>
  <c r="S2547" i="9" s="1"/>
  <c r="T2547" i="9" s="1"/>
  <c r="U2547" i="9" s="1"/>
  <c r="J2548" i="9"/>
  <c r="K2548" i="9"/>
  <c r="L2548" i="9"/>
  <c r="N2548" i="9"/>
  <c r="M2548" i="9"/>
  <c r="I2550" i="9"/>
  <c r="J2549" i="9" a="1"/>
  <c r="O2548" i="9" l="1"/>
  <c r="R2548" i="9" s="1"/>
  <c r="S2548" i="9" s="1"/>
  <c r="T2548" i="9" s="1"/>
  <c r="U2548" i="9" s="1"/>
  <c r="K2549" i="9"/>
  <c r="L2549" i="9"/>
  <c r="M2549" i="9"/>
  <c r="N2549" i="9"/>
  <c r="J2549" i="9"/>
  <c r="I2551" i="9"/>
  <c r="J2550" i="9" a="1"/>
  <c r="O2549" i="9" l="1"/>
  <c r="R2549" i="9" s="1"/>
  <c r="I2552" i="9"/>
  <c r="K2550" i="9"/>
  <c r="L2550" i="9"/>
  <c r="M2550" i="9"/>
  <c r="N2550" i="9"/>
  <c r="J2550" i="9"/>
  <c r="J2551" i="9" a="1"/>
  <c r="O2550" i="9" l="1"/>
  <c r="R2550" i="9" s="1"/>
  <c r="N2551" i="9"/>
  <c r="J2551" i="9"/>
  <c r="M2551" i="9"/>
  <c r="K2551" i="9"/>
  <c r="L2551" i="9"/>
  <c r="I2553" i="9"/>
  <c r="J2552" i="9" a="1"/>
  <c r="O2551" i="9" l="1"/>
  <c r="R2551" i="9" s="1"/>
  <c r="I2554" i="9"/>
  <c r="M2552" i="9"/>
  <c r="J2552" i="9"/>
  <c r="K2552" i="9"/>
  <c r="L2552" i="9"/>
  <c r="N2552" i="9"/>
  <c r="J2553" i="9" a="1"/>
  <c r="O2552" i="9" l="1"/>
  <c r="R2552" i="9" s="1"/>
  <c r="J2553" i="9"/>
  <c r="K2553" i="9"/>
  <c r="L2553" i="9"/>
  <c r="M2553" i="9"/>
  <c r="N2553" i="9"/>
  <c r="I2555" i="9"/>
  <c r="J2554" i="9" a="1"/>
  <c r="O2553" i="9" l="1"/>
  <c r="R2553" i="9" s="1"/>
  <c r="L2554" i="9"/>
  <c r="M2554" i="9"/>
  <c r="J2554" i="9"/>
  <c r="K2554" i="9"/>
  <c r="N2554" i="9"/>
  <c r="I2556" i="9"/>
  <c r="J2555" i="9" a="1"/>
  <c r="O2554" i="9" l="1"/>
  <c r="R2554" i="9" s="1"/>
  <c r="I2557" i="9"/>
  <c r="K2555" i="9"/>
  <c r="N2555" i="9"/>
  <c r="L2555" i="9"/>
  <c r="M2555" i="9"/>
  <c r="J2555" i="9"/>
  <c r="J2556" i="9" a="1"/>
  <c r="P2554" i="9" l="1"/>
  <c r="O2555" i="9"/>
  <c r="R2555" i="9" s="1"/>
  <c r="M2556" i="9"/>
  <c r="J2556" i="9"/>
  <c r="K2556" i="9"/>
  <c r="L2556" i="9"/>
  <c r="N2556" i="9"/>
  <c r="Q2552" i="9"/>
  <c r="S2552" i="9" s="1"/>
  <c r="T2552" i="9" s="1"/>
  <c r="U2552" i="9" s="1"/>
  <c r="Q2550" i="9"/>
  <c r="S2550" i="9" s="1"/>
  <c r="T2550" i="9" s="1"/>
  <c r="U2550" i="9" s="1"/>
  <c r="Q2549" i="9"/>
  <c r="S2549" i="9" s="1"/>
  <c r="T2549" i="9" s="1"/>
  <c r="U2549" i="9" s="1"/>
  <c r="Q2551" i="9"/>
  <c r="S2551" i="9" s="1"/>
  <c r="T2551" i="9" s="1"/>
  <c r="U2551" i="9" s="1"/>
  <c r="Q2557" i="9"/>
  <c r="Q2556" i="9"/>
  <c r="Q2553" i="9"/>
  <c r="S2553" i="9" s="1"/>
  <c r="T2553" i="9" s="1"/>
  <c r="U2553" i="9" s="1"/>
  <c r="Q2554" i="9"/>
  <c r="S2554" i="9" s="1"/>
  <c r="T2554" i="9" s="1"/>
  <c r="U2554" i="9" s="1"/>
  <c r="Q2555" i="9"/>
  <c r="S2555" i="9" s="1"/>
  <c r="T2555" i="9" s="1"/>
  <c r="U2555" i="9" s="1"/>
  <c r="I2558" i="9"/>
  <c r="J2557" i="9" a="1"/>
  <c r="O2556" i="9" l="1"/>
  <c r="R2556" i="9" s="1"/>
  <c r="S2556" i="9" s="1"/>
  <c r="T2556" i="9" s="1"/>
  <c r="U2556" i="9" s="1"/>
  <c r="J2557" i="9"/>
  <c r="K2557" i="9"/>
  <c r="L2557" i="9"/>
  <c r="M2557" i="9"/>
  <c r="N2557" i="9"/>
  <c r="I2559" i="9"/>
  <c r="J2558" i="9" a="1"/>
  <c r="O2557" i="9" l="1"/>
  <c r="R2557" i="9" s="1"/>
  <c r="S2557" i="9" s="1"/>
  <c r="T2557" i="9" s="1"/>
  <c r="U2557" i="9" s="1"/>
  <c r="J2558" i="9"/>
  <c r="K2558" i="9"/>
  <c r="L2558" i="9"/>
  <c r="M2558" i="9"/>
  <c r="N2558" i="9"/>
  <c r="I2560" i="9"/>
  <c r="J2559" i="9" a="1"/>
  <c r="O2558" i="9" l="1"/>
  <c r="R2558" i="9" s="1"/>
  <c r="M2559" i="9"/>
  <c r="N2559" i="9"/>
  <c r="J2559" i="9"/>
  <c r="L2559" i="9"/>
  <c r="K2559" i="9"/>
  <c r="I2561" i="9"/>
  <c r="J2560" i="9" a="1"/>
  <c r="O2559" i="9" l="1"/>
  <c r="R2559" i="9" s="1"/>
  <c r="I2562" i="9"/>
  <c r="N2560" i="9"/>
  <c r="M2560" i="9"/>
  <c r="J2560" i="9"/>
  <c r="K2560" i="9"/>
  <c r="L2560" i="9"/>
  <c r="J2561" i="9" a="1"/>
  <c r="O2560" i="9" l="1"/>
  <c r="R2560" i="9" s="1"/>
  <c r="N2561" i="9"/>
  <c r="J2561" i="9"/>
  <c r="K2561" i="9"/>
  <c r="L2561" i="9"/>
  <c r="M2561" i="9"/>
  <c r="I2563" i="9"/>
  <c r="J2562" i="9" a="1"/>
  <c r="O2561" i="9" l="1"/>
  <c r="R2561" i="9" s="1"/>
  <c r="I2564" i="9"/>
  <c r="J2562" i="9"/>
  <c r="K2562" i="9"/>
  <c r="L2562" i="9"/>
  <c r="M2562" i="9"/>
  <c r="N2562" i="9"/>
  <c r="J2563" i="9" a="1"/>
  <c r="O2562" i="9" l="1"/>
  <c r="R2562" i="9" s="1"/>
  <c r="M2563" i="9"/>
  <c r="J2563" i="9"/>
  <c r="L2563" i="9"/>
  <c r="N2563" i="9"/>
  <c r="K2563" i="9"/>
  <c r="I2565" i="9"/>
  <c r="J2564" i="9" a="1"/>
  <c r="O2563" i="9" l="1"/>
  <c r="P2563" i="9" s="1"/>
  <c r="I2566" i="9"/>
  <c r="L2564" i="9"/>
  <c r="N2564" i="9"/>
  <c r="J2564" i="9"/>
  <c r="K2564" i="9"/>
  <c r="M2564" i="9"/>
  <c r="J2565" i="9" a="1"/>
  <c r="R2563" i="9" l="1"/>
  <c r="O2564" i="9"/>
  <c r="Q2559" i="9"/>
  <c r="S2559" i="9" s="1"/>
  <c r="T2559" i="9" s="1"/>
  <c r="U2559" i="9" s="1"/>
  <c r="Q2566" i="9"/>
  <c r="Q2563" i="9"/>
  <c r="Q2560" i="9"/>
  <c r="S2560" i="9" s="1"/>
  <c r="T2560" i="9" s="1"/>
  <c r="U2560" i="9" s="1"/>
  <c r="Q2565" i="9"/>
  <c r="Q2558" i="9"/>
  <c r="S2558" i="9" s="1"/>
  <c r="T2558" i="9" s="1"/>
  <c r="U2558" i="9" s="1"/>
  <c r="Q2562" i="9"/>
  <c r="S2562" i="9" s="1"/>
  <c r="T2562" i="9" s="1"/>
  <c r="U2562" i="9" s="1"/>
  <c r="Q2564" i="9"/>
  <c r="Q2561" i="9"/>
  <c r="S2561" i="9" s="1"/>
  <c r="T2561" i="9" s="1"/>
  <c r="U2561" i="9" s="1"/>
  <c r="M2565" i="9"/>
  <c r="N2565" i="9"/>
  <c r="J2565" i="9"/>
  <c r="K2565" i="9"/>
  <c r="L2565" i="9"/>
  <c r="R2564" i="9"/>
  <c r="I2567" i="9"/>
  <c r="J2566" i="9" a="1"/>
  <c r="S2563" i="9" l="1"/>
  <c r="T2563" i="9" s="1"/>
  <c r="U2563" i="9" s="1"/>
  <c r="S2564" i="9"/>
  <c r="T2564" i="9" s="1"/>
  <c r="U2564" i="9" s="1"/>
  <c r="O2565" i="9"/>
  <c r="R2565" i="9" s="1"/>
  <c r="S2565" i="9" s="1"/>
  <c r="T2565" i="9" s="1"/>
  <c r="U2565" i="9" s="1"/>
  <c r="J2566" i="9"/>
  <c r="M2566" i="9"/>
  <c r="N2566" i="9"/>
  <c r="K2566" i="9"/>
  <c r="L2566" i="9"/>
  <c r="I2568" i="9"/>
  <c r="J2567" i="9" a="1"/>
  <c r="O2566" i="9" l="1"/>
  <c r="R2566" i="9" s="1"/>
  <c r="S2566" i="9" s="1"/>
  <c r="T2566" i="9" s="1"/>
  <c r="U2566" i="9" s="1"/>
  <c r="L2567" i="9"/>
  <c r="N2567" i="9"/>
  <c r="K2567" i="9"/>
  <c r="M2567" i="9"/>
  <c r="J2567" i="9"/>
  <c r="I2569" i="9"/>
  <c r="J2568" i="9" a="1"/>
  <c r="O2567" i="9" l="1"/>
  <c r="R2567" i="9" s="1"/>
  <c r="I2570" i="9"/>
  <c r="J2568" i="9"/>
  <c r="K2568" i="9"/>
  <c r="L2568" i="9"/>
  <c r="N2568" i="9"/>
  <c r="M2568" i="9"/>
  <c r="J2569" i="9" a="1"/>
  <c r="O2568" i="9" l="1"/>
  <c r="R2568" i="9" s="1"/>
  <c r="L2569" i="9"/>
  <c r="M2569" i="9"/>
  <c r="N2569" i="9"/>
  <c r="J2569" i="9"/>
  <c r="K2569" i="9"/>
  <c r="I2571" i="9"/>
  <c r="J2570" i="9" a="1"/>
  <c r="O2569" i="9" l="1"/>
  <c r="R2569" i="9" s="1"/>
  <c r="I2572" i="9"/>
  <c r="L2570" i="9"/>
  <c r="M2570" i="9"/>
  <c r="J2570" i="9"/>
  <c r="K2570" i="9"/>
  <c r="N2570" i="9"/>
  <c r="J2571" i="9" a="1"/>
  <c r="O2570" i="9" l="1"/>
  <c r="R2570" i="9" s="1"/>
  <c r="J2571" i="9"/>
  <c r="L2571" i="9"/>
  <c r="M2571" i="9"/>
  <c r="N2571" i="9"/>
  <c r="K2571" i="9"/>
  <c r="I2573" i="9"/>
  <c r="J2572" i="9" a="1"/>
  <c r="O2571" i="9" l="1"/>
  <c r="R2571" i="9" s="1"/>
  <c r="L2572" i="9"/>
  <c r="N2572" i="9"/>
  <c r="M2572" i="9"/>
  <c r="J2572" i="9"/>
  <c r="K2572" i="9"/>
  <c r="I2574" i="9"/>
  <c r="J2573" i="9" a="1"/>
  <c r="O2572" i="9" l="1"/>
  <c r="P2572" i="9" s="1"/>
  <c r="I2575" i="9"/>
  <c r="K2573" i="9"/>
  <c r="L2573" i="9"/>
  <c r="M2573" i="9"/>
  <c r="N2573" i="9"/>
  <c r="J2573" i="9"/>
  <c r="J2574" i="9" a="1"/>
  <c r="O2573" i="9" l="1"/>
  <c r="R2573" i="9" s="1"/>
  <c r="R2572" i="9"/>
  <c r="I2576" i="9"/>
  <c r="K2574" i="9"/>
  <c r="L2574" i="9"/>
  <c r="N2574" i="9"/>
  <c r="J2574" i="9"/>
  <c r="M2574" i="9"/>
  <c r="Q2575" i="9"/>
  <c r="Q2571" i="9"/>
  <c r="S2571" i="9" s="1"/>
  <c r="T2571" i="9" s="1"/>
  <c r="U2571" i="9" s="1"/>
  <c r="Q2567" i="9"/>
  <c r="S2567" i="9" s="1"/>
  <c r="T2567" i="9" s="1"/>
  <c r="U2567" i="9" s="1"/>
  <c r="Q2572" i="9"/>
  <c r="S2572" i="9" s="1"/>
  <c r="T2572" i="9" s="1"/>
  <c r="U2572" i="9" s="1"/>
  <c r="Q2570" i="9"/>
  <c r="S2570" i="9" s="1"/>
  <c r="T2570" i="9" s="1"/>
  <c r="U2570" i="9" s="1"/>
  <c r="Q2568" i="9"/>
  <c r="S2568" i="9" s="1"/>
  <c r="T2568" i="9" s="1"/>
  <c r="U2568" i="9" s="1"/>
  <c r="Q2569" i="9"/>
  <c r="S2569" i="9" s="1"/>
  <c r="T2569" i="9" s="1"/>
  <c r="U2569" i="9" s="1"/>
  <c r="Q2573" i="9"/>
  <c r="S2573" i="9" s="1"/>
  <c r="T2573" i="9" s="1"/>
  <c r="U2573" i="9" s="1"/>
  <c r="Q2574" i="9"/>
  <c r="J2575" i="9" a="1"/>
  <c r="O2574" i="9" l="1"/>
  <c r="R2574" i="9" s="1"/>
  <c r="S2574" i="9" s="1"/>
  <c r="T2574" i="9" s="1"/>
  <c r="U2574" i="9" s="1"/>
  <c r="K2575" i="9"/>
  <c r="J2575" i="9"/>
  <c r="M2575" i="9"/>
  <c r="L2575" i="9"/>
  <c r="N2575" i="9"/>
  <c r="I2577" i="9"/>
  <c r="J2576" i="9" a="1"/>
  <c r="O2575" i="9" l="1"/>
  <c r="R2575" i="9" s="1"/>
  <c r="S2575" i="9" s="1"/>
  <c r="T2575" i="9" s="1"/>
  <c r="U2575" i="9" s="1"/>
  <c r="N2576" i="9"/>
  <c r="M2576" i="9"/>
  <c r="J2576" i="9"/>
  <c r="K2576" i="9"/>
  <c r="L2576" i="9"/>
  <c r="I2578" i="9"/>
  <c r="J2577" i="9" a="1"/>
  <c r="O2576" i="9" l="1"/>
  <c r="R2576" i="9" s="1"/>
  <c r="I2579" i="9"/>
  <c r="N2577" i="9"/>
  <c r="K2577" i="9"/>
  <c r="L2577" i="9"/>
  <c r="M2577" i="9"/>
  <c r="J2577" i="9"/>
  <c r="J2578" i="9" a="1"/>
  <c r="O2577" i="9" l="1"/>
  <c r="R2577" i="9" s="1"/>
  <c r="L2578" i="9"/>
  <c r="J2578" i="9"/>
  <c r="K2578" i="9"/>
  <c r="M2578" i="9"/>
  <c r="N2578" i="9"/>
  <c r="I2580" i="9"/>
  <c r="J2579" i="9" a="1"/>
  <c r="O2578" i="9" l="1"/>
  <c r="R2578" i="9" s="1"/>
  <c r="L2579" i="9"/>
  <c r="N2579" i="9"/>
  <c r="K2579" i="9"/>
  <c r="M2579" i="9"/>
  <c r="J2579" i="9"/>
  <c r="I2581" i="9"/>
  <c r="J2580" i="9" a="1"/>
  <c r="O2579" i="9" l="1"/>
  <c r="R2579" i="9" s="1"/>
  <c r="I2582" i="9"/>
  <c r="J2580" i="9"/>
  <c r="K2580" i="9"/>
  <c r="L2580" i="9"/>
  <c r="N2580" i="9"/>
  <c r="M2580" i="9"/>
  <c r="J2581" i="9" a="1"/>
  <c r="O2580" i="9" l="1"/>
  <c r="R2580" i="9" s="1"/>
  <c r="J2581" i="9"/>
  <c r="K2581" i="9"/>
  <c r="L2581" i="9"/>
  <c r="M2581" i="9"/>
  <c r="N2581" i="9"/>
  <c r="I2583" i="9"/>
  <c r="J2582" i="9" a="1"/>
  <c r="O2581" i="9" l="1"/>
  <c r="P2581" i="9" s="1"/>
  <c r="L2582" i="9"/>
  <c r="M2582" i="9"/>
  <c r="N2582" i="9"/>
  <c r="J2582" i="9"/>
  <c r="K2582" i="9"/>
  <c r="I2584" i="9"/>
  <c r="J2583" i="9" a="1"/>
  <c r="O2582" i="9" l="1"/>
  <c r="R2582" i="9" s="1"/>
  <c r="R2581" i="9"/>
  <c r="Q2582" i="9"/>
  <c r="S2582" i="9" s="1"/>
  <c r="T2582" i="9" s="1"/>
  <c r="U2582" i="9" s="1"/>
  <c r="Q2578" i="9"/>
  <c r="S2578" i="9" s="1"/>
  <c r="T2578" i="9" s="1"/>
  <c r="U2578" i="9" s="1"/>
  <c r="Q2580" i="9"/>
  <c r="S2580" i="9" s="1"/>
  <c r="T2580" i="9" s="1"/>
  <c r="U2580" i="9" s="1"/>
  <c r="Q2579" i="9"/>
  <c r="S2579" i="9" s="1"/>
  <c r="T2579" i="9" s="1"/>
  <c r="U2579" i="9" s="1"/>
  <c r="Q2583" i="9"/>
  <c r="Q2581" i="9"/>
  <c r="S2581" i="9" s="1"/>
  <c r="T2581" i="9" s="1"/>
  <c r="U2581" i="9" s="1"/>
  <c r="Q2576" i="9"/>
  <c r="S2576" i="9" s="1"/>
  <c r="T2576" i="9" s="1"/>
  <c r="U2576" i="9" s="1"/>
  <c r="Q2584" i="9"/>
  <c r="Q2577" i="9"/>
  <c r="S2577" i="9" s="1"/>
  <c r="T2577" i="9" s="1"/>
  <c r="U2577" i="9" s="1"/>
  <c r="I2585" i="9"/>
  <c r="K2583" i="9"/>
  <c r="N2583" i="9"/>
  <c r="L2583" i="9"/>
  <c r="M2583" i="9"/>
  <c r="J2583" i="9"/>
  <c r="J2584" i="9" a="1"/>
  <c r="O2583" i="9" l="1"/>
  <c r="R2583" i="9" s="1"/>
  <c r="S2583" i="9" s="1"/>
  <c r="T2583" i="9" s="1"/>
  <c r="U2583" i="9" s="1"/>
  <c r="L2584" i="9"/>
  <c r="N2584" i="9"/>
  <c r="J2584" i="9"/>
  <c r="K2584" i="9"/>
  <c r="M2584" i="9"/>
  <c r="I2586" i="9"/>
  <c r="J2585" i="9" a="1"/>
  <c r="O2584" i="9" l="1"/>
  <c r="R2584" i="9" s="1"/>
  <c r="S2584" i="9" s="1"/>
  <c r="T2584" i="9" s="1"/>
  <c r="U2584" i="9" s="1"/>
  <c r="M2585" i="9"/>
  <c r="J2585" i="9"/>
  <c r="K2585" i="9"/>
  <c r="L2585" i="9"/>
  <c r="N2585" i="9"/>
  <c r="I2587" i="9"/>
  <c r="J2586" i="9" a="1"/>
  <c r="O2585" i="9" l="1"/>
  <c r="R2585" i="9" s="1"/>
  <c r="I2588" i="9"/>
  <c r="N2586" i="9"/>
  <c r="J2586" i="9"/>
  <c r="K2586" i="9"/>
  <c r="L2586" i="9"/>
  <c r="M2586" i="9"/>
  <c r="J2587" i="9" a="1"/>
  <c r="O2586" i="9" l="1"/>
  <c r="R2586" i="9" s="1"/>
  <c r="K2587" i="9"/>
  <c r="L2587" i="9"/>
  <c r="M2587" i="9"/>
  <c r="N2587" i="9"/>
  <c r="J2587" i="9"/>
  <c r="I2589" i="9"/>
  <c r="J2588" i="9" a="1"/>
  <c r="O2587" i="9" l="1"/>
  <c r="R2587" i="9" s="1"/>
  <c r="I2590" i="9"/>
  <c r="M2588" i="9"/>
  <c r="J2588" i="9"/>
  <c r="K2588" i="9"/>
  <c r="L2588" i="9"/>
  <c r="N2588" i="9"/>
  <c r="J2589" i="9" a="1"/>
  <c r="O2588" i="9" l="1"/>
  <c r="R2588" i="9" s="1"/>
  <c r="J2589" i="9"/>
  <c r="K2589" i="9"/>
  <c r="L2589" i="9"/>
  <c r="M2589" i="9"/>
  <c r="N2589" i="9"/>
  <c r="I2591" i="9"/>
  <c r="J2590" i="9" a="1"/>
  <c r="O2589" i="9" l="1"/>
  <c r="R2589" i="9" s="1"/>
  <c r="L2590" i="9"/>
  <c r="N2590" i="9"/>
  <c r="J2590" i="9"/>
  <c r="M2590" i="9"/>
  <c r="K2590" i="9"/>
  <c r="I2592" i="9"/>
  <c r="J2591" i="9" a="1"/>
  <c r="O2590" i="9" l="1"/>
  <c r="R2590" i="9" s="1"/>
  <c r="I2593" i="9"/>
  <c r="M2591" i="9"/>
  <c r="K2591" i="9"/>
  <c r="J2591" i="9"/>
  <c r="L2591" i="9"/>
  <c r="N2591" i="9"/>
  <c r="J2592" i="9" a="1"/>
  <c r="P2590" i="9" l="1"/>
  <c r="O2591" i="9"/>
  <c r="Q2586" i="9"/>
  <c r="S2586" i="9" s="1"/>
  <c r="T2586" i="9" s="1"/>
  <c r="U2586" i="9" s="1"/>
  <c r="Q2592" i="9"/>
  <c r="Q2587" i="9"/>
  <c r="S2587" i="9" s="1"/>
  <c r="T2587" i="9" s="1"/>
  <c r="U2587" i="9" s="1"/>
  <c r="Q2585" i="9"/>
  <c r="S2585" i="9" s="1"/>
  <c r="T2585" i="9" s="1"/>
  <c r="U2585" i="9" s="1"/>
  <c r="Q2588" i="9"/>
  <c r="S2588" i="9" s="1"/>
  <c r="T2588" i="9" s="1"/>
  <c r="U2588" i="9" s="1"/>
  <c r="Q2590" i="9"/>
  <c r="S2590" i="9" s="1"/>
  <c r="T2590" i="9" s="1"/>
  <c r="U2590" i="9" s="1"/>
  <c r="Q2589" i="9"/>
  <c r="S2589" i="9" s="1"/>
  <c r="T2589" i="9" s="1"/>
  <c r="U2589" i="9" s="1"/>
  <c r="Q2593" i="9"/>
  <c r="Q2591" i="9"/>
  <c r="S2591" i="9" s="1"/>
  <c r="T2591" i="9" s="1"/>
  <c r="U2591" i="9" s="1"/>
  <c r="K2592" i="9"/>
  <c r="L2592" i="9"/>
  <c r="N2592" i="9"/>
  <c r="M2592" i="9"/>
  <c r="J2592" i="9"/>
  <c r="R2591" i="9"/>
  <c r="I2594" i="9"/>
  <c r="J2593" i="9" a="1"/>
  <c r="O2592" i="9" l="1"/>
  <c r="R2592" i="9" s="1"/>
  <c r="S2592" i="9" s="1"/>
  <c r="T2592" i="9" s="1"/>
  <c r="U2592" i="9" s="1"/>
  <c r="L2593" i="9"/>
  <c r="J2593" i="9"/>
  <c r="K2593" i="9"/>
  <c r="M2593" i="9"/>
  <c r="N2593" i="9"/>
  <c r="I2595" i="9"/>
  <c r="J2594" i="9" a="1"/>
  <c r="O2593" i="9" l="1"/>
  <c r="R2593" i="9" s="1"/>
  <c r="S2593" i="9" s="1"/>
  <c r="T2593" i="9" s="1"/>
  <c r="U2593" i="9" s="1"/>
  <c r="I2596" i="9"/>
  <c r="N2594" i="9"/>
  <c r="J2594" i="9"/>
  <c r="K2594" i="9"/>
  <c r="L2594" i="9"/>
  <c r="M2594" i="9"/>
  <c r="J2595" i="9" a="1"/>
  <c r="O2594" i="9" l="1"/>
  <c r="R2594" i="9" s="1"/>
  <c r="K2595" i="9"/>
  <c r="J2595" i="9"/>
  <c r="M2595" i="9"/>
  <c r="L2595" i="9"/>
  <c r="N2595" i="9"/>
  <c r="I2597" i="9"/>
  <c r="J2596" i="9" a="1"/>
  <c r="O2595" i="9" l="1"/>
  <c r="R2595" i="9" s="1"/>
  <c r="I2598" i="9"/>
  <c r="J2596" i="9"/>
  <c r="K2596" i="9"/>
  <c r="L2596" i="9"/>
  <c r="N2596" i="9"/>
  <c r="M2596" i="9"/>
  <c r="J2597" i="9" a="1"/>
  <c r="O2596" i="9" l="1"/>
  <c r="R2596" i="9" s="1"/>
  <c r="N2597" i="9"/>
  <c r="J2597" i="9"/>
  <c r="K2597" i="9"/>
  <c r="L2597" i="9"/>
  <c r="M2597" i="9"/>
  <c r="I2599" i="9"/>
  <c r="J2598" i="9" a="1"/>
  <c r="O2597" i="9" l="1"/>
  <c r="R2597" i="9" s="1"/>
  <c r="I2600" i="9"/>
  <c r="K2598" i="9"/>
  <c r="L2598" i="9"/>
  <c r="M2598" i="9"/>
  <c r="N2598" i="9"/>
  <c r="J2598" i="9"/>
  <c r="J2599" i="9" a="1"/>
  <c r="O2598" i="9" l="1"/>
  <c r="R2598" i="9" s="1"/>
  <c r="N2599" i="9"/>
  <c r="K2599" i="9"/>
  <c r="L2599" i="9"/>
  <c r="J2599" i="9"/>
  <c r="M2599" i="9"/>
  <c r="I2601" i="9"/>
  <c r="J2600" i="9" a="1"/>
  <c r="O2599" i="9" l="1"/>
  <c r="R2599" i="9" s="1"/>
  <c r="I2602" i="9"/>
  <c r="K2600" i="9"/>
  <c r="L2600" i="9"/>
  <c r="M2600" i="9"/>
  <c r="N2600" i="9"/>
  <c r="J2600" i="9"/>
  <c r="J2601" i="9" a="1"/>
  <c r="P2599" i="9" l="1"/>
  <c r="O2600" i="9"/>
  <c r="R2600" i="9" s="1"/>
  <c r="Q2602" i="9"/>
  <c r="Q2596" i="9"/>
  <c r="S2596" i="9" s="1"/>
  <c r="T2596" i="9" s="1"/>
  <c r="U2596" i="9" s="1"/>
  <c r="Q2600" i="9"/>
  <c r="S2600" i="9" s="1"/>
  <c r="T2600" i="9" s="1"/>
  <c r="U2600" i="9" s="1"/>
  <c r="Q2601" i="9"/>
  <c r="Q2594" i="9"/>
  <c r="S2594" i="9" s="1"/>
  <c r="T2594" i="9" s="1"/>
  <c r="U2594" i="9" s="1"/>
  <c r="Q2598" i="9"/>
  <c r="S2598" i="9" s="1"/>
  <c r="T2598" i="9" s="1"/>
  <c r="U2598" i="9" s="1"/>
  <c r="Q2595" i="9"/>
  <c r="S2595" i="9" s="1"/>
  <c r="T2595" i="9" s="1"/>
  <c r="U2595" i="9" s="1"/>
  <c r="Q2599" i="9"/>
  <c r="S2599" i="9" s="1"/>
  <c r="T2599" i="9" s="1"/>
  <c r="U2599" i="9" s="1"/>
  <c r="Q2597" i="9"/>
  <c r="S2597" i="9" s="1"/>
  <c r="T2597" i="9" s="1"/>
  <c r="U2597" i="9" s="1"/>
  <c r="K2601" i="9"/>
  <c r="N2601" i="9"/>
  <c r="J2601" i="9"/>
  <c r="L2601" i="9"/>
  <c r="M2601" i="9"/>
  <c r="I2603" i="9"/>
  <c r="J2602" i="9" a="1"/>
  <c r="O2601" i="9" l="1"/>
  <c r="R2601" i="9" s="1"/>
  <c r="S2601" i="9" s="1"/>
  <c r="T2601" i="9" s="1"/>
  <c r="U2601" i="9" s="1"/>
  <c r="K2602" i="9"/>
  <c r="M2602" i="9"/>
  <c r="N2602" i="9"/>
  <c r="L2602" i="9"/>
  <c r="J2602" i="9"/>
  <c r="I2604" i="9"/>
  <c r="J2603" i="9" a="1"/>
  <c r="O2602" i="9" l="1"/>
  <c r="R2602" i="9" s="1"/>
  <c r="S2602" i="9" s="1"/>
  <c r="T2602" i="9" s="1"/>
  <c r="U2602" i="9" s="1"/>
  <c r="N2603" i="9"/>
  <c r="J2603" i="9"/>
  <c r="K2603" i="9"/>
  <c r="M2603" i="9"/>
  <c r="L2603" i="9"/>
  <c r="I2605" i="9"/>
  <c r="J2604" i="9" a="1"/>
  <c r="O2603" i="9" l="1"/>
  <c r="R2603" i="9" s="1"/>
  <c r="I2606" i="9"/>
  <c r="N2604" i="9"/>
  <c r="J2604" i="9"/>
  <c r="K2604" i="9"/>
  <c r="L2604" i="9"/>
  <c r="M2604" i="9"/>
  <c r="J2605" i="9" a="1"/>
  <c r="O2604" i="9" l="1"/>
  <c r="R2604" i="9" s="1"/>
  <c r="M2605" i="9"/>
  <c r="N2605" i="9"/>
  <c r="J2605" i="9"/>
  <c r="K2605" i="9"/>
  <c r="L2605" i="9"/>
  <c r="I2607" i="9"/>
  <c r="J2606" i="9" a="1"/>
  <c r="O2605" i="9" l="1"/>
  <c r="R2605" i="9" s="1"/>
  <c r="I2608" i="9"/>
  <c r="N2606" i="9"/>
  <c r="J2606" i="9"/>
  <c r="K2606" i="9"/>
  <c r="L2606" i="9"/>
  <c r="M2606" i="9"/>
  <c r="J2607" i="9" a="1"/>
  <c r="O2606" i="9" l="1"/>
  <c r="R2606" i="9" s="1"/>
  <c r="M2607" i="9"/>
  <c r="K2607" i="9"/>
  <c r="J2607" i="9"/>
  <c r="N2607" i="9"/>
  <c r="L2607" i="9"/>
  <c r="I2609" i="9"/>
  <c r="J2608" i="9" a="1"/>
  <c r="O2607" i="9" l="1"/>
  <c r="R2607" i="9" s="1"/>
  <c r="I2610" i="9"/>
  <c r="N2608" i="9"/>
  <c r="M2608" i="9"/>
  <c r="J2608" i="9"/>
  <c r="K2608" i="9"/>
  <c r="L2608" i="9"/>
  <c r="J2609" i="9" a="1"/>
  <c r="O2608" i="9" l="1"/>
  <c r="R2608" i="9" s="1"/>
  <c r="J2609" i="9"/>
  <c r="M2609" i="9"/>
  <c r="N2609" i="9"/>
  <c r="K2609" i="9"/>
  <c r="L2609" i="9"/>
  <c r="I2611" i="9"/>
  <c r="J2610" i="9" a="1"/>
  <c r="P2608" i="9" l="1"/>
  <c r="O2609" i="9"/>
  <c r="R2609" i="9" s="1"/>
  <c r="Q2607" i="9"/>
  <c r="S2607" i="9" s="1"/>
  <c r="T2607" i="9" s="1"/>
  <c r="U2607" i="9" s="1"/>
  <c r="Q2604" i="9"/>
  <c r="S2604" i="9" s="1"/>
  <c r="T2604" i="9" s="1"/>
  <c r="U2604" i="9" s="1"/>
  <c r="Q2608" i="9"/>
  <c r="S2608" i="9" s="1"/>
  <c r="T2608" i="9" s="1"/>
  <c r="U2608" i="9" s="1"/>
  <c r="Q2609" i="9"/>
  <c r="Q2606" i="9"/>
  <c r="S2606" i="9" s="1"/>
  <c r="T2606" i="9" s="1"/>
  <c r="U2606" i="9" s="1"/>
  <c r="Q2605" i="9"/>
  <c r="S2605" i="9" s="1"/>
  <c r="T2605" i="9" s="1"/>
  <c r="U2605" i="9" s="1"/>
  <c r="Q2611" i="9"/>
  <c r="Q2603" i="9"/>
  <c r="S2603" i="9" s="1"/>
  <c r="T2603" i="9" s="1"/>
  <c r="U2603" i="9" s="1"/>
  <c r="Q2610" i="9"/>
  <c r="N2610" i="9"/>
  <c r="J2610" i="9"/>
  <c r="K2610" i="9"/>
  <c r="M2610" i="9"/>
  <c r="L2610" i="9"/>
  <c r="I2612" i="9"/>
  <c r="J2611" i="9" a="1"/>
  <c r="S2609" i="9" l="1"/>
  <c r="T2609" i="9" s="1"/>
  <c r="U2609" i="9" s="1"/>
  <c r="O2610" i="9"/>
  <c r="R2610" i="9" s="1"/>
  <c r="S2610" i="9" s="1"/>
  <c r="T2610" i="9" s="1"/>
  <c r="U2610" i="9" s="1"/>
  <c r="M2611" i="9"/>
  <c r="K2611" i="9"/>
  <c r="J2611" i="9"/>
  <c r="L2611" i="9"/>
  <c r="N2611" i="9"/>
  <c r="I2613" i="9"/>
  <c r="J2612" i="9" a="1"/>
  <c r="O2611" i="9" l="1"/>
  <c r="R2611" i="9" s="1"/>
  <c r="S2611" i="9" s="1"/>
  <c r="T2611" i="9" s="1"/>
  <c r="U2611" i="9" s="1"/>
  <c r="I2614" i="9"/>
  <c r="J2612" i="9"/>
  <c r="K2612" i="9"/>
  <c r="L2612" i="9"/>
  <c r="N2612" i="9"/>
  <c r="M2612" i="9"/>
  <c r="J2613" i="9" a="1"/>
  <c r="O2612" i="9" l="1"/>
  <c r="R2612" i="9" s="1"/>
  <c r="L2613" i="9"/>
  <c r="M2613" i="9"/>
  <c r="N2613" i="9"/>
  <c r="J2613" i="9"/>
  <c r="K2613" i="9"/>
  <c r="I2615" i="9"/>
  <c r="J2614" i="9" a="1"/>
  <c r="O2613" i="9" l="1"/>
  <c r="R2613" i="9" s="1"/>
  <c r="I2616" i="9"/>
  <c r="K2614" i="9"/>
  <c r="M2614" i="9"/>
  <c r="N2614" i="9"/>
  <c r="L2614" i="9"/>
  <c r="J2614" i="9"/>
  <c r="J2615" i="9" a="1"/>
  <c r="O2614" i="9" l="1"/>
  <c r="R2614" i="9" s="1"/>
  <c r="M2615" i="9"/>
  <c r="K2615" i="9"/>
  <c r="N2615" i="9"/>
  <c r="J2615" i="9"/>
  <c r="L2615" i="9"/>
  <c r="I2617" i="9"/>
  <c r="J2616" i="9" a="1"/>
  <c r="O2615" i="9" l="1"/>
  <c r="R2615" i="9" s="1"/>
  <c r="I2618" i="9"/>
  <c r="K2616" i="9"/>
  <c r="L2616" i="9"/>
  <c r="N2616" i="9"/>
  <c r="M2616" i="9"/>
  <c r="J2616" i="9"/>
  <c r="J2617" i="9" a="1"/>
  <c r="O2616" i="9" l="1"/>
  <c r="R2616" i="9" s="1"/>
  <c r="L2617" i="9"/>
  <c r="M2617" i="9"/>
  <c r="J2617" i="9"/>
  <c r="N2617" i="9"/>
  <c r="K2617" i="9"/>
  <c r="I2619" i="9"/>
  <c r="J2618" i="9" a="1"/>
  <c r="O2617" i="9" l="1"/>
  <c r="P2617" i="9" s="1"/>
  <c r="I2620" i="9"/>
  <c r="N2618" i="9"/>
  <c r="J2618" i="9"/>
  <c r="K2618" i="9"/>
  <c r="L2618" i="9"/>
  <c r="M2618" i="9"/>
  <c r="J2619" i="9" a="1"/>
  <c r="R2617" i="9" l="1"/>
  <c r="O2618" i="9"/>
  <c r="R2618" i="9" s="1"/>
  <c r="M2619" i="9"/>
  <c r="J2619" i="9"/>
  <c r="L2619" i="9"/>
  <c r="N2619" i="9"/>
  <c r="K2619" i="9"/>
  <c r="Q2612" i="9"/>
  <c r="S2612" i="9" s="1"/>
  <c r="T2612" i="9" s="1"/>
  <c r="U2612" i="9" s="1"/>
  <c r="Q2618" i="9"/>
  <c r="S2618" i="9" s="1"/>
  <c r="T2618" i="9" s="1"/>
  <c r="U2618" i="9" s="1"/>
  <c r="Q2614" i="9"/>
  <c r="S2614" i="9" s="1"/>
  <c r="T2614" i="9" s="1"/>
  <c r="U2614" i="9" s="1"/>
  <c r="Q2615" i="9"/>
  <c r="S2615" i="9" s="1"/>
  <c r="T2615" i="9" s="1"/>
  <c r="U2615" i="9" s="1"/>
  <c r="Q2619" i="9"/>
  <c r="Q2616" i="9"/>
  <c r="S2616" i="9" s="1"/>
  <c r="T2616" i="9" s="1"/>
  <c r="U2616" i="9" s="1"/>
  <c r="Q2613" i="9"/>
  <c r="S2613" i="9" s="1"/>
  <c r="T2613" i="9" s="1"/>
  <c r="U2613" i="9" s="1"/>
  <c r="Q2620" i="9"/>
  <c r="Q2617" i="9"/>
  <c r="S2617" i="9" s="1"/>
  <c r="T2617" i="9" s="1"/>
  <c r="U2617" i="9" s="1"/>
  <c r="I2621" i="9"/>
  <c r="J2620" i="9" a="1"/>
  <c r="O2619" i="9" l="1"/>
  <c r="R2619" i="9" s="1"/>
  <c r="S2619" i="9" s="1"/>
  <c r="T2619" i="9" s="1"/>
  <c r="U2619" i="9" s="1"/>
  <c r="M2620" i="9"/>
  <c r="J2620" i="9"/>
  <c r="K2620" i="9"/>
  <c r="L2620" i="9"/>
  <c r="N2620" i="9"/>
  <c r="I2622" i="9"/>
  <c r="J2621" i="9" a="1"/>
  <c r="O2620" i="9" l="1"/>
  <c r="R2620" i="9" s="1"/>
  <c r="S2620" i="9" s="1"/>
  <c r="T2620" i="9" s="1"/>
  <c r="U2620" i="9" s="1"/>
  <c r="K2621" i="9"/>
  <c r="L2621" i="9"/>
  <c r="M2621" i="9"/>
  <c r="N2621" i="9"/>
  <c r="J2621" i="9"/>
  <c r="I2623" i="9"/>
  <c r="J2622" i="9" a="1"/>
  <c r="O2621" i="9" l="1"/>
  <c r="R2621" i="9" s="1"/>
  <c r="K2622" i="9"/>
  <c r="M2622" i="9"/>
  <c r="N2622" i="9"/>
  <c r="L2622" i="9"/>
  <c r="J2622" i="9"/>
  <c r="I2624" i="9"/>
  <c r="J2623" i="9" a="1"/>
  <c r="O2622" i="9" l="1"/>
  <c r="R2622" i="9" s="1"/>
  <c r="I2625" i="9"/>
  <c r="J2623" i="9"/>
  <c r="L2623" i="9"/>
  <c r="K2623" i="9"/>
  <c r="N2623" i="9"/>
  <c r="M2623" i="9"/>
  <c r="J2624" i="9" a="1"/>
  <c r="O2623" i="9" l="1"/>
  <c r="R2623" i="9" s="1"/>
  <c r="K2624" i="9"/>
  <c r="L2624" i="9"/>
  <c r="N2624" i="9"/>
  <c r="M2624" i="9"/>
  <c r="J2624" i="9"/>
  <c r="I2626" i="9"/>
  <c r="J2625" i="9" a="1"/>
  <c r="O2624" i="9" l="1"/>
  <c r="R2624" i="9" s="1"/>
  <c r="I2627" i="9"/>
  <c r="N2625" i="9"/>
  <c r="K2625" i="9"/>
  <c r="L2625" i="9"/>
  <c r="M2625" i="9"/>
  <c r="J2625" i="9"/>
  <c r="J2626" i="9" a="1"/>
  <c r="O2625" i="9" l="1"/>
  <c r="R2625" i="9" s="1"/>
  <c r="M2626" i="9"/>
  <c r="N2626" i="9"/>
  <c r="J2626" i="9"/>
  <c r="K2626" i="9"/>
  <c r="L2626" i="9"/>
  <c r="I2628" i="9"/>
  <c r="J2627" i="9" a="1"/>
  <c r="O2626" i="9" l="1"/>
  <c r="P2626" i="9" s="1"/>
  <c r="I2629" i="9"/>
  <c r="K2627" i="9"/>
  <c r="N2627" i="9"/>
  <c r="J2627" i="9"/>
  <c r="M2627" i="9"/>
  <c r="L2627" i="9"/>
  <c r="J2628" i="9" a="1"/>
  <c r="O2627" i="9" l="1"/>
  <c r="R2626" i="9"/>
  <c r="Q2624" i="9"/>
  <c r="S2624" i="9" s="1"/>
  <c r="T2624" i="9" s="1"/>
  <c r="U2624" i="9" s="1"/>
  <c r="Q2622" i="9"/>
  <c r="S2622" i="9" s="1"/>
  <c r="T2622" i="9" s="1"/>
  <c r="U2622" i="9" s="1"/>
  <c r="Q2626" i="9"/>
  <c r="S2626" i="9" s="1"/>
  <c r="T2626" i="9" s="1"/>
  <c r="U2626" i="9" s="1"/>
  <c r="Q2621" i="9"/>
  <c r="S2621" i="9" s="1"/>
  <c r="T2621" i="9" s="1"/>
  <c r="U2621" i="9" s="1"/>
  <c r="Q2627" i="9"/>
  <c r="Q2628" i="9"/>
  <c r="Q2625" i="9"/>
  <c r="S2625" i="9" s="1"/>
  <c r="T2625" i="9" s="1"/>
  <c r="U2625" i="9" s="1"/>
  <c r="Q2623" i="9"/>
  <c r="S2623" i="9" s="1"/>
  <c r="T2623" i="9" s="1"/>
  <c r="U2623" i="9" s="1"/>
  <c r="Q2629" i="9"/>
  <c r="N2628" i="9"/>
  <c r="J2628" i="9"/>
  <c r="K2628" i="9"/>
  <c r="L2628" i="9"/>
  <c r="M2628" i="9"/>
  <c r="R2627" i="9"/>
  <c r="I2630" i="9"/>
  <c r="J2629" i="9" a="1"/>
  <c r="O2628" i="9" l="1"/>
  <c r="R2628" i="9" s="1"/>
  <c r="S2628" i="9" s="1"/>
  <c r="T2628" i="9" s="1"/>
  <c r="U2628" i="9" s="1"/>
  <c r="S2627" i="9"/>
  <c r="T2627" i="9" s="1"/>
  <c r="U2627" i="9" s="1"/>
  <c r="I2631" i="9"/>
  <c r="J2629" i="9"/>
  <c r="K2629" i="9"/>
  <c r="L2629" i="9"/>
  <c r="M2629" i="9"/>
  <c r="N2629" i="9"/>
  <c r="J2630" i="9" a="1"/>
  <c r="O2629" i="9" l="1"/>
  <c r="R2629" i="9" s="1"/>
  <c r="S2629" i="9" s="1"/>
  <c r="T2629" i="9" s="1"/>
  <c r="U2629" i="9" s="1"/>
  <c r="L2630" i="9"/>
  <c r="J2630" i="9"/>
  <c r="K2630" i="9"/>
  <c r="M2630" i="9"/>
  <c r="N2630" i="9"/>
  <c r="I2632" i="9"/>
  <c r="J2631" i="9" a="1"/>
  <c r="O2630" i="9" l="1"/>
  <c r="R2630" i="9" s="1"/>
  <c r="I2633" i="9"/>
  <c r="N2631" i="9"/>
  <c r="K2631" i="9"/>
  <c r="L2631" i="9"/>
  <c r="J2631" i="9"/>
  <c r="M2631" i="9"/>
  <c r="J2632" i="9" a="1"/>
  <c r="O2631" i="9" l="1"/>
  <c r="R2631" i="9" s="1"/>
  <c r="L2632" i="9"/>
  <c r="N2632" i="9"/>
  <c r="J2632" i="9"/>
  <c r="K2632" i="9"/>
  <c r="M2632" i="9"/>
  <c r="I2634" i="9"/>
  <c r="J2633" i="9" a="1"/>
  <c r="O2632" i="9" l="1"/>
  <c r="R2632" i="9" s="1"/>
  <c r="I2635" i="9"/>
  <c r="M2633" i="9"/>
  <c r="J2633" i="9"/>
  <c r="K2633" i="9"/>
  <c r="L2633" i="9"/>
  <c r="N2633" i="9"/>
  <c r="J2634" i="9" a="1"/>
  <c r="O2633" i="9" l="1"/>
  <c r="R2633" i="9" s="1"/>
  <c r="M2634" i="9"/>
  <c r="N2634" i="9"/>
  <c r="J2634" i="9"/>
  <c r="K2634" i="9"/>
  <c r="L2634" i="9"/>
  <c r="I2636" i="9"/>
  <c r="J2635" i="9" a="1"/>
  <c r="O2634" i="9" l="1"/>
  <c r="R2634" i="9" s="1"/>
  <c r="I2637" i="9"/>
  <c r="J2635" i="9"/>
  <c r="L2635" i="9"/>
  <c r="M2635" i="9"/>
  <c r="N2635" i="9"/>
  <c r="K2635" i="9"/>
  <c r="J2636" i="9" a="1"/>
  <c r="O2635" i="9" l="1"/>
  <c r="R2635" i="9" s="1"/>
  <c r="J2636" i="9"/>
  <c r="K2636" i="9"/>
  <c r="M2636" i="9"/>
  <c r="L2636" i="9"/>
  <c r="N2636" i="9"/>
  <c r="I2638" i="9"/>
  <c r="J2637" i="9" a="1"/>
  <c r="P2635" i="9" l="1"/>
  <c r="O2636" i="9"/>
  <c r="J2637" i="9"/>
  <c r="K2637" i="9"/>
  <c r="L2637" i="9"/>
  <c r="M2637" i="9"/>
  <c r="N2637" i="9"/>
  <c r="Q2636" i="9"/>
  <c r="Q2637" i="9"/>
  <c r="Q2631" i="9"/>
  <c r="S2631" i="9" s="1"/>
  <c r="T2631" i="9" s="1"/>
  <c r="U2631" i="9" s="1"/>
  <c r="Q2632" i="9"/>
  <c r="S2632" i="9" s="1"/>
  <c r="T2632" i="9" s="1"/>
  <c r="U2632" i="9" s="1"/>
  <c r="Q2633" i="9"/>
  <c r="S2633" i="9" s="1"/>
  <c r="T2633" i="9" s="1"/>
  <c r="U2633" i="9" s="1"/>
  <c r="Q2630" i="9"/>
  <c r="S2630" i="9" s="1"/>
  <c r="T2630" i="9" s="1"/>
  <c r="U2630" i="9" s="1"/>
  <c r="Q2634" i="9"/>
  <c r="S2634" i="9" s="1"/>
  <c r="T2634" i="9" s="1"/>
  <c r="U2634" i="9" s="1"/>
  <c r="Q2638" i="9"/>
  <c r="Q2635" i="9"/>
  <c r="S2635" i="9" s="1"/>
  <c r="T2635" i="9" s="1"/>
  <c r="U2635" i="9" s="1"/>
  <c r="I2639" i="9"/>
  <c r="R2636" i="9"/>
  <c r="J2638" i="9" a="1"/>
  <c r="O2637" i="9" l="1"/>
  <c r="R2637" i="9" s="1"/>
  <c r="S2637" i="9" s="1"/>
  <c r="T2637" i="9" s="1"/>
  <c r="U2637" i="9" s="1"/>
  <c r="S2636" i="9"/>
  <c r="T2636" i="9" s="1"/>
  <c r="U2636" i="9" s="1"/>
  <c r="M2638" i="9"/>
  <c r="N2638" i="9"/>
  <c r="J2638" i="9"/>
  <c r="K2638" i="9"/>
  <c r="L2638" i="9"/>
  <c r="I2640" i="9"/>
  <c r="J2639" i="9" a="1"/>
  <c r="O2638" i="9" l="1"/>
  <c r="R2638" i="9" s="1"/>
  <c r="S2638" i="9" s="1"/>
  <c r="T2638" i="9" s="1"/>
  <c r="U2638" i="9" s="1"/>
  <c r="I2641" i="9"/>
  <c r="N2639" i="9"/>
  <c r="K2639" i="9"/>
  <c r="L2639" i="9"/>
  <c r="M2639" i="9"/>
  <c r="J2639" i="9"/>
  <c r="J2640" i="9" a="1"/>
  <c r="O2639" i="9" l="1"/>
  <c r="R2639" i="9" s="1"/>
  <c r="M2640" i="9"/>
  <c r="L2640" i="9"/>
  <c r="N2640" i="9"/>
  <c r="J2640" i="9"/>
  <c r="K2640" i="9"/>
  <c r="I2642" i="9"/>
  <c r="J2641" i="9" a="1"/>
  <c r="O2640" i="9" l="1"/>
  <c r="R2640" i="9" s="1"/>
  <c r="I2643" i="9"/>
  <c r="L2641" i="9"/>
  <c r="J2641" i="9"/>
  <c r="K2641" i="9"/>
  <c r="M2641" i="9"/>
  <c r="N2641" i="9"/>
  <c r="J2642" i="9" a="1"/>
  <c r="O2641" i="9" l="1"/>
  <c r="R2641" i="9" s="1"/>
  <c r="L2642" i="9"/>
  <c r="M2642" i="9"/>
  <c r="N2642" i="9"/>
  <c r="J2642" i="9"/>
  <c r="K2642" i="9"/>
  <c r="I2644" i="9"/>
  <c r="J2643" i="9" a="1"/>
  <c r="O2642" i="9" l="1"/>
  <c r="R2642" i="9" s="1"/>
  <c r="I2645" i="9"/>
  <c r="J2643" i="9"/>
  <c r="L2643" i="9"/>
  <c r="M2643" i="9"/>
  <c r="N2643" i="9"/>
  <c r="K2643" i="9"/>
  <c r="J2644" i="9" a="1"/>
  <c r="O2643" i="9" l="1"/>
  <c r="R2643" i="9" s="1"/>
  <c r="M2644" i="9"/>
  <c r="J2644" i="9"/>
  <c r="K2644" i="9"/>
  <c r="L2644" i="9"/>
  <c r="N2644" i="9"/>
  <c r="I2646" i="9"/>
  <c r="J2645" i="9" a="1"/>
  <c r="O2644" i="9" l="1"/>
  <c r="R2644" i="9" s="1"/>
  <c r="I2647" i="9"/>
  <c r="N2645" i="9"/>
  <c r="J2645" i="9"/>
  <c r="K2645" i="9"/>
  <c r="L2645" i="9"/>
  <c r="M2645" i="9"/>
  <c r="J2646" i="9" a="1"/>
  <c r="O2645" i="9" l="1"/>
  <c r="R2645" i="9" s="1"/>
  <c r="P2644" i="9"/>
  <c r="J2646" i="9"/>
  <c r="K2646" i="9"/>
  <c r="L2646" i="9"/>
  <c r="M2646" i="9"/>
  <c r="N2646" i="9"/>
  <c r="Q2641" i="9"/>
  <c r="S2641" i="9" s="1"/>
  <c r="T2641" i="9" s="1"/>
  <c r="U2641" i="9" s="1"/>
  <c r="Q2639" i="9"/>
  <c r="S2639" i="9" s="1"/>
  <c r="T2639" i="9" s="1"/>
  <c r="U2639" i="9" s="1"/>
  <c r="Q2642" i="9"/>
  <c r="S2642" i="9" s="1"/>
  <c r="T2642" i="9" s="1"/>
  <c r="U2642" i="9" s="1"/>
  <c r="Q2644" i="9"/>
  <c r="S2644" i="9" s="1"/>
  <c r="T2644" i="9" s="1"/>
  <c r="U2644" i="9" s="1"/>
  <c r="Q2645" i="9"/>
  <c r="S2645" i="9" s="1"/>
  <c r="T2645" i="9" s="1"/>
  <c r="U2645" i="9" s="1"/>
  <c r="Q2640" i="9"/>
  <c r="S2640" i="9" s="1"/>
  <c r="T2640" i="9" s="1"/>
  <c r="U2640" i="9" s="1"/>
  <c r="Q2647" i="9"/>
  <c r="Q2646" i="9"/>
  <c r="Q2643" i="9"/>
  <c r="S2643" i="9" s="1"/>
  <c r="T2643" i="9" s="1"/>
  <c r="U2643" i="9" s="1"/>
  <c r="I2648" i="9"/>
  <c r="J2647" i="9" a="1"/>
  <c r="O2646" i="9" l="1"/>
  <c r="R2646" i="9" s="1"/>
  <c r="S2646" i="9" s="1"/>
  <c r="T2646" i="9" s="1"/>
  <c r="U2646" i="9" s="1"/>
  <c r="N2647" i="9"/>
  <c r="J2647" i="9"/>
  <c r="L2647" i="9"/>
  <c r="K2647" i="9"/>
  <c r="M2647" i="9"/>
  <c r="I2649" i="9"/>
  <c r="J2648" i="9" a="1"/>
  <c r="O2647" i="9" l="1"/>
  <c r="R2647" i="9" s="1"/>
  <c r="S2647" i="9" s="1"/>
  <c r="T2647" i="9" s="1"/>
  <c r="U2647" i="9" s="1"/>
  <c r="I2650" i="9"/>
  <c r="K2648" i="9"/>
  <c r="L2648" i="9"/>
  <c r="N2648" i="9"/>
  <c r="M2648" i="9"/>
  <c r="J2648" i="9"/>
  <c r="J2649" i="9" a="1"/>
  <c r="O2648" i="9" l="1"/>
  <c r="R2648" i="9" s="1"/>
  <c r="M2649" i="9"/>
  <c r="N2649" i="9"/>
  <c r="J2649" i="9"/>
  <c r="K2649" i="9"/>
  <c r="L2649" i="9"/>
  <c r="I2651" i="9"/>
  <c r="J2650" i="9" a="1"/>
  <c r="O2649" i="9" l="1"/>
  <c r="R2649" i="9" s="1"/>
  <c r="N2650" i="9"/>
  <c r="J2650" i="9"/>
  <c r="K2650" i="9"/>
  <c r="L2650" i="9"/>
  <c r="M2650" i="9"/>
  <c r="I2652" i="9"/>
  <c r="J2651" i="9" a="1"/>
  <c r="O2650" i="9" l="1"/>
  <c r="R2650" i="9" s="1"/>
  <c r="I2653" i="9"/>
  <c r="K2651" i="9"/>
  <c r="J2651" i="9"/>
  <c r="M2651" i="9"/>
  <c r="L2651" i="9"/>
  <c r="N2651" i="9"/>
  <c r="J2652" i="9" a="1"/>
  <c r="O2651" i="9" l="1"/>
  <c r="R2651" i="9" s="1"/>
  <c r="M2652" i="9"/>
  <c r="J2652" i="9"/>
  <c r="K2652" i="9"/>
  <c r="L2652" i="9"/>
  <c r="N2652" i="9"/>
  <c r="I2654" i="9"/>
  <c r="J2653" i="9" a="1"/>
  <c r="O2652" i="9" l="1"/>
  <c r="R2652" i="9" s="1"/>
  <c r="I2655" i="9"/>
  <c r="K2653" i="9"/>
  <c r="N2653" i="9"/>
  <c r="J2653" i="9"/>
  <c r="L2653" i="9"/>
  <c r="M2653" i="9"/>
  <c r="J2654" i="9" a="1"/>
  <c r="O2653" i="9" l="1"/>
  <c r="R2653" i="9" s="1"/>
  <c r="M2654" i="9"/>
  <c r="N2654" i="9"/>
  <c r="J2654" i="9"/>
  <c r="K2654" i="9"/>
  <c r="L2654" i="9"/>
  <c r="I2656" i="9"/>
  <c r="J2655" i="9" a="1"/>
  <c r="P2653" i="9" l="1"/>
  <c r="O2654" i="9"/>
  <c r="R2654" i="9" s="1"/>
  <c r="L2655" i="9"/>
  <c r="N2655" i="9"/>
  <c r="K2655" i="9"/>
  <c r="M2655" i="9"/>
  <c r="J2655" i="9"/>
  <c r="Q2651" i="9"/>
  <c r="S2651" i="9" s="1"/>
  <c r="T2651" i="9" s="1"/>
  <c r="U2651" i="9" s="1"/>
  <c r="Q2656" i="9"/>
  <c r="Q2654" i="9"/>
  <c r="S2654" i="9" s="1"/>
  <c r="T2654" i="9" s="1"/>
  <c r="U2654" i="9" s="1"/>
  <c r="Q2653" i="9"/>
  <c r="S2653" i="9" s="1"/>
  <c r="T2653" i="9" s="1"/>
  <c r="U2653" i="9" s="1"/>
  <c r="Q2655" i="9"/>
  <c r="Q2649" i="9"/>
  <c r="S2649" i="9" s="1"/>
  <c r="T2649" i="9" s="1"/>
  <c r="U2649" i="9" s="1"/>
  <c r="Q2652" i="9"/>
  <c r="S2652" i="9" s="1"/>
  <c r="T2652" i="9" s="1"/>
  <c r="U2652" i="9" s="1"/>
  <c r="Q2650" i="9"/>
  <c r="S2650" i="9" s="1"/>
  <c r="T2650" i="9" s="1"/>
  <c r="U2650" i="9" s="1"/>
  <c r="Q2648" i="9"/>
  <c r="S2648" i="9" s="1"/>
  <c r="T2648" i="9" s="1"/>
  <c r="U2648" i="9" s="1"/>
  <c r="I2657" i="9"/>
  <c r="J2656" i="9" a="1"/>
  <c r="O2655" i="9" l="1"/>
  <c r="R2655" i="9" s="1"/>
  <c r="S2655" i="9" s="1"/>
  <c r="T2655" i="9" s="1"/>
  <c r="U2655" i="9" s="1"/>
  <c r="I2658" i="9"/>
  <c r="J2656" i="9"/>
  <c r="K2656" i="9"/>
  <c r="L2656" i="9"/>
  <c r="M2656" i="9"/>
  <c r="N2656" i="9"/>
  <c r="J2657" i="9" a="1"/>
  <c r="O2656" i="9" l="1"/>
  <c r="R2656" i="9" s="1"/>
  <c r="S2656" i="9" s="1"/>
  <c r="T2656" i="9" s="1"/>
  <c r="U2656" i="9" s="1"/>
  <c r="L2657" i="9"/>
  <c r="M2657" i="9"/>
  <c r="N2657" i="9"/>
  <c r="J2657" i="9"/>
  <c r="K2657" i="9"/>
  <c r="I2659" i="9"/>
  <c r="J2658" i="9" a="1"/>
  <c r="O2657" i="9" l="1"/>
  <c r="R2657" i="9" s="1"/>
  <c r="I2660" i="9"/>
  <c r="J2658" i="9"/>
  <c r="K2658" i="9"/>
  <c r="L2658" i="9"/>
  <c r="M2658" i="9"/>
  <c r="N2658" i="9"/>
  <c r="J2659" i="9" a="1"/>
  <c r="O2658" i="9" l="1"/>
  <c r="R2658" i="9" s="1"/>
  <c r="K2659" i="9"/>
  <c r="N2659" i="9"/>
  <c r="L2659" i="9"/>
  <c r="M2659" i="9"/>
  <c r="J2659" i="9"/>
  <c r="I2661" i="9"/>
  <c r="J2660" i="9" a="1"/>
  <c r="O2659" i="9" l="1"/>
  <c r="R2659" i="9" s="1"/>
  <c r="I2662" i="9"/>
  <c r="M2660" i="9"/>
  <c r="N2660" i="9"/>
  <c r="J2660" i="9"/>
  <c r="K2660" i="9"/>
  <c r="L2660" i="9"/>
  <c r="J2661" i="9" a="1"/>
  <c r="O2660" i="9" l="1"/>
  <c r="R2660" i="9" s="1"/>
  <c r="J2661" i="9"/>
  <c r="M2661" i="9"/>
  <c r="N2661" i="9"/>
  <c r="K2661" i="9"/>
  <c r="L2661" i="9"/>
  <c r="I2663" i="9"/>
  <c r="J2662" i="9" a="1"/>
  <c r="O2661" i="9" l="1"/>
  <c r="R2661" i="9" s="1"/>
  <c r="K2662" i="9"/>
  <c r="L2662" i="9"/>
  <c r="M2662" i="9"/>
  <c r="N2662" i="9"/>
  <c r="J2662" i="9"/>
  <c r="I2664" i="9"/>
  <c r="J2663" i="9" a="1"/>
  <c r="O2662" i="9" l="1"/>
  <c r="R2662" i="9" s="1"/>
  <c r="I2665" i="9"/>
  <c r="J2663" i="9"/>
  <c r="L2663" i="9"/>
  <c r="M2663" i="9"/>
  <c r="N2663" i="9"/>
  <c r="K2663" i="9"/>
  <c r="J2664" i="9" a="1"/>
  <c r="P2662" i="9" l="1"/>
  <c r="O2663" i="9"/>
  <c r="R2663" i="9" s="1"/>
  <c r="Q2662" i="9"/>
  <c r="S2662" i="9" s="1"/>
  <c r="T2662" i="9" s="1"/>
  <c r="U2662" i="9" s="1"/>
  <c r="Q2658" i="9"/>
  <c r="S2658" i="9" s="1"/>
  <c r="T2658" i="9" s="1"/>
  <c r="U2658" i="9" s="1"/>
  <c r="Q2659" i="9"/>
  <c r="S2659" i="9" s="1"/>
  <c r="T2659" i="9" s="1"/>
  <c r="U2659" i="9" s="1"/>
  <c r="Q2661" i="9"/>
  <c r="S2661" i="9" s="1"/>
  <c r="T2661" i="9" s="1"/>
  <c r="U2661" i="9" s="1"/>
  <c r="Q2664" i="9"/>
  <c r="Q2660" i="9"/>
  <c r="S2660" i="9" s="1"/>
  <c r="T2660" i="9" s="1"/>
  <c r="U2660" i="9" s="1"/>
  <c r="Q2657" i="9"/>
  <c r="S2657" i="9" s="1"/>
  <c r="T2657" i="9" s="1"/>
  <c r="U2657" i="9" s="1"/>
  <c r="Q2665" i="9"/>
  <c r="Q2663" i="9"/>
  <c r="S2663" i="9" s="1"/>
  <c r="T2663" i="9" s="1"/>
  <c r="U2663" i="9" s="1"/>
  <c r="J2664" i="9"/>
  <c r="K2664" i="9"/>
  <c r="L2664" i="9"/>
  <c r="M2664" i="9"/>
  <c r="N2664" i="9"/>
  <c r="I2666" i="9"/>
  <c r="J2665" i="9" a="1"/>
  <c r="O2664" i="9" l="1"/>
  <c r="R2664" i="9" s="1"/>
  <c r="S2664" i="9" s="1"/>
  <c r="T2664" i="9" s="1"/>
  <c r="U2664" i="9" s="1"/>
  <c r="L2665" i="9"/>
  <c r="M2665" i="9"/>
  <c r="N2665" i="9"/>
  <c r="K2665" i="9"/>
  <c r="J2665" i="9"/>
  <c r="I2667" i="9"/>
  <c r="J2666" i="9" a="1"/>
  <c r="O2665" i="9" l="1"/>
  <c r="R2665" i="9" s="1"/>
  <c r="S2665" i="9" s="1"/>
  <c r="T2665" i="9" s="1"/>
  <c r="U2665" i="9" s="1"/>
  <c r="M2666" i="9"/>
  <c r="N2666" i="9"/>
  <c r="J2666" i="9"/>
  <c r="K2666" i="9"/>
  <c r="L2666" i="9"/>
  <c r="I2668" i="9"/>
  <c r="J2667" i="9" a="1"/>
  <c r="O2666" i="9" l="1"/>
  <c r="R2666" i="9" s="1"/>
  <c r="I2669" i="9"/>
  <c r="N2667" i="9"/>
  <c r="K2667" i="9"/>
  <c r="L2667" i="9"/>
  <c r="J2667" i="9"/>
  <c r="M2667" i="9"/>
  <c r="J2668" i="9" a="1"/>
  <c r="O2667" i="9" l="1"/>
  <c r="R2667" i="9" s="1"/>
  <c r="K2668" i="9"/>
  <c r="M2668" i="9"/>
  <c r="J2668" i="9"/>
  <c r="L2668" i="9"/>
  <c r="N2668" i="9"/>
  <c r="I2670" i="9"/>
  <c r="J2669" i="9" a="1"/>
  <c r="O2668" i="9" l="1"/>
  <c r="R2668" i="9" s="1"/>
  <c r="I2671" i="9"/>
  <c r="L2669" i="9"/>
  <c r="M2669" i="9"/>
  <c r="N2669" i="9"/>
  <c r="J2669" i="9"/>
  <c r="K2669" i="9"/>
  <c r="J2670" i="9" a="1"/>
  <c r="O2669" i="9" l="1"/>
  <c r="R2669" i="9" s="1"/>
  <c r="L2670" i="9"/>
  <c r="N2670" i="9"/>
  <c r="K2670" i="9"/>
  <c r="M2670" i="9"/>
  <c r="J2670" i="9"/>
  <c r="I2672" i="9"/>
  <c r="J2671" i="9" a="1"/>
  <c r="O2670" i="9" l="1"/>
  <c r="R2670" i="9" s="1"/>
  <c r="I2673" i="9"/>
  <c r="J2671" i="9"/>
  <c r="L2671" i="9"/>
  <c r="M2671" i="9"/>
  <c r="N2671" i="9"/>
  <c r="K2671" i="9"/>
  <c r="J2672" i="9" a="1"/>
  <c r="O2671" i="9" l="1"/>
  <c r="R2671" i="9" s="1"/>
  <c r="M2672" i="9"/>
  <c r="L2672" i="9"/>
  <c r="N2672" i="9"/>
  <c r="J2672" i="9"/>
  <c r="K2672" i="9"/>
  <c r="I2674" i="9"/>
  <c r="J2673" i="9" a="1"/>
  <c r="P2671" i="9" l="1"/>
  <c r="O2672" i="9"/>
  <c r="R2672" i="9" s="1"/>
  <c r="Q2666" i="9"/>
  <c r="S2666" i="9" s="1"/>
  <c r="T2666" i="9" s="1"/>
  <c r="U2666" i="9" s="1"/>
  <c r="Q2674" i="9"/>
  <c r="Q2671" i="9"/>
  <c r="S2671" i="9" s="1"/>
  <c r="T2671" i="9" s="1"/>
  <c r="U2671" i="9" s="1"/>
  <c r="Q2672" i="9"/>
  <c r="S2672" i="9" s="1"/>
  <c r="T2672" i="9" s="1"/>
  <c r="U2672" i="9" s="1"/>
  <c r="Q2669" i="9"/>
  <c r="S2669" i="9" s="1"/>
  <c r="T2669" i="9" s="1"/>
  <c r="U2669" i="9" s="1"/>
  <c r="Q2667" i="9"/>
  <c r="S2667" i="9" s="1"/>
  <c r="T2667" i="9" s="1"/>
  <c r="U2667" i="9" s="1"/>
  <c r="Q2673" i="9"/>
  <c r="Q2670" i="9"/>
  <c r="S2670" i="9" s="1"/>
  <c r="T2670" i="9" s="1"/>
  <c r="U2670" i="9" s="1"/>
  <c r="Q2668" i="9"/>
  <c r="S2668" i="9" s="1"/>
  <c r="T2668" i="9" s="1"/>
  <c r="U2668" i="9" s="1"/>
  <c r="I2675" i="9"/>
  <c r="J2673" i="9"/>
  <c r="K2673" i="9"/>
  <c r="L2673" i="9"/>
  <c r="M2673" i="9"/>
  <c r="N2673" i="9"/>
  <c r="J2674" i="9" a="1"/>
  <c r="O2673" i="9" l="1"/>
  <c r="R2673" i="9" s="1"/>
  <c r="S2673" i="9" s="1"/>
  <c r="T2673" i="9" s="1"/>
  <c r="U2673" i="9" s="1"/>
  <c r="I2676" i="9"/>
  <c r="L2674" i="9"/>
  <c r="N2674" i="9"/>
  <c r="M2674" i="9"/>
  <c r="K2674" i="9"/>
  <c r="J2674" i="9"/>
  <c r="J2675" i="9" a="1"/>
  <c r="O2674" i="9" l="1"/>
  <c r="R2674" i="9" s="1"/>
  <c r="S2674" i="9" s="1"/>
  <c r="T2674" i="9" s="1"/>
  <c r="U2674" i="9" s="1"/>
  <c r="K2675" i="9"/>
  <c r="J2675" i="9"/>
  <c r="L2675" i="9"/>
  <c r="N2675" i="9"/>
  <c r="M2675" i="9"/>
  <c r="I2677" i="9"/>
  <c r="J2676" i="9" a="1"/>
  <c r="O2675" i="9" l="1"/>
  <c r="R2675" i="9" s="1"/>
  <c r="L2676" i="9"/>
  <c r="N2676" i="9"/>
  <c r="J2676" i="9"/>
  <c r="M2676" i="9"/>
  <c r="K2676" i="9"/>
  <c r="I2678" i="9"/>
  <c r="J2677" i="9" a="1"/>
  <c r="O2676" i="9" l="1"/>
  <c r="R2676" i="9" s="1"/>
  <c r="I2679" i="9"/>
  <c r="N2677" i="9"/>
  <c r="K2677" i="9"/>
  <c r="L2677" i="9"/>
  <c r="M2677" i="9"/>
  <c r="J2677" i="9"/>
  <c r="J2678" i="9" a="1"/>
  <c r="O2677" i="9" l="1"/>
  <c r="R2677" i="9" s="1"/>
  <c r="J2678" i="9"/>
  <c r="L2678" i="9"/>
  <c r="M2678" i="9"/>
  <c r="N2678" i="9"/>
  <c r="K2678" i="9"/>
  <c r="I2680" i="9"/>
  <c r="J2679" i="9" a="1"/>
  <c r="O2678" i="9" l="1"/>
  <c r="R2678" i="9" s="1"/>
  <c r="N2679" i="9"/>
  <c r="K2679" i="9"/>
  <c r="L2679" i="9"/>
  <c r="M2679" i="9"/>
  <c r="J2679" i="9"/>
  <c r="I2681" i="9"/>
  <c r="J2680" i="9" a="1"/>
  <c r="O2679" i="9" l="1"/>
  <c r="R2679" i="9" s="1"/>
  <c r="I2682" i="9"/>
  <c r="J2680" i="9"/>
  <c r="N2680" i="9"/>
  <c r="M2680" i="9"/>
  <c r="K2680" i="9"/>
  <c r="L2680" i="9"/>
  <c r="J2681" i="9" a="1"/>
  <c r="O2680" i="9" l="1"/>
  <c r="R2680" i="9" s="1"/>
  <c r="J2681" i="9"/>
  <c r="K2681" i="9"/>
  <c r="L2681" i="9"/>
  <c r="M2681" i="9"/>
  <c r="N2681" i="9"/>
  <c r="I2683" i="9"/>
  <c r="J2682" i="9" a="1"/>
  <c r="P2680" i="9" l="1"/>
  <c r="O2681" i="9"/>
  <c r="Q2678" i="9"/>
  <c r="S2678" i="9" s="1"/>
  <c r="T2678" i="9" s="1"/>
  <c r="U2678" i="9" s="1"/>
  <c r="Q2676" i="9"/>
  <c r="S2676" i="9" s="1"/>
  <c r="T2676" i="9" s="1"/>
  <c r="U2676" i="9" s="1"/>
  <c r="Q2681" i="9"/>
  <c r="Q2683" i="9"/>
  <c r="Q2677" i="9"/>
  <c r="S2677" i="9" s="1"/>
  <c r="T2677" i="9" s="1"/>
  <c r="U2677" i="9" s="1"/>
  <c r="Q2680" i="9"/>
  <c r="S2680" i="9" s="1"/>
  <c r="T2680" i="9" s="1"/>
  <c r="U2680" i="9" s="1"/>
  <c r="Q2682" i="9"/>
  <c r="Q2679" i="9"/>
  <c r="S2679" i="9" s="1"/>
  <c r="T2679" i="9" s="1"/>
  <c r="U2679" i="9" s="1"/>
  <c r="Q2675" i="9"/>
  <c r="S2675" i="9" s="1"/>
  <c r="T2675" i="9" s="1"/>
  <c r="U2675" i="9" s="1"/>
  <c r="N2682" i="9"/>
  <c r="J2682" i="9"/>
  <c r="L2682" i="9"/>
  <c r="M2682" i="9"/>
  <c r="K2682" i="9"/>
  <c r="I2684" i="9"/>
  <c r="R2681" i="9"/>
  <c r="J2683" i="9" a="1"/>
  <c r="O2682" i="9" l="1"/>
  <c r="R2682" i="9" s="1"/>
  <c r="S2682" i="9" s="1"/>
  <c r="T2682" i="9" s="1"/>
  <c r="U2682" i="9" s="1"/>
  <c r="L2683" i="9"/>
  <c r="M2683" i="9"/>
  <c r="N2683" i="9"/>
  <c r="K2683" i="9"/>
  <c r="J2683" i="9"/>
  <c r="S2681" i="9"/>
  <c r="T2681" i="9" s="1"/>
  <c r="U2681" i="9" s="1"/>
  <c r="I2685" i="9"/>
  <c r="J2684" i="9" a="1"/>
  <c r="O2683" i="9" l="1"/>
  <c r="R2683" i="9" s="1"/>
  <c r="S2683" i="9" s="1"/>
  <c r="T2683" i="9" s="1"/>
  <c r="U2683" i="9" s="1"/>
  <c r="N2684" i="9"/>
  <c r="J2684" i="9"/>
  <c r="K2684" i="9"/>
  <c r="M2684" i="9"/>
  <c r="L2684" i="9"/>
  <c r="I2686" i="9"/>
  <c r="J2685" i="9" a="1"/>
  <c r="O2684" i="9" l="1"/>
  <c r="R2684" i="9" s="1"/>
  <c r="I2687" i="9"/>
  <c r="M2685" i="9"/>
  <c r="J2685" i="9"/>
  <c r="K2685" i="9"/>
  <c r="L2685" i="9"/>
  <c r="N2685" i="9"/>
  <c r="J2686" i="9" a="1"/>
  <c r="O2685" i="9" l="1"/>
  <c r="R2685" i="9" s="1"/>
  <c r="K2686" i="9"/>
  <c r="M2686" i="9"/>
  <c r="L2686" i="9"/>
  <c r="N2686" i="9"/>
  <c r="J2686" i="9"/>
  <c r="I2688" i="9"/>
  <c r="J2687" i="9" a="1"/>
  <c r="O2686" i="9" l="1"/>
  <c r="R2686" i="9" s="1"/>
  <c r="I2689" i="9"/>
  <c r="M2687" i="9"/>
  <c r="N2687" i="9"/>
  <c r="K2687" i="9"/>
  <c r="L2687" i="9"/>
  <c r="J2687" i="9"/>
  <c r="J2688" i="9" a="1"/>
  <c r="O2687" i="9" l="1"/>
  <c r="R2687" i="9" s="1"/>
  <c r="J2688" i="9"/>
  <c r="K2688" i="9"/>
  <c r="L2688" i="9"/>
  <c r="N2688" i="9"/>
  <c r="M2688" i="9"/>
  <c r="I2690" i="9"/>
  <c r="J2689" i="9" a="1"/>
  <c r="O2688" i="9" l="1"/>
  <c r="R2688" i="9" s="1"/>
  <c r="N2689" i="9"/>
  <c r="K2689" i="9"/>
  <c r="J2689" i="9"/>
  <c r="L2689" i="9"/>
  <c r="M2689" i="9"/>
  <c r="I2691" i="9"/>
  <c r="J2690" i="9" a="1"/>
  <c r="O2689" i="9" l="1"/>
  <c r="P2689" i="9" s="1"/>
  <c r="I2692" i="9"/>
  <c r="M2690" i="9"/>
  <c r="L2690" i="9"/>
  <c r="N2690" i="9"/>
  <c r="J2690" i="9"/>
  <c r="K2690" i="9"/>
  <c r="J2692" i="9" a="1"/>
  <c r="J2691" i="9" a="1"/>
  <c r="R2689" i="9" l="1"/>
  <c r="O2690" i="9"/>
  <c r="R2690" i="9" s="1"/>
  <c r="Q2686" i="9"/>
  <c r="S2686" i="9" s="1"/>
  <c r="T2686" i="9" s="1"/>
  <c r="U2686" i="9" s="1"/>
  <c r="Q2692" i="9"/>
  <c r="Q2687" i="9"/>
  <c r="S2687" i="9" s="1"/>
  <c r="T2687" i="9" s="1"/>
  <c r="U2687" i="9" s="1"/>
  <c r="Q2688" i="9"/>
  <c r="S2688" i="9" s="1"/>
  <c r="T2688" i="9" s="1"/>
  <c r="U2688" i="9" s="1"/>
  <c r="Q2689" i="9"/>
  <c r="S2689" i="9" s="1"/>
  <c r="T2689" i="9" s="1"/>
  <c r="U2689" i="9" s="1"/>
  <c r="Q2690" i="9"/>
  <c r="Q2685" i="9"/>
  <c r="S2685" i="9" s="1"/>
  <c r="T2685" i="9" s="1"/>
  <c r="U2685" i="9" s="1"/>
  <c r="Q2691" i="9"/>
  <c r="Q2684" i="9"/>
  <c r="S2684" i="9" s="1"/>
  <c r="T2684" i="9" s="1"/>
  <c r="U2684" i="9" s="1"/>
  <c r="J2691" i="9"/>
  <c r="L2691" i="9"/>
  <c r="N2691" i="9"/>
  <c r="K2691" i="9"/>
  <c r="M2691" i="9"/>
  <c r="J2692" i="9"/>
  <c r="M2692" i="9"/>
  <c r="N2692" i="9"/>
  <c r="K2692" i="9"/>
  <c r="L2692" i="9"/>
  <c r="O2691" i="9" l="1"/>
  <c r="R2691" i="9" s="1"/>
  <c r="S2691" i="9" s="1"/>
  <c r="T2691" i="9" s="1"/>
  <c r="U2691" i="9" s="1"/>
  <c r="S2690" i="9"/>
  <c r="T2690" i="9" s="1"/>
  <c r="U2690" i="9" s="1"/>
  <c r="O2692" i="9"/>
  <c r="R2692" i="9" s="1"/>
  <c r="S2692" i="9" s="1"/>
  <c r="T2692" i="9" s="1"/>
  <c r="U2692" i="9" l="1"/>
  <c r="AC7" i="9"/>
  <c r="AD7" i="9"/>
  <c r="AC5" i="9"/>
  <c r="AC3" i="9"/>
  <c r="AD5" i="9"/>
  <c r="AC4" i="9"/>
  <c r="AC8" i="9"/>
  <c r="AD4" i="9"/>
  <c r="AD8" i="9"/>
  <c r="AD3" i="9"/>
  <c r="AD6" i="9"/>
  <c r="AC6" i="9"/>
  <c r="AA4" i="9" l="1"/>
  <c r="AA3" i="9"/>
  <c r="AA8" i="9"/>
  <c r="AA7" i="9"/>
  <c r="AA6" i="9"/>
  <c r="AA5" i="9"/>
  <c r="AB3" i="9" a="1"/>
  <c r="AB3" i="9" s="1"/>
  <c r="AB5" i="9" a="1"/>
  <c r="AB5" i="9" s="1"/>
  <c r="AB4" i="9" a="1"/>
  <c r="AB4" i="9" s="1"/>
  <c r="AB6" i="9" a="1"/>
  <c r="AB6" i="9" s="1"/>
  <c r="AB7" i="9" a="1"/>
  <c r="AB7" i="9" s="1"/>
  <c r="AF5" i="9"/>
  <c r="AH5" i="9"/>
  <c r="AJ5" i="9" s="1"/>
  <c r="AF6" i="9"/>
  <c r="AH6" i="9"/>
  <c r="AJ6" i="9" s="1"/>
  <c r="AF3" i="9"/>
  <c r="AH3" i="9"/>
  <c r="AJ3" i="9" s="1"/>
  <c r="AG3" i="9"/>
  <c r="AE3" i="9"/>
  <c r="AE5" i="9"/>
  <c r="AG5" i="9"/>
  <c r="AH4" i="9"/>
  <c r="AJ4" i="9" s="1"/>
  <c r="AF4" i="9"/>
  <c r="AH7" i="9"/>
  <c r="AJ7" i="9" s="1"/>
  <c r="AF7" i="9"/>
  <c r="AG7" i="9"/>
  <c r="AE7" i="9"/>
  <c r="AG6" i="9"/>
  <c r="AE6" i="9"/>
  <c r="AE4" i="9"/>
  <c r="AG4" i="9"/>
  <c r="AI6" i="9" l="1"/>
  <c r="AK6" i="9" s="1"/>
  <c r="AL6" i="9" s="1"/>
  <c r="AM6" i="9" s="1"/>
  <c r="AN6" i="9" s="1"/>
  <c r="AI5" i="9"/>
  <c r="AK5" i="9" s="1"/>
  <c r="AL5" i="9" s="1"/>
  <c r="AM5" i="9" s="1"/>
  <c r="AN5" i="9" s="1"/>
  <c r="AI7" i="9"/>
  <c r="AK7" i="9" s="1"/>
  <c r="AL7" i="9" s="1"/>
  <c r="AM7" i="9" s="1"/>
  <c r="AN7" i="9" s="1"/>
  <c r="AI4" i="9"/>
  <c r="AK4" i="9" s="1"/>
  <c r="AI3" i="9"/>
  <c r="AK3" i="9" s="1"/>
  <c r="AL3" i="9" s="1"/>
  <c r="AM3" i="9" s="1"/>
  <c r="AN3" i="9" s="1"/>
  <c r="AL4" i="9" l="1"/>
  <c r="AM4" i="9" s="1"/>
  <c r="AN4" i="9" s="1"/>
</calcChain>
</file>

<file path=xl/sharedStrings.xml><?xml version="1.0" encoding="utf-8"?>
<sst xmlns="http://schemas.openxmlformats.org/spreadsheetml/2006/main" count="76" uniqueCount="38">
  <si>
    <t>m (target market)</t>
  </si>
  <si>
    <t>vc</t>
  </si>
  <si>
    <t>d(p) - fraction</t>
  </si>
  <si>
    <t>d(p) - total</t>
  </si>
  <si>
    <t>Z</t>
  </si>
  <si>
    <t>H(p)</t>
  </si>
  <si>
    <t>Mean</t>
  </si>
  <si>
    <t>Std.dev</t>
  </si>
  <si>
    <t>Optimal price</t>
  </si>
  <si>
    <t>Q=1 min</t>
  </si>
  <si>
    <t>MW</t>
  </si>
  <si>
    <t>WE</t>
  </si>
  <si>
    <t>Q=5 min</t>
  </si>
  <si>
    <t>Q=10 min</t>
  </si>
  <si>
    <t>QUE_5</t>
  </si>
  <si>
    <t>QUE_10</t>
  </si>
  <si>
    <t>WEEKEND</t>
  </si>
  <si>
    <t>PRICE</t>
  </si>
  <si>
    <t>RATING</t>
  </si>
  <si>
    <t>ID</t>
  </si>
  <si>
    <t>u*</t>
  </si>
  <si>
    <t>CONSTANT</t>
  </si>
  <si>
    <t>OFFSET</t>
  </si>
  <si>
    <t>u</t>
  </si>
  <si>
    <t>u*-step-1</t>
  </si>
  <si>
    <t>RP</t>
  </si>
  <si>
    <t>u_ip</t>
  </si>
  <si>
    <t>u_itp</t>
  </si>
  <si>
    <t>PROFILE</t>
  </si>
  <si>
    <t>QUE</t>
  </si>
  <si>
    <t>RP_R</t>
  </si>
  <si>
    <t>UNIQUE-PROFILE</t>
  </si>
  <si>
    <t>QUEUE</t>
  </si>
  <si>
    <t>1 MIN</t>
  </si>
  <si>
    <t>5 MIN</t>
  </si>
  <si>
    <t>MIDWEEK</t>
  </si>
  <si>
    <t>10 MIN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</si>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</sst>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164" fontId="0" fillId="2" borderId="1" xfId="0" applyNumberFormat="1" applyFill="1" applyBorder="1"/>
    <xf numFmtId="0" fontId="0" fillId="3" borderId="1" xfId="0" applyFill="1" applyBorder="1"/>
    <xf numFmtId="164" fontId="0" fillId="3" borderId="1" xfId="0" applyNumberFormat="1" applyFill="1" applyBorder="1"/>
    <xf numFmtId="2" fontId="0" fillId="0" borderId="0" xfId="0" applyNumberFormat="1"/>
    <xf numFmtId="0" fontId="0" fillId="0" borderId="1" xfId="0" applyFill="1" applyBorder="1"/>
    <xf numFmtId="165" fontId="0" fillId="0" borderId="1" xfId="0" applyNumberFormat="1" applyBorder="1"/>
    <xf numFmtId="2" fontId="0" fillId="0" borderId="1" xfId="0" applyNumberFormat="1" applyBorder="1"/>
    <xf numFmtId="165" fontId="0" fillId="0" borderId="1" xfId="0" applyNumberFormat="1" applyFont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228600</xdr:colOff>
      <xdr:row>1</xdr:row>
      <xdr:rowOff>4762</xdr:rowOff>
    </xdr:from>
    <xdr:ext cx="15998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9E2C43-D9CD-4A3E-AEB4-669E42DB84D7}"/>
                </a:ext>
              </a:extLst>
            </xdr:cNvPr>
            <xdr:cNvSpPr txBox="1"/>
          </xdr:nvSpPr>
          <xdr:spPr>
            <a:xfrm>
              <a:off x="15697200" y="195262"/>
              <a:ext cx="1599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29E2C43-D9CD-4A3E-AEB4-669E42DB84D7}"/>
                </a:ext>
              </a:extLst>
            </xdr:cNvPr>
            <xdr:cNvSpPr txBox="1"/>
          </xdr:nvSpPr>
          <xdr:spPr>
            <a:xfrm>
              <a:off x="15697200" y="195262"/>
              <a:ext cx="15998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𝑝_𝑡 )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27</xdr:col>
      <xdr:colOff>276225</xdr:colOff>
      <xdr:row>1</xdr:row>
      <xdr:rowOff>4762</xdr:rowOff>
    </xdr:from>
    <xdr:ext cx="1474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33E433E-6E9D-4697-B4EB-C583EB000FC0}"/>
                </a:ext>
              </a:extLst>
            </xdr:cNvPr>
            <xdr:cNvSpPr txBox="1"/>
          </xdr:nvSpPr>
          <xdr:spPr>
            <a:xfrm>
              <a:off x="16354425" y="195262"/>
              <a:ext cx="1474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33E433E-6E9D-4697-B4EB-C583EB000FC0}"/>
                </a:ext>
              </a:extLst>
            </xdr:cNvPr>
            <xdr:cNvSpPr txBox="1"/>
          </xdr:nvSpPr>
          <xdr:spPr>
            <a:xfrm>
              <a:off x="16354425" y="195262"/>
              <a:ext cx="1474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𝑠</a:t>
              </a:r>
              <a:r>
                <a:rPr lang="en-US" sz="1100" b="0" i="0">
                  <a:latin typeface="Cambria Math" panose="02040503050406030204" pitchFamily="18" charset="0"/>
                </a:rPr>
                <a:t>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28</xdr:col>
      <xdr:colOff>238125</xdr:colOff>
      <xdr:row>1</xdr:row>
      <xdr:rowOff>4762</xdr:rowOff>
    </xdr:from>
    <xdr:ext cx="21531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F485652-B2F9-448F-9C44-5A51DAFF2349}"/>
                </a:ext>
              </a:extLst>
            </xdr:cNvPr>
            <xdr:cNvSpPr txBox="1"/>
          </xdr:nvSpPr>
          <xdr:spPr>
            <a:xfrm>
              <a:off x="16925925" y="195262"/>
              <a:ext cx="2153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2F485652-B2F9-448F-9C44-5A51DAFF2349}"/>
                </a:ext>
              </a:extLst>
            </xdr:cNvPr>
            <xdr:cNvSpPr txBox="1"/>
          </xdr:nvSpPr>
          <xdr:spPr>
            <a:xfrm>
              <a:off x="16925925" y="195262"/>
              <a:ext cx="21531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𝑞_1𝑡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29</xdr:col>
      <xdr:colOff>228600</xdr:colOff>
      <xdr:row>0</xdr:row>
      <xdr:rowOff>185737</xdr:rowOff>
    </xdr:from>
    <xdr:ext cx="2185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695172C-2730-4A45-8BB2-4DFDB0EEF96D}"/>
                </a:ext>
              </a:extLst>
            </xdr:cNvPr>
            <xdr:cNvSpPr txBox="1"/>
          </xdr:nvSpPr>
          <xdr:spPr>
            <a:xfrm>
              <a:off x="17526000" y="185737"/>
              <a:ext cx="218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695172C-2730-4A45-8BB2-4DFDB0EEF96D}"/>
                </a:ext>
              </a:extLst>
            </xdr:cNvPr>
            <xdr:cNvSpPr txBox="1"/>
          </xdr:nvSpPr>
          <xdr:spPr>
            <a:xfrm>
              <a:off x="17526000" y="185737"/>
              <a:ext cx="218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𝑞_2𝑡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39</xdr:col>
      <xdr:colOff>266700</xdr:colOff>
      <xdr:row>1</xdr:row>
      <xdr:rowOff>0</xdr:rowOff>
    </xdr:from>
    <xdr:ext cx="1631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E420DAC-F41B-49F1-B5A2-D9F98E0D5859}"/>
                </a:ext>
              </a:extLst>
            </xdr:cNvPr>
            <xdr:cNvSpPr txBox="1"/>
          </xdr:nvSpPr>
          <xdr:spPr>
            <a:xfrm>
              <a:off x="2366010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𝜇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1E420DAC-F41B-49F1-B5A2-D9F98E0D5859}"/>
                </a:ext>
              </a:extLst>
            </xdr:cNvPr>
            <xdr:cNvSpPr txBox="1"/>
          </xdr:nvSpPr>
          <xdr:spPr>
            <a:xfrm>
              <a:off x="2366010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𝜇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  <xdr:oneCellAnchor>
    <xdr:from>
      <xdr:col>38</xdr:col>
      <xdr:colOff>228600</xdr:colOff>
      <xdr:row>1</xdr:row>
      <xdr:rowOff>4762</xdr:rowOff>
    </xdr:from>
    <xdr:ext cx="18806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AC9384C-A5EC-484A-960A-F60153446A8E}"/>
                </a:ext>
              </a:extLst>
            </xdr:cNvPr>
            <xdr:cNvSpPr txBox="1"/>
          </xdr:nvSpPr>
          <xdr:spPr>
            <a:xfrm>
              <a:off x="2301240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6AC9384C-A5EC-484A-960A-F60153446A8E}"/>
                </a:ext>
              </a:extLst>
            </xdr:cNvPr>
            <xdr:cNvSpPr txBox="1"/>
          </xdr:nvSpPr>
          <xdr:spPr>
            <a:xfrm>
              <a:off x="2301240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𝜎 ̂_𝑡^2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32</xdr:col>
      <xdr:colOff>142875</xdr:colOff>
      <xdr:row>0</xdr:row>
      <xdr:rowOff>171450</xdr:rowOff>
    </xdr:from>
    <xdr:ext cx="372603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C89D7221-436F-4EAD-AD51-210F12FF4027}"/>
                </a:ext>
              </a:extLst>
            </xdr:cNvPr>
            <xdr:cNvSpPr txBox="1"/>
          </xdr:nvSpPr>
          <xdr:spPr>
            <a:xfrm>
              <a:off x="19269075" y="171450"/>
              <a:ext cx="372603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C89D7221-436F-4EAD-AD51-210F12FF4027}"/>
                </a:ext>
              </a:extLst>
            </xdr:cNvPr>
            <xdr:cNvSpPr txBox="1"/>
          </xdr:nvSpPr>
          <xdr:spPr>
            <a:xfrm>
              <a:off x="19269075" y="171450"/>
              <a:ext cx="372603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𝑧_(𝑡,𝑚𝑖𝑛)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33</xdr:col>
      <xdr:colOff>114300</xdr:colOff>
      <xdr:row>0</xdr:row>
      <xdr:rowOff>180975</xdr:rowOff>
    </xdr:from>
    <xdr:ext cx="39581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BADAB22-B84A-4F31-ACC6-0BF7D3A863AA}"/>
                </a:ext>
              </a:extLst>
            </xdr:cNvPr>
            <xdr:cNvSpPr txBox="1"/>
          </xdr:nvSpPr>
          <xdr:spPr>
            <a:xfrm>
              <a:off x="19850100" y="180975"/>
              <a:ext cx="39581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BADAB22-B84A-4F31-ACC6-0BF7D3A863AA}"/>
                </a:ext>
              </a:extLst>
            </xdr:cNvPr>
            <xdr:cNvSpPr txBox="1"/>
          </xdr:nvSpPr>
          <xdr:spPr>
            <a:xfrm>
              <a:off x="19850100" y="180975"/>
              <a:ext cx="39581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𝑧_(𝑡,𝑚𝑎𝑥)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36</xdr:col>
      <xdr:colOff>219075</xdr:colOff>
      <xdr:row>1</xdr:row>
      <xdr:rowOff>14287</xdr:rowOff>
    </xdr:from>
    <xdr:ext cx="1258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C0675CC-FBED-4DB8-81A5-DC4F06D0C402}"/>
                </a:ext>
              </a:extLst>
            </xdr:cNvPr>
            <xdr:cNvSpPr txBox="1"/>
          </xdr:nvSpPr>
          <xdr:spPr>
            <a:xfrm>
              <a:off x="21783675" y="204787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C0675CC-FBED-4DB8-81A5-DC4F06D0C402}"/>
                </a:ext>
              </a:extLst>
            </xdr:cNvPr>
            <xdr:cNvSpPr txBox="1"/>
          </xdr:nvSpPr>
          <xdr:spPr>
            <a:xfrm>
              <a:off x="21783675" y="204787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37</xdr:col>
      <xdr:colOff>247650</xdr:colOff>
      <xdr:row>1</xdr:row>
      <xdr:rowOff>23812</xdr:rowOff>
    </xdr:from>
    <xdr:ext cx="1258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4F34B2B-4455-409D-9F15-0E8EC72D8861}"/>
                </a:ext>
              </a:extLst>
            </xdr:cNvPr>
            <xdr:cNvSpPr txBox="1"/>
          </xdr:nvSpPr>
          <xdr:spPr>
            <a:xfrm>
              <a:off x="22421850" y="214312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F4F34B2B-4455-409D-9F15-0E8EC72D8861}"/>
                </a:ext>
              </a:extLst>
            </xdr:cNvPr>
            <xdr:cNvSpPr txBox="1"/>
          </xdr:nvSpPr>
          <xdr:spPr>
            <a:xfrm>
              <a:off x="22421850" y="214312"/>
              <a:ext cx="1258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34</xdr:col>
      <xdr:colOff>28575</xdr:colOff>
      <xdr:row>0</xdr:row>
      <xdr:rowOff>185737</xdr:rowOff>
    </xdr:from>
    <xdr:ext cx="571375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7BDA0FD-194E-43CB-8DFE-8109AEEDA53A}"/>
                </a:ext>
              </a:extLst>
            </xdr:cNvPr>
            <xdr:cNvSpPr txBox="1"/>
          </xdr:nvSpPr>
          <xdr:spPr>
            <a:xfrm>
              <a:off x="20373975" y="185737"/>
              <a:ext cx="57137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7BDA0FD-194E-43CB-8DFE-8109AEEDA53A}"/>
                </a:ext>
              </a:extLst>
            </xdr:cNvPr>
            <xdr:cNvSpPr txBox="1"/>
          </xdr:nvSpPr>
          <xdr:spPr>
            <a:xfrm>
              <a:off x="20373975" y="185737"/>
              <a:ext cx="571375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𝑓(𝑧_(𝑡,𝑚𝑖𝑛))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35</xdr:col>
      <xdr:colOff>38100</xdr:colOff>
      <xdr:row>1</xdr:row>
      <xdr:rowOff>4762</xdr:rowOff>
    </xdr:from>
    <xdr:ext cx="594586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D99D25F-EFAA-465A-BAB1-D7B1859817AF}"/>
                </a:ext>
              </a:extLst>
            </xdr:cNvPr>
            <xdr:cNvSpPr txBox="1"/>
          </xdr:nvSpPr>
          <xdr:spPr>
            <a:xfrm>
              <a:off x="20993100" y="195262"/>
              <a:ext cx="594586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D99D25F-EFAA-465A-BAB1-D7B1859817AF}"/>
                </a:ext>
              </a:extLst>
            </xdr:cNvPr>
            <xdr:cNvSpPr txBox="1"/>
          </xdr:nvSpPr>
          <xdr:spPr>
            <a:xfrm>
              <a:off x="20993100" y="195262"/>
              <a:ext cx="594586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𝑓(𝑧_(𝑡,𝑚𝑎𝑥))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30</xdr:col>
      <xdr:colOff>19050</xdr:colOff>
      <xdr:row>0</xdr:row>
      <xdr:rowOff>180975</xdr:rowOff>
    </xdr:from>
    <xdr:ext cx="60830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3D8756D8-FC22-4BF2-A831-7B2E901ACDBE}"/>
                </a:ext>
              </a:extLst>
            </xdr:cNvPr>
            <xdr:cNvSpPr txBox="1"/>
          </xdr:nvSpPr>
          <xdr:spPr>
            <a:xfrm>
              <a:off x="17926050" y="180975"/>
              <a:ext cx="60830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.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3D8756D8-FC22-4BF2-A831-7B2E901ACDBE}"/>
                </a:ext>
              </a:extLst>
            </xdr:cNvPr>
            <xdr:cNvSpPr txBox="1"/>
          </xdr:nvSpPr>
          <xdr:spPr>
            <a:xfrm>
              <a:off x="17926050" y="180975"/>
              <a:ext cx="60830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〖𝐹(𝑧_(𝑡,𝑚𝑖𝑛))〗_.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31</xdr:col>
      <xdr:colOff>28575</xdr:colOff>
      <xdr:row>0</xdr:row>
      <xdr:rowOff>180975</xdr:rowOff>
    </xdr:from>
    <xdr:ext cx="631520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122E521-CD7A-4F74-A2E1-5D4E322DC422}"/>
                </a:ext>
              </a:extLst>
            </xdr:cNvPr>
            <xdr:cNvSpPr txBox="1"/>
          </xdr:nvSpPr>
          <xdr:spPr>
            <a:xfrm>
              <a:off x="18545175" y="180975"/>
              <a:ext cx="63152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𝑚𝑎𝑥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.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122E521-CD7A-4F74-A2E1-5D4E322DC422}"/>
                </a:ext>
              </a:extLst>
            </xdr:cNvPr>
            <xdr:cNvSpPr txBox="1"/>
          </xdr:nvSpPr>
          <xdr:spPr>
            <a:xfrm>
              <a:off x="18545175" y="180975"/>
              <a:ext cx="631520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〖𝐹(𝑧_(𝑡,𝑚𝑎𝑥))〗_.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266700</xdr:colOff>
      <xdr:row>2</xdr:row>
      <xdr:rowOff>0</xdr:rowOff>
    </xdr:from>
    <xdr:ext cx="1631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880065-810C-4248-BA3A-E080ECD932A1}"/>
                </a:ext>
              </a:extLst>
            </xdr:cNvPr>
            <xdr:cNvSpPr txBox="1"/>
          </xdr:nvSpPr>
          <xdr:spPr>
            <a:xfrm>
              <a:off x="2428875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𝜇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880065-810C-4248-BA3A-E080ECD932A1}"/>
                </a:ext>
              </a:extLst>
            </xdr:cNvPr>
            <xdr:cNvSpPr txBox="1"/>
          </xdr:nvSpPr>
          <xdr:spPr>
            <a:xfrm>
              <a:off x="24288750" y="190500"/>
              <a:ext cx="1631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𝜇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  <xdr:oneCellAnchor>
    <xdr:from>
      <xdr:col>4</xdr:col>
      <xdr:colOff>228600</xdr:colOff>
      <xdr:row>2</xdr:row>
      <xdr:rowOff>4762</xdr:rowOff>
    </xdr:from>
    <xdr:ext cx="18806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70E59A0-2BAC-4448-8602-A5C978CB3A85}"/>
                </a:ext>
              </a:extLst>
            </xdr:cNvPr>
            <xdr:cNvSpPr txBox="1"/>
          </xdr:nvSpPr>
          <xdr:spPr>
            <a:xfrm>
              <a:off x="2364105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acc>
                          <m:accPr>
                            <m:chr m:val="̂"/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</m:acc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70E59A0-2BAC-4448-8602-A5C978CB3A85}"/>
                </a:ext>
              </a:extLst>
            </xdr:cNvPr>
            <xdr:cNvSpPr txBox="1"/>
          </xdr:nvSpPr>
          <xdr:spPr>
            <a:xfrm>
              <a:off x="23641050" y="195262"/>
              <a:ext cx="18806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𝜎 ̂_𝑡^2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314325</xdr:colOff>
      <xdr:row>2</xdr:row>
      <xdr:rowOff>0</xdr:rowOff>
    </xdr:from>
    <xdr:ext cx="15869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EA2D338-614A-43AA-B72C-00027FAE0D82}"/>
                </a:ext>
              </a:extLst>
            </xdr:cNvPr>
            <xdr:cNvSpPr txBox="1"/>
          </xdr:nvSpPr>
          <xdr:spPr>
            <a:xfrm>
              <a:off x="2266950" y="381000"/>
              <a:ext cx="158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acc>
                        <m:accPr>
                          <m:chr m:val="̂"/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acc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𝜎</m:t>
                          </m:r>
                        </m:e>
                      </m:acc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2EA2D338-614A-43AA-B72C-00027FAE0D82}"/>
                </a:ext>
              </a:extLst>
            </xdr:cNvPr>
            <xdr:cNvSpPr txBox="1"/>
          </xdr:nvSpPr>
          <xdr:spPr>
            <a:xfrm>
              <a:off x="2266950" y="381000"/>
              <a:ext cx="15869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𝜎 ̂_𝑡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E00A-0D0B-49A2-B8A2-37FB2E0D20DF}">
  <sheetPr>
    <tabColor rgb="FF00B050"/>
  </sheetPr>
  <dimension ref="A1:AN2692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140625" customWidth="1"/>
    <col min="2" max="2" width="8.140625" bestFit="1" customWidth="1"/>
    <col min="3" max="3" width="7.7109375" bestFit="1" customWidth="1"/>
    <col min="4" max="4" width="10.7109375" bestFit="1" customWidth="1"/>
    <col min="5" max="5" width="6.7109375" bestFit="1" customWidth="1"/>
    <col min="6" max="6" width="7.7109375" bestFit="1" customWidth="1"/>
    <col min="7" max="7" width="9.7109375" bestFit="1" customWidth="1"/>
    <col min="8" max="8" width="6" bestFit="1" customWidth="1"/>
    <col min="9" max="9" width="7.42578125" customWidth="1"/>
    <col min="10" max="14" width="9.140625" customWidth="1"/>
    <col min="15" max="15" width="9.85546875" customWidth="1"/>
    <col min="16" max="16" width="12.7109375" customWidth="1"/>
    <col min="17" max="17" width="10.85546875" customWidth="1"/>
    <col min="18" max="18" width="10.28515625" customWidth="1"/>
    <col min="19" max="19" width="8.85546875" customWidth="1"/>
    <col min="20" max="20" width="9.85546875" customWidth="1"/>
    <col min="21" max="21" width="10.42578125" customWidth="1"/>
    <col min="22" max="22" width="16" bestFit="1" customWidth="1"/>
  </cols>
  <sheetData>
    <row r="1" spans="1:40" x14ac:dyDescent="0.25">
      <c r="A1" t="s">
        <v>19</v>
      </c>
      <c r="B1" t="s">
        <v>28</v>
      </c>
      <c r="C1" t="s">
        <v>18</v>
      </c>
      <c r="D1" t="s">
        <v>21</v>
      </c>
      <c r="E1" t="s">
        <v>14</v>
      </c>
      <c r="F1" t="s">
        <v>15</v>
      </c>
      <c r="G1" t="s">
        <v>16</v>
      </c>
      <c r="H1" t="s">
        <v>17</v>
      </c>
      <c r="I1" t="s">
        <v>22</v>
      </c>
      <c r="J1" t="s">
        <v>21</v>
      </c>
      <c r="K1" t="s">
        <v>14</v>
      </c>
      <c r="L1" t="s">
        <v>15</v>
      </c>
      <c r="M1" t="s">
        <v>16</v>
      </c>
      <c r="N1" t="s">
        <v>17</v>
      </c>
      <c r="O1" t="s">
        <v>23</v>
      </c>
      <c r="P1" t="s">
        <v>24</v>
      </c>
      <c r="Q1" t="s">
        <v>20</v>
      </c>
      <c r="R1" t="s">
        <v>27</v>
      </c>
      <c r="S1" t="s">
        <v>26</v>
      </c>
      <c r="T1" t="s">
        <v>25</v>
      </c>
      <c r="U1" t="s">
        <v>30</v>
      </c>
      <c r="V1" t="s">
        <v>31</v>
      </c>
    </row>
    <row r="2" spans="1:40" x14ac:dyDescent="0.25">
      <c r="A2">
        <v>1</v>
      </c>
      <c r="B2">
        <v>1</v>
      </c>
      <c r="C2">
        <v>80</v>
      </c>
      <c r="D2">
        <v>1</v>
      </c>
      <c r="E2">
        <v>0</v>
      </c>
      <c r="F2">
        <v>1</v>
      </c>
      <c r="G2">
        <v>0</v>
      </c>
      <c r="H2">
        <v>250</v>
      </c>
      <c r="I2">
        <v>0</v>
      </c>
      <c r="J2" s="6">
        <f t="array" aca="1" ref="J2:N2" ca="1">TRANSPOSE(ols(OFFSET($C$2:$C$10,I2,0),OFFSET($D$2:$H$10,I2,0)))</f>
        <v>235.11904761904498</v>
      </c>
      <c r="K2" s="6">
        <f ca="1"/>
        <v>-36.428571428570649</v>
      </c>
      <c r="L2" s="6">
        <f ca="1"/>
        <v>-62.38095238095093</v>
      </c>
      <c r="M2" s="6">
        <f ca="1"/>
        <v>-8.8095238095239665</v>
      </c>
      <c r="N2" s="6">
        <f ca="1"/>
        <v>-0.35952380952380647</v>
      </c>
      <c r="O2" s="6">
        <f ca="1">SUMPRODUCT(J2:N2,D2:H2)</f>
        <v>82.857142857142435</v>
      </c>
      <c r="P2" t="str">
        <f>IF(AND(F2=1,G2=1,H2=350),O2,"NA")</f>
        <v>NA</v>
      </c>
      <c r="Q2" s="10">
        <f ca="1">AVERAGEIF($A$2:$A$5383,A2,$P$2:$P$5383)</f>
        <v>38.095238095237818</v>
      </c>
      <c r="R2" s="10">
        <f ca="1">O2-N2*H2</f>
        <v>172.73809523809405</v>
      </c>
      <c r="S2" s="10">
        <f ca="1">Q2-R2</f>
        <v>-134.64285714285623</v>
      </c>
      <c r="T2" s="10">
        <f ca="1">S2/N2</f>
        <v>374.50331125827881</v>
      </c>
      <c r="U2" s="10">
        <f ca="1">IF(OR(T2&lt;250,T2&gt;650),"OR",T2)</f>
        <v>374.50331125827881</v>
      </c>
      <c r="V2">
        <f t="shared" ref="V2:V33" si="0">IF(AND(E2=1,G2=0),2,IF(AND(F2=1,G2=0),3,IF(AND(E2=1,G2=1),5,IF(AND(F2=1,G2=1),6,IF(G2=0,1,IF(G2=1,4))))))</f>
        <v>3</v>
      </c>
      <c r="X2" s="1" t="s">
        <v>28</v>
      </c>
      <c r="Y2" s="1" t="s">
        <v>29</v>
      </c>
      <c r="Z2" s="1" t="s">
        <v>16</v>
      </c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"/>
      <c r="AN2" s="1"/>
    </row>
    <row r="3" spans="1:40" x14ac:dyDescent="0.25">
      <c r="A3">
        <v>1</v>
      </c>
      <c r="B3">
        <v>2</v>
      </c>
      <c r="C3">
        <v>85</v>
      </c>
      <c r="D3">
        <v>1</v>
      </c>
      <c r="E3">
        <v>1</v>
      </c>
      <c r="F3">
        <v>0</v>
      </c>
      <c r="G3">
        <v>0</v>
      </c>
      <c r="H3">
        <v>350</v>
      </c>
      <c r="I3">
        <v>0</v>
      </c>
      <c r="J3" s="6">
        <f t="array" aca="1" ref="J3:N3" ca="1">TRANSPOSE(ols(OFFSET($C$2:$C$10,I3,0),OFFSET($D$2:$H$10,I3,0)))</f>
        <v>235.11904761904498</v>
      </c>
      <c r="K3" s="6">
        <f ca="1"/>
        <v>-36.428571428570649</v>
      </c>
      <c r="L3" s="6">
        <f ca="1"/>
        <v>-62.38095238095093</v>
      </c>
      <c r="M3" s="6">
        <f ca="1"/>
        <v>-8.8095238095239665</v>
      </c>
      <c r="N3" s="6">
        <f ca="1"/>
        <v>-0.35952380952380647</v>
      </c>
      <c r="O3" s="6">
        <f t="shared" ref="O3:O66" ca="1" si="1">SUMPRODUCT(J3:N3,D3:H3)</f>
        <v>72.857142857142065</v>
      </c>
      <c r="P3" t="str">
        <f t="shared" ref="P3:P66" si="2">IF(AND(F3=1,G3=1,H3=350),O3,"NA")</f>
        <v>NA</v>
      </c>
      <c r="Q3" s="10">
        <f t="shared" ref="Q3:Q66" ca="1" si="3">AVERAGEIF($A$2:$A$5383,A3,$P$2:$P$5383)</f>
        <v>38.095238095237818</v>
      </c>
      <c r="R3" s="10">
        <f t="shared" ref="R3:R66" ca="1" si="4">O3-N3*H3</f>
        <v>198.69047619047433</v>
      </c>
      <c r="S3" s="10">
        <f t="shared" ref="S3:S66" ca="1" si="5">Q3-R3</f>
        <v>-160.59523809523651</v>
      </c>
      <c r="T3" s="10">
        <f t="shared" ref="T3:T66" ca="1" si="6">S3/N3</f>
        <v>446.68874172185372</v>
      </c>
      <c r="U3" s="10">
        <f t="shared" ref="U3:U66" ca="1" si="7">IF(OR(T3&lt;250,T3&gt;650),"OR",T3)</f>
        <v>446.68874172185372</v>
      </c>
      <c r="V3">
        <f t="shared" si="0"/>
        <v>2</v>
      </c>
      <c r="X3" s="1">
        <v>1</v>
      </c>
      <c r="Y3" s="1">
        <v>1</v>
      </c>
      <c r="Z3" s="1">
        <v>0</v>
      </c>
      <c r="AA3" s="12">
        <f t="shared" ref="AA3:AA8" ca="1" si="8">AVERAGEIF($V$2:$V$5383,X3,$U$2:$U$5383)</f>
        <v>429.97678491729692</v>
      </c>
      <c r="AB3" s="12">
        <f t="array" aca="1" ref="AB3" ca="1">_xlfn.STDEV.S(IF($V$2:$V$5383=X3,IF($U$2:$U$5383&gt;250,IF($U$2:$U$5383&lt;650,$U$2:$U$5383))))</f>
        <v>103.53782199549978</v>
      </c>
      <c r="AC3" s="13">
        <f t="shared" ref="AC3:AC8" ca="1" si="9">COUNTIFS($V$2:$V$5383,$X3,$T$2:$T$5383,"&lt;250")/COUNTIF($V$2:$V$5383,X3)</f>
        <v>0.18394648829431437</v>
      </c>
      <c r="AD3" s="13">
        <f t="shared" ref="AD3:AD8" ca="1" si="10">COUNTIFS($V$2:$V$5383,$X3,$T$2:$T$5383,"&gt;650")/COUNTIF($V$2:$V$5383,X3)</f>
        <v>0.13377926421404682</v>
      </c>
      <c r="AE3" s="13">
        <f ca="1">AC3</f>
        <v>0.18394648829431437</v>
      </c>
      <c r="AF3" s="13">
        <f ca="1">1-AD3</f>
        <v>0.86622073578595316</v>
      </c>
      <c r="AG3" s="13">
        <f ca="1">_xlfn.NORM.S.INV(AC3)</f>
        <v>-0.90042715220211056</v>
      </c>
      <c r="AH3" s="13">
        <f ca="1">_xlfn.NORM.S.INV(1-AD3)</f>
        <v>1.1087025339447956</v>
      </c>
      <c r="AI3" s="13">
        <f ca="1">_xlfn.NORM.DIST(AG3,0,1,FALSE)</f>
        <v>0.2659829522829511</v>
      </c>
      <c r="AJ3" s="13">
        <f ca="1">_xlfn.NORM.DIST(AH3,0,1,FALSE)</f>
        <v>0.21576850382113147</v>
      </c>
      <c r="AK3" s="13">
        <f ca="1">(AI3-AJ3)/((AF3-AE3))</f>
        <v>7.3598627892568977E-2</v>
      </c>
      <c r="AL3" s="13">
        <f ca="1">1+(((AG3*AI3)-(AH3*AJ3))/((1-AD3)-AC3))-AK3^2</f>
        <v>0.29292791649226468</v>
      </c>
      <c r="AM3" s="1">
        <f ca="1">(AB3^2)/AL3</f>
        <v>36596.309125951411</v>
      </c>
      <c r="AN3" s="13">
        <f ca="1">AA3-AK3*SQRT(AM3)</f>
        <v>415.89724830414633</v>
      </c>
    </row>
    <row r="4" spans="1:40" x14ac:dyDescent="0.25">
      <c r="A4">
        <v>1</v>
      </c>
      <c r="B4">
        <v>3</v>
      </c>
      <c r="C4">
        <v>35</v>
      </c>
      <c r="D4">
        <v>1</v>
      </c>
      <c r="E4">
        <v>1</v>
      </c>
      <c r="F4">
        <v>0</v>
      </c>
      <c r="G4">
        <v>0</v>
      </c>
      <c r="H4">
        <v>450</v>
      </c>
      <c r="I4">
        <v>0</v>
      </c>
      <c r="J4" s="6">
        <f t="array" aca="1" ref="J4:N4" ca="1">TRANSPOSE(ols(OFFSET($C$2:$C$10,I4,0),OFFSET($D$2:$H$10,I4,0)))</f>
        <v>235.11904761904498</v>
      </c>
      <c r="K4" s="6">
        <f ca="1"/>
        <v>-36.428571428570649</v>
      </c>
      <c r="L4" s="6">
        <f ca="1"/>
        <v>-62.38095238095093</v>
      </c>
      <c r="M4" s="6">
        <f ca="1"/>
        <v>-8.8095238095239665</v>
      </c>
      <c r="N4" s="6">
        <f ca="1"/>
        <v>-0.35952380952380647</v>
      </c>
      <c r="O4" s="6">
        <f t="shared" ca="1" si="1"/>
        <v>36.904761904761415</v>
      </c>
      <c r="P4" t="str">
        <f t="shared" si="2"/>
        <v>NA</v>
      </c>
      <c r="Q4" s="10">
        <f t="shared" ca="1" si="3"/>
        <v>38.095238095237818</v>
      </c>
      <c r="R4" s="10">
        <f t="shared" ca="1" si="4"/>
        <v>198.69047619047433</v>
      </c>
      <c r="S4" s="10">
        <f t="shared" ca="1" si="5"/>
        <v>-160.59523809523651</v>
      </c>
      <c r="T4" s="10">
        <f t="shared" ca="1" si="6"/>
        <v>446.68874172185372</v>
      </c>
      <c r="U4" s="10">
        <f t="shared" ca="1" si="7"/>
        <v>446.68874172185372</v>
      </c>
      <c r="V4">
        <f t="shared" si="0"/>
        <v>2</v>
      </c>
      <c r="X4" s="1">
        <v>2</v>
      </c>
      <c r="Y4" s="1">
        <v>5</v>
      </c>
      <c r="Z4" s="1">
        <v>0</v>
      </c>
      <c r="AA4" s="12">
        <f t="shared" ca="1" si="8"/>
        <v>409.44043233408047</v>
      </c>
      <c r="AB4" s="12">
        <f t="array" aca="1" ref="AB4" ca="1">_xlfn.STDEV.S(IF($V$2:$V$5383=X4,IF($U$2:$U$5383&gt;250,IF($U$2:$U$5383&lt;650,$U$2:$U$5383))))</f>
        <v>91.515527204541485</v>
      </c>
      <c r="AC4" s="13">
        <f t="shared" ca="1" si="9"/>
        <v>0.16722408026755853</v>
      </c>
      <c r="AD4" s="13">
        <f t="shared" ca="1" si="10"/>
        <v>0.13043478260869565</v>
      </c>
      <c r="AE4" s="13">
        <f t="shared" ref="AE4:AE7" ca="1" si="11">AC4</f>
        <v>0.16722408026755853</v>
      </c>
      <c r="AF4" s="13">
        <f t="shared" ref="AF4:AF7" ca="1" si="12">1-AD4</f>
        <v>0.86956521739130432</v>
      </c>
      <c r="AG4" s="13">
        <f ca="1">_xlfn.NORM.S.INV(AC4)</f>
        <v>-0.96519298376898355</v>
      </c>
      <c r="AH4" s="13">
        <f t="shared" ref="AH4:AH7" ca="1" si="13">_xlfn.NORM.S.INV(1-AD4)</f>
        <v>1.1243382315686392</v>
      </c>
      <c r="AI4" s="13">
        <f t="shared" ref="AI4:AJ7" ca="1" si="14">_xlfn.NORM.DIST(AG4,0,1,FALSE)</f>
        <v>0.2503895732088029</v>
      </c>
      <c r="AJ4" s="13">
        <f t="shared" ca="1" si="14"/>
        <v>0.21203439801418428</v>
      </c>
      <c r="AK4" s="13">
        <f t="shared" ref="AK4:AK7" ca="1" si="15">(AI4-AJ4)/((AF4-AE4))</f>
        <v>5.4610463729480793E-2</v>
      </c>
      <c r="AL4" s="13">
        <f t="shared" ref="AL4:AL7" ca="1" si="16">1+(((AG4*AI4)-(AH4*AJ4))/((1-AD4)-AC4))-AK4^2</f>
        <v>0.31348570120293823</v>
      </c>
      <c r="AM4" s="1">
        <f t="shared" ref="AM4:AM7" ca="1" si="17">(AB4^2)/AL4</f>
        <v>26716.024646060239</v>
      </c>
      <c r="AN4" s="13">
        <f ca="1">AA4-AK4*SQRT(AM4)</f>
        <v>400.51433163234123</v>
      </c>
    </row>
    <row r="5" spans="1:40" x14ac:dyDescent="0.25">
      <c r="A5">
        <v>1</v>
      </c>
      <c r="B5">
        <v>4</v>
      </c>
      <c r="C5">
        <v>30</v>
      </c>
      <c r="D5">
        <v>1</v>
      </c>
      <c r="E5">
        <v>0</v>
      </c>
      <c r="F5">
        <v>0</v>
      </c>
      <c r="G5">
        <v>0</v>
      </c>
      <c r="H5">
        <v>550</v>
      </c>
      <c r="I5">
        <v>0</v>
      </c>
      <c r="J5" s="6">
        <f t="array" aca="1" ref="J5:N5" ca="1">TRANSPOSE(ols(OFFSET($C$2:$C$10,I5,0),OFFSET($D$2:$H$10,I5,0)))</f>
        <v>235.11904761904498</v>
      </c>
      <c r="K5" s="6">
        <f ca="1"/>
        <v>-36.428571428570649</v>
      </c>
      <c r="L5" s="6">
        <f ca="1"/>
        <v>-62.38095238095093</v>
      </c>
      <c r="M5" s="6">
        <f ca="1"/>
        <v>-8.8095238095239665</v>
      </c>
      <c r="N5" s="6">
        <f ca="1"/>
        <v>-0.35952380952380647</v>
      </c>
      <c r="O5" s="6">
        <f t="shared" ca="1" si="1"/>
        <v>37.380952380951413</v>
      </c>
      <c r="P5" t="str">
        <f t="shared" si="2"/>
        <v>NA</v>
      </c>
      <c r="Q5" s="10">
        <f t="shared" ca="1" si="3"/>
        <v>38.095238095237818</v>
      </c>
      <c r="R5" s="10">
        <f t="shared" ca="1" si="4"/>
        <v>235.11904761904498</v>
      </c>
      <c r="S5" s="10">
        <f t="shared" ca="1" si="5"/>
        <v>-197.02380952380716</v>
      </c>
      <c r="T5" s="10">
        <f t="shared" ca="1" si="6"/>
        <v>548.01324503311071</v>
      </c>
      <c r="U5" s="10">
        <f t="shared" ca="1" si="7"/>
        <v>548.01324503311071</v>
      </c>
      <c r="V5">
        <f t="shared" si="0"/>
        <v>1</v>
      </c>
      <c r="X5" s="1">
        <v>3</v>
      </c>
      <c r="Y5" s="1">
        <v>10</v>
      </c>
      <c r="Z5" s="1">
        <v>0</v>
      </c>
      <c r="AA5" s="12">
        <f t="shared" ca="1" si="8"/>
        <v>353.40035627941717</v>
      </c>
      <c r="AB5" s="12">
        <f t="array" aca="1" ref="AB5" ca="1">_xlfn.STDEV.S(IF($V$2:$V$5383=X5,IF($U$2:$U$5383&gt;250,IF($U$2:$U$5383&lt;650,$U$2:$U$5383))))</f>
        <v>83.537430944019277</v>
      </c>
      <c r="AC5" s="13">
        <f t="shared" ca="1" si="9"/>
        <v>0.27424749163879597</v>
      </c>
      <c r="AD5" s="13">
        <f t="shared" ca="1" si="10"/>
        <v>4.3478260869565216E-2</v>
      </c>
      <c r="AE5" s="13">
        <f t="shared" ca="1" si="11"/>
        <v>0.27424749163879597</v>
      </c>
      <c r="AF5" s="13">
        <f t="shared" ca="1" si="12"/>
        <v>0.95652173913043481</v>
      </c>
      <c r="AG5" s="13">
        <f ca="1">_xlfn.NORM.S.INV(AC5)</f>
        <v>-0.60001688392671604</v>
      </c>
      <c r="AH5" s="13">
        <f t="shared" ca="1" si="13"/>
        <v>1.7116753065097288</v>
      </c>
      <c r="AI5" s="13">
        <f t="shared" ca="1" si="14"/>
        <v>0.33322122717753772</v>
      </c>
      <c r="AJ5" s="13">
        <f t="shared" ca="1" si="14"/>
        <v>9.2194508524769667E-2</v>
      </c>
      <c r="AK5" s="13">
        <f t="shared" ca="1" si="15"/>
        <v>0.35326955331949828</v>
      </c>
      <c r="AL5" s="13">
        <f t="shared" ca="1" si="16"/>
        <v>0.35085806200107694</v>
      </c>
      <c r="AM5" s="1">
        <f t="shared" ca="1" si="17"/>
        <v>19889.816209226421</v>
      </c>
      <c r="AN5" s="13">
        <f ca="1">AA5-AK5*SQRT(AM5)</f>
        <v>303.57830616529822</v>
      </c>
    </row>
    <row r="6" spans="1:40" x14ac:dyDescent="0.25">
      <c r="A6">
        <v>1</v>
      </c>
      <c r="B6">
        <v>5</v>
      </c>
      <c r="C6">
        <v>80</v>
      </c>
      <c r="D6">
        <v>1</v>
      </c>
      <c r="E6">
        <v>0</v>
      </c>
      <c r="F6">
        <v>1</v>
      </c>
      <c r="G6">
        <v>1</v>
      </c>
      <c r="H6">
        <v>250</v>
      </c>
      <c r="I6">
        <v>0</v>
      </c>
      <c r="J6" s="6">
        <f t="array" aca="1" ref="J6:N6" ca="1">TRANSPOSE(ols(OFFSET($C$2:$C$10,I6,0),OFFSET($D$2:$H$10,I6,0)))</f>
        <v>235.11904761904498</v>
      </c>
      <c r="K6" s="6">
        <f ca="1"/>
        <v>-36.428571428570649</v>
      </c>
      <c r="L6" s="6">
        <f ca="1"/>
        <v>-62.38095238095093</v>
      </c>
      <c r="M6" s="6">
        <f ca="1"/>
        <v>-8.8095238095239665</v>
      </c>
      <c r="N6" s="6">
        <f ca="1"/>
        <v>-0.35952380952380647</v>
      </c>
      <c r="O6" s="6">
        <f t="shared" ca="1" si="1"/>
        <v>74.047619047618468</v>
      </c>
      <c r="P6" t="str">
        <f t="shared" si="2"/>
        <v>NA</v>
      </c>
      <c r="Q6" s="10">
        <f t="shared" ca="1" si="3"/>
        <v>38.095238095237818</v>
      </c>
      <c r="R6" s="10">
        <f t="shared" ca="1" si="4"/>
        <v>163.92857142857008</v>
      </c>
      <c r="S6" s="10">
        <f t="shared" ca="1" si="5"/>
        <v>-125.83333333333226</v>
      </c>
      <c r="T6" s="10">
        <f t="shared" ca="1" si="6"/>
        <v>350</v>
      </c>
      <c r="U6" s="10">
        <f t="shared" ca="1" si="7"/>
        <v>350</v>
      </c>
      <c r="V6">
        <f t="shared" si="0"/>
        <v>6</v>
      </c>
      <c r="X6" s="1">
        <v>4</v>
      </c>
      <c r="Y6" s="1">
        <v>1</v>
      </c>
      <c r="Z6" s="1">
        <v>1</v>
      </c>
      <c r="AA6" s="12">
        <f t="shared" ca="1" si="8"/>
        <v>433.23334117201256</v>
      </c>
      <c r="AB6" s="12">
        <f t="array" aca="1" ref="AB6" ca="1">_xlfn.STDEV.S(IF($V$2:$V$5383=X6,IF($U$2:$U$5383&gt;250,IF($U$2:$U$5383&lt;650,$U$2:$U$5383))))</f>
        <v>95.114491146088113</v>
      </c>
      <c r="AC6" s="13">
        <f t="shared" ca="1" si="9"/>
        <v>0.13377926421404682</v>
      </c>
      <c r="AD6" s="13">
        <f t="shared" ca="1" si="10"/>
        <v>0.1705685618729097</v>
      </c>
      <c r="AE6" s="13">
        <f t="shared" ca="1" si="11"/>
        <v>0.13377926421404682</v>
      </c>
      <c r="AF6" s="13">
        <f t="shared" ca="1" si="12"/>
        <v>0.8294314381270903</v>
      </c>
      <c r="AG6" s="13">
        <f ca="1">_xlfn.NORM.S.INV(AC6)</f>
        <v>-1.1087025339447956</v>
      </c>
      <c r="AH6" s="13">
        <f t="shared" ca="1" si="13"/>
        <v>0.95192085152793282</v>
      </c>
      <c r="AI6" s="13">
        <f t="shared" ca="1" si="14"/>
        <v>0.21576850382113147</v>
      </c>
      <c r="AJ6" s="13">
        <f t="shared" ca="1" si="14"/>
        <v>0.25359540212851062</v>
      </c>
      <c r="AK6" s="13">
        <f t="shared" ca="1" si="15"/>
        <v>-5.4376166316857523E-2</v>
      </c>
      <c r="AL6" s="13">
        <f t="shared" ca="1" si="16"/>
        <v>0.30614359031147881</v>
      </c>
      <c r="AM6" s="1">
        <f t="shared" ca="1" si="17"/>
        <v>29550.729501717964</v>
      </c>
      <c r="AN6" s="13">
        <f ca="1">AA6-AK6*SQRT(AM6)</f>
        <v>442.58078122306438</v>
      </c>
    </row>
    <row r="7" spans="1:40" x14ac:dyDescent="0.25">
      <c r="A7">
        <v>1</v>
      </c>
      <c r="B7">
        <v>6</v>
      </c>
      <c r="C7">
        <v>35</v>
      </c>
      <c r="D7">
        <v>1</v>
      </c>
      <c r="E7">
        <v>0</v>
      </c>
      <c r="F7">
        <v>1</v>
      </c>
      <c r="G7">
        <v>1</v>
      </c>
      <c r="H7">
        <v>350</v>
      </c>
      <c r="I7">
        <v>0</v>
      </c>
      <c r="J7" s="6">
        <f t="array" aca="1" ref="J7:N7" ca="1">TRANSPOSE(ols(OFFSET($C$2:$C$10,I7,0),OFFSET($D$2:$H$10,I7,0)))</f>
        <v>235.11904761904498</v>
      </c>
      <c r="K7" s="6">
        <f ca="1"/>
        <v>-36.428571428570649</v>
      </c>
      <c r="L7" s="6">
        <f ca="1"/>
        <v>-62.38095238095093</v>
      </c>
      <c r="M7" s="6">
        <f ca="1"/>
        <v>-8.8095238095239665</v>
      </c>
      <c r="N7" s="6">
        <f ca="1"/>
        <v>-0.35952380952380647</v>
      </c>
      <c r="O7" s="6">
        <f t="shared" ca="1" si="1"/>
        <v>38.095238095237818</v>
      </c>
      <c r="P7">
        <f t="shared" ca="1" si="2"/>
        <v>38.095238095237818</v>
      </c>
      <c r="Q7" s="10">
        <f t="shared" ca="1" si="3"/>
        <v>38.095238095237818</v>
      </c>
      <c r="R7" s="10">
        <f t="shared" ca="1" si="4"/>
        <v>163.92857142857008</v>
      </c>
      <c r="S7" s="10">
        <f t="shared" ca="1" si="5"/>
        <v>-125.83333333333226</v>
      </c>
      <c r="T7" s="10">
        <f t="shared" ca="1" si="6"/>
        <v>350</v>
      </c>
      <c r="U7" s="10">
        <f t="shared" ca="1" si="7"/>
        <v>350</v>
      </c>
      <c r="V7">
        <f t="shared" si="0"/>
        <v>6</v>
      </c>
      <c r="X7" s="1">
        <v>5</v>
      </c>
      <c r="Y7" s="1">
        <v>5</v>
      </c>
      <c r="Z7" s="1">
        <v>1</v>
      </c>
      <c r="AA7" s="12">
        <f t="shared" ca="1" si="8"/>
        <v>427.30939035058191</v>
      </c>
      <c r="AB7" s="12">
        <f t="array" aca="1" ref="AB7" ca="1">_xlfn.STDEV.S(IF($V$2:$V$5383=X7,IF($U$2:$U$5383&gt;250,IF($U$2:$U$5383&lt;650,$U$2:$U$5383))))</f>
        <v>87.752989678544836</v>
      </c>
      <c r="AC7" s="13">
        <f t="shared" ca="1" si="9"/>
        <v>9.3645484949832769E-2</v>
      </c>
      <c r="AD7" s="13">
        <f t="shared" ca="1" si="10"/>
        <v>0.13377926421404682</v>
      </c>
      <c r="AE7" s="13">
        <f t="shared" ca="1" si="11"/>
        <v>9.3645484949832769E-2</v>
      </c>
      <c r="AF7" s="13">
        <f t="shared" ca="1" si="12"/>
        <v>0.86622073578595316</v>
      </c>
      <c r="AG7" s="13">
        <f ca="1">_xlfn.NORM.S.INV(AC7)</f>
        <v>-1.3186355886546066</v>
      </c>
      <c r="AH7" s="13">
        <f t="shared" ca="1" si="13"/>
        <v>1.1087025339447956</v>
      </c>
      <c r="AI7" s="13">
        <f t="shared" ca="1" si="14"/>
        <v>0.16723781443095909</v>
      </c>
      <c r="AJ7" s="13">
        <f t="shared" ca="1" si="14"/>
        <v>0.21576850382113147</v>
      </c>
      <c r="AK7" s="13">
        <f t="shared" ca="1" si="15"/>
        <v>-6.281677977342659E-2</v>
      </c>
      <c r="AL7" s="13">
        <f t="shared" ca="1" si="16"/>
        <v>0.40096791615282074</v>
      </c>
      <c r="AM7" s="1">
        <f t="shared" ca="1" si="17"/>
        <v>19204.995929369758</v>
      </c>
      <c r="AN7" s="13">
        <f ca="1">AA7-AK7*SQRT(AM7)</f>
        <v>436.01467103771614</v>
      </c>
    </row>
    <row r="8" spans="1:40" x14ac:dyDescent="0.25">
      <c r="A8">
        <v>1</v>
      </c>
      <c r="B8">
        <v>7</v>
      </c>
      <c r="C8">
        <v>10</v>
      </c>
      <c r="D8">
        <v>1</v>
      </c>
      <c r="E8">
        <v>1</v>
      </c>
      <c r="F8">
        <v>0</v>
      </c>
      <c r="G8">
        <v>1</v>
      </c>
      <c r="H8">
        <v>450</v>
      </c>
      <c r="I8">
        <v>0</v>
      </c>
      <c r="J8" s="6">
        <f t="array" aca="1" ref="J8:N8" ca="1">TRANSPOSE(ols(OFFSET($C$2:$C$10,I8,0),OFFSET($D$2:$H$10,I8,0)))</f>
        <v>235.11904761904498</v>
      </c>
      <c r="K8" s="6">
        <f ca="1"/>
        <v>-36.428571428570649</v>
      </c>
      <c r="L8" s="6">
        <f ca="1"/>
        <v>-62.38095238095093</v>
      </c>
      <c r="M8" s="6">
        <f ca="1"/>
        <v>-8.8095238095239665</v>
      </c>
      <c r="N8" s="6">
        <f ca="1"/>
        <v>-0.35952380952380647</v>
      </c>
      <c r="O8" s="6">
        <f t="shared" ca="1" si="1"/>
        <v>28.095238095237448</v>
      </c>
      <c r="P8" t="str">
        <f t="shared" si="2"/>
        <v>NA</v>
      </c>
      <c r="Q8" s="10">
        <f t="shared" ca="1" si="3"/>
        <v>38.095238095237818</v>
      </c>
      <c r="R8" s="10">
        <f t="shared" ca="1" si="4"/>
        <v>189.88095238095036</v>
      </c>
      <c r="S8" s="10">
        <f t="shared" ca="1" si="5"/>
        <v>-151.78571428571254</v>
      </c>
      <c r="T8" s="10">
        <f t="shared" ca="1" si="6"/>
        <v>422.1854304635749</v>
      </c>
      <c r="U8" s="10">
        <f t="shared" ca="1" si="7"/>
        <v>422.1854304635749</v>
      </c>
      <c r="V8">
        <f t="shared" si="0"/>
        <v>5</v>
      </c>
      <c r="X8" s="1">
        <v>6</v>
      </c>
      <c r="Y8" s="1">
        <v>10</v>
      </c>
      <c r="Z8" s="1">
        <v>1</v>
      </c>
      <c r="AA8" s="12">
        <f t="shared" ca="1" si="8"/>
        <v>350</v>
      </c>
      <c r="AB8" s="12"/>
      <c r="AC8" s="13">
        <f t="shared" ca="1" si="9"/>
        <v>0</v>
      </c>
      <c r="AD8" s="13">
        <f t="shared" ca="1" si="10"/>
        <v>0</v>
      </c>
      <c r="AE8" s="13"/>
      <c r="AF8" s="13"/>
      <c r="AG8" s="13"/>
      <c r="AH8" s="13"/>
      <c r="AI8" s="13"/>
      <c r="AJ8" s="13"/>
      <c r="AK8" s="13"/>
      <c r="AL8" s="13"/>
      <c r="AM8" s="1"/>
      <c r="AN8" s="1"/>
    </row>
    <row r="9" spans="1:40" x14ac:dyDescent="0.25">
      <c r="A9">
        <v>1</v>
      </c>
      <c r="B9">
        <v>8</v>
      </c>
      <c r="C9">
        <v>0</v>
      </c>
      <c r="D9">
        <v>1</v>
      </c>
      <c r="E9">
        <v>1</v>
      </c>
      <c r="F9">
        <v>0</v>
      </c>
      <c r="G9">
        <v>1</v>
      </c>
      <c r="H9">
        <v>550</v>
      </c>
      <c r="I9">
        <v>0</v>
      </c>
      <c r="J9" s="6">
        <f t="array" aca="1" ref="J9:N9" ca="1">TRANSPOSE(ols(OFFSET($C$2:$C$10,I9,0),OFFSET($D$2:$H$10,I9,0)))</f>
        <v>235.11904761904498</v>
      </c>
      <c r="K9" s="6">
        <f ca="1"/>
        <v>-36.428571428570649</v>
      </c>
      <c r="L9" s="6">
        <f ca="1"/>
        <v>-62.38095238095093</v>
      </c>
      <c r="M9" s="6">
        <f ca="1"/>
        <v>-8.8095238095239665</v>
      </c>
      <c r="N9" s="6">
        <f ca="1"/>
        <v>-0.35952380952380647</v>
      </c>
      <c r="O9" s="6">
        <f t="shared" ca="1" si="1"/>
        <v>-7.8571428571432023</v>
      </c>
      <c r="P9" t="str">
        <f t="shared" si="2"/>
        <v>NA</v>
      </c>
      <c r="Q9" s="10">
        <f t="shared" ca="1" si="3"/>
        <v>38.095238095237818</v>
      </c>
      <c r="R9" s="10">
        <f t="shared" ca="1" si="4"/>
        <v>189.88095238095036</v>
      </c>
      <c r="S9" s="10">
        <f t="shared" ca="1" si="5"/>
        <v>-151.78571428571254</v>
      </c>
      <c r="T9" s="10">
        <f t="shared" ca="1" si="6"/>
        <v>422.1854304635749</v>
      </c>
      <c r="U9" s="10">
        <f t="shared" ca="1" si="7"/>
        <v>422.1854304635749</v>
      </c>
      <c r="V9">
        <f t="shared" si="0"/>
        <v>5</v>
      </c>
    </row>
    <row r="10" spans="1:40" x14ac:dyDescent="0.25">
      <c r="A10">
        <v>1</v>
      </c>
      <c r="B10">
        <v>9</v>
      </c>
      <c r="C10">
        <v>0</v>
      </c>
      <c r="D10">
        <v>1</v>
      </c>
      <c r="E10">
        <v>0</v>
      </c>
      <c r="F10">
        <v>0</v>
      </c>
      <c r="G10">
        <v>1</v>
      </c>
      <c r="H10">
        <v>650</v>
      </c>
      <c r="I10">
        <v>0</v>
      </c>
      <c r="J10" s="6">
        <f t="array" aca="1" ref="J10:N10" ca="1">TRANSPOSE(ols(OFFSET($C$2:$C$10,I10,0),OFFSET($D$2:$H$10,I10,0)))</f>
        <v>235.11904761904498</v>
      </c>
      <c r="K10" s="6">
        <f ca="1"/>
        <v>-36.428571428570649</v>
      </c>
      <c r="L10" s="6">
        <f ca="1"/>
        <v>-62.38095238095093</v>
      </c>
      <c r="M10" s="6">
        <f ca="1"/>
        <v>-8.8095238095239665</v>
      </c>
      <c r="N10" s="6">
        <f ca="1"/>
        <v>-0.35952380952380647</v>
      </c>
      <c r="O10" s="6">
        <f t="shared" ca="1" si="1"/>
        <v>-7.3809523809532038</v>
      </c>
      <c r="P10" t="str">
        <f t="shared" si="2"/>
        <v>NA</v>
      </c>
      <c r="Q10" s="10">
        <f t="shared" ca="1" si="3"/>
        <v>38.095238095237818</v>
      </c>
      <c r="R10" s="10">
        <f t="shared" ca="1" si="4"/>
        <v>226.30952380952101</v>
      </c>
      <c r="S10" s="10">
        <f t="shared" ca="1" si="5"/>
        <v>-188.21428571428319</v>
      </c>
      <c r="T10" s="10">
        <f t="shared" ca="1" si="6"/>
        <v>523.50993377483189</v>
      </c>
      <c r="U10" s="10">
        <f t="shared" ca="1" si="7"/>
        <v>523.50993377483189</v>
      </c>
      <c r="V10">
        <f t="shared" si="0"/>
        <v>4</v>
      </c>
    </row>
    <row r="11" spans="1:40" x14ac:dyDescent="0.25">
      <c r="A11">
        <v>2</v>
      </c>
      <c r="B11">
        <v>1</v>
      </c>
      <c r="C11">
        <v>45</v>
      </c>
      <c r="D11">
        <v>1</v>
      </c>
      <c r="E11">
        <v>0</v>
      </c>
      <c r="F11">
        <v>1</v>
      </c>
      <c r="G11">
        <v>0</v>
      </c>
      <c r="H11">
        <v>250</v>
      </c>
      <c r="I11">
        <f>IF(A11&gt;A10,I10+9,I10)</f>
        <v>9</v>
      </c>
      <c r="J11" s="6">
        <f t="array" aca="1" ref="J11:N11" ca="1">TRANSPOSE(ols(OFFSET($C$2:$C$10,I11,0),OFFSET($D$2:$H$10,I11,0)))</f>
        <v>103.21428571428442</v>
      </c>
      <c r="K11" s="6">
        <f ca="1"/>
        <v>-16.071428571428896</v>
      </c>
      <c r="L11" s="6">
        <f ca="1"/>
        <v>-34.285714285714221</v>
      </c>
      <c r="M11" s="6">
        <f ca="1"/>
        <v>7.1428571428574514</v>
      </c>
      <c r="N11" s="6">
        <f ca="1"/>
        <v>-0.10714285714285943</v>
      </c>
      <c r="O11" s="6">
        <f t="shared" ca="1" si="1"/>
        <v>42.142857142855334</v>
      </c>
      <c r="P11" t="str">
        <f t="shared" si="2"/>
        <v>NA</v>
      </c>
      <c r="Q11" s="10">
        <f t="shared" ca="1" si="3"/>
        <v>38.57142857142685</v>
      </c>
      <c r="R11" s="10">
        <f t="shared" ca="1" si="4"/>
        <v>68.928571428570194</v>
      </c>
      <c r="S11" s="10">
        <f t="shared" ca="1" si="5"/>
        <v>-30.357142857143344</v>
      </c>
      <c r="T11" s="10">
        <f t="shared" ca="1" si="6"/>
        <v>283.33333333333184</v>
      </c>
      <c r="U11" s="10">
        <f t="shared" ca="1" si="7"/>
        <v>283.33333333333184</v>
      </c>
      <c r="V11">
        <f t="shared" si="0"/>
        <v>3</v>
      </c>
    </row>
    <row r="12" spans="1:40" x14ac:dyDescent="0.25">
      <c r="A12">
        <v>2</v>
      </c>
      <c r="B12">
        <v>2</v>
      </c>
      <c r="C12">
        <v>50</v>
      </c>
      <c r="D12">
        <v>1</v>
      </c>
      <c r="E12">
        <v>1</v>
      </c>
      <c r="F12">
        <v>0</v>
      </c>
      <c r="G12">
        <v>0</v>
      </c>
      <c r="H12">
        <v>350</v>
      </c>
      <c r="I12">
        <f t="shared" ref="I12:I75" si="18">IF(A12&gt;A11,I11+9,I11)</f>
        <v>9</v>
      </c>
      <c r="J12" s="6">
        <f t="array" aca="1" ref="J12:N12" ca="1">TRANSPOSE(ols(OFFSET($C$2:$C$10,I12,0),OFFSET($D$2:$H$10,I12,0)))</f>
        <v>103.21428571428442</v>
      </c>
      <c r="K12" s="6">
        <f ca="1"/>
        <v>-16.071428571428896</v>
      </c>
      <c r="L12" s="6">
        <f ca="1"/>
        <v>-34.285714285714221</v>
      </c>
      <c r="M12" s="6">
        <f ca="1"/>
        <v>7.1428571428574514</v>
      </c>
      <c r="N12" s="6">
        <f ca="1"/>
        <v>-0.10714285714285943</v>
      </c>
      <c r="O12" s="6">
        <f t="shared" ca="1" si="1"/>
        <v>49.642857142854723</v>
      </c>
      <c r="P12" t="str">
        <f t="shared" si="2"/>
        <v>NA</v>
      </c>
      <c r="Q12" s="10">
        <f t="shared" ca="1" si="3"/>
        <v>38.57142857142685</v>
      </c>
      <c r="R12" s="10">
        <f t="shared" ca="1" si="4"/>
        <v>87.142857142855519</v>
      </c>
      <c r="S12" s="10">
        <f t="shared" ca="1" si="5"/>
        <v>-48.571428571428669</v>
      </c>
      <c r="T12" s="10">
        <f t="shared" ca="1" si="6"/>
        <v>453.33333333332456</v>
      </c>
      <c r="U12" s="10">
        <f t="shared" ca="1" si="7"/>
        <v>453.33333333332456</v>
      </c>
      <c r="V12">
        <f t="shared" si="0"/>
        <v>2</v>
      </c>
    </row>
    <row r="13" spans="1:40" x14ac:dyDescent="0.25">
      <c r="A13">
        <v>2</v>
      </c>
      <c r="B13">
        <v>3</v>
      </c>
      <c r="C13">
        <v>35</v>
      </c>
      <c r="D13">
        <v>1</v>
      </c>
      <c r="E13">
        <v>1</v>
      </c>
      <c r="F13">
        <v>0</v>
      </c>
      <c r="G13">
        <v>0</v>
      </c>
      <c r="H13">
        <v>450</v>
      </c>
      <c r="I13">
        <f t="shared" si="18"/>
        <v>9</v>
      </c>
      <c r="J13" s="6">
        <f t="array" aca="1" ref="J13:N13" ca="1">TRANSPOSE(ols(OFFSET($C$2:$C$10,I13,0),OFFSET($D$2:$H$10,I13,0)))</f>
        <v>103.21428571428442</v>
      </c>
      <c r="K13" s="6">
        <f ca="1"/>
        <v>-16.071428571428896</v>
      </c>
      <c r="L13" s="6">
        <f ca="1"/>
        <v>-34.285714285714221</v>
      </c>
      <c r="M13" s="6">
        <f ca="1"/>
        <v>7.1428571428574514</v>
      </c>
      <c r="N13" s="6">
        <f ca="1"/>
        <v>-0.10714285714285943</v>
      </c>
      <c r="O13" s="6">
        <f t="shared" ca="1" si="1"/>
        <v>38.928571428568773</v>
      </c>
      <c r="P13" t="str">
        <f t="shared" si="2"/>
        <v>NA</v>
      </c>
      <c r="Q13" s="10">
        <f t="shared" ca="1" si="3"/>
        <v>38.57142857142685</v>
      </c>
      <c r="R13" s="10">
        <f t="shared" ca="1" si="4"/>
        <v>87.142857142855519</v>
      </c>
      <c r="S13" s="10">
        <f t="shared" ca="1" si="5"/>
        <v>-48.571428571428669</v>
      </c>
      <c r="T13" s="10">
        <f t="shared" ca="1" si="6"/>
        <v>453.33333333332456</v>
      </c>
      <c r="U13" s="10">
        <f t="shared" ca="1" si="7"/>
        <v>453.33333333332456</v>
      </c>
      <c r="V13">
        <f t="shared" si="0"/>
        <v>2</v>
      </c>
    </row>
    <row r="14" spans="1:40" x14ac:dyDescent="0.25">
      <c r="A14">
        <v>2</v>
      </c>
      <c r="B14">
        <v>4</v>
      </c>
      <c r="C14">
        <v>45</v>
      </c>
      <c r="D14">
        <v>1</v>
      </c>
      <c r="E14">
        <v>0</v>
      </c>
      <c r="F14">
        <v>0</v>
      </c>
      <c r="G14">
        <v>0</v>
      </c>
      <c r="H14">
        <v>550</v>
      </c>
      <c r="I14">
        <f t="shared" si="18"/>
        <v>9</v>
      </c>
      <c r="J14" s="6">
        <f t="array" aca="1" ref="J14:N14" ca="1">TRANSPOSE(ols(OFFSET($C$2:$C$10,I14,0),OFFSET($D$2:$H$10,I14,0)))</f>
        <v>103.21428571428442</v>
      </c>
      <c r="K14" s="6">
        <f ca="1"/>
        <v>-16.071428571428896</v>
      </c>
      <c r="L14" s="6">
        <f ca="1"/>
        <v>-34.285714285714221</v>
      </c>
      <c r="M14" s="6">
        <f ca="1"/>
        <v>7.1428571428574514</v>
      </c>
      <c r="N14" s="6">
        <f ca="1"/>
        <v>-0.10714285714285943</v>
      </c>
      <c r="O14" s="6">
        <f t="shared" ca="1" si="1"/>
        <v>44.285714285711734</v>
      </c>
      <c r="P14" t="str">
        <f t="shared" si="2"/>
        <v>NA</v>
      </c>
      <c r="Q14" s="10">
        <f t="shared" ca="1" si="3"/>
        <v>38.57142857142685</v>
      </c>
      <c r="R14" s="10">
        <f t="shared" ca="1" si="4"/>
        <v>103.21428571428442</v>
      </c>
      <c r="S14" s="10">
        <f t="shared" ca="1" si="5"/>
        <v>-64.642857142857565</v>
      </c>
      <c r="T14" s="10">
        <f t="shared" ca="1" si="6"/>
        <v>603.33333333332439</v>
      </c>
      <c r="U14" s="10">
        <f t="shared" ca="1" si="7"/>
        <v>603.33333333332439</v>
      </c>
      <c r="V14">
        <f t="shared" si="0"/>
        <v>1</v>
      </c>
    </row>
    <row r="15" spans="1:40" x14ac:dyDescent="0.25">
      <c r="A15">
        <v>2</v>
      </c>
      <c r="B15">
        <v>5</v>
      </c>
      <c r="C15">
        <v>45</v>
      </c>
      <c r="D15">
        <v>1</v>
      </c>
      <c r="E15">
        <v>0</v>
      </c>
      <c r="F15">
        <v>1</v>
      </c>
      <c r="G15">
        <v>1</v>
      </c>
      <c r="H15">
        <v>250</v>
      </c>
      <c r="I15">
        <f t="shared" si="18"/>
        <v>9</v>
      </c>
      <c r="J15" s="6">
        <f t="array" aca="1" ref="J15:N15" ca="1">TRANSPOSE(ols(OFFSET($C$2:$C$10,I15,0),OFFSET($D$2:$H$10,I15,0)))</f>
        <v>103.21428571428442</v>
      </c>
      <c r="K15" s="6">
        <f ca="1"/>
        <v>-16.071428571428896</v>
      </c>
      <c r="L15" s="6">
        <f ca="1"/>
        <v>-34.285714285714221</v>
      </c>
      <c r="M15" s="6">
        <f ca="1"/>
        <v>7.1428571428574514</v>
      </c>
      <c r="N15" s="6">
        <f ca="1"/>
        <v>-0.10714285714285943</v>
      </c>
      <c r="O15" s="6">
        <f t="shared" ca="1" si="1"/>
        <v>49.285714285712785</v>
      </c>
      <c r="P15" t="str">
        <f t="shared" si="2"/>
        <v>NA</v>
      </c>
      <c r="Q15" s="10">
        <f t="shared" ca="1" si="3"/>
        <v>38.57142857142685</v>
      </c>
      <c r="R15" s="10">
        <f t="shared" ca="1" si="4"/>
        <v>76.071428571427646</v>
      </c>
      <c r="S15" s="10">
        <f t="shared" ca="1" si="5"/>
        <v>-37.500000000000796</v>
      </c>
      <c r="T15" s="10">
        <f t="shared" ca="1" si="6"/>
        <v>349.99999999999994</v>
      </c>
      <c r="U15" s="10">
        <f t="shared" ca="1" si="7"/>
        <v>349.99999999999994</v>
      </c>
      <c r="V15">
        <f t="shared" si="0"/>
        <v>6</v>
      </c>
    </row>
    <row r="16" spans="1:40" x14ac:dyDescent="0.25">
      <c r="A16">
        <v>2</v>
      </c>
      <c r="B16">
        <v>6</v>
      </c>
      <c r="C16">
        <v>40</v>
      </c>
      <c r="D16">
        <v>1</v>
      </c>
      <c r="E16">
        <v>0</v>
      </c>
      <c r="F16">
        <v>1</v>
      </c>
      <c r="G16">
        <v>1</v>
      </c>
      <c r="H16">
        <v>350</v>
      </c>
      <c r="I16">
        <f t="shared" si="18"/>
        <v>9</v>
      </c>
      <c r="J16" s="6">
        <f t="array" aca="1" ref="J16:N16" ca="1">TRANSPOSE(ols(OFFSET($C$2:$C$10,I16,0),OFFSET($D$2:$H$10,I16,0)))</f>
        <v>103.21428571428442</v>
      </c>
      <c r="K16" s="6">
        <f ca="1"/>
        <v>-16.071428571428896</v>
      </c>
      <c r="L16" s="6">
        <f ca="1"/>
        <v>-34.285714285714221</v>
      </c>
      <c r="M16" s="6">
        <f ca="1"/>
        <v>7.1428571428574514</v>
      </c>
      <c r="N16" s="6">
        <f ca="1"/>
        <v>-0.10714285714285943</v>
      </c>
      <c r="O16" s="6">
        <f t="shared" ca="1" si="1"/>
        <v>38.57142857142685</v>
      </c>
      <c r="P16">
        <f t="shared" ca="1" si="2"/>
        <v>38.57142857142685</v>
      </c>
      <c r="Q16" s="10">
        <f t="shared" ca="1" si="3"/>
        <v>38.57142857142685</v>
      </c>
      <c r="R16" s="10">
        <f t="shared" ca="1" si="4"/>
        <v>76.071428571427646</v>
      </c>
      <c r="S16" s="10">
        <f t="shared" ca="1" si="5"/>
        <v>-37.500000000000796</v>
      </c>
      <c r="T16" s="10">
        <f t="shared" ca="1" si="6"/>
        <v>349.99999999999994</v>
      </c>
      <c r="U16" s="10">
        <f t="shared" ca="1" si="7"/>
        <v>349.99999999999994</v>
      </c>
      <c r="V16">
        <f t="shared" si="0"/>
        <v>6</v>
      </c>
    </row>
    <row r="17" spans="1:22" x14ac:dyDescent="0.25">
      <c r="A17">
        <v>2</v>
      </c>
      <c r="B17">
        <v>7</v>
      </c>
      <c r="C17">
        <v>50</v>
      </c>
      <c r="D17">
        <v>1</v>
      </c>
      <c r="E17">
        <v>1</v>
      </c>
      <c r="F17">
        <v>0</v>
      </c>
      <c r="G17">
        <v>1</v>
      </c>
      <c r="H17">
        <v>450</v>
      </c>
      <c r="I17">
        <f t="shared" si="18"/>
        <v>9</v>
      </c>
      <c r="J17" s="6">
        <f t="array" aca="1" ref="J17:N17" ca="1">TRANSPOSE(ols(OFFSET($C$2:$C$10,I17,0),OFFSET($D$2:$H$10,I17,0)))</f>
        <v>103.21428571428442</v>
      </c>
      <c r="K17" s="6">
        <f ca="1"/>
        <v>-16.071428571428896</v>
      </c>
      <c r="L17" s="6">
        <f ca="1"/>
        <v>-34.285714285714221</v>
      </c>
      <c r="M17" s="6">
        <f ca="1"/>
        <v>7.1428571428574514</v>
      </c>
      <c r="N17" s="6">
        <f ca="1"/>
        <v>-0.10714285714285943</v>
      </c>
      <c r="O17" s="6">
        <f t="shared" ca="1" si="1"/>
        <v>46.071428571426225</v>
      </c>
      <c r="P17" t="str">
        <f t="shared" si="2"/>
        <v>NA</v>
      </c>
      <c r="Q17" s="10">
        <f t="shared" ca="1" si="3"/>
        <v>38.57142857142685</v>
      </c>
      <c r="R17" s="10">
        <f t="shared" ca="1" si="4"/>
        <v>94.28571428571297</v>
      </c>
      <c r="S17" s="10">
        <f t="shared" ca="1" si="5"/>
        <v>-55.71428571428612</v>
      </c>
      <c r="T17" s="10">
        <f t="shared" ca="1" si="6"/>
        <v>519.99999999999272</v>
      </c>
      <c r="U17" s="10">
        <f t="shared" ca="1" si="7"/>
        <v>519.99999999999272</v>
      </c>
      <c r="V17">
        <f t="shared" si="0"/>
        <v>5</v>
      </c>
    </row>
    <row r="18" spans="1:22" x14ac:dyDescent="0.25">
      <c r="A18">
        <v>2</v>
      </c>
      <c r="B18">
        <v>8</v>
      </c>
      <c r="C18">
        <v>35</v>
      </c>
      <c r="D18">
        <v>1</v>
      </c>
      <c r="E18">
        <v>1</v>
      </c>
      <c r="F18">
        <v>0</v>
      </c>
      <c r="G18">
        <v>1</v>
      </c>
      <c r="H18">
        <v>550</v>
      </c>
      <c r="I18">
        <f t="shared" si="18"/>
        <v>9</v>
      </c>
      <c r="J18" s="6">
        <f t="array" aca="1" ref="J18:N18" ca="1">TRANSPOSE(ols(OFFSET($C$2:$C$10,I18,0),OFFSET($D$2:$H$10,I18,0)))</f>
        <v>103.21428571428442</v>
      </c>
      <c r="K18" s="6">
        <f ca="1"/>
        <v>-16.071428571428896</v>
      </c>
      <c r="L18" s="6">
        <f ca="1"/>
        <v>-34.285714285714221</v>
      </c>
      <c r="M18" s="6">
        <f ca="1"/>
        <v>7.1428571428574514</v>
      </c>
      <c r="N18" s="6">
        <f ca="1"/>
        <v>-0.10714285714285943</v>
      </c>
      <c r="O18" s="6">
        <f t="shared" ca="1" si="1"/>
        <v>35.357142857140289</v>
      </c>
      <c r="P18" t="str">
        <f t="shared" si="2"/>
        <v>NA</v>
      </c>
      <c r="Q18" s="10">
        <f t="shared" ca="1" si="3"/>
        <v>38.57142857142685</v>
      </c>
      <c r="R18" s="10">
        <f t="shared" ca="1" si="4"/>
        <v>94.28571428571297</v>
      </c>
      <c r="S18" s="10">
        <f t="shared" ca="1" si="5"/>
        <v>-55.71428571428612</v>
      </c>
      <c r="T18" s="10">
        <f t="shared" ca="1" si="6"/>
        <v>519.99999999999272</v>
      </c>
      <c r="U18" s="10">
        <f t="shared" ca="1" si="7"/>
        <v>519.99999999999272</v>
      </c>
      <c r="V18">
        <f t="shared" si="0"/>
        <v>5</v>
      </c>
    </row>
    <row r="19" spans="1:22" x14ac:dyDescent="0.25">
      <c r="A19">
        <v>2</v>
      </c>
      <c r="B19">
        <v>9</v>
      </c>
      <c r="C19">
        <v>40</v>
      </c>
      <c r="D19">
        <v>1</v>
      </c>
      <c r="E19">
        <v>0</v>
      </c>
      <c r="F19">
        <v>0</v>
      </c>
      <c r="G19">
        <v>1</v>
      </c>
      <c r="H19">
        <v>650</v>
      </c>
      <c r="I19">
        <f t="shared" si="18"/>
        <v>9</v>
      </c>
      <c r="J19" s="6">
        <f t="array" aca="1" ref="J19:N19" ca="1">TRANSPOSE(ols(OFFSET($C$2:$C$10,I19,0),OFFSET($D$2:$H$10,I19,0)))</f>
        <v>103.21428571428442</v>
      </c>
      <c r="K19" s="6">
        <f ca="1"/>
        <v>-16.071428571428896</v>
      </c>
      <c r="L19" s="6">
        <f ca="1"/>
        <v>-34.285714285714221</v>
      </c>
      <c r="M19" s="6">
        <f ca="1"/>
        <v>7.1428571428574514</v>
      </c>
      <c r="N19" s="6">
        <f ca="1"/>
        <v>-0.10714285714285943</v>
      </c>
      <c r="O19" s="6">
        <f t="shared" ca="1" si="1"/>
        <v>40.714285714283236</v>
      </c>
      <c r="P19" t="str">
        <f t="shared" si="2"/>
        <v>NA</v>
      </c>
      <c r="Q19" s="10">
        <f t="shared" ca="1" si="3"/>
        <v>38.57142857142685</v>
      </c>
      <c r="R19" s="10">
        <f t="shared" ca="1" si="4"/>
        <v>110.35714285714187</v>
      </c>
      <c r="S19" s="10">
        <f t="shared" ca="1" si="5"/>
        <v>-71.785714285715017</v>
      </c>
      <c r="T19" s="10">
        <f t="shared" ca="1" si="6"/>
        <v>669.9999999999925</v>
      </c>
      <c r="U19" s="10" t="str">
        <f t="shared" ca="1" si="7"/>
        <v>OR</v>
      </c>
      <c r="V19">
        <f t="shared" si="0"/>
        <v>4</v>
      </c>
    </row>
    <row r="20" spans="1:22" x14ac:dyDescent="0.25">
      <c r="A20">
        <v>3</v>
      </c>
      <c r="B20">
        <v>1</v>
      </c>
      <c r="C20">
        <v>40</v>
      </c>
      <c r="D20">
        <v>1</v>
      </c>
      <c r="E20">
        <v>0</v>
      </c>
      <c r="F20">
        <v>1</v>
      </c>
      <c r="G20">
        <v>0</v>
      </c>
      <c r="H20">
        <v>250</v>
      </c>
      <c r="I20">
        <f t="shared" si="18"/>
        <v>18</v>
      </c>
      <c r="J20" s="6">
        <f t="array" aca="1" ref="J20:N20" ca="1">TRANSPOSE(ols(OFFSET($C$2:$C$10,I20,0),OFFSET($D$2:$H$10,I20,0)))</f>
        <v>24.642857142856883</v>
      </c>
      <c r="K20" s="6">
        <f ca="1"/>
        <v>19.285714285713993</v>
      </c>
      <c r="L20" s="6">
        <f ca="1"/>
        <v>12.142857142856428</v>
      </c>
      <c r="M20" s="6">
        <f ca="1"/>
        <v>31.4285714285719</v>
      </c>
      <c r="N20" s="6">
        <f ca="1"/>
        <v>-2.1428571428574017E-2</v>
      </c>
      <c r="O20" s="6">
        <f t="shared" ca="1" si="1"/>
        <v>31.428571428569807</v>
      </c>
      <c r="P20" t="str">
        <f t="shared" si="2"/>
        <v>NA</v>
      </c>
      <c r="Q20" s="10">
        <f t="shared" ca="1" si="3"/>
        <v>60.714285714284301</v>
      </c>
      <c r="R20" s="10">
        <f t="shared" ca="1" si="4"/>
        <v>36.785714285713311</v>
      </c>
      <c r="S20" s="10">
        <f t="shared" ca="1" si="5"/>
        <v>23.92857142857099</v>
      </c>
      <c r="T20" s="10">
        <f t="shared" ca="1" si="6"/>
        <v>-1116.6666666665112</v>
      </c>
      <c r="U20" s="10" t="str">
        <f t="shared" ca="1" si="7"/>
        <v>OR</v>
      </c>
      <c r="V20">
        <f t="shared" si="0"/>
        <v>3</v>
      </c>
    </row>
    <row r="21" spans="1:22" x14ac:dyDescent="0.25">
      <c r="A21">
        <v>3</v>
      </c>
      <c r="B21">
        <v>2</v>
      </c>
      <c r="C21">
        <v>35</v>
      </c>
      <c r="D21">
        <v>1</v>
      </c>
      <c r="E21">
        <v>1</v>
      </c>
      <c r="F21">
        <v>0</v>
      </c>
      <c r="G21">
        <v>0</v>
      </c>
      <c r="H21">
        <v>350</v>
      </c>
      <c r="I21">
        <f t="shared" si="18"/>
        <v>18</v>
      </c>
      <c r="J21" s="6">
        <f t="array" aca="1" ref="J21:N21" ca="1">TRANSPOSE(ols(OFFSET($C$2:$C$10,I21,0),OFFSET($D$2:$H$10,I21,0)))</f>
        <v>24.642857142856883</v>
      </c>
      <c r="K21" s="6">
        <f ca="1"/>
        <v>19.285714285713993</v>
      </c>
      <c r="L21" s="6">
        <f ca="1"/>
        <v>12.142857142856428</v>
      </c>
      <c r="M21" s="6">
        <f ca="1"/>
        <v>31.4285714285719</v>
      </c>
      <c r="N21" s="6">
        <f ca="1"/>
        <v>-2.1428571428574017E-2</v>
      </c>
      <c r="O21" s="6">
        <f t="shared" ca="1" si="1"/>
        <v>36.428571428569967</v>
      </c>
      <c r="P21" t="str">
        <f t="shared" si="2"/>
        <v>NA</v>
      </c>
      <c r="Q21" s="10">
        <f t="shared" ca="1" si="3"/>
        <v>60.714285714284301</v>
      </c>
      <c r="R21" s="10">
        <f t="shared" ca="1" si="4"/>
        <v>43.928571428570876</v>
      </c>
      <c r="S21" s="10">
        <f t="shared" ca="1" si="5"/>
        <v>16.785714285713425</v>
      </c>
      <c r="T21" s="10">
        <f t="shared" ca="1" si="6"/>
        <v>-783.33333333319854</v>
      </c>
      <c r="U21" s="10" t="str">
        <f t="shared" ca="1" si="7"/>
        <v>OR</v>
      </c>
      <c r="V21">
        <f t="shared" si="0"/>
        <v>2</v>
      </c>
    </row>
    <row r="22" spans="1:22" x14ac:dyDescent="0.25">
      <c r="A22">
        <v>3</v>
      </c>
      <c r="B22">
        <v>3</v>
      </c>
      <c r="C22">
        <v>30</v>
      </c>
      <c r="D22">
        <v>1</v>
      </c>
      <c r="E22">
        <v>1</v>
      </c>
      <c r="F22">
        <v>0</v>
      </c>
      <c r="G22">
        <v>0</v>
      </c>
      <c r="H22">
        <v>450</v>
      </c>
      <c r="I22">
        <f t="shared" si="18"/>
        <v>18</v>
      </c>
      <c r="J22" s="6">
        <f t="array" aca="1" ref="J22:N22" ca="1">TRANSPOSE(ols(OFFSET($C$2:$C$10,I22,0),OFFSET($D$2:$H$10,I22,0)))</f>
        <v>24.642857142856883</v>
      </c>
      <c r="K22" s="6">
        <f ca="1"/>
        <v>19.285714285713993</v>
      </c>
      <c r="L22" s="6">
        <f ca="1"/>
        <v>12.142857142856428</v>
      </c>
      <c r="M22" s="6">
        <f ca="1"/>
        <v>31.4285714285719</v>
      </c>
      <c r="N22" s="6">
        <f ca="1"/>
        <v>-2.1428571428574017E-2</v>
      </c>
      <c r="O22" s="6">
        <f t="shared" ca="1" si="1"/>
        <v>34.285714285712572</v>
      </c>
      <c r="P22" t="str">
        <f t="shared" si="2"/>
        <v>NA</v>
      </c>
      <c r="Q22" s="10">
        <f t="shared" ca="1" si="3"/>
        <v>60.714285714284301</v>
      </c>
      <c r="R22" s="10">
        <f t="shared" ca="1" si="4"/>
        <v>43.928571428570876</v>
      </c>
      <c r="S22" s="10">
        <f t="shared" ca="1" si="5"/>
        <v>16.785714285713425</v>
      </c>
      <c r="T22" s="10">
        <f t="shared" ca="1" si="6"/>
        <v>-783.33333333319854</v>
      </c>
      <c r="U22" s="10" t="str">
        <f t="shared" ca="1" si="7"/>
        <v>OR</v>
      </c>
      <c r="V22">
        <f t="shared" si="0"/>
        <v>2</v>
      </c>
    </row>
    <row r="23" spans="1:22" x14ac:dyDescent="0.25">
      <c r="A23">
        <v>3</v>
      </c>
      <c r="B23">
        <v>4</v>
      </c>
      <c r="C23">
        <v>10</v>
      </c>
      <c r="D23">
        <v>1</v>
      </c>
      <c r="E23">
        <v>0</v>
      </c>
      <c r="F23">
        <v>0</v>
      </c>
      <c r="G23">
        <v>0</v>
      </c>
      <c r="H23">
        <v>550</v>
      </c>
      <c r="I23">
        <f t="shared" si="18"/>
        <v>18</v>
      </c>
      <c r="J23" s="6">
        <f t="array" aca="1" ref="J23:N23" ca="1">TRANSPOSE(ols(OFFSET($C$2:$C$10,I23,0),OFFSET($D$2:$H$10,I23,0)))</f>
        <v>24.642857142856883</v>
      </c>
      <c r="K23" s="6">
        <f ca="1"/>
        <v>19.285714285713993</v>
      </c>
      <c r="L23" s="6">
        <f ca="1"/>
        <v>12.142857142856428</v>
      </c>
      <c r="M23" s="6">
        <f ca="1"/>
        <v>31.4285714285719</v>
      </c>
      <c r="N23" s="6">
        <f ca="1"/>
        <v>-2.1428571428574017E-2</v>
      </c>
      <c r="O23" s="6">
        <f t="shared" ca="1" si="1"/>
        <v>12.857142857141174</v>
      </c>
      <c r="P23" t="str">
        <f t="shared" si="2"/>
        <v>NA</v>
      </c>
      <c r="Q23" s="10">
        <f t="shared" ca="1" si="3"/>
        <v>60.714285714284301</v>
      </c>
      <c r="R23" s="10">
        <f t="shared" ca="1" si="4"/>
        <v>24.642857142856883</v>
      </c>
      <c r="S23" s="10">
        <f t="shared" ca="1" si="5"/>
        <v>36.071428571427418</v>
      </c>
      <c r="T23" s="10">
        <f t="shared" ca="1" si="6"/>
        <v>-1683.3333333330761</v>
      </c>
      <c r="U23" s="10" t="str">
        <f t="shared" ca="1" si="7"/>
        <v>OR</v>
      </c>
      <c r="V23">
        <f t="shared" si="0"/>
        <v>1</v>
      </c>
    </row>
    <row r="24" spans="1:22" x14ac:dyDescent="0.25">
      <c r="A24">
        <v>3</v>
      </c>
      <c r="B24">
        <v>5</v>
      </c>
      <c r="C24">
        <v>55</v>
      </c>
      <c r="D24">
        <v>1</v>
      </c>
      <c r="E24">
        <v>0</v>
      </c>
      <c r="F24">
        <v>1</v>
      </c>
      <c r="G24">
        <v>1</v>
      </c>
      <c r="H24">
        <v>250</v>
      </c>
      <c r="I24">
        <f t="shared" si="18"/>
        <v>18</v>
      </c>
      <c r="J24" s="6">
        <f t="array" aca="1" ref="J24:N24" ca="1">TRANSPOSE(ols(OFFSET($C$2:$C$10,I24,0),OFFSET($D$2:$H$10,I24,0)))</f>
        <v>24.642857142856883</v>
      </c>
      <c r="K24" s="6">
        <f ca="1"/>
        <v>19.285714285713993</v>
      </c>
      <c r="L24" s="6">
        <f ca="1"/>
        <v>12.142857142856428</v>
      </c>
      <c r="M24" s="6">
        <f ca="1"/>
        <v>31.4285714285719</v>
      </c>
      <c r="N24" s="6">
        <f ca="1"/>
        <v>-2.1428571428574017E-2</v>
      </c>
      <c r="O24" s="6">
        <f t="shared" ca="1" si="1"/>
        <v>62.85714285714171</v>
      </c>
      <c r="P24" t="str">
        <f t="shared" si="2"/>
        <v>NA</v>
      </c>
      <c r="Q24" s="10">
        <f t="shared" ca="1" si="3"/>
        <v>60.714285714284301</v>
      </c>
      <c r="R24" s="10">
        <f t="shared" ca="1" si="4"/>
        <v>68.214285714285211</v>
      </c>
      <c r="S24" s="10">
        <f t="shared" ca="1" si="5"/>
        <v>-7.5000000000009095</v>
      </c>
      <c r="T24" s="10">
        <f t="shared" ca="1" si="6"/>
        <v>350.00000000000017</v>
      </c>
      <c r="U24" s="10">
        <f t="shared" ca="1" si="7"/>
        <v>350.00000000000017</v>
      </c>
      <c r="V24">
        <f t="shared" si="0"/>
        <v>6</v>
      </c>
    </row>
    <row r="25" spans="1:22" x14ac:dyDescent="0.25">
      <c r="A25">
        <v>3</v>
      </c>
      <c r="B25">
        <v>6</v>
      </c>
      <c r="C25">
        <v>60</v>
      </c>
      <c r="D25">
        <v>1</v>
      </c>
      <c r="E25">
        <v>0</v>
      </c>
      <c r="F25">
        <v>1</v>
      </c>
      <c r="G25">
        <v>1</v>
      </c>
      <c r="H25">
        <v>350</v>
      </c>
      <c r="I25">
        <f t="shared" si="18"/>
        <v>18</v>
      </c>
      <c r="J25" s="6">
        <f t="array" aca="1" ref="J25:N25" ca="1">TRANSPOSE(ols(OFFSET($C$2:$C$10,I25,0),OFFSET($D$2:$H$10,I25,0)))</f>
        <v>24.642857142856883</v>
      </c>
      <c r="K25" s="6">
        <f ca="1"/>
        <v>19.285714285713993</v>
      </c>
      <c r="L25" s="6">
        <f ca="1"/>
        <v>12.142857142856428</v>
      </c>
      <c r="M25" s="6">
        <f ca="1"/>
        <v>31.4285714285719</v>
      </c>
      <c r="N25" s="6">
        <f ca="1"/>
        <v>-2.1428571428574017E-2</v>
      </c>
      <c r="O25" s="6">
        <f t="shared" ca="1" si="1"/>
        <v>60.714285714284301</v>
      </c>
      <c r="P25">
        <f t="shared" ca="1" si="2"/>
        <v>60.714285714284301</v>
      </c>
      <c r="Q25" s="10">
        <f t="shared" ca="1" si="3"/>
        <v>60.714285714284301</v>
      </c>
      <c r="R25" s="10">
        <f t="shared" ca="1" si="4"/>
        <v>68.214285714285211</v>
      </c>
      <c r="S25" s="10">
        <f t="shared" ca="1" si="5"/>
        <v>-7.5000000000009095</v>
      </c>
      <c r="T25" s="10">
        <f t="shared" ca="1" si="6"/>
        <v>350.00000000000017</v>
      </c>
      <c r="U25" s="10">
        <f t="shared" ca="1" si="7"/>
        <v>350.00000000000017</v>
      </c>
      <c r="V25">
        <f t="shared" si="0"/>
        <v>6</v>
      </c>
    </row>
    <row r="26" spans="1:22" x14ac:dyDescent="0.25">
      <c r="A26">
        <v>3</v>
      </c>
      <c r="B26">
        <v>7</v>
      </c>
      <c r="C26">
        <v>75</v>
      </c>
      <c r="D26">
        <v>1</v>
      </c>
      <c r="E26">
        <v>1</v>
      </c>
      <c r="F26">
        <v>0</v>
      </c>
      <c r="G26">
        <v>1</v>
      </c>
      <c r="H26">
        <v>450</v>
      </c>
      <c r="I26">
        <f t="shared" si="18"/>
        <v>18</v>
      </c>
      <c r="J26" s="6">
        <f t="array" aca="1" ref="J26:N26" ca="1">TRANSPOSE(ols(OFFSET($C$2:$C$10,I26,0),OFFSET($D$2:$H$10,I26,0)))</f>
        <v>24.642857142856883</v>
      </c>
      <c r="K26" s="6">
        <f ca="1"/>
        <v>19.285714285713993</v>
      </c>
      <c r="L26" s="6">
        <f ca="1"/>
        <v>12.142857142856428</v>
      </c>
      <c r="M26" s="6">
        <f ca="1"/>
        <v>31.4285714285719</v>
      </c>
      <c r="N26" s="6">
        <f ca="1"/>
        <v>-2.1428571428574017E-2</v>
      </c>
      <c r="O26" s="6">
        <f t="shared" ca="1" si="1"/>
        <v>65.714285714284472</v>
      </c>
      <c r="P26" t="str">
        <f t="shared" si="2"/>
        <v>NA</v>
      </c>
      <c r="Q26" s="10">
        <f t="shared" ca="1" si="3"/>
        <v>60.714285714284301</v>
      </c>
      <c r="R26" s="10">
        <f t="shared" ca="1" si="4"/>
        <v>75.357142857142776</v>
      </c>
      <c r="S26" s="10">
        <f t="shared" ca="1" si="5"/>
        <v>-14.642857142858475</v>
      </c>
      <c r="T26" s="10">
        <f t="shared" ca="1" si="6"/>
        <v>683.33333333331291</v>
      </c>
      <c r="U26" s="10" t="str">
        <f t="shared" ca="1" si="7"/>
        <v>OR</v>
      </c>
      <c r="V26">
        <f t="shared" si="0"/>
        <v>5</v>
      </c>
    </row>
    <row r="27" spans="1:22" x14ac:dyDescent="0.25">
      <c r="A27">
        <v>3</v>
      </c>
      <c r="B27">
        <v>8</v>
      </c>
      <c r="C27">
        <v>60</v>
      </c>
      <c r="D27">
        <v>1</v>
      </c>
      <c r="E27">
        <v>1</v>
      </c>
      <c r="F27">
        <v>0</v>
      </c>
      <c r="G27">
        <v>1</v>
      </c>
      <c r="H27">
        <v>550</v>
      </c>
      <c r="I27">
        <f t="shared" si="18"/>
        <v>18</v>
      </c>
      <c r="J27" s="6">
        <f t="array" aca="1" ref="J27:N27" ca="1">TRANSPOSE(ols(OFFSET($C$2:$C$10,I27,0),OFFSET($D$2:$H$10,I27,0)))</f>
        <v>24.642857142856883</v>
      </c>
      <c r="K27" s="6">
        <f ca="1"/>
        <v>19.285714285713993</v>
      </c>
      <c r="L27" s="6">
        <f ca="1"/>
        <v>12.142857142856428</v>
      </c>
      <c r="M27" s="6">
        <f ca="1"/>
        <v>31.4285714285719</v>
      </c>
      <c r="N27" s="6">
        <f ca="1"/>
        <v>-2.1428571428574017E-2</v>
      </c>
      <c r="O27" s="6">
        <f t="shared" ca="1" si="1"/>
        <v>63.571428571427063</v>
      </c>
      <c r="P27" t="str">
        <f t="shared" si="2"/>
        <v>NA</v>
      </c>
      <c r="Q27" s="10">
        <f t="shared" ca="1" si="3"/>
        <v>60.714285714284301</v>
      </c>
      <c r="R27" s="10">
        <f t="shared" ca="1" si="4"/>
        <v>75.357142857142776</v>
      </c>
      <c r="S27" s="10">
        <f t="shared" ca="1" si="5"/>
        <v>-14.642857142858475</v>
      </c>
      <c r="T27" s="10">
        <f t="shared" ca="1" si="6"/>
        <v>683.33333333331291</v>
      </c>
      <c r="U27" s="10" t="str">
        <f t="shared" ca="1" si="7"/>
        <v>OR</v>
      </c>
      <c r="V27">
        <f t="shared" si="0"/>
        <v>5</v>
      </c>
    </row>
    <row r="28" spans="1:22" x14ac:dyDescent="0.25">
      <c r="A28">
        <v>3</v>
      </c>
      <c r="B28">
        <v>9</v>
      </c>
      <c r="C28">
        <v>45</v>
      </c>
      <c r="D28">
        <v>1</v>
      </c>
      <c r="E28">
        <v>0</v>
      </c>
      <c r="F28">
        <v>0</v>
      </c>
      <c r="G28">
        <v>1</v>
      </c>
      <c r="H28">
        <v>650</v>
      </c>
      <c r="I28">
        <f t="shared" si="18"/>
        <v>18</v>
      </c>
      <c r="J28" s="6">
        <f t="array" aca="1" ref="J28:N28" ca="1">TRANSPOSE(ols(OFFSET($C$2:$C$10,I28,0),OFFSET($D$2:$H$10,I28,0)))</f>
        <v>24.642857142856883</v>
      </c>
      <c r="K28" s="6">
        <f ca="1"/>
        <v>19.285714285713993</v>
      </c>
      <c r="L28" s="6">
        <f ca="1"/>
        <v>12.142857142856428</v>
      </c>
      <c r="M28" s="6">
        <f ca="1"/>
        <v>31.4285714285719</v>
      </c>
      <c r="N28" s="6">
        <f ca="1"/>
        <v>-2.1428571428574017E-2</v>
      </c>
      <c r="O28" s="6">
        <f t="shared" ca="1" si="1"/>
        <v>42.142857142855675</v>
      </c>
      <c r="P28" t="str">
        <f t="shared" si="2"/>
        <v>NA</v>
      </c>
      <c r="Q28" s="10">
        <f t="shared" ca="1" si="3"/>
        <v>60.714285714284301</v>
      </c>
      <c r="R28" s="10">
        <f t="shared" ca="1" si="4"/>
        <v>56.071428571428783</v>
      </c>
      <c r="S28" s="10">
        <f t="shared" ca="1" si="5"/>
        <v>4.6428571428555188</v>
      </c>
      <c r="T28" s="10">
        <f t="shared" ca="1" si="6"/>
        <v>-216.66666666656471</v>
      </c>
      <c r="U28" s="10" t="str">
        <f t="shared" ca="1" si="7"/>
        <v>OR</v>
      </c>
      <c r="V28">
        <f t="shared" si="0"/>
        <v>4</v>
      </c>
    </row>
    <row r="29" spans="1:22" x14ac:dyDescent="0.25">
      <c r="A29">
        <v>4</v>
      </c>
      <c r="B29">
        <v>1</v>
      </c>
      <c r="C29">
        <v>50</v>
      </c>
      <c r="D29">
        <v>1</v>
      </c>
      <c r="E29">
        <v>0</v>
      </c>
      <c r="F29">
        <v>1</v>
      </c>
      <c r="G29">
        <v>0</v>
      </c>
      <c r="H29">
        <v>250</v>
      </c>
      <c r="I29">
        <f t="shared" si="18"/>
        <v>27</v>
      </c>
      <c r="J29" s="6">
        <f t="array" aca="1" ref="J29:N29" ca="1">TRANSPOSE(ols(OFFSET($C$2:$C$10,I29,0),OFFSET($D$2:$H$10,I29,0)))</f>
        <v>174.10714285713948</v>
      </c>
      <c r="K29" s="6">
        <f ca="1"/>
        <v>-1.7857142857135386</v>
      </c>
      <c r="L29" s="6">
        <f ca="1"/>
        <v>-32.142857142855064</v>
      </c>
      <c r="M29" s="6">
        <f ca="1"/>
        <v>16.071428571428442</v>
      </c>
      <c r="N29" s="6">
        <f ca="1"/>
        <v>-0.30357142857142794</v>
      </c>
      <c r="O29" s="6">
        <f t="shared" ca="1" si="1"/>
        <v>66.071428571427433</v>
      </c>
      <c r="P29" t="str">
        <f t="shared" si="2"/>
        <v>NA</v>
      </c>
      <c r="Q29" s="10">
        <f t="shared" ca="1" si="3"/>
        <v>51.785714285713084</v>
      </c>
      <c r="R29" s="10">
        <f t="shared" ca="1" si="4"/>
        <v>141.96428571428442</v>
      </c>
      <c r="S29" s="10">
        <f t="shared" ca="1" si="5"/>
        <v>-90.178571428571331</v>
      </c>
      <c r="T29" s="10">
        <f t="shared" ca="1" si="6"/>
        <v>297.05882352941205</v>
      </c>
      <c r="U29" s="10">
        <f t="shared" ca="1" si="7"/>
        <v>297.05882352941205</v>
      </c>
      <c r="V29">
        <f t="shared" si="0"/>
        <v>3</v>
      </c>
    </row>
    <row r="30" spans="1:22" x14ac:dyDescent="0.25">
      <c r="A30">
        <v>4</v>
      </c>
      <c r="B30">
        <v>2</v>
      </c>
      <c r="C30">
        <v>75</v>
      </c>
      <c r="D30">
        <v>1</v>
      </c>
      <c r="E30">
        <v>1</v>
      </c>
      <c r="F30">
        <v>0</v>
      </c>
      <c r="G30">
        <v>0</v>
      </c>
      <c r="H30">
        <v>350</v>
      </c>
      <c r="I30">
        <f t="shared" si="18"/>
        <v>27</v>
      </c>
      <c r="J30" s="6">
        <f t="array" aca="1" ref="J30:N30" ca="1">TRANSPOSE(ols(OFFSET($C$2:$C$10,I30,0),OFFSET($D$2:$H$10,I30,0)))</f>
        <v>174.10714285713948</v>
      </c>
      <c r="K30" s="6">
        <f ca="1"/>
        <v>-1.7857142857135386</v>
      </c>
      <c r="L30" s="6">
        <f ca="1"/>
        <v>-32.142857142855064</v>
      </c>
      <c r="M30" s="6">
        <f ca="1"/>
        <v>16.071428571428442</v>
      </c>
      <c r="N30" s="6">
        <f ca="1"/>
        <v>-0.30357142857142794</v>
      </c>
      <c r="O30" s="6">
        <f t="shared" ca="1" si="1"/>
        <v>66.071428571426168</v>
      </c>
      <c r="P30" t="str">
        <f t="shared" si="2"/>
        <v>NA</v>
      </c>
      <c r="Q30" s="10">
        <f t="shared" ca="1" si="3"/>
        <v>51.785714285713084</v>
      </c>
      <c r="R30" s="10">
        <f t="shared" ca="1" si="4"/>
        <v>172.32142857142594</v>
      </c>
      <c r="S30" s="10">
        <f t="shared" ca="1" si="5"/>
        <v>-120.53571428571286</v>
      </c>
      <c r="T30" s="10">
        <f t="shared" ca="1" si="6"/>
        <v>397.0588235294079</v>
      </c>
      <c r="U30" s="10">
        <f t="shared" ca="1" si="7"/>
        <v>397.0588235294079</v>
      </c>
      <c r="V30">
        <f t="shared" si="0"/>
        <v>2</v>
      </c>
    </row>
    <row r="31" spans="1:22" x14ac:dyDescent="0.25">
      <c r="A31">
        <v>4</v>
      </c>
      <c r="B31">
        <v>3</v>
      </c>
      <c r="C31">
        <v>50</v>
      </c>
      <c r="D31">
        <v>1</v>
      </c>
      <c r="E31">
        <v>1</v>
      </c>
      <c r="F31">
        <v>0</v>
      </c>
      <c r="G31">
        <v>0</v>
      </c>
      <c r="H31">
        <v>450</v>
      </c>
      <c r="I31">
        <f t="shared" si="18"/>
        <v>27</v>
      </c>
      <c r="J31" s="6">
        <f t="array" aca="1" ref="J31:N31" ca="1">TRANSPOSE(ols(OFFSET($C$2:$C$10,I31,0),OFFSET($D$2:$H$10,I31,0)))</f>
        <v>174.10714285713948</v>
      </c>
      <c r="K31" s="6">
        <f ca="1"/>
        <v>-1.7857142857135386</v>
      </c>
      <c r="L31" s="6">
        <f ca="1"/>
        <v>-32.142857142855064</v>
      </c>
      <c r="M31" s="6">
        <f ca="1"/>
        <v>16.071428571428442</v>
      </c>
      <c r="N31" s="6">
        <f ca="1"/>
        <v>-0.30357142857142794</v>
      </c>
      <c r="O31" s="6">
        <f t="shared" ca="1" si="1"/>
        <v>35.714285714283363</v>
      </c>
      <c r="P31" t="str">
        <f t="shared" si="2"/>
        <v>NA</v>
      </c>
      <c r="Q31" s="10">
        <f t="shared" ca="1" si="3"/>
        <v>51.785714285713084</v>
      </c>
      <c r="R31" s="10">
        <f t="shared" ca="1" si="4"/>
        <v>172.32142857142594</v>
      </c>
      <c r="S31" s="10">
        <f t="shared" ca="1" si="5"/>
        <v>-120.53571428571286</v>
      </c>
      <c r="T31" s="10">
        <f t="shared" ca="1" si="6"/>
        <v>397.0588235294079</v>
      </c>
      <c r="U31" s="10">
        <f t="shared" ca="1" si="7"/>
        <v>397.0588235294079</v>
      </c>
      <c r="V31">
        <f t="shared" si="0"/>
        <v>2</v>
      </c>
    </row>
    <row r="32" spans="1:22" x14ac:dyDescent="0.25">
      <c r="A32">
        <v>4</v>
      </c>
      <c r="B32">
        <v>4</v>
      </c>
      <c r="C32">
        <v>0</v>
      </c>
      <c r="D32">
        <v>1</v>
      </c>
      <c r="E32">
        <v>0</v>
      </c>
      <c r="F32">
        <v>0</v>
      </c>
      <c r="G32">
        <v>0</v>
      </c>
      <c r="H32">
        <v>550</v>
      </c>
      <c r="I32">
        <f t="shared" si="18"/>
        <v>27</v>
      </c>
      <c r="J32" s="6">
        <f t="array" aca="1" ref="J32:N32" ca="1">TRANSPOSE(ols(OFFSET($C$2:$C$10,I32,0),OFFSET($D$2:$H$10,I32,0)))</f>
        <v>174.10714285713948</v>
      </c>
      <c r="K32" s="6">
        <f ca="1"/>
        <v>-1.7857142857135386</v>
      </c>
      <c r="L32" s="6">
        <f ca="1"/>
        <v>-32.142857142855064</v>
      </c>
      <c r="M32" s="6">
        <f ca="1"/>
        <v>16.071428571428442</v>
      </c>
      <c r="N32" s="6">
        <f ca="1"/>
        <v>-0.30357142857142794</v>
      </c>
      <c r="O32" s="6">
        <f t="shared" ca="1" si="1"/>
        <v>7.1428571428541261</v>
      </c>
      <c r="P32" t="str">
        <f t="shared" si="2"/>
        <v>NA</v>
      </c>
      <c r="Q32" s="10">
        <f t="shared" ca="1" si="3"/>
        <v>51.785714285713084</v>
      </c>
      <c r="R32" s="10">
        <f t="shared" ca="1" si="4"/>
        <v>174.10714285713948</v>
      </c>
      <c r="S32" s="10">
        <f t="shared" ca="1" si="5"/>
        <v>-122.3214285714264</v>
      </c>
      <c r="T32" s="10">
        <f t="shared" ca="1" si="6"/>
        <v>402.94117647058192</v>
      </c>
      <c r="U32" s="10">
        <f t="shared" ca="1" si="7"/>
        <v>402.94117647058192</v>
      </c>
      <c r="V32">
        <f t="shared" si="0"/>
        <v>1</v>
      </c>
    </row>
    <row r="33" spans="1:22" x14ac:dyDescent="0.25">
      <c r="A33">
        <v>4</v>
      </c>
      <c r="B33">
        <v>5</v>
      </c>
      <c r="C33">
        <v>75</v>
      </c>
      <c r="D33">
        <v>1</v>
      </c>
      <c r="E33">
        <v>0</v>
      </c>
      <c r="F33">
        <v>1</v>
      </c>
      <c r="G33">
        <v>1</v>
      </c>
      <c r="H33">
        <v>250</v>
      </c>
      <c r="I33">
        <f t="shared" si="18"/>
        <v>27</v>
      </c>
      <c r="J33" s="6">
        <f t="array" aca="1" ref="J33:N33" ca="1">TRANSPOSE(ols(OFFSET($C$2:$C$10,I33,0),OFFSET($D$2:$H$10,I33,0)))</f>
        <v>174.10714285713948</v>
      </c>
      <c r="K33" s="6">
        <f ca="1"/>
        <v>-1.7857142857135386</v>
      </c>
      <c r="L33" s="6">
        <f ca="1"/>
        <v>-32.142857142855064</v>
      </c>
      <c r="M33" s="6">
        <f ca="1"/>
        <v>16.071428571428442</v>
      </c>
      <c r="N33" s="6">
        <f ca="1"/>
        <v>-0.30357142857142794</v>
      </c>
      <c r="O33" s="6">
        <f t="shared" ca="1" si="1"/>
        <v>82.142857142855874</v>
      </c>
      <c r="P33" t="str">
        <f t="shared" si="2"/>
        <v>NA</v>
      </c>
      <c r="Q33" s="10">
        <f t="shared" ca="1" si="3"/>
        <v>51.785714285713084</v>
      </c>
      <c r="R33" s="10">
        <f t="shared" ca="1" si="4"/>
        <v>158.03571428571286</v>
      </c>
      <c r="S33" s="10">
        <f t="shared" ca="1" si="5"/>
        <v>-106.24999999999977</v>
      </c>
      <c r="T33" s="10">
        <f t="shared" ca="1" si="6"/>
        <v>350</v>
      </c>
      <c r="U33" s="10">
        <f t="shared" ca="1" si="7"/>
        <v>350</v>
      </c>
      <c r="V33">
        <f t="shared" si="0"/>
        <v>6</v>
      </c>
    </row>
    <row r="34" spans="1:22" x14ac:dyDescent="0.25">
      <c r="A34">
        <v>4</v>
      </c>
      <c r="B34">
        <v>6</v>
      </c>
      <c r="C34">
        <v>75</v>
      </c>
      <c r="D34">
        <v>1</v>
      </c>
      <c r="E34">
        <v>0</v>
      </c>
      <c r="F34">
        <v>1</v>
      </c>
      <c r="G34">
        <v>1</v>
      </c>
      <c r="H34">
        <v>350</v>
      </c>
      <c r="I34">
        <f t="shared" si="18"/>
        <v>27</v>
      </c>
      <c r="J34" s="6">
        <f t="array" aca="1" ref="J34:N34" ca="1">TRANSPOSE(ols(OFFSET($C$2:$C$10,I34,0),OFFSET($D$2:$H$10,I34,0)))</f>
        <v>174.10714285713948</v>
      </c>
      <c r="K34" s="6">
        <f ca="1"/>
        <v>-1.7857142857135386</v>
      </c>
      <c r="L34" s="6">
        <f ca="1"/>
        <v>-32.142857142855064</v>
      </c>
      <c r="M34" s="6">
        <f ca="1"/>
        <v>16.071428571428442</v>
      </c>
      <c r="N34" s="6">
        <f ca="1"/>
        <v>-0.30357142857142794</v>
      </c>
      <c r="O34" s="6">
        <f t="shared" ca="1" si="1"/>
        <v>51.785714285713084</v>
      </c>
      <c r="P34">
        <f t="shared" ca="1" si="2"/>
        <v>51.785714285713084</v>
      </c>
      <c r="Q34" s="10">
        <f t="shared" ca="1" si="3"/>
        <v>51.785714285713084</v>
      </c>
      <c r="R34" s="10">
        <f t="shared" ca="1" si="4"/>
        <v>158.03571428571286</v>
      </c>
      <c r="S34" s="10">
        <f t="shared" ca="1" si="5"/>
        <v>-106.24999999999977</v>
      </c>
      <c r="T34" s="10">
        <f t="shared" ca="1" si="6"/>
        <v>350</v>
      </c>
      <c r="U34" s="10">
        <f t="shared" ca="1" si="7"/>
        <v>350</v>
      </c>
      <c r="V34">
        <f t="shared" ref="V34:V66" si="19">IF(AND(E34=1,G34=0),2,IF(AND(F34=1,G34=0),3,IF(AND(E34=1,G34=1),5,IF(AND(F34=1,G34=1),6,IF(G34=0,1,IF(G34=1,4))))))</f>
        <v>6</v>
      </c>
    </row>
    <row r="35" spans="1:22" x14ac:dyDescent="0.25">
      <c r="A35">
        <v>4</v>
      </c>
      <c r="B35">
        <v>7</v>
      </c>
      <c r="C35">
        <v>50</v>
      </c>
      <c r="D35">
        <v>1</v>
      </c>
      <c r="E35">
        <v>1</v>
      </c>
      <c r="F35">
        <v>0</v>
      </c>
      <c r="G35">
        <v>1</v>
      </c>
      <c r="H35">
        <v>450</v>
      </c>
      <c r="I35">
        <f t="shared" si="18"/>
        <v>27</v>
      </c>
      <c r="J35" s="6">
        <f t="array" aca="1" ref="J35:N35" ca="1">TRANSPOSE(ols(OFFSET($C$2:$C$10,I35,0),OFFSET($D$2:$H$10,I35,0)))</f>
        <v>174.10714285713948</v>
      </c>
      <c r="K35" s="6">
        <f ca="1"/>
        <v>-1.7857142857135386</v>
      </c>
      <c r="L35" s="6">
        <f ca="1"/>
        <v>-32.142857142855064</v>
      </c>
      <c r="M35" s="6">
        <f ca="1"/>
        <v>16.071428571428442</v>
      </c>
      <c r="N35" s="6">
        <f ca="1"/>
        <v>-0.30357142857142794</v>
      </c>
      <c r="O35" s="6">
        <f t="shared" ca="1" si="1"/>
        <v>51.785714285711805</v>
      </c>
      <c r="P35" t="str">
        <f t="shared" si="2"/>
        <v>NA</v>
      </c>
      <c r="Q35" s="10">
        <f t="shared" ca="1" si="3"/>
        <v>51.785714285713084</v>
      </c>
      <c r="R35" s="10">
        <f t="shared" ca="1" si="4"/>
        <v>188.39285714285438</v>
      </c>
      <c r="S35" s="10">
        <f t="shared" ca="1" si="5"/>
        <v>-136.6071428571413</v>
      </c>
      <c r="T35" s="10">
        <f t="shared" ca="1" si="6"/>
        <v>449.99999999999579</v>
      </c>
      <c r="U35" s="10">
        <f t="shared" ca="1" si="7"/>
        <v>449.99999999999579</v>
      </c>
      <c r="V35">
        <f t="shared" si="19"/>
        <v>5</v>
      </c>
    </row>
    <row r="36" spans="1:22" x14ac:dyDescent="0.25">
      <c r="A36">
        <v>4</v>
      </c>
      <c r="B36">
        <v>8</v>
      </c>
      <c r="C36">
        <v>0</v>
      </c>
      <c r="D36">
        <v>1</v>
      </c>
      <c r="E36">
        <v>1</v>
      </c>
      <c r="F36">
        <v>0</v>
      </c>
      <c r="G36">
        <v>1</v>
      </c>
      <c r="H36">
        <v>550</v>
      </c>
      <c r="I36">
        <f t="shared" si="18"/>
        <v>27</v>
      </c>
      <c r="J36" s="6">
        <f t="array" aca="1" ref="J36:N36" ca="1">TRANSPOSE(ols(OFFSET($C$2:$C$10,I36,0),OFFSET($D$2:$H$10,I36,0)))</f>
        <v>174.10714285713948</v>
      </c>
      <c r="K36" s="6">
        <f ca="1"/>
        <v>-1.7857142857135386</v>
      </c>
      <c r="L36" s="6">
        <f ca="1"/>
        <v>-32.142857142855064</v>
      </c>
      <c r="M36" s="6">
        <f ca="1"/>
        <v>16.071428571428442</v>
      </c>
      <c r="N36" s="6">
        <f ca="1"/>
        <v>-0.30357142857142794</v>
      </c>
      <c r="O36" s="6">
        <f t="shared" ca="1" si="1"/>
        <v>21.428571428569029</v>
      </c>
      <c r="P36" t="str">
        <f t="shared" si="2"/>
        <v>NA</v>
      </c>
      <c r="Q36" s="10">
        <f t="shared" ca="1" si="3"/>
        <v>51.785714285713084</v>
      </c>
      <c r="R36" s="10">
        <f t="shared" ca="1" si="4"/>
        <v>188.39285714285438</v>
      </c>
      <c r="S36" s="10">
        <f t="shared" ca="1" si="5"/>
        <v>-136.6071428571413</v>
      </c>
      <c r="T36" s="10">
        <f t="shared" ca="1" si="6"/>
        <v>449.99999999999579</v>
      </c>
      <c r="U36" s="10">
        <f t="shared" ca="1" si="7"/>
        <v>449.99999999999579</v>
      </c>
      <c r="V36">
        <f t="shared" si="19"/>
        <v>5</v>
      </c>
    </row>
    <row r="37" spans="1:22" x14ac:dyDescent="0.25">
      <c r="A37">
        <v>4</v>
      </c>
      <c r="B37">
        <v>9</v>
      </c>
      <c r="C37">
        <v>0</v>
      </c>
      <c r="D37">
        <v>1</v>
      </c>
      <c r="E37">
        <v>0</v>
      </c>
      <c r="F37">
        <v>0</v>
      </c>
      <c r="G37">
        <v>1</v>
      </c>
      <c r="H37">
        <v>650</v>
      </c>
      <c r="I37">
        <f t="shared" si="18"/>
        <v>27</v>
      </c>
      <c r="J37" s="6">
        <f t="array" aca="1" ref="J37:N37" ca="1">TRANSPOSE(ols(OFFSET($C$2:$C$10,I37,0),OFFSET($D$2:$H$10,I37,0)))</f>
        <v>174.10714285713948</v>
      </c>
      <c r="K37" s="6">
        <f ca="1"/>
        <v>-1.7857142857135386</v>
      </c>
      <c r="L37" s="6">
        <f ca="1"/>
        <v>-32.142857142855064</v>
      </c>
      <c r="M37" s="6">
        <f ca="1"/>
        <v>16.071428571428442</v>
      </c>
      <c r="N37" s="6">
        <f ca="1"/>
        <v>-0.30357142857142794</v>
      </c>
      <c r="O37" s="6">
        <f t="shared" ca="1" si="1"/>
        <v>-7.1428571428602368</v>
      </c>
      <c r="P37" t="str">
        <f t="shared" si="2"/>
        <v>NA</v>
      </c>
      <c r="Q37" s="10">
        <f t="shared" ca="1" si="3"/>
        <v>51.785714285713084</v>
      </c>
      <c r="R37" s="10">
        <f t="shared" ca="1" si="4"/>
        <v>190.17857142856792</v>
      </c>
      <c r="S37" s="10">
        <f t="shared" ca="1" si="5"/>
        <v>-138.39285714285484</v>
      </c>
      <c r="T37" s="10">
        <f t="shared" ca="1" si="6"/>
        <v>455.88235294116981</v>
      </c>
      <c r="U37" s="10">
        <f t="shared" ca="1" si="7"/>
        <v>455.88235294116981</v>
      </c>
      <c r="V37">
        <f t="shared" si="19"/>
        <v>4</v>
      </c>
    </row>
    <row r="38" spans="1:22" x14ac:dyDescent="0.25">
      <c r="A38">
        <v>5</v>
      </c>
      <c r="B38">
        <v>1</v>
      </c>
      <c r="C38">
        <v>40</v>
      </c>
      <c r="D38">
        <v>1</v>
      </c>
      <c r="E38">
        <v>0</v>
      </c>
      <c r="F38">
        <v>1</v>
      </c>
      <c r="G38">
        <v>0</v>
      </c>
      <c r="H38">
        <v>250</v>
      </c>
      <c r="I38">
        <f t="shared" si="18"/>
        <v>36</v>
      </c>
      <c r="J38" s="6">
        <f t="array" aca="1" ref="J38:N38" ca="1">TRANSPOSE(ols(OFFSET($C$2:$C$10,I38,0),OFFSET($D$2:$H$10,I38,0)))</f>
        <v>57.142857142856883</v>
      </c>
      <c r="K38" s="6">
        <f ca="1"/>
        <v>11.785714285714221</v>
      </c>
      <c r="L38" s="6">
        <f ca="1"/>
        <v>2.1428571428573377</v>
      </c>
      <c r="M38" s="6">
        <f ca="1"/>
        <v>1.4285714285715585</v>
      </c>
      <c r="N38" s="6">
        <f ca="1"/>
        <v>-7.1428571428572951E-2</v>
      </c>
      <c r="O38" s="6">
        <f t="shared" ca="1" si="1"/>
        <v>41.428571428570983</v>
      </c>
      <c r="P38" t="str">
        <f t="shared" si="2"/>
        <v>NA</v>
      </c>
      <c r="Q38" s="10">
        <f t="shared" ca="1" si="3"/>
        <v>35.714285714285246</v>
      </c>
      <c r="R38" s="10">
        <f t="shared" ca="1" si="4"/>
        <v>59.285714285714221</v>
      </c>
      <c r="S38" s="10">
        <f t="shared" ca="1" si="5"/>
        <v>-23.571428571428974</v>
      </c>
      <c r="T38" s="10">
        <f t="shared" ca="1" si="6"/>
        <v>329.99999999999864</v>
      </c>
      <c r="U38" s="10">
        <f t="shared" ca="1" si="7"/>
        <v>329.99999999999864</v>
      </c>
      <c r="V38">
        <f t="shared" si="19"/>
        <v>3</v>
      </c>
    </row>
    <row r="39" spans="1:22" x14ac:dyDescent="0.25">
      <c r="A39">
        <v>5</v>
      </c>
      <c r="B39">
        <v>2</v>
      </c>
      <c r="C39">
        <v>45</v>
      </c>
      <c r="D39">
        <v>1</v>
      </c>
      <c r="E39">
        <v>1</v>
      </c>
      <c r="F39">
        <v>0</v>
      </c>
      <c r="G39">
        <v>0</v>
      </c>
      <c r="H39">
        <v>350</v>
      </c>
      <c r="I39">
        <f t="shared" si="18"/>
        <v>36</v>
      </c>
      <c r="J39" s="6">
        <f t="array" aca="1" ref="J39:N39" ca="1">TRANSPOSE(ols(OFFSET($C$2:$C$10,I39,0),OFFSET($D$2:$H$10,I39,0)))</f>
        <v>57.142857142856883</v>
      </c>
      <c r="K39" s="6">
        <f ca="1"/>
        <v>11.785714285714221</v>
      </c>
      <c r="L39" s="6">
        <f ca="1"/>
        <v>2.1428571428573377</v>
      </c>
      <c r="M39" s="6">
        <f ca="1"/>
        <v>1.4285714285715585</v>
      </c>
      <c r="N39" s="6">
        <f ca="1"/>
        <v>-7.1428571428572951E-2</v>
      </c>
      <c r="O39" s="6">
        <f t="shared" ca="1" si="1"/>
        <v>43.928571428570571</v>
      </c>
      <c r="P39" t="str">
        <f t="shared" si="2"/>
        <v>NA</v>
      </c>
      <c r="Q39" s="10">
        <f t="shared" ca="1" si="3"/>
        <v>35.714285714285246</v>
      </c>
      <c r="R39" s="10">
        <f t="shared" ca="1" si="4"/>
        <v>68.928571428571104</v>
      </c>
      <c r="S39" s="10">
        <f t="shared" ca="1" si="5"/>
        <v>-33.214285714285857</v>
      </c>
      <c r="T39" s="10">
        <f t="shared" ca="1" si="6"/>
        <v>464.9999999999921</v>
      </c>
      <c r="U39" s="10">
        <f t="shared" ca="1" si="7"/>
        <v>464.9999999999921</v>
      </c>
      <c r="V39">
        <f t="shared" si="19"/>
        <v>2</v>
      </c>
    </row>
    <row r="40" spans="1:22" x14ac:dyDescent="0.25">
      <c r="A40">
        <v>5</v>
      </c>
      <c r="B40">
        <v>3</v>
      </c>
      <c r="C40">
        <v>35</v>
      </c>
      <c r="D40">
        <v>1</v>
      </c>
      <c r="E40">
        <v>1</v>
      </c>
      <c r="F40">
        <v>0</v>
      </c>
      <c r="G40">
        <v>0</v>
      </c>
      <c r="H40">
        <v>450</v>
      </c>
      <c r="I40">
        <f t="shared" si="18"/>
        <v>36</v>
      </c>
      <c r="J40" s="6">
        <f t="array" aca="1" ref="J40:N40" ca="1">TRANSPOSE(ols(OFFSET($C$2:$C$10,I40,0),OFFSET($D$2:$H$10,I40,0)))</f>
        <v>57.142857142856883</v>
      </c>
      <c r="K40" s="6">
        <f ca="1"/>
        <v>11.785714285714221</v>
      </c>
      <c r="L40" s="6">
        <f ca="1"/>
        <v>2.1428571428573377</v>
      </c>
      <c r="M40" s="6">
        <f ca="1"/>
        <v>1.4285714285715585</v>
      </c>
      <c r="N40" s="6">
        <f ca="1"/>
        <v>-7.1428571428572951E-2</v>
      </c>
      <c r="O40" s="6">
        <f t="shared" ca="1" si="1"/>
        <v>36.785714285713276</v>
      </c>
      <c r="P40" t="str">
        <f t="shared" si="2"/>
        <v>NA</v>
      </c>
      <c r="Q40" s="10">
        <f t="shared" ca="1" si="3"/>
        <v>35.714285714285246</v>
      </c>
      <c r="R40" s="10">
        <f t="shared" ca="1" si="4"/>
        <v>68.928571428571104</v>
      </c>
      <c r="S40" s="10">
        <f t="shared" ca="1" si="5"/>
        <v>-33.214285714285857</v>
      </c>
      <c r="T40" s="10">
        <f t="shared" ca="1" si="6"/>
        <v>464.9999999999921</v>
      </c>
      <c r="U40" s="10">
        <f t="shared" ca="1" si="7"/>
        <v>464.9999999999921</v>
      </c>
      <c r="V40">
        <f t="shared" si="19"/>
        <v>2</v>
      </c>
    </row>
    <row r="41" spans="1:22" x14ac:dyDescent="0.25">
      <c r="A41">
        <v>5</v>
      </c>
      <c r="B41">
        <v>4</v>
      </c>
      <c r="C41">
        <v>20</v>
      </c>
      <c r="D41">
        <v>1</v>
      </c>
      <c r="E41">
        <v>0</v>
      </c>
      <c r="F41">
        <v>0</v>
      </c>
      <c r="G41">
        <v>0</v>
      </c>
      <c r="H41">
        <v>550</v>
      </c>
      <c r="I41">
        <f t="shared" si="18"/>
        <v>36</v>
      </c>
      <c r="J41" s="6">
        <f t="array" aca="1" ref="J41:N41" ca="1">TRANSPOSE(ols(OFFSET($C$2:$C$10,I41,0),OFFSET($D$2:$H$10,I41,0)))</f>
        <v>57.142857142856883</v>
      </c>
      <c r="K41" s="6">
        <f ca="1"/>
        <v>11.785714285714221</v>
      </c>
      <c r="L41" s="6">
        <f ca="1"/>
        <v>2.1428571428573377</v>
      </c>
      <c r="M41" s="6">
        <f ca="1"/>
        <v>1.4285714285715585</v>
      </c>
      <c r="N41" s="6">
        <f ca="1"/>
        <v>-7.1428571428572951E-2</v>
      </c>
      <c r="O41" s="6">
        <f t="shared" ca="1" si="1"/>
        <v>17.85714285714176</v>
      </c>
      <c r="P41" t="str">
        <f t="shared" si="2"/>
        <v>NA</v>
      </c>
      <c r="Q41" s="10">
        <f t="shared" ca="1" si="3"/>
        <v>35.714285714285246</v>
      </c>
      <c r="R41" s="10">
        <f t="shared" ca="1" si="4"/>
        <v>57.142857142856883</v>
      </c>
      <c r="S41" s="10">
        <f t="shared" ca="1" si="5"/>
        <v>-21.428571428571637</v>
      </c>
      <c r="T41" s="10">
        <f t="shared" ca="1" si="6"/>
        <v>299.99999999999653</v>
      </c>
      <c r="U41" s="10">
        <f t="shared" ca="1" si="7"/>
        <v>299.99999999999653</v>
      </c>
      <c r="V41">
        <f t="shared" si="19"/>
        <v>1</v>
      </c>
    </row>
    <row r="42" spans="1:22" x14ac:dyDescent="0.25">
      <c r="A42">
        <v>5</v>
      </c>
      <c r="B42">
        <v>5</v>
      </c>
      <c r="C42">
        <v>35</v>
      </c>
      <c r="D42">
        <v>1</v>
      </c>
      <c r="E42">
        <v>0</v>
      </c>
      <c r="F42">
        <v>1</v>
      </c>
      <c r="G42">
        <v>1</v>
      </c>
      <c r="H42">
        <v>250</v>
      </c>
      <c r="I42">
        <f t="shared" si="18"/>
        <v>36</v>
      </c>
      <c r="J42" s="6">
        <f t="array" aca="1" ref="J42:N42" ca="1">TRANSPOSE(ols(OFFSET($C$2:$C$10,I42,0),OFFSET($D$2:$H$10,I42,0)))</f>
        <v>57.142857142856883</v>
      </c>
      <c r="K42" s="6">
        <f ca="1"/>
        <v>11.785714285714221</v>
      </c>
      <c r="L42" s="6">
        <f ca="1"/>
        <v>2.1428571428573377</v>
      </c>
      <c r="M42" s="6">
        <f ca="1"/>
        <v>1.4285714285715585</v>
      </c>
      <c r="N42" s="6">
        <f ca="1"/>
        <v>-7.1428571428572951E-2</v>
      </c>
      <c r="O42" s="6">
        <f t="shared" ca="1" si="1"/>
        <v>42.857142857142541</v>
      </c>
      <c r="P42" t="str">
        <f t="shared" si="2"/>
        <v>NA</v>
      </c>
      <c r="Q42" s="10">
        <f t="shared" ca="1" si="3"/>
        <v>35.714285714285246</v>
      </c>
      <c r="R42" s="10">
        <f t="shared" ca="1" si="4"/>
        <v>60.714285714285779</v>
      </c>
      <c r="S42" s="10">
        <f t="shared" ca="1" si="5"/>
        <v>-25.000000000000533</v>
      </c>
      <c r="T42" s="10">
        <f t="shared" ca="1" si="6"/>
        <v>350</v>
      </c>
      <c r="U42" s="10">
        <f t="shared" ca="1" si="7"/>
        <v>350</v>
      </c>
      <c r="V42">
        <f t="shared" si="19"/>
        <v>6</v>
      </c>
    </row>
    <row r="43" spans="1:22" x14ac:dyDescent="0.25">
      <c r="A43">
        <v>5</v>
      </c>
      <c r="B43">
        <v>6</v>
      </c>
      <c r="C43">
        <v>45</v>
      </c>
      <c r="D43">
        <v>1</v>
      </c>
      <c r="E43">
        <v>0</v>
      </c>
      <c r="F43">
        <v>1</v>
      </c>
      <c r="G43">
        <v>1</v>
      </c>
      <c r="H43">
        <v>350</v>
      </c>
      <c r="I43">
        <f t="shared" si="18"/>
        <v>36</v>
      </c>
      <c r="J43" s="6">
        <f t="array" aca="1" ref="J43:N43" ca="1">TRANSPOSE(ols(OFFSET($C$2:$C$10,I43,0),OFFSET($D$2:$H$10,I43,0)))</f>
        <v>57.142857142856883</v>
      </c>
      <c r="K43" s="6">
        <f ca="1"/>
        <v>11.785714285714221</v>
      </c>
      <c r="L43" s="6">
        <f ca="1"/>
        <v>2.1428571428573377</v>
      </c>
      <c r="M43" s="6">
        <f ca="1"/>
        <v>1.4285714285715585</v>
      </c>
      <c r="N43" s="6">
        <f ca="1"/>
        <v>-7.1428571428572951E-2</v>
      </c>
      <c r="O43" s="6">
        <f t="shared" ca="1" si="1"/>
        <v>35.714285714285246</v>
      </c>
      <c r="P43">
        <f t="shared" ca="1" si="2"/>
        <v>35.714285714285246</v>
      </c>
      <c r="Q43" s="10">
        <f t="shared" ca="1" si="3"/>
        <v>35.714285714285246</v>
      </c>
      <c r="R43" s="10">
        <f t="shared" ca="1" si="4"/>
        <v>60.714285714285779</v>
      </c>
      <c r="S43" s="10">
        <f t="shared" ca="1" si="5"/>
        <v>-25.000000000000533</v>
      </c>
      <c r="T43" s="10">
        <f t="shared" ca="1" si="6"/>
        <v>350</v>
      </c>
      <c r="U43" s="10">
        <f t="shared" ca="1" si="7"/>
        <v>350</v>
      </c>
      <c r="V43">
        <f t="shared" si="19"/>
        <v>6</v>
      </c>
    </row>
    <row r="44" spans="1:22" x14ac:dyDescent="0.25">
      <c r="A44">
        <v>5</v>
      </c>
      <c r="B44">
        <v>7</v>
      </c>
      <c r="C44">
        <v>45</v>
      </c>
      <c r="D44">
        <v>1</v>
      </c>
      <c r="E44">
        <v>1</v>
      </c>
      <c r="F44">
        <v>0</v>
      </c>
      <c r="G44">
        <v>1</v>
      </c>
      <c r="H44">
        <v>450</v>
      </c>
      <c r="I44">
        <f t="shared" si="18"/>
        <v>36</v>
      </c>
      <c r="J44" s="6">
        <f t="array" aca="1" ref="J44:N44" ca="1">TRANSPOSE(ols(OFFSET($C$2:$C$10,I44,0),OFFSET($D$2:$H$10,I44,0)))</f>
        <v>57.142857142856883</v>
      </c>
      <c r="K44" s="6">
        <f ca="1"/>
        <v>11.785714285714221</v>
      </c>
      <c r="L44" s="6">
        <f ca="1"/>
        <v>2.1428571428573377</v>
      </c>
      <c r="M44" s="6">
        <f ca="1"/>
        <v>1.4285714285715585</v>
      </c>
      <c r="N44" s="6">
        <f ca="1"/>
        <v>-7.1428571428572951E-2</v>
      </c>
      <c r="O44" s="6">
        <f t="shared" ca="1" si="1"/>
        <v>38.214285714284834</v>
      </c>
      <c r="P44" t="str">
        <f t="shared" si="2"/>
        <v>NA</v>
      </c>
      <c r="Q44" s="10">
        <f t="shared" ca="1" si="3"/>
        <v>35.714285714285246</v>
      </c>
      <c r="R44" s="10">
        <f t="shared" ca="1" si="4"/>
        <v>70.357142857142662</v>
      </c>
      <c r="S44" s="10">
        <f t="shared" ca="1" si="5"/>
        <v>-34.642857142857416</v>
      </c>
      <c r="T44" s="10">
        <f t="shared" ca="1" si="6"/>
        <v>484.99999999999346</v>
      </c>
      <c r="U44" s="10">
        <f t="shared" ca="1" si="7"/>
        <v>484.99999999999346</v>
      </c>
      <c r="V44">
        <f t="shared" si="19"/>
        <v>5</v>
      </c>
    </row>
    <row r="45" spans="1:22" x14ac:dyDescent="0.25">
      <c r="A45">
        <v>5</v>
      </c>
      <c r="B45">
        <v>8</v>
      </c>
      <c r="C45">
        <v>25</v>
      </c>
      <c r="D45">
        <v>1</v>
      </c>
      <c r="E45">
        <v>1</v>
      </c>
      <c r="F45">
        <v>0</v>
      </c>
      <c r="G45">
        <v>1</v>
      </c>
      <c r="H45">
        <v>550</v>
      </c>
      <c r="I45">
        <f t="shared" si="18"/>
        <v>36</v>
      </c>
      <c r="J45" s="6">
        <f t="array" aca="1" ref="J45:N45" ca="1">TRANSPOSE(ols(OFFSET($C$2:$C$10,I45,0),OFFSET($D$2:$H$10,I45,0)))</f>
        <v>57.142857142856883</v>
      </c>
      <c r="K45" s="6">
        <f ca="1"/>
        <v>11.785714285714221</v>
      </c>
      <c r="L45" s="6">
        <f ca="1"/>
        <v>2.1428571428573377</v>
      </c>
      <c r="M45" s="6">
        <f ca="1"/>
        <v>1.4285714285715585</v>
      </c>
      <c r="N45" s="6">
        <f ca="1"/>
        <v>-7.1428571428572951E-2</v>
      </c>
      <c r="O45" s="6">
        <f t="shared" ca="1" si="1"/>
        <v>31.071428571427539</v>
      </c>
      <c r="P45" t="str">
        <f t="shared" si="2"/>
        <v>NA</v>
      </c>
      <c r="Q45" s="10">
        <f t="shared" ca="1" si="3"/>
        <v>35.714285714285246</v>
      </c>
      <c r="R45" s="10">
        <f t="shared" ca="1" si="4"/>
        <v>70.357142857142662</v>
      </c>
      <c r="S45" s="10">
        <f t="shared" ca="1" si="5"/>
        <v>-34.642857142857416</v>
      </c>
      <c r="T45" s="10">
        <f t="shared" ca="1" si="6"/>
        <v>484.99999999999346</v>
      </c>
      <c r="U45" s="10">
        <f t="shared" ca="1" si="7"/>
        <v>484.99999999999346</v>
      </c>
      <c r="V45">
        <f t="shared" si="19"/>
        <v>5</v>
      </c>
    </row>
    <row r="46" spans="1:22" x14ac:dyDescent="0.25">
      <c r="A46">
        <v>5</v>
      </c>
      <c r="B46">
        <v>9</v>
      </c>
      <c r="C46">
        <v>10</v>
      </c>
      <c r="D46">
        <v>1</v>
      </c>
      <c r="E46">
        <v>0</v>
      </c>
      <c r="F46">
        <v>0</v>
      </c>
      <c r="G46">
        <v>1</v>
      </c>
      <c r="H46">
        <v>650</v>
      </c>
      <c r="I46">
        <f t="shared" si="18"/>
        <v>36</v>
      </c>
      <c r="J46" s="6">
        <f t="array" aca="1" ref="J46:N46" ca="1">TRANSPOSE(ols(OFFSET($C$2:$C$10,I46,0),OFFSET($D$2:$H$10,I46,0)))</f>
        <v>57.142857142856883</v>
      </c>
      <c r="K46" s="6">
        <f ca="1"/>
        <v>11.785714285714221</v>
      </c>
      <c r="L46" s="6">
        <f ca="1"/>
        <v>2.1428571428573377</v>
      </c>
      <c r="M46" s="6">
        <f ca="1"/>
        <v>1.4285714285715585</v>
      </c>
      <c r="N46" s="6">
        <f ca="1"/>
        <v>-7.1428571428572951E-2</v>
      </c>
      <c r="O46" s="6">
        <f t="shared" ca="1" si="1"/>
        <v>12.142857142856023</v>
      </c>
      <c r="P46" t="str">
        <f t="shared" si="2"/>
        <v>NA</v>
      </c>
      <c r="Q46" s="10">
        <f t="shared" ca="1" si="3"/>
        <v>35.714285714285246</v>
      </c>
      <c r="R46" s="10">
        <f t="shared" ca="1" si="4"/>
        <v>58.571428571428442</v>
      </c>
      <c r="S46" s="10">
        <f t="shared" ca="1" si="5"/>
        <v>-22.857142857143195</v>
      </c>
      <c r="T46" s="10">
        <f t="shared" ca="1" si="6"/>
        <v>319.9999999999979</v>
      </c>
      <c r="U46" s="10">
        <f t="shared" ca="1" si="7"/>
        <v>319.9999999999979</v>
      </c>
      <c r="V46">
        <f t="shared" si="19"/>
        <v>4</v>
      </c>
    </row>
    <row r="47" spans="1:22" x14ac:dyDescent="0.25">
      <c r="A47">
        <v>6</v>
      </c>
      <c r="B47">
        <v>1</v>
      </c>
      <c r="C47">
        <v>0</v>
      </c>
      <c r="D47">
        <v>1</v>
      </c>
      <c r="E47">
        <v>0</v>
      </c>
      <c r="F47">
        <v>1</v>
      </c>
      <c r="G47">
        <v>0</v>
      </c>
      <c r="H47">
        <v>250</v>
      </c>
      <c r="I47">
        <f t="shared" si="18"/>
        <v>45</v>
      </c>
      <c r="J47" s="6">
        <f t="array" aca="1" ref="J47:N47" ca="1">TRANSPOSE(ols(OFFSET($C$2:$C$10,I47,0),OFFSET($D$2:$H$10,I47,0)))</f>
        <v>11.96428571428487</v>
      </c>
      <c r="K47" s="6">
        <f ca="1"/>
        <v>1.4285714285713311</v>
      </c>
      <c r="L47" s="6">
        <f ca="1"/>
        <v>0.71428571428577925</v>
      </c>
      <c r="M47" s="6">
        <f ca="1"/>
        <v>54.642857142857224</v>
      </c>
      <c r="N47" s="6">
        <f ca="1"/>
        <v>-3.2142857142858361E-2</v>
      </c>
      <c r="O47" s="6">
        <f t="shared" ca="1" si="1"/>
        <v>4.6428571428560588</v>
      </c>
      <c r="P47" t="str">
        <f t="shared" si="2"/>
        <v>NA</v>
      </c>
      <c r="Q47" s="10">
        <f t="shared" ca="1" si="3"/>
        <v>56.071428571427447</v>
      </c>
      <c r="R47" s="10">
        <f t="shared" ca="1" si="4"/>
        <v>12.678571428570649</v>
      </c>
      <c r="S47" s="10">
        <f t="shared" ca="1" si="5"/>
        <v>43.392857142856798</v>
      </c>
      <c r="T47" s="10">
        <f t="shared" ca="1" si="6"/>
        <v>-1349.9999999999382</v>
      </c>
      <c r="U47" s="10" t="str">
        <f t="shared" ca="1" si="7"/>
        <v>OR</v>
      </c>
      <c r="V47">
        <f t="shared" si="19"/>
        <v>3</v>
      </c>
    </row>
    <row r="48" spans="1:22" x14ac:dyDescent="0.25">
      <c r="A48">
        <v>6</v>
      </c>
      <c r="B48">
        <v>2</v>
      </c>
      <c r="C48">
        <v>0</v>
      </c>
      <c r="D48">
        <v>1</v>
      </c>
      <c r="E48">
        <v>1</v>
      </c>
      <c r="F48">
        <v>0</v>
      </c>
      <c r="G48">
        <v>0</v>
      </c>
      <c r="H48">
        <v>350</v>
      </c>
      <c r="I48">
        <f t="shared" si="18"/>
        <v>45</v>
      </c>
      <c r="J48" s="6">
        <f t="array" aca="1" ref="J48:N48" ca="1">TRANSPOSE(ols(OFFSET($C$2:$C$10,I48,0),OFFSET($D$2:$H$10,I48,0)))</f>
        <v>11.96428571428487</v>
      </c>
      <c r="K48" s="6">
        <f ca="1"/>
        <v>1.4285714285713311</v>
      </c>
      <c r="L48" s="6">
        <f ca="1"/>
        <v>0.71428571428577925</v>
      </c>
      <c r="M48" s="6">
        <f ca="1"/>
        <v>54.642857142857224</v>
      </c>
      <c r="N48" s="6">
        <f ca="1"/>
        <v>-3.2142857142858361E-2</v>
      </c>
      <c r="O48" s="6">
        <f t="shared" ca="1" si="1"/>
        <v>2.1428571428557746</v>
      </c>
      <c r="P48" t="str">
        <f t="shared" si="2"/>
        <v>NA</v>
      </c>
      <c r="Q48" s="10">
        <f t="shared" ca="1" si="3"/>
        <v>56.071428571427447</v>
      </c>
      <c r="R48" s="10">
        <f t="shared" ca="1" si="4"/>
        <v>13.392857142856201</v>
      </c>
      <c r="S48" s="10">
        <f t="shared" ca="1" si="5"/>
        <v>42.678571428571246</v>
      </c>
      <c r="T48" s="10">
        <f t="shared" ca="1" si="6"/>
        <v>-1327.7777777777217</v>
      </c>
      <c r="U48" s="10" t="str">
        <f t="shared" ca="1" si="7"/>
        <v>OR</v>
      </c>
      <c r="V48">
        <f t="shared" si="19"/>
        <v>2</v>
      </c>
    </row>
    <row r="49" spans="1:22" x14ac:dyDescent="0.25">
      <c r="A49">
        <v>6</v>
      </c>
      <c r="B49">
        <v>3</v>
      </c>
      <c r="C49">
        <v>0</v>
      </c>
      <c r="D49">
        <v>1</v>
      </c>
      <c r="E49">
        <v>1</v>
      </c>
      <c r="F49">
        <v>0</v>
      </c>
      <c r="G49">
        <v>0</v>
      </c>
      <c r="H49">
        <v>450</v>
      </c>
      <c r="I49">
        <f t="shared" si="18"/>
        <v>45</v>
      </c>
      <c r="J49" s="6">
        <f t="array" aca="1" ref="J49:N49" ca="1">TRANSPOSE(ols(OFFSET($C$2:$C$10,I49,0),OFFSET($D$2:$H$10,I49,0)))</f>
        <v>11.96428571428487</v>
      </c>
      <c r="K49" s="6">
        <f ca="1"/>
        <v>1.4285714285713311</v>
      </c>
      <c r="L49" s="6">
        <f ca="1"/>
        <v>0.71428571428577925</v>
      </c>
      <c r="M49" s="6">
        <f ca="1"/>
        <v>54.642857142857224</v>
      </c>
      <c r="N49" s="6">
        <f ca="1"/>
        <v>-3.2142857142858361E-2</v>
      </c>
      <c r="O49" s="6">
        <f t="shared" ca="1" si="1"/>
        <v>-1.0714285714300615</v>
      </c>
      <c r="P49" t="str">
        <f t="shared" si="2"/>
        <v>NA</v>
      </c>
      <c r="Q49" s="10">
        <f t="shared" ca="1" si="3"/>
        <v>56.071428571427447</v>
      </c>
      <c r="R49" s="10">
        <f t="shared" ca="1" si="4"/>
        <v>13.392857142856201</v>
      </c>
      <c r="S49" s="10">
        <f t="shared" ca="1" si="5"/>
        <v>42.678571428571246</v>
      </c>
      <c r="T49" s="10">
        <f t="shared" ca="1" si="6"/>
        <v>-1327.7777777777217</v>
      </c>
      <c r="U49" s="10" t="str">
        <f t="shared" ca="1" si="7"/>
        <v>OR</v>
      </c>
      <c r="V49">
        <f t="shared" si="19"/>
        <v>2</v>
      </c>
    </row>
    <row r="50" spans="1:22" x14ac:dyDescent="0.25">
      <c r="A50">
        <v>6</v>
      </c>
      <c r="B50">
        <v>4</v>
      </c>
      <c r="C50">
        <v>0</v>
      </c>
      <c r="D50">
        <v>1</v>
      </c>
      <c r="E50">
        <v>0</v>
      </c>
      <c r="F50">
        <v>0</v>
      </c>
      <c r="G50">
        <v>0</v>
      </c>
      <c r="H50">
        <v>550</v>
      </c>
      <c r="I50">
        <f t="shared" si="18"/>
        <v>45</v>
      </c>
      <c r="J50" s="6">
        <f t="array" aca="1" ref="J50:N50" ca="1">TRANSPOSE(ols(OFFSET($C$2:$C$10,I50,0),OFFSET($D$2:$H$10,I50,0)))</f>
        <v>11.96428571428487</v>
      </c>
      <c r="K50" s="6">
        <f ca="1"/>
        <v>1.4285714285713311</v>
      </c>
      <c r="L50" s="6">
        <f ca="1"/>
        <v>0.71428571428577925</v>
      </c>
      <c r="M50" s="6">
        <f ca="1"/>
        <v>54.642857142857224</v>
      </c>
      <c r="N50" s="6">
        <f ca="1"/>
        <v>-3.2142857142858361E-2</v>
      </c>
      <c r="O50" s="6">
        <f t="shared" ca="1" si="1"/>
        <v>-5.7142857142872288</v>
      </c>
      <c r="P50" t="str">
        <f t="shared" si="2"/>
        <v>NA</v>
      </c>
      <c r="Q50" s="10">
        <f t="shared" ca="1" si="3"/>
        <v>56.071428571427447</v>
      </c>
      <c r="R50" s="10">
        <f t="shared" ca="1" si="4"/>
        <v>11.96428571428487</v>
      </c>
      <c r="S50" s="10">
        <f t="shared" ca="1" si="5"/>
        <v>44.107142857142577</v>
      </c>
      <c r="T50" s="10">
        <f t="shared" ca="1" si="6"/>
        <v>-1372.2222222221615</v>
      </c>
      <c r="U50" s="10" t="str">
        <f t="shared" ca="1" si="7"/>
        <v>OR</v>
      </c>
      <c r="V50">
        <f t="shared" si="19"/>
        <v>1</v>
      </c>
    </row>
    <row r="51" spans="1:22" x14ac:dyDescent="0.25">
      <c r="A51">
        <v>6</v>
      </c>
      <c r="B51">
        <v>5</v>
      </c>
      <c r="C51">
        <v>55</v>
      </c>
      <c r="D51">
        <v>1</v>
      </c>
      <c r="E51">
        <v>0</v>
      </c>
      <c r="F51">
        <v>1</v>
      </c>
      <c r="G51">
        <v>1</v>
      </c>
      <c r="H51">
        <v>250</v>
      </c>
      <c r="I51">
        <f t="shared" si="18"/>
        <v>45</v>
      </c>
      <c r="J51" s="6">
        <f t="array" aca="1" ref="J51:N51" ca="1">TRANSPOSE(ols(OFFSET($C$2:$C$10,I51,0),OFFSET($D$2:$H$10,I51,0)))</f>
        <v>11.96428571428487</v>
      </c>
      <c r="K51" s="6">
        <f ca="1"/>
        <v>1.4285714285713311</v>
      </c>
      <c r="L51" s="6">
        <f ca="1"/>
        <v>0.71428571428577925</v>
      </c>
      <c r="M51" s="6">
        <f ca="1"/>
        <v>54.642857142857224</v>
      </c>
      <c r="N51" s="6">
        <f ca="1"/>
        <v>-3.2142857142858361E-2</v>
      </c>
      <c r="O51" s="6">
        <f t="shared" ca="1" si="1"/>
        <v>59.285714285713283</v>
      </c>
      <c r="P51" t="str">
        <f t="shared" si="2"/>
        <v>NA</v>
      </c>
      <c r="Q51" s="10">
        <f t="shared" ca="1" si="3"/>
        <v>56.071428571427447</v>
      </c>
      <c r="R51" s="10">
        <f t="shared" ca="1" si="4"/>
        <v>67.321428571427873</v>
      </c>
      <c r="S51" s="10">
        <f t="shared" ca="1" si="5"/>
        <v>-11.250000000000426</v>
      </c>
      <c r="T51" s="10">
        <f t="shared" ca="1" si="6"/>
        <v>350</v>
      </c>
      <c r="U51" s="10">
        <f t="shared" ca="1" si="7"/>
        <v>350</v>
      </c>
      <c r="V51">
        <f t="shared" si="19"/>
        <v>6</v>
      </c>
    </row>
    <row r="52" spans="1:22" x14ac:dyDescent="0.25">
      <c r="A52">
        <v>6</v>
      </c>
      <c r="B52">
        <v>6</v>
      </c>
      <c r="C52">
        <v>65</v>
      </c>
      <c r="D52">
        <v>1</v>
      </c>
      <c r="E52">
        <v>0</v>
      </c>
      <c r="F52">
        <v>1</v>
      </c>
      <c r="G52">
        <v>1</v>
      </c>
      <c r="H52">
        <v>350</v>
      </c>
      <c r="I52">
        <f t="shared" si="18"/>
        <v>45</v>
      </c>
      <c r="J52" s="6">
        <f t="array" aca="1" ref="J52:N52" ca="1">TRANSPOSE(ols(OFFSET($C$2:$C$10,I52,0),OFFSET($D$2:$H$10,I52,0)))</f>
        <v>11.96428571428487</v>
      </c>
      <c r="K52" s="6">
        <f ca="1"/>
        <v>1.4285714285713311</v>
      </c>
      <c r="L52" s="6">
        <f ca="1"/>
        <v>0.71428571428577925</v>
      </c>
      <c r="M52" s="6">
        <f ca="1"/>
        <v>54.642857142857224</v>
      </c>
      <c r="N52" s="6">
        <f ca="1"/>
        <v>-3.2142857142858361E-2</v>
      </c>
      <c r="O52" s="6">
        <f t="shared" ca="1" si="1"/>
        <v>56.071428571427447</v>
      </c>
      <c r="P52">
        <f t="shared" ca="1" si="2"/>
        <v>56.071428571427447</v>
      </c>
      <c r="Q52" s="10">
        <f t="shared" ca="1" si="3"/>
        <v>56.071428571427447</v>
      </c>
      <c r="R52" s="10">
        <f t="shared" ca="1" si="4"/>
        <v>67.321428571427873</v>
      </c>
      <c r="S52" s="10">
        <f t="shared" ca="1" si="5"/>
        <v>-11.250000000000426</v>
      </c>
      <c r="T52" s="10">
        <f t="shared" ca="1" si="6"/>
        <v>350</v>
      </c>
      <c r="U52" s="10">
        <f t="shared" ca="1" si="7"/>
        <v>350</v>
      </c>
      <c r="V52">
        <f t="shared" si="19"/>
        <v>6</v>
      </c>
    </row>
    <row r="53" spans="1:22" x14ac:dyDescent="0.25">
      <c r="A53">
        <v>6</v>
      </c>
      <c r="B53">
        <v>7</v>
      </c>
      <c r="C53">
        <v>60</v>
      </c>
      <c r="D53">
        <v>1</v>
      </c>
      <c r="E53">
        <v>1</v>
      </c>
      <c r="F53">
        <v>0</v>
      </c>
      <c r="G53">
        <v>1</v>
      </c>
      <c r="H53">
        <v>450</v>
      </c>
      <c r="I53">
        <f t="shared" si="18"/>
        <v>45</v>
      </c>
      <c r="J53" s="6">
        <f t="array" aca="1" ref="J53:N53" ca="1">TRANSPOSE(ols(OFFSET($C$2:$C$10,I53,0),OFFSET($D$2:$H$10,I53,0)))</f>
        <v>11.96428571428487</v>
      </c>
      <c r="K53" s="6">
        <f ca="1"/>
        <v>1.4285714285713311</v>
      </c>
      <c r="L53" s="6">
        <f ca="1"/>
        <v>0.71428571428577925</v>
      </c>
      <c r="M53" s="6">
        <f ca="1"/>
        <v>54.642857142857224</v>
      </c>
      <c r="N53" s="6">
        <f ca="1"/>
        <v>-3.2142857142858361E-2</v>
      </c>
      <c r="O53" s="6">
        <f t="shared" ca="1" si="1"/>
        <v>53.571428571427163</v>
      </c>
      <c r="P53" t="str">
        <f t="shared" si="2"/>
        <v>NA</v>
      </c>
      <c r="Q53" s="10">
        <f t="shared" ca="1" si="3"/>
        <v>56.071428571427447</v>
      </c>
      <c r="R53" s="10">
        <f t="shared" ca="1" si="4"/>
        <v>68.035714285713425</v>
      </c>
      <c r="S53" s="10">
        <f t="shared" ca="1" si="5"/>
        <v>-11.964285714285978</v>
      </c>
      <c r="T53" s="10">
        <f t="shared" ca="1" si="6"/>
        <v>372.22222222221632</v>
      </c>
      <c r="U53" s="10">
        <f t="shared" ca="1" si="7"/>
        <v>372.22222222221632</v>
      </c>
      <c r="V53">
        <f t="shared" si="19"/>
        <v>5</v>
      </c>
    </row>
    <row r="54" spans="1:22" x14ac:dyDescent="0.25">
      <c r="A54">
        <v>6</v>
      </c>
      <c r="B54">
        <v>8</v>
      </c>
      <c r="C54">
        <v>45</v>
      </c>
      <c r="D54">
        <v>1</v>
      </c>
      <c r="E54">
        <v>1</v>
      </c>
      <c r="F54">
        <v>0</v>
      </c>
      <c r="G54">
        <v>1</v>
      </c>
      <c r="H54">
        <v>550</v>
      </c>
      <c r="I54">
        <f t="shared" si="18"/>
        <v>45</v>
      </c>
      <c r="J54" s="6">
        <f t="array" aca="1" ref="J54:N54" ca="1">TRANSPOSE(ols(OFFSET($C$2:$C$10,I54,0),OFFSET($D$2:$H$10,I54,0)))</f>
        <v>11.96428571428487</v>
      </c>
      <c r="K54" s="6">
        <f ca="1"/>
        <v>1.4285714285713311</v>
      </c>
      <c r="L54" s="6">
        <f ca="1"/>
        <v>0.71428571428577925</v>
      </c>
      <c r="M54" s="6">
        <f ca="1"/>
        <v>54.642857142857224</v>
      </c>
      <c r="N54" s="6">
        <f ca="1"/>
        <v>-3.2142857142858361E-2</v>
      </c>
      <c r="O54" s="6">
        <f t="shared" ca="1" si="1"/>
        <v>50.357142857141326</v>
      </c>
      <c r="P54" t="str">
        <f t="shared" si="2"/>
        <v>NA</v>
      </c>
      <c r="Q54" s="10">
        <f t="shared" ca="1" si="3"/>
        <v>56.071428571427447</v>
      </c>
      <c r="R54" s="10">
        <f t="shared" ca="1" si="4"/>
        <v>68.035714285713425</v>
      </c>
      <c r="S54" s="10">
        <f t="shared" ca="1" si="5"/>
        <v>-11.964285714285978</v>
      </c>
      <c r="T54" s="10">
        <f t="shared" ca="1" si="6"/>
        <v>372.22222222221632</v>
      </c>
      <c r="U54" s="10">
        <f t="shared" ca="1" si="7"/>
        <v>372.22222222221632</v>
      </c>
      <c r="V54">
        <f t="shared" si="19"/>
        <v>5</v>
      </c>
    </row>
    <row r="55" spans="1:22" x14ac:dyDescent="0.25">
      <c r="A55">
        <v>6</v>
      </c>
      <c r="B55">
        <v>9</v>
      </c>
      <c r="C55">
        <v>40</v>
      </c>
      <c r="D55">
        <v>1</v>
      </c>
      <c r="E55">
        <v>0</v>
      </c>
      <c r="F55">
        <v>0</v>
      </c>
      <c r="G55">
        <v>1</v>
      </c>
      <c r="H55">
        <v>650</v>
      </c>
      <c r="I55">
        <f t="shared" si="18"/>
        <v>45</v>
      </c>
      <c r="J55" s="6">
        <f t="array" aca="1" ref="J55:N55" ca="1">TRANSPOSE(ols(OFFSET($C$2:$C$10,I55,0),OFFSET($D$2:$H$10,I55,0)))</f>
        <v>11.96428571428487</v>
      </c>
      <c r="K55" s="6">
        <f ca="1"/>
        <v>1.4285714285713311</v>
      </c>
      <c r="L55" s="6">
        <f ca="1"/>
        <v>0.71428571428577925</v>
      </c>
      <c r="M55" s="6">
        <f ca="1"/>
        <v>54.642857142857224</v>
      </c>
      <c r="N55" s="6">
        <f ca="1"/>
        <v>-3.2142857142858361E-2</v>
      </c>
      <c r="O55" s="6">
        <f t="shared" ca="1" si="1"/>
        <v>45.714285714284159</v>
      </c>
      <c r="P55" t="str">
        <f t="shared" si="2"/>
        <v>NA</v>
      </c>
      <c r="Q55" s="10">
        <f t="shared" ca="1" si="3"/>
        <v>56.071428571427447</v>
      </c>
      <c r="R55" s="10">
        <f t="shared" ca="1" si="4"/>
        <v>66.607142857142094</v>
      </c>
      <c r="S55" s="10">
        <f t="shared" ca="1" si="5"/>
        <v>-10.535714285714647</v>
      </c>
      <c r="T55" s="10">
        <f t="shared" ca="1" si="6"/>
        <v>327.77777777777658</v>
      </c>
      <c r="U55" s="10">
        <f t="shared" ca="1" si="7"/>
        <v>327.77777777777658</v>
      </c>
      <c r="V55">
        <f t="shared" si="19"/>
        <v>4</v>
      </c>
    </row>
    <row r="56" spans="1:22" x14ac:dyDescent="0.25">
      <c r="A56">
        <v>7</v>
      </c>
      <c r="B56">
        <v>1</v>
      </c>
      <c r="C56">
        <v>75</v>
      </c>
      <c r="D56">
        <v>1</v>
      </c>
      <c r="E56">
        <v>0</v>
      </c>
      <c r="F56">
        <v>1</v>
      </c>
      <c r="G56">
        <v>0</v>
      </c>
      <c r="H56">
        <v>250</v>
      </c>
      <c r="I56">
        <f t="shared" si="18"/>
        <v>54</v>
      </c>
      <c r="J56" s="6">
        <f t="array" aca="1" ref="J56:N56" ca="1">TRANSPOSE(ols(OFFSET($C$2:$C$10,I56,0),OFFSET($D$2:$H$10,I56,0)))</f>
        <v>107.73809523809359</v>
      </c>
      <c r="K56" s="6">
        <f ca="1"/>
        <v>-0.3571428571422075</v>
      </c>
      <c r="L56" s="6">
        <f ca="1"/>
        <v>-19.761904761904589</v>
      </c>
      <c r="M56" s="6">
        <f ca="1"/>
        <v>-2.6190476190470235</v>
      </c>
      <c r="N56" s="6">
        <f ca="1"/>
        <v>-6.9047619047623243E-2</v>
      </c>
      <c r="O56" s="6">
        <f t="shared" ca="1" si="1"/>
        <v>70.714285714283193</v>
      </c>
      <c r="P56" t="str">
        <f t="shared" si="2"/>
        <v>NA</v>
      </c>
      <c r="Q56" s="10">
        <f t="shared" ca="1" si="3"/>
        <v>61.190476190473845</v>
      </c>
      <c r="R56" s="10">
        <f t="shared" ca="1" si="4"/>
        <v>87.976190476189004</v>
      </c>
      <c r="S56" s="10">
        <f t="shared" ca="1" si="5"/>
        <v>-26.785714285715159</v>
      </c>
      <c r="T56" s="10">
        <f t="shared" ca="1" si="6"/>
        <v>387.93103448274769</v>
      </c>
      <c r="U56" s="10">
        <f t="shared" ca="1" si="7"/>
        <v>387.93103448274769</v>
      </c>
      <c r="V56">
        <f t="shared" si="19"/>
        <v>3</v>
      </c>
    </row>
    <row r="57" spans="1:22" x14ac:dyDescent="0.25">
      <c r="A57">
        <v>7</v>
      </c>
      <c r="B57">
        <v>2</v>
      </c>
      <c r="C57">
        <v>85</v>
      </c>
      <c r="D57">
        <v>1</v>
      </c>
      <c r="E57">
        <v>1</v>
      </c>
      <c r="F57">
        <v>0</v>
      </c>
      <c r="G57">
        <v>0</v>
      </c>
      <c r="H57">
        <v>350</v>
      </c>
      <c r="I57">
        <f t="shared" si="18"/>
        <v>54</v>
      </c>
      <c r="J57" s="6">
        <f t="array" aca="1" ref="J57:N57" ca="1">TRANSPOSE(ols(OFFSET($C$2:$C$10,I57,0),OFFSET($D$2:$H$10,I57,0)))</f>
        <v>107.73809523809359</v>
      </c>
      <c r="K57" s="6">
        <f ca="1"/>
        <v>-0.3571428571422075</v>
      </c>
      <c r="L57" s="6">
        <f ca="1"/>
        <v>-19.761904761904589</v>
      </c>
      <c r="M57" s="6">
        <f ca="1"/>
        <v>-2.6190476190470235</v>
      </c>
      <c r="N57" s="6">
        <f ca="1"/>
        <v>-6.9047619047623243E-2</v>
      </c>
      <c r="O57" s="6">
        <f t="shared" ca="1" si="1"/>
        <v>83.21428571428325</v>
      </c>
      <c r="P57" t="str">
        <f t="shared" si="2"/>
        <v>NA</v>
      </c>
      <c r="Q57" s="10">
        <f t="shared" ca="1" si="3"/>
        <v>61.190476190473845</v>
      </c>
      <c r="R57" s="10">
        <f t="shared" ca="1" si="4"/>
        <v>107.38095238095138</v>
      </c>
      <c r="S57" s="10">
        <f t="shared" ca="1" si="5"/>
        <v>-46.19047619047754</v>
      </c>
      <c r="T57" s="10">
        <f t="shared" ca="1" si="6"/>
        <v>668.96551724135816</v>
      </c>
      <c r="U57" s="10" t="str">
        <f t="shared" ca="1" si="7"/>
        <v>OR</v>
      </c>
      <c r="V57">
        <f t="shared" si="19"/>
        <v>2</v>
      </c>
    </row>
    <row r="58" spans="1:22" x14ac:dyDescent="0.25">
      <c r="A58">
        <v>7</v>
      </c>
      <c r="B58">
        <v>3</v>
      </c>
      <c r="C58">
        <v>75</v>
      </c>
      <c r="D58">
        <v>1</v>
      </c>
      <c r="E58">
        <v>1</v>
      </c>
      <c r="F58">
        <v>0</v>
      </c>
      <c r="G58">
        <v>0</v>
      </c>
      <c r="H58">
        <v>450</v>
      </c>
      <c r="I58">
        <f t="shared" si="18"/>
        <v>54</v>
      </c>
      <c r="J58" s="6">
        <f t="array" aca="1" ref="J58:N58" ca="1">TRANSPOSE(ols(OFFSET($C$2:$C$10,I58,0),OFFSET($D$2:$H$10,I58,0)))</f>
        <v>107.73809523809359</v>
      </c>
      <c r="K58" s="6">
        <f ca="1"/>
        <v>-0.3571428571422075</v>
      </c>
      <c r="L58" s="6">
        <f ca="1"/>
        <v>-19.761904761904589</v>
      </c>
      <c r="M58" s="6">
        <f ca="1"/>
        <v>-2.6190476190470235</v>
      </c>
      <c r="N58" s="6">
        <f ca="1"/>
        <v>-6.9047619047623243E-2</v>
      </c>
      <c r="O58" s="6">
        <f t="shared" ca="1" si="1"/>
        <v>76.309523809520925</v>
      </c>
      <c r="P58" t="str">
        <f t="shared" si="2"/>
        <v>NA</v>
      </c>
      <c r="Q58" s="10">
        <f t="shared" ca="1" si="3"/>
        <v>61.190476190473845</v>
      </c>
      <c r="R58" s="10">
        <f t="shared" ca="1" si="4"/>
        <v>107.38095238095138</v>
      </c>
      <c r="S58" s="10">
        <f t="shared" ca="1" si="5"/>
        <v>-46.19047619047754</v>
      </c>
      <c r="T58" s="10">
        <f t="shared" ca="1" si="6"/>
        <v>668.96551724135816</v>
      </c>
      <c r="U58" s="10" t="str">
        <f t="shared" ca="1" si="7"/>
        <v>OR</v>
      </c>
      <c r="V58">
        <f t="shared" si="19"/>
        <v>2</v>
      </c>
    </row>
    <row r="59" spans="1:22" x14ac:dyDescent="0.25">
      <c r="A59">
        <v>7</v>
      </c>
      <c r="B59">
        <v>4</v>
      </c>
      <c r="C59">
        <v>65</v>
      </c>
      <c r="D59">
        <v>1</v>
      </c>
      <c r="E59">
        <v>0</v>
      </c>
      <c r="F59">
        <v>0</v>
      </c>
      <c r="G59">
        <v>0</v>
      </c>
      <c r="H59">
        <v>550</v>
      </c>
      <c r="I59">
        <f t="shared" si="18"/>
        <v>54</v>
      </c>
      <c r="J59" s="6">
        <f t="array" aca="1" ref="J59:N59" ca="1">TRANSPOSE(ols(OFFSET($C$2:$C$10,I59,0),OFFSET($D$2:$H$10,I59,0)))</f>
        <v>107.73809523809359</v>
      </c>
      <c r="K59" s="6">
        <f ca="1"/>
        <v>-0.3571428571422075</v>
      </c>
      <c r="L59" s="6">
        <f ca="1"/>
        <v>-19.761904761904589</v>
      </c>
      <c r="M59" s="6">
        <f ca="1"/>
        <v>-2.6190476190470235</v>
      </c>
      <c r="N59" s="6">
        <f ca="1"/>
        <v>-6.9047619047623243E-2</v>
      </c>
      <c r="O59" s="6">
        <f t="shared" ca="1" si="1"/>
        <v>69.761904761900809</v>
      </c>
      <c r="P59" t="str">
        <f t="shared" si="2"/>
        <v>NA</v>
      </c>
      <c r="Q59" s="10">
        <f t="shared" ca="1" si="3"/>
        <v>61.190476190473845</v>
      </c>
      <c r="R59" s="10">
        <f t="shared" ca="1" si="4"/>
        <v>107.73809523809359</v>
      </c>
      <c r="S59" s="10">
        <f t="shared" ca="1" si="5"/>
        <v>-46.547619047619747</v>
      </c>
      <c r="T59" s="10">
        <f t="shared" ca="1" si="6"/>
        <v>674.13793103445198</v>
      </c>
      <c r="U59" s="10" t="str">
        <f t="shared" ca="1" si="7"/>
        <v>OR</v>
      </c>
      <c r="V59">
        <f t="shared" si="19"/>
        <v>1</v>
      </c>
    </row>
    <row r="60" spans="1:22" x14ac:dyDescent="0.25">
      <c r="A60">
        <v>7</v>
      </c>
      <c r="B60">
        <v>5</v>
      </c>
      <c r="C60">
        <v>65</v>
      </c>
      <c r="D60">
        <v>1</v>
      </c>
      <c r="E60">
        <v>0</v>
      </c>
      <c r="F60">
        <v>1</v>
      </c>
      <c r="G60">
        <v>1</v>
      </c>
      <c r="H60">
        <v>250</v>
      </c>
      <c r="I60">
        <f t="shared" si="18"/>
        <v>54</v>
      </c>
      <c r="J60" s="6">
        <f t="array" aca="1" ref="J60:N60" ca="1">TRANSPOSE(ols(OFFSET($C$2:$C$10,I60,0),OFFSET($D$2:$H$10,I60,0)))</f>
        <v>107.73809523809359</v>
      </c>
      <c r="K60" s="6">
        <f ca="1"/>
        <v>-0.3571428571422075</v>
      </c>
      <c r="L60" s="6">
        <f ca="1"/>
        <v>-19.761904761904589</v>
      </c>
      <c r="M60" s="6">
        <f ca="1"/>
        <v>-2.6190476190470235</v>
      </c>
      <c r="N60" s="6">
        <f ca="1"/>
        <v>-6.9047619047623243E-2</v>
      </c>
      <c r="O60" s="6">
        <f t="shared" ca="1" si="1"/>
        <v>68.095238095236169</v>
      </c>
      <c r="P60" t="str">
        <f t="shared" si="2"/>
        <v>NA</v>
      </c>
      <c r="Q60" s="10">
        <f t="shared" ca="1" si="3"/>
        <v>61.190476190473845</v>
      </c>
      <c r="R60" s="10">
        <f t="shared" ca="1" si="4"/>
        <v>85.35714285714198</v>
      </c>
      <c r="S60" s="10">
        <f t="shared" ca="1" si="5"/>
        <v>-24.166666666668135</v>
      </c>
      <c r="T60" s="10">
        <f t="shared" ca="1" si="6"/>
        <v>350</v>
      </c>
      <c r="U60" s="10">
        <f t="shared" ca="1" si="7"/>
        <v>350</v>
      </c>
      <c r="V60">
        <f t="shared" si="19"/>
        <v>6</v>
      </c>
    </row>
    <row r="61" spans="1:22" x14ac:dyDescent="0.25">
      <c r="A61">
        <v>7</v>
      </c>
      <c r="B61">
        <v>6</v>
      </c>
      <c r="C61">
        <v>60</v>
      </c>
      <c r="D61">
        <v>1</v>
      </c>
      <c r="E61">
        <v>0</v>
      </c>
      <c r="F61">
        <v>1</v>
      </c>
      <c r="G61">
        <v>1</v>
      </c>
      <c r="H61">
        <v>350</v>
      </c>
      <c r="I61">
        <f t="shared" si="18"/>
        <v>54</v>
      </c>
      <c r="J61" s="6">
        <f t="array" aca="1" ref="J61:N61" ca="1">TRANSPOSE(ols(OFFSET($C$2:$C$10,I61,0),OFFSET($D$2:$H$10,I61,0)))</f>
        <v>107.73809523809359</v>
      </c>
      <c r="K61" s="6">
        <f ca="1"/>
        <v>-0.3571428571422075</v>
      </c>
      <c r="L61" s="6">
        <f ca="1"/>
        <v>-19.761904761904589</v>
      </c>
      <c r="M61" s="6">
        <f ca="1"/>
        <v>-2.6190476190470235</v>
      </c>
      <c r="N61" s="6">
        <f ca="1"/>
        <v>-6.9047619047623243E-2</v>
      </c>
      <c r="O61" s="6">
        <f t="shared" ca="1" si="1"/>
        <v>61.190476190473845</v>
      </c>
      <c r="P61">
        <f t="shared" ca="1" si="2"/>
        <v>61.190476190473845</v>
      </c>
      <c r="Q61" s="10">
        <f t="shared" ca="1" si="3"/>
        <v>61.190476190473845</v>
      </c>
      <c r="R61" s="10">
        <f t="shared" ca="1" si="4"/>
        <v>85.35714285714198</v>
      </c>
      <c r="S61" s="10">
        <f t="shared" ca="1" si="5"/>
        <v>-24.166666666668135</v>
      </c>
      <c r="T61" s="10">
        <f t="shared" ca="1" si="6"/>
        <v>350</v>
      </c>
      <c r="U61" s="10">
        <f t="shared" ca="1" si="7"/>
        <v>350</v>
      </c>
      <c r="V61">
        <f t="shared" si="19"/>
        <v>6</v>
      </c>
    </row>
    <row r="62" spans="1:22" x14ac:dyDescent="0.25">
      <c r="A62">
        <v>7</v>
      </c>
      <c r="B62">
        <v>7</v>
      </c>
      <c r="C62">
        <v>75</v>
      </c>
      <c r="D62">
        <v>1</v>
      </c>
      <c r="E62">
        <v>1</v>
      </c>
      <c r="F62">
        <v>0</v>
      </c>
      <c r="G62">
        <v>1</v>
      </c>
      <c r="H62">
        <v>450</v>
      </c>
      <c r="I62">
        <f t="shared" si="18"/>
        <v>54</v>
      </c>
      <c r="J62" s="6">
        <f t="array" aca="1" ref="J62:N62" ca="1">TRANSPOSE(ols(OFFSET($C$2:$C$10,I62,0),OFFSET($D$2:$H$10,I62,0)))</f>
        <v>107.73809523809359</v>
      </c>
      <c r="K62" s="6">
        <f ca="1"/>
        <v>-0.3571428571422075</v>
      </c>
      <c r="L62" s="6">
        <f ca="1"/>
        <v>-19.761904761904589</v>
      </c>
      <c r="M62" s="6">
        <f ca="1"/>
        <v>-2.6190476190470235</v>
      </c>
      <c r="N62" s="6">
        <f ca="1"/>
        <v>-6.9047619047623243E-2</v>
      </c>
      <c r="O62" s="6">
        <f t="shared" ca="1" si="1"/>
        <v>73.690476190473902</v>
      </c>
      <c r="P62" t="str">
        <f t="shared" si="2"/>
        <v>NA</v>
      </c>
      <c r="Q62" s="10">
        <f t="shared" ca="1" si="3"/>
        <v>61.190476190473845</v>
      </c>
      <c r="R62" s="10">
        <f t="shared" ca="1" si="4"/>
        <v>104.76190476190436</v>
      </c>
      <c r="S62" s="10">
        <f t="shared" ca="1" si="5"/>
        <v>-43.571428571430516</v>
      </c>
      <c r="T62" s="10">
        <f t="shared" ca="1" si="6"/>
        <v>631.03448275861047</v>
      </c>
      <c r="U62" s="10">
        <f t="shared" ca="1" si="7"/>
        <v>631.03448275861047</v>
      </c>
      <c r="V62">
        <f t="shared" si="19"/>
        <v>5</v>
      </c>
    </row>
    <row r="63" spans="1:22" x14ac:dyDescent="0.25">
      <c r="A63">
        <v>7</v>
      </c>
      <c r="B63">
        <v>8</v>
      </c>
      <c r="C63">
        <v>65</v>
      </c>
      <c r="D63">
        <v>1</v>
      </c>
      <c r="E63">
        <v>1</v>
      </c>
      <c r="F63">
        <v>0</v>
      </c>
      <c r="G63">
        <v>1</v>
      </c>
      <c r="H63">
        <v>550</v>
      </c>
      <c r="I63">
        <f t="shared" si="18"/>
        <v>54</v>
      </c>
      <c r="J63" s="6">
        <f t="array" aca="1" ref="J63:N63" ca="1">TRANSPOSE(ols(OFFSET($C$2:$C$10,I63,0),OFFSET($D$2:$H$10,I63,0)))</f>
        <v>107.73809523809359</v>
      </c>
      <c r="K63" s="6">
        <f ca="1"/>
        <v>-0.3571428571422075</v>
      </c>
      <c r="L63" s="6">
        <f ca="1"/>
        <v>-19.761904761904589</v>
      </c>
      <c r="M63" s="6">
        <f ca="1"/>
        <v>-2.6190476190470235</v>
      </c>
      <c r="N63" s="6">
        <f ca="1"/>
        <v>-6.9047619047623243E-2</v>
      </c>
      <c r="O63" s="6">
        <f t="shared" ca="1" si="1"/>
        <v>66.785714285711578</v>
      </c>
      <c r="P63" t="str">
        <f t="shared" si="2"/>
        <v>NA</v>
      </c>
      <c r="Q63" s="10">
        <f t="shared" ca="1" si="3"/>
        <v>61.190476190473845</v>
      </c>
      <c r="R63" s="10">
        <f t="shared" ca="1" si="4"/>
        <v>104.76190476190436</v>
      </c>
      <c r="S63" s="10">
        <f t="shared" ca="1" si="5"/>
        <v>-43.571428571430516</v>
      </c>
      <c r="T63" s="10">
        <f t="shared" ca="1" si="6"/>
        <v>631.03448275861047</v>
      </c>
      <c r="U63" s="10">
        <f t="shared" ca="1" si="7"/>
        <v>631.03448275861047</v>
      </c>
      <c r="V63">
        <f t="shared" si="19"/>
        <v>5</v>
      </c>
    </row>
    <row r="64" spans="1:22" x14ac:dyDescent="0.25">
      <c r="A64">
        <v>7</v>
      </c>
      <c r="B64">
        <v>9</v>
      </c>
      <c r="C64">
        <v>65</v>
      </c>
      <c r="D64">
        <v>1</v>
      </c>
      <c r="E64">
        <v>0</v>
      </c>
      <c r="F64">
        <v>0</v>
      </c>
      <c r="G64">
        <v>1</v>
      </c>
      <c r="H64">
        <v>650</v>
      </c>
      <c r="I64">
        <f t="shared" si="18"/>
        <v>54</v>
      </c>
      <c r="J64" s="6">
        <f t="array" aca="1" ref="J64:N64" ca="1">TRANSPOSE(ols(OFFSET($C$2:$C$10,I64,0),OFFSET($D$2:$H$10,I64,0)))</f>
        <v>107.73809523809359</v>
      </c>
      <c r="K64" s="6">
        <f ca="1"/>
        <v>-0.3571428571422075</v>
      </c>
      <c r="L64" s="6">
        <f ca="1"/>
        <v>-19.761904761904589</v>
      </c>
      <c r="M64" s="6">
        <f ca="1"/>
        <v>-2.6190476190470235</v>
      </c>
      <c r="N64" s="6">
        <f ca="1"/>
        <v>-6.9047619047623243E-2</v>
      </c>
      <c r="O64" s="6">
        <f t="shared" ca="1" si="1"/>
        <v>60.238095238091461</v>
      </c>
      <c r="P64" t="str">
        <f t="shared" si="2"/>
        <v>NA</v>
      </c>
      <c r="Q64" s="10">
        <f t="shared" ca="1" si="3"/>
        <v>61.190476190473845</v>
      </c>
      <c r="R64" s="10">
        <f t="shared" ca="1" si="4"/>
        <v>105.11904761904657</v>
      </c>
      <c r="S64" s="10">
        <f t="shared" ca="1" si="5"/>
        <v>-43.928571428572724</v>
      </c>
      <c r="T64" s="10">
        <f t="shared" ca="1" si="6"/>
        <v>636.20689655170429</v>
      </c>
      <c r="U64" s="10">
        <f t="shared" ca="1" si="7"/>
        <v>636.20689655170429</v>
      </c>
      <c r="V64">
        <f t="shared" si="19"/>
        <v>4</v>
      </c>
    </row>
    <row r="65" spans="1:22" x14ac:dyDescent="0.25">
      <c r="A65">
        <v>8</v>
      </c>
      <c r="B65">
        <v>1</v>
      </c>
      <c r="C65">
        <v>40</v>
      </c>
      <c r="D65">
        <v>1</v>
      </c>
      <c r="E65">
        <v>0</v>
      </c>
      <c r="F65">
        <v>1</v>
      </c>
      <c r="G65">
        <v>0</v>
      </c>
      <c r="H65">
        <v>250</v>
      </c>
      <c r="I65">
        <f t="shared" si="18"/>
        <v>63</v>
      </c>
      <c r="J65" s="6">
        <f t="array" aca="1" ref="J65:N65" ca="1">TRANSPOSE(ols(OFFSET($C$2:$C$10,I65,0),OFFSET($D$2:$H$10,I65,0)))</f>
        <v>40.416666666666288</v>
      </c>
      <c r="K65" s="6">
        <f ca="1"/>
        <v>-2.4999999999999432</v>
      </c>
      <c r="L65" s="6">
        <f ca="1"/>
        <v>1.6666666666667425</v>
      </c>
      <c r="M65" s="6">
        <f ca="1"/>
        <v>-10.833333333333314</v>
      </c>
      <c r="N65" s="6">
        <f ca="1"/>
        <v>-5.8333333333333126E-2</v>
      </c>
      <c r="O65" s="6">
        <f t="shared" ca="1" si="1"/>
        <v>27.499999999999748</v>
      </c>
      <c r="P65" t="str">
        <f t="shared" si="2"/>
        <v>NA</v>
      </c>
      <c r="Q65" s="10">
        <f t="shared" ca="1" si="3"/>
        <v>10.833333333333123</v>
      </c>
      <c r="R65" s="10">
        <f t="shared" ca="1" si="4"/>
        <v>42.08333333333303</v>
      </c>
      <c r="S65" s="10">
        <f t="shared" ca="1" si="5"/>
        <v>-31.249999999999908</v>
      </c>
      <c r="T65" s="10">
        <f t="shared" ca="1" si="6"/>
        <v>535.71428571428601</v>
      </c>
      <c r="U65" s="10">
        <f t="shared" ca="1" si="7"/>
        <v>535.71428571428601</v>
      </c>
      <c r="V65">
        <f t="shared" si="19"/>
        <v>3</v>
      </c>
    </row>
    <row r="66" spans="1:22" x14ac:dyDescent="0.25">
      <c r="A66">
        <v>8</v>
      </c>
      <c r="B66">
        <v>2</v>
      </c>
      <c r="C66">
        <v>25</v>
      </c>
      <c r="D66">
        <v>1</v>
      </c>
      <c r="E66">
        <v>1</v>
      </c>
      <c r="F66">
        <v>0</v>
      </c>
      <c r="G66">
        <v>0</v>
      </c>
      <c r="H66">
        <v>350</v>
      </c>
      <c r="I66">
        <f t="shared" si="18"/>
        <v>63</v>
      </c>
      <c r="J66" s="6">
        <f t="array" aca="1" ref="J66:N66" ca="1">TRANSPOSE(ols(OFFSET($C$2:$C$10,I66,0),OFFSET($D$2:$H$10,I66,0)))</f>
        <v>40.416666666666288</v>
      </c>
      <c r="K66" s="6">
        <f ca="1"/>
        <v>-2.4999999999999432</v>
      </c>
      <c r="L66" s="6">
        <f ca="1"/>
        <v>1.6666666666667425</v>
      </c>
      <c r="M66" s="6">
        <f ca="1"/>
        <v>-10.833333333333314</v>
      </c>
      <c r="N66" s="6">
        <f ca="1"/>
        <v>-5.8333333333333126E-2</v>
      </c>
      <c r="O66" s="6">
        <f t="shared" ca="1" si="1"/>
        <v>17.499999999999751</v>
      </c>
      <c r="P66" t="str">
        <f t="shared" si="2"/>
        <v>NA</v>
      </c>
      <c r="Q66" s="10">
        <f t="shared" ca="1" si="3"/>
        <v>10.833333333333123</v>
      </c>
      <c r="R66" s="10">
        <f t="shared" ca="1" si="4"/>
        <v>37.916666666666345</v>
      </c>
      <c r="S66" s="10">
        <f t="shared" ca="1" si="5"/>
        <v>-27.083333333333222</v>
      </c>
      <c r="T66" s="10">
        <f t="shared" ca="1" si="6"/>
        <v>464.28571428571405</v>
      </c>
      <c r="U66" s="10">
        <f t="shared" ca="1" si="7"/>
        <v>464.28571428571405</v>
      </c>
      <c r="V66">
        <f t="shared" si="19"/>
        <v>2</v>
      </c>
    </row>
    <row r="67" spans="1:22" x14ac:dyDescent="0.25">
      <c r="A67">
        <v>8</v>
      </c>
      <c r="B67">
        <v>3</v>
      </c>
      <c r="C67">
        <v>0</v>
      </c>
      <c r="D67">
        <v>1</v>
      </c>
      <c r="E67">
        <v>1</v>
      </c>
      <c r="F67">
        <v>0</v>
      </c>
      <c r="G67">
        <v>0</v>
      </c>
      <c r="H67">
        <v>450</v>
      </c>
      <c r="I67">
        <f t="shared" si="18"/>
        <v>63</v>
      </c>
      <c r="J67" s="6">
        <f t="array" aca="1" ref="J67:N67" ca="1">TRANSPOSE(ols(OFFSET($C$2:$C$10,I67,0),OFFSET($D$2:$H$10,I67,0)))</f>
        <v>40.416666666666288</v>
      </c>
      <c r="K67" s="6">
        <f ca="1"/>
        <v>-2.4999999999999432</v>
      </c>
      <c r="L67" s="6">
        <f ca="1"/>
        <v>1.6666666666667425</v>
      </c>
      <c r="M67" s="6">
        <f ca="1"/>
        <v>-10.833333333333314</v>
      </c>
      <c r="N67" s="6">
        <f ca="1"/>
        <v>-5.8333333333333126E-2</v>
      </c>
      <c r="O67" s="6">
        <f t="shared" ref="O67:O130" ca="1" si="20">SUMPRODUCT(J67:N67,D67:H67)</f>
        <v>11.666666666666437</v>
      </c>
      <c r="P67" t="str">
        <f t="shared" ref="P67:P130" si="21">IF(AND(F67=1,G67=1,H67=350),O67,"NA")</f>
        <v>NA</v>
      </c>
      <c r="Q67" s="10">
        <f t="shared" ref="Q67:Q130" ca="1" si="22">AVERAGEIF($A$2:$A$5383,A67,$P$2:$P$5383)</f>
        <v>10.833333333333123</v>
      </c>
      <c r="R67" s="10">
        <f t="shared" ref="R67:R130" ca="1" si="23">O67-N67*H67</f>
        <v>37.916666666666345</v>
      </c>
      <c r="S67" s="10">
        <f t="shared" ref="S67:S130" ca="1" si="24">Q67-R67</f>
        <v>-27.083333333333222</v>
      </c>
      <c r="T67" s="10">
        <f t="shared" ref="T67:T130" ca="1" si="25">S67/N67</f>
        <v>464.28571428571405</v>
      </c>
      <c r="U67" s="10">
        <f t="shared" ref="U67:U130" ca="1" si="26">IF(OR(T67&lt;250,T67&gt;650),"OR",T67)</f>
        <v>464.28571428571405</v>
      </c>
      <c r="V67">
        <f t="shared" ref="V67:V130" si="27">IF(AND(E67=1,G67=0),2,IF(AND(F67=1,G67=0),3,IF(AND(E67=1,G67=1),5,IF(AND(F67=1,G67=1),6,IF(G67=0,1,IF(G67=1,4))))))</f>
        <v>2</v>
      </c>
    </row>
    <row r="68" spans="1:22" x14ac:dyDescent="0.25">
      <c r="A68">
        <v>8</v>
      </c>
      <c r="B68">
        <v>4</v>
      </c>
      <c r="C68">
        <v>0</v>
      </c>
      <c r="D68">
        <v>1</v>
      </c>
      <c r="E68">
        <v>0</v>
      </c>
      <c r="F68">
        <v>0</v>
      </c>
      <c r="G68">
        <v>0</v>
      </c>
      <c r="H68">
        <v>550</v>
      </c>
      <c r="I68">
        <f t="shared" si="18"/>
        <v>63</v>
      </c>
      <c r="J68" s="6">
        <f t="array" aca="1" ref="J68:N68" ca="1">TRANSPOSE(ols(OFFSET($C$2:$C$10,I68,0),OFFSET($D$2:$H$10,I68,0)))</f>
        <v>40.416666666666288</v>
      </c>
      <c r="K68" s="6">
        <f ca="1"/>
        <v>-2.4999999999999432</v>
      </c>
      <c r="L68" s="6">
        <f ca="1"/>
        <v>1.6666666666667425</v>
      </c>
      <c r="M68" s="6">
        <f ca="1"/>
        <v>-10.833333333333314</v>
      </c>
      <c r="N68" s="6">
        <f ca="1"/>
        <v>-5.8333333333333126E-2</v>
      </c>
      <c r="O68" s="6">
        <f t="shared" ca="1" si="20"/>
        <v>8.3333333333330657</v>
      </c>
      <c r="P68" t="str">
        <f t="shared" si="21"/>
        <v>NA</v>
      </c>
      <c r="Q68" s="10">
        <f t="shared" ca="1" si="22"/>
        <v>10.833333333333123</v>
      </c>
      <c r="R68" s="10">
        <f t="shared" ca="1" si="23"/>
        <v>40.416666666666288</v>
      </c>
      <c r="S68" s="10">
        <f t="shared" ca="1" si="24"/>
        <v>-29.583333333333165</v>
      </c>
      <c r="T68" s="10">
        <f t="shared" ca="1" si="25"/>
        <v>507.14285714285609</v>
      </c>
      <c r="U68" s="10">
        <f t="shared" ca="1" si="26"/>
        <v>507.14285714285609</v>
      </c>
      <c r="V68">
        <f t="shared" si="27"/>
        <v>1</v>
      </c>
    </row>
    <row r="69" spans="1:22" x14ac:dyDescent="0.25">
      <c r="A69">
        <v>8</v>
      </c>
      <c r="B69">
        <v>5</v>
      </c>
      <c r="C69">
        <v>10</v>
      </c>
      <c r="D69">
        <v>1</v>
      </c>
      <c r="E69">
        <v>0</v>
      </c>
      <c r="F69">
        <v>1</v>
      </c>
      <c r="G69">
        <v>1</v>
      </c>
      <c r="H69">
        <v>250</v>
      </c>
      <c r="I69">
        <f t="shared" si="18"/>
        <v>63</v>
      </c>
      <c r="J69" s="6">
        <f t="array" aca="1" ref="J69:N69" ca="1">TRANSPOSE(ols(OFFSET($C$2:$C$10,I69,0),OFFSET($D$2:$H$10,I69,0)))</f>
        <v>40.416666666666288</v>
      </c>
      <c r="K69" s="6">
        <f ca="1"/>
        <v>-2.4999999999999432</v>
      </c>
      <c r="L69" s="6">
        <f ca="1"/>
        <v>1.6666666666667425</v>
      </c>
      <c r="M69" s="6">
        <f ca="1"/>
        <v>-10.833333333333314</v>
      </c>
      <c r="N69" s="6">
        <f ca="1"/>
        <v>-5.8333333333333126E-2</v>
      </c>
      <c r="O69" s="6">
        <f t="shared" ca="1" si="20"/>
        <v>16.666666666666433</v>
      </c>
      <c r="P69" t="str">
        <f t="shared" si="21"/>
        <v>NA</v>
      </c>
      <c r="Q69" s="10">
        <f t="shared" ca="1" si="22"/>
        <v>10.833333333333123</v>
      </c>
      <c r="R69" s="10">
        <f t="shared" ca="1" si="23"/>
        <v>31.249999999999716</v>
      </c>
      <c r="S69" s="10">
        <f t="shared" ca="1" si="24"/>
        <v>-20.416666666666593</v>
      </c>
      <c r="T69" s="10">
        <f t="shared" ca="1" si="25"/>
        <v>350</v>
      </c>
      <c r="U69" s="10">
        <f t="shared" ca="1" si="26"/>
        <v>350</v>
      </c>
      <c r="V69">
        <f t="shared" si="27"/>
        <v>6</v>
      </c>
    </row>
    <row r="70" spans="1:22" x14ac:dyDescent="0.25">
      <c r="A70">
        <v>8</v>
      </c>
      <c r="B70">
        <v>6</v>
      </c>
      <c r="C70">
        <v>5</v>
      </c>
      <c r="D70">
        <v>1</v>
      </c>
      <c r="E70">
        <v>0</v>
      </c>
      <c r="F70">
        <v>1</v>
      </c>
      <c r="G70">
        <v>1</v>
      </c>
      <c r="H70">
        <v>350</v>
      </c>
      <c r="I70">
        <f t="shared" si="18"/>
        <v>63</v>
      </c>
      <c r="J70" s="6">
        <f t="array" aca="1" ref="J70:N70" ca="1">TRANSPOSE(ols(OFFSET($C$2:$C$10,I70,0),OFFSET($D$2:$H$10,I70,0)))</f>
        <v>40.416666666666288</v>
      </c>
      <c r="K70" s="6">
        <f ca="1"/>
        <v>-2.4999999999999432</v>
      </c>
      <c r="L70" s="6">
        <f ca="1"/>
        <v>1.6666666666667425</v>
      </c>
      <c r="M70" s="6">
        <f ca="1"/>
        <v>-10.833333333333314</v>
      </c>
      <c r="N70" s="6">
        <f ca="1"/>
        <v>-5.8333333333333126E-2</v>
      </c>
      <c r="O70" s="6">
        <f t="shared" ca="1" si="20"/>
        <v>10.833333333333123</v>
      </c>
      <c r="P70">
        <f t="shared" ca="1" si="21"/>
        <v>10.833333333333123</v>
      </c>
      <c r="Q70" s="10">
        <f t="shared" ca="1" si="22"/>
        <v>10.833333333333123</v>
      </c>
      <c r="R70" s="10">
        <f t="shared" ca="1" si="23"/>
        <v>31.249999999999716</v>
      </c>
      <c r="S70" s="10">
        <f t="shared" ca="1" si="24"/>
        <v>-20.416666666666593</v>
      </c>
      <c r="T70" s="10">
        <f t="shared" ca="1" si="25"/>
        <v>350</v>
      </c>
      <c r="U70" s="10">
        <f t="shared" ca="1" si="26"/>
        <v>350</v>
      </c>
      <c r="V70">
        <f t="shared" si="27"/>
        <v>6</v>
      </c>
    </row>
    <row r="71" spans="1:22" x14ac:dyDescent="0.25">
      <c r="A71">
        <v>8</v>
      </c>
      <c r="B71">
        <v>7</v>
      </c>
      <c r="C71">
        <v>0</v>
      </c>
      <c r="D71">
        <v>1</v>
      </c>
      <c r="E71">
        <v>1</v>
      </c>
      <c r="F71">
        <v>0</v>
      </c>
      <c r="G71">
        <v>1</v>
      </c>
      <c r="H71">
        <v>450</v>
      </c>
      <c r="I71">
        <f t="shared" si="18"/>
        <v>63</v>
      </c>
      <c r="J71" s="6">
        <f t="array" aca="1" ref="J71:N71" ca="1">TRANSPOSE(ols(OFFSET($C$2:$C$10,I71,0),OFFSET($D$2:$H$10,I71,0)))</f>
        <v>40.416666666666288</v>
      </c>
      <c r="K71" s="6">
        <f ca="1"/>
        <v>-2.4999999999999432</v>
      </c>
      <c r="L71" s="6">
        <f ca="1"/>
        <v>1.6666666666667425</v>
      </c>
      <c r="M71" s="6">
        <f ca="1"/>
        <v>-10.833333333333314</v>
      </c>
      <c r="N71" s="6">
        <f ca="1"/>
        <v>-5.8333333333333126E-2</v>
      </c>
      <c r="O71" s="6">
        <f t="shared" ca="1" si="20"/>
        <v>0.83333333333312254</v>
      </c>
      <c r="P71" t="str">
        <f t="shared" si="21"/>
        <v>NA</v>
      </c>
      <c r="Q71" s="10">
        <f t="shared" ca="1" si="22"/>
        <v>10.833333333333123</v>
      </c>
      <c r="R71" s="10">
        <f t="shared" ca="1" si="23"/>
        <v>27.08333333333303</v>
      </c>
      <c r="S71" s="10">
        <f t="shared" ca="1" si="24"/>
        <v>-16.249999999999908</v>
      </c>
      <c r="T71" s="10">
        <f t="shared" ca="1" si="25"/>
        <v>278.57142857142799</v>
      </c>
      <c r="U71" s="10">
        <f t="shared" ca="1" si="26"/>
        <v>278.57142857142799</v>
      </c>
      <c r="V71">
        <f t="shared" si="27"/>
        <v>5</v>
      </c>
    </row>
    <row r="72" spans="1:22" x14ac:dyDescent="0.25">
      <c r="A72">
        <v>8</v>
      </c>
      <c r="B72">
        <v>8</v>
      </c>
      <c r="C72">
        <v>0</v>
      </c>
      <c r="D72">
        <v>1</v>
      </c>
      <c r="E72">
        <v>1</v>
      </c>
      <c r="F72">
        <v>0</v>
      </c>
      <c r="G72">
        <v>1</v>
      </c>
      <c r="H72">
        <v>550</v>
      </c>
      <c r="I72">
        <f t="shared" si="18"/>
        <v>63</v>
      </c>
      <c r="J72" s="6">
        <f t="array" aca="1" ref="J72:N72" ca="1">TRANSPOSE(ols(OFFSET($C$2:$C$10,I72,0),OFFSET($D$2:$H$10,I72,0)))</f>
        <v>40.416666666666288</v>
      </c>
      <c r="K72" s="6">
        <f ca="1"/>
        <v>-2.4999999999999432</v>
      </c>
      <c r="L72" s="6">
        <f ca="1"/>
        <v>1.6666666666667425</v>
      </c>
      <c r="M72" s="6">
        <f ca="1"/>
        <v>-10.833333333333314</v>
      </c>
      <c r="N72" s="6">
        <f ca="1"/>
        <v>-5.8333333333333126E-2</v>
      </c>
      <c r="O72" s="6">
        <f t="shared" ca="1" si="20"/>
        <v>-5.0000000000001918</v>
      </c>
      <c r="P72" t="str">
        <f t="shared" si="21"/>
        <v>NA</v>
      </c>
      <c r="Q72" s="10">
        <f t="shared" ca="1" si="22"/>
        <v>10.833333333333123</v>
      </c>
      <c r="R72" s="10">
        <f t="shared" ca="1" si="23"/>
        <v>27.08333333333303</v>
      </c>
      <c r="S72" s="10">
        <f t="shared" ca="1" si="24"/>
        <v>-16.249999999999908</v>
      </c>
      <c r="T72" s="10">
        <f t="shared" ca="1" si="25"/>
        <v>278.57142857142799</v>
      </c>
      <c r="U72" s="10">
        <f t="shared" ca="1" si="26"/>
        <v>278.57142857142799</v>
      </c>
      <c r="V72">
        <f t="shared" si="27"/>
        <v>5</v>
      </c>
    </row>
    <row r="73" spans="1:22" x14ac:dyDescent="0.25">
      <c r="A73">
        <v>8</v>
      </c>
      <c r="B73">
        <v>9</v>
      </c>
      <c r="C73">
        <v>0</v>
      </c>
      <c r="D73">
        <v>1</v>
      </c>
      <c r="E73">
        <v>0</v>
      </c>
      <c r="F73">
        <v>0</v>
      </c>
      <c r="G73">
        <v>1</v>
      </c>
      <c r="H73">
        <v>650</v>
      </c>
      <c r="I73">
        <f t="shared" si="18"/>
        <v>63</v>
      </c>
      <c r="J73" s="6">
        <f t="array" aca="1" ref="J73:N73" ca="1">TRANSPOSE(ols(OFFSET($C$2:$C$10,I73,0),OFFSET($D$2:$H$10,I73,0)))</f>
        <v>40.416666666666288</v>
      </c>
      <c r="K73" s="6">
        <f ca="1"/>
        <v>-2.4999999999999432</v>
      </c>
      <c r="L73" s="6">
        <f ca="1"/>
        <v>1.6666666666667425</v>
      </c>
      <c r="M73" s="6">
        <f ca="1"/>
        <v>-10.833333333333314</v>
      </c>
      <c r="N73" s="6">
        <f ca="1"/>
        <v>-5.8333333333333126E-2</v>
      </c>
      <c r="O73" s="6">
        <f t="shared" ca="1" si="20"/>
        <v>-8.333333333333556</v>
      </c>
      <c r="P73" t="str">
        <f t="shared" si="21"/>
        <v>NA</v>
      </c>
      <c r="Q73" s="10">
        <f t="shared" ca="1" si="22"/>
        <v>10.833333333333123</v>
      </c>
      <c r="R73" s="10">
        <f t="shared" ca="1" si="23"/>
        <v>29.583333333332973</v>
      </c>
      <c r="S73" s="10">
        <f t="shared" ca="1" si="24"/>
        <v>-18.749999999999851</v>
      </c>
      <c r="T73" s="10">
        <f t="shared" ca="1" si="25"/>
        <v>321.42857142857002</v>
      </c>
      <c r="U73" s="10">
        <f t="shared" ca="1" si="26"/>
        <v>321.42857142857002</v>
      </c>
      <c r="V73">
        <f t="shared" si="27"/>
        <v>4</v>
      </c>
    </row>
    <row r="74" spans="1:22" x14ac:dyDescent="0.25">
      <c r="A74">
        <v>9</v>
      </c>
      <c r="B74">
        <v>1</v>
      </c>
      <c r="C74">
        <v>20</v>
      </c>
      <c r="D74">
        <v>1</v>
      </c>
      <c r="E74">
        <v>0</v>
      </c>
      <c r="F74">
        <v>1</v>
      </c>
      <c r="G74">
        <v>0</v>
      </c>
      <c r="H74">
        <v>250</v>
      </c>
      <c r="I74">
        <f t="shared" si="18"/>
        <v>72</v>
      </c>
      <c r="J74" s="6">
        <f t="array" aca="1" ref="J74:N74" ca="1">TRANSPOSE(ols(OFFSET($C$2:$C$10,I74,0),OFFSET($D$2:$H$10,I74,0)))</f>
        <v>14.940476190476147</v>
      </c>
      <c r="K74" s="6">
        <f ca="1"/>
        <v>0.71428571428572241</v>
      </c>
      <c r="L74" s="6">
        <f ca="1"/>
        <v>6.1904761904762609</v>
      </c>
      <c r="M74" s="6">
        <f ca="1"/>
        <v>-5.5952380952380878</v>
      </c>
      <c r="N74" s="6">
        <f ca="1"/>
        <v>-2.0238095238095277E-2</v>
      </c>
      <c r="O74" s="6">
        <f t="shared" ca="1" si="20"/>
        <v>16.071428571428591</v>
      </c>
      <c r="P74" t="str">
        <f t="shared" si="21"/>
        <v>NA</v>
      </c>
      <c r="Q74" s="10">
        <f t="shared" ca="1" si="22"/>
        <v>8.4523809523809739</v>
      </c>
      <c r="R74" s="10">
        <f t="shared" ca="1" si="23"/>
        <v>21.130952380952408</v>
      </c>
      <c r="S74" s="10">
        <f t="shared" ca="1" si="24"/>
        <v>-12.678571428571434</v>
      </c>
      <c r="T74" s="10">
        <f t="shared" ca="1" si="25"/>
        <v>626.47058823529323</v>
      </c>
      <c r="U74" s="10">
        <f t="shared" ca="1" si="26"/>
        <v>626.47058823529323</v>
      </c>
      <c r="V74">
        <f t="shared" si="27"/>
        <v>3</v>
      </c>
    </row>
    <row r="75" spans="1:22" x14ac:dyDescent="0.25">
      <c r="A75">
        <v>9</v>
      </c>
      <c r="B75">
        <v>2</v>
      </c>
      <c r="C75">
        <v>10</v>
      </c>
      <c r="D75">
        <v>1</v>
      </c>
      <c r="E75">
        <v>1</v>
      </c>
      <c r="F75">
        <v>0</v>
      </c>
      <c r="G75">
        <v>0</v>
      </c>
      <c r="H75">
        <v>350</v>
      </c>
      <c r="I75">
        <f t="shared" si="18"/>
        <v>72</v>
      </c>
      <c r="J75" s="6">
        <f t="array" aca="1" ref="J75:N75" ca="1">TRANSPOSE(ols(OFFSET($C$2:$C$10,I75,0),OFFSET($D$2:$H$10,I75,0)))</f>
        <v>14.940476190476147</v>
      </c>
      <c r="K75" s="6">
        <f ca="1"/>
        <v>0.71428571428572241</v>
      </c>
      <c r="L75" s="6">
        <f ca="1"/>
        <v>6.1904761904762609</v>
      </c>
      <c r="M75" s="6">
        <f ca="1"/>
        <v>-5.5952380952380878</v>
      </c>
      <c r="N75" s="6">
        <f ca="1"/>
        <v>-2.0238095238095277E-2</v>
      </c>
      <c r="O75" s="6">
        <f t="shared" ca="1" si="20"/>
        <v>8.5714285714285232</v>
      </c>
      <c r="P75" t="str">
        <f t="shared" si="21"/>
        <v>NA</v>
      </c>
      <c r="Q75" s="10">
        <f t="shared" ca="1" si="22"/>
        <v>8.4523809523809739</v>
      </c>
      <c r="R75" s="10">
        <f t="shared" ca="1" si="23"/>
        <v>15.65476190476187</v>
      </c>
      <c r="S75" s="10">
        <f t="shared" ca="1" si="24"/>
        <v>-7.2023809523808957</v>
      </c>
      <c r="T75" s="10">
        <f t="shared" ca="1" si="25"/>
        <v>355.882352941173</v>
      </c>
      <c r="U75" s="10">
        <f t="shared" ca="1" si="26"/>
        <v>355.882352941173</v>
      </c>
      <c r="V75">
        <f t="shared" si="27"/>
        <v>2</v>
      </c>
    </row>
    <row r="76" spans="1:22" x14ac:dyDescent="0.25">
      <c r="A76">
        <v>9</v>
      </c>
      <c r="B76">
        <v>3</v>
      </c>
      <c r="C76">
        <v>5</v>
      </c>
      <c r="D76">
        <v>1</v>
      </c>
      <c r="E76">
        <v>1</v>
      </c>
      <c r="F76">
        <v>0</v>
      </c>
      <c r="G76">
        <v>0</v>
      </c>
      <c r="H76">
        <v>450</v>
      </c>
      <c r="I76">
        <f t="shared" ref="I76:I139" si="28">IF(A76&gt;A75,I75+9,I75)</f>
        <v>72</v>
      </c>
      <c r="J76" s="6">
        <f t="array" aca="1" ref="J76:N76" ca="1">TRANSPOSE(ols(OFFSET($C$2:$C$10,I76,0),OFFSET($D$2:$H$10,I76,0)))</f>
        <v>14.940476190476147</v>
      </c>
      <c r="K76" s="6">
        <f ca="1"/>
        <v>0.71428571428572241</v>
      </c>
      <c r="L76" s="6">
        <f ca="1"/>
        <v>6.1904761904762609</v>
      </c>
      <c r="M76" s="6">
        <f ca="1"/>
        <v>-5.5952380952380878</v>
      </c>
      <c r="N76" s="6">
        <f ca="1"/>
        <v>-2.0238095238095277E-2</v>
      </c>
      <c r="O76" s="6">
        <f t="shared" ca="1" si="20"/>
        <v>6.5476190476189942</v>
      </c>
      <c r="P76" t="str">
        <f t="shared" si="21"/>
        <v>NA</v>
      </c>
      <c r="Q76" s="10">
        <f t="shared" ca="1" si="22"/>
        <v>8.4523809523809739</v>
      </c>
      <c r="R76" s="10">
        <f t="shared" ca="1" si="23"/>
        <v>15.65476190476187</v>
      </c>
      <c r="S76" s="10">
        <f t="shared" ca="1" si="24"/>
        <v>-7.2023809523808957</v>
      </c>
      <c r="T76" s="10">
        <f t="shared" ca="1" si="25"/>
        <v>355.882352941173</v>
      </c>
      <c r="U76" s="10">
        <f t="shared" ca="1" si="26"/>
        <v>355.882352941173</v>
      </c>
      <c r="V76">
        <f t="shared" si="27"/>
        <v>2</v>
      </c>
    </row>
    <row r="77" spans="1:22" x14ac:dyDescent="0.25">
      <c r="A77">
        <v>9</v>
      </c>
      <c r="B77">
        <v>4</v>
      </c>
      <c r="C77">
        <v>0</v>
      </c>
      <c r="D77">
        <v>1</v>
      </c>
      <c r="E77">
        <v>0</v>
      </c>
      <c r="F77">
        <v>0</v>
      </c>
      <c r="G77">
        <v>0</v>
      </c>
      <c r="H77">
        <v>550</v>
      </c>
      <c r="I77">
        <f t="shared" si="28"/>
        <v>72</v>
      </c>
      <c r="J77" s="6">
        <f t="array" aca="1" ref="J77:N77" ca="1">TRANSPOSE(ols(OFFSET($C$2:$C$10,I77,0),OFFSET($D$2:$H$10,I77,0)))</f>
        <v>14.940476190476147</v>
      </c>
      <c r="K77" s="6">
        <f ca="1"/>
        <v>0.71428571428572241</v>
      </c>
      <c r="L77" s="6">
        <f ca="1"/>
        <v>6.1904761904762609</v>
      </c>
      <c r="M77" s="6">
        <f ca="1"/>
        <v>-5.5952380952380878</v>
      </c>
      <c r="N77" s="6">
        <f ca="1"/>
        <v>-2.0238095238095277E-2</v>
      </c>
      <c r="O77" s="6">
        <f t="shared" ca="1" si="20"/>
        <v>3.8095238095237445</v>
      </c>
      <c r="P77" t="str">
        <f t="shared" si="21"/>
        <v>NA</v>
      </c>
      <c r="Q77" s="10">
        <f t="shared" ca="1" si="22"/>
        <v>8.4523809523809739</v>
      </c>
      <c r="R77" s="10">
        <f t="shared" ca="1" si="23"/>
        <v>14.940476190476147</v>
      </c>
      <c r="S77" s="10">
        <f t="shared" ca="1" si="24"/>
        <v>-6.4880952380951733</v>
      </c>
      <c r="T77" s="10">
        <f t="shared" ca="1" si="25"/>
        <v>320.58823529411382</v>
      </c>
      <c r="U77" s="10">
        <f t="shared" ca="1" si="26"/>
        <v>320.58823529411382</v>
      </c>
      <c r="V77">
        <f t="shared" si="27"/>
        <v>1</v>
      </c>
    </row>
    <row r="78" spans="1:22" x14ac:dyDescent="0.25">
      <c r="A78">
        <v>9</v>
      </c>
      <c r="B78">
        <v>5</v>
      </c>
      <c r="C78">
        <v>10</v>
      </c>
      <c r="D78">
        <v>1</v>
      </c>
      <c r="E78">
        <v>0</v>
      </c>
      <c r="F78">
        <v>1</v>
      </c>
      <c r="G78">
        <v>1</v>
      </c>
      <c r="H78">
        <v>250</v>
      </c>
      <c r="I78">
        <f t="shared" si="28"/>
        <v>72</v>
      </c>
      <c r="J78" s="6">
        <f t="array" aca="1" ref="J78:N78" ca="1">TRANSPOSE(ols(OFFSET($C$2:$C$10,I78,0),OFFSET($D$2:$H$10,I78,0)))</f>
        <v>14.940476190476147</v>
      </c>
      <c r="K78" s="6">
        <f ca="1"/>
        <v>0.71428571428572241</v>
      </c>
      <c r="L78" s="6">
        <f ca="1"/>
        <v>6.1904761904762609</v>
      </c>
      <c r="M78" s="6">
        <f ca="1"/>
        <v>-5.5952380952380878</v>
      </c>
      <c r="N78" s="6">
        <f ca="1"/>
        <v>-2.0238095238095277E-2</v>
      </c>
      <c r="O78" s="6">
        <f t="shared" ca="1" si="20"/>
        <v>10.476190476190501</v>
      </c>
      <c r="P78" t="str">
        <f t="shared" si="21"/>
        <v>NA</v>
      </c>
      <c r="Q78" s="10">
        <f t="shared" ca="1" si="22"/>
        <v>8.4523809523809739</v>
      </c>
      <c r="R78" s="10">
        <f t="shared" ca="1" si="23"/>
        <v>15.53571428571432</v>
      </c>
      <c r="S78" s="10">
        <f t="shared" ca="1" si="24"/>
        <v>-7.0833333333333464</v>
      </c>
      <c r="T78" s="10">
        <f t="shared" ca="1" si="25"/>
        <v>349.99999999999994</v>
      </c>
      <c r="U78" s="10">
        <f t="shared" ca="1" si="26"/>
        <v>349.99999999999994</v>
      </c>
      <c r="V78">
        <f t="shared" si="27"/>
        <v>6</v>
      </c>
    </row>
    <row r="79" spans="1:22" x14ac:dyDescent="0.25">
      <c r="A79">
        <v>9</v>
      </c>
      <c r="B79">
        <v>6</v>
      </c>
      <c r="C79">
        <v>5</v>
      </c>
      <c r="D79">
        <v>1</v>
      </c>
      <c r="E79">
        <v>0</v>
      </c>
      <c r="F79">
        <v>1</v>
      </c>
      <c r="G79">
        <v>1</v>
      </c>
      <c r="H79">
        <v>350</v>
      </c>
      <c r="I79">
        <f t="shared" si="28"/>
        <v>72</v>
      </c>
      <c r="J79" s="6">
        <f t="array" aca="1" ref="J79:N79" ca="1">TRANSPOSE(ols(OFFSET($C$2:$C$10,I79,0),OFFSET($D$2:$H$10,I79,0)))</f>
        <v>14.940476190476147</v>
      </c>
      <c r="K79" s="6">
        <f ca="1"/>
        <v>0.71428571428572241</v>
      </c>
      <c r="L79" s="6">
        <f ca="1"/>
        <v>6.1904761904762609</v>
      </c>
      <c r="M79" s="6">
        <f ca="1"/>
        <v>-5.5952380952380878</v>
      </c>
      <c r="N79" s="6">
        <f ca="1"/>
        <v>-2.0238095238095277E-2</v>
      </c>
      <c r="O79" s="6">
        <f t="shared" ca="1" si="20"/>
        <v>8.4523809523809739</v>
      </c>
      <c r="P79">
        <f t="shared" ca="1" si="21"/>
        <v>8.4523809523809739</v>
      </c>
      <c r="Q79" s="10">
        <f t="shared" ca="1" si="22"/>
        <v>8.4523809523809739</v>
      </c>
      <c r="R79" s="10">
        <f t="shared" ca="1" si="23"/>
        <v>15.53571428571432</v>
      </c>
      <c r="S79" s="10">
        <f t="shared" ca="1" si="24"/>
        <v>-7.0833333333333464</v>
      </c>
      <c r="T79" s="10">
        <f t="shared" ca="1" si="25"/>
        <v>349.99999999999994</v>
      </c>
      <c r="U79" s="10">
        <f t="shared" ca="1" si="26"/>
        <v>349.99999999999994</v>
      </c>
      <c r="V79">
        <f t="shared" si="27"/>
        <v>6</v>
      </c>
    </row>
    <row r="80" spans="1:22" x14ac:dyDescent="0.25">
      <c r="A80">
        <v>9</v>
      </c>
      <c r="B80">
        <v>7</v>
      </c>
      <c r="C80">
        <v>0</v>
      </c>
      <c r="D80">
        <v>1</v>
      </c>
      <c r="E80">
        <v>1</v>
      </c>
      <c r="F80">
        <v>0</v>
      </c>
      <c r="G80">
        <v>1</v>
      </c>
      <c r="H80">
        <v>450</v>
      </c>
      <c r="I80">
        <f t="shared" si="28"/>
        <v>72</v>
      </c>
      <c r="J80" s="6">
        <f t="array" aca="1" ref="J80:N80" ca="1">TRANSPOSE(ols(OFFSET($C$2:$C$10,I80,0),OFFSET($D$2:$H$10,I80,0)))</f>
        <v>14.940476190476147</v>
      </c>
      <c r="K80" s="6">
        <f ca="1"/>
        <v>0.71428571428572241</v>
      </c>
      <c r="L80" s="6">
        <f ca="1"/>
        <v>6.1904761904762609</v>
      </c>
      <c r="M80" s="6">
        <f ca="1"/>
        <v>-5.5952380952380878</v>
      </c>
      <c r="N80" s="6">
        <f ca="1"/>
        <v>-2.0238095238095277E-2</v>
      </c>
      <c r="O80" s="6">
        <f t="shared" ca="1" si="20"/>
        <v>0.95238095238090636</v>
      </c>
      <c r="P80" t="str">
        <f t="shared" si="21"/>
        <v>NA</v>
      </c>
      <c r="Q80" s="10">
        <f t="shared" ca="1" si="22"/>
        <v>8.4523809523809739</v>
      </c>
      <c r="R80" s="10">
        <f t="shared" ca="1" si="23"/>
        <v>10.059523809523782</v>
      </c>
      <c r="S80" s="10">
        <f t="shared" ca="1" si="24"/>
        <v>-1.6071428571428079</v>
      </c>
      <c r="T80" s="10">
        <f t="shared" ca="1" si="25"/>
        <v>79.411764705879762</v>
      </c>
      <c r="U80" s="10" t="str">
        <f t="shared" ca="1" si="26"/>
        <v>OR</v>
      </c>
      <c r="V80">
        <f t="shared" si="27"/>
        <v>5</v>
      </c>
    </row>
    <row r="81" spans="1:22" x14ac:dyDescent="0.25">
      <c r="A81">
        <v>9</v>
      </c>
      <c r="B81">
        <v>8</v>
      </c>
      <c r="C81">
        <v>0</v>
      </c>
      <c r="D81">
        <v>1</v>
      </c>
      <c r="E81">
        <v>1</v>
      </c>
      <c r="F81">
        <v>0</v>
      </c>
      <c r="G81">
        <v>1</v>
      </c>
      <c r="H81">
        <v>550</v>
      </c>
      <c r="I81">
        <f t="shared" si="28"/>
        <v>72</v>
      </c>
      <c r="J81" s="6">
        <f t="array" aca="1" ref="J81:N81" ca="1">TRANSPOSE(ols(OFFSET($C$2:$C$10,I81,0),OFFSET($D$2:$H$10,I81,0)))</f>
        <v>14.940476190476147</v>
      </c>
      <c r="K81" s="6">
        <f ca="1"/>
        <v>0.71428571428572241</v>
      </c>
      <c r="L81" s="6">
        <f ca="1"/>
        <v>6.1904761904762609</v>
      </c>
      <c r="M81" s="6">
        <f ca="1"/>
        <v>-5.5952380952380878</v>
      </c>
      <c r="N81" s="6">
        <f ca="1"/>
        <v>-2.0238095238095277E-2</v>
      </c>
      <c r="O81" s="6">
        <f t="shared" ca="1" si="20"/>
        <v>-1.0714285714286209</v>
      </c>
      <c r="P81" t="str">
        <f t="shared" si="21"/>
        <v>NA</v>
      </c>
      <c r="Q81" s="10">
        <f t="shared" ca="1" si="22"/>
        <v>8.4523809523809739</v>
      </c>
      <c r="R81" s="10">
        <f t="shared" ca="1" si="23"/>
        <v>10.059523809523782</v>
      </c>
      <c r="S81" s="10">
        <f t="shared" ca="1" si="24"/>
        <v>-1.6071428571428079</v>
      </c>
      <c r="T81" s="10">
        <f t="shared" ca="1" si="25"/>
        <v>79.411764705879762</v>
      </c>
      <c r="U81" s="10" t="str">
        <f t="shared" ca="1" si="26"/>
        <v>OR</v>
      </c>
      <c r="V81">
        <f t="shared" si="27"/>
        <v>5</v>
      </c>
    </row>
    <row r="82" spans="1:22" x14ac:dyDescent="0.25">
      <c r="A82">
        <v>9</v>
      </c>
      <c r="B82">
        <v>9</v>
      </c>
      <c r="C82">
        <v>0</v>
      </c>
      <c r="D82">
        <v>1</v>
      </c>
      <c r="E82">
        <v>0</v>
      </c>
      <c r="F82">
        <v>0</v>
      </c>
      <c r="G82">
        <v>1</v>
      </c>
      <c r="H82">
        <v>650</v>
      </c>
      <c r="I82">
        <f t="shared" si="28"/>
        <v>72</v>
      </c>
      <c r="J82" s="6">
        <f t="array" aca="1" ref="J82:N82" ca="1">TRANSPOSE(ols(OFFSET($C$2:$C$10,I82,0),OFFSET($D$2:$H$10,I82,0)))</f>
        <v>14.940476190476147</v>
      </c>
      <c r="K82" s="6">
        <f ca="1"/>
        <v>0.71428571428572241</v>
      </c>
      <c r="L82" s="6">
        <f ca="1"/>
        <v>6.1904761904762609</v>
      </c>
      <c r="M82" s="6">
        <f ca="1"/>
        <v>-5.5952380952380878</v>
      </c>
      <c r="N82" s="6">
        <f ca="1"/>
        <v>-2.0238095238095277E-2</v>
      </c>
      <c r="O82" s="6">
        <f t="shared" ca="1" si="20"/>
        <v>-3.8095238095238706</v>
      </c>
      <c r="P82" t="str">
        <f t="shared" si="21"/>
        <v>NA</v>
      </c>
      <c r="Q82" s="10">
        <f t="shared" ca="1" si="22"/>
        <v>8.4523809523809739</v>
      </c>
      <c r="R82" s="10">
        <f t="shared" ca="1" si="23"/>
        <v>9.3452380952380594</v>
      </c>
      <c r="S82" s="10">
        <f t="shared" ca="1" si="24"/>
        <v>-0.89285714285708551</v>
      </c>
      <c r="T82" s="10">
        <f t="shared" ca="1" si="25"/>
        <v>44.117647058820609</v>
      </c>
      <c r="U82" s="10" t="str">
        <f t="shared" ca="1" si="26"/>
        <v>OR</v>
      </c>
      <c r="V82">
        <f t="shared" si="27"/>
        <v>4</v>
      </c>
    </row>
    <row r="83" spans="1:22" x14ac:dyDescent="0.25">
      <c r="A83">
        <v>10</v>
      </c>
      <c r="B83">
        <v>1</v>
      </c>
      <c r="C83">
        <v>50</v>
      </c>
      <c r="D83">
        <v>1</v>
      </c>
      <c r="E83">
        <v>0</v>
      </c>
      <c r="F83">
        <v>1</v>
      </c>
      <c r="G83">
        <v>0</v>
      </c>
      <c r="H83">
        <v>250</v>
      </c>
      <c r="I83">
        <f t="shared" si="28"/>
        <v>81</v>
      </c>
      <c r="J83" s="6">
        <f t="array" aca="1" ref="J83:N83" ca="1">TRANSPOSE(ols(OFFSET($C$2:$C$10,I83,0),OFFSET($D$2:$H$10,I83,0)))</f>
        <v>47.321428571429351</v>
      </c>
      <c r="K83" s="6">
        <f ca="1"/>
        <v>17.14285714285711</v>
      </c>
      <c r="L83" s="6">
        <f ca="1"/>
        <v>3.571428571427532</v>
      </c>
      <c r="M83" s="6">
        <f ca="1"/>
        <v>3.214285714286234</v>
      </c>
      <c r="N83" s="6">
        <f ca="1"/>
        <v>-1.0714285714284344E-2</v>
      </c>
      <c r="O83" s="6">
        <f t="shared" ca="1" si="20"/>
        <v>48.214285714285793</v>
      </c>
      <c r="P83" t="str">
        <f t="shared" si="21"/>
        <v>NA</v>
      </c>
      <c r="Q83" s="10">
        <f t="shared" ca="1" si="22"/>
        <v>50.3571428571436</v>
      </c>
      <c r="R83" s="10">
        <f t="shared" ca="1" si="23"/>
        <v>50.892857142856883</v>
      </c>
      <c r="S83" s="10">
        <f t="shared" ca="1" si="24"/>
        <v>-0.53571428571328283</v>
      </c>
      <c r="T83" s="10">
        <f t="shared" ca="1" si="25"/>
        <v>49.999999999912795</v>
      </c>
      <c r="U83" s="10" t="str">
        <f t="shared" ca="1" si="26"/>
        <v>OR</v>
      </c>
      <c r="V83">
        <f t="shared" si="27"/>
        <v>3</v>
      </c>
    </row>
    <row r="84" spans="1:22" x14ac:dyDescent="0.25">
      <c r="A84">
        <v>10</v>
      </c>
      <c r="B84">
        <v>2</v>
      </c>
      <c r="C84">
        <v>60</v>
      </c>
      <c r="D84">
        <v>1</v>
      </c>
      <c r="E84">
        <v>1</v>
      </c>
      <c r="F84">
        <v>0</v>
      </c>
      <c r="G84">
        <v>0</v>
      </c>
      <c r="H84">
        <v>350</v>
      </c>
      <c r="I84">
        <f t="shared" si="28"/>
        <v>81</v>
      </c>
      <c r="J84" s="6">
        <f t="array" aca="1" ref="J84:N84" ca="1">TRANSPOSE(ols(OFFSET($C$2:$C$10,I84,0),OFFSET($D$2:$H$10,I84,0)))</f>
        <v>47.321428571429351</v>
      </c>
      <c r="K84" s="6">
        <f ca="1"/>
        <v>17.14285714285711</v>
      </c>
      <c r="L84" s="6">
        <f ca="1"/>
        <v>3.571428571427532</v>
      </c>
      <c r="M84" s="6">
        <f ca="1"/>
        <v>3.214285714286234</v>
      </c>
      <c r="N84" s="6">
        <f ca="1"/>
        <v>-1.0714285714284344E-2</v>
      </c>
      <c r="O84" s="6">
        <f t="shared" ca="1" si="20"/>
        <v>60.714285714286945</v>
      </c>
      <c r="P84" t="str">
        <f t="shared" si="21"/>
        <v>NA</v>
      </c>
      <c r="Q84" s="10">
        <f t="shared" ca="1" si="22"/>
        <v>50.3571428571436</v>
      </c>
      <c r="R84" s="10">
        <f t="shared" ca="1" si="23"/>
        <v>64.464285714286461</v>
      </c>
      <c r="S84" s="10">
        <f t="shared" ca="1" si="24"/>
        <v>-14.107142857142861</v>
      </c>
      <c r="T84" s="10">
        <f t="shared" ca="1" si="25"/>
        <v>1316.6666666668355</v>
      </c>
      <c r="U84" s="10" t="str">
        <f t="shared" ca="1" si="26"/>
        <v>OR</v>
      </c>
      <c r="V84">
        <f t="shared" si="27"/>
        <v>2</v>
      </c>
    </row>
    <row r="85" spans="1:22" x14ac:dyDescent="0.25">
      <c r="A85">
        <v>10</v>
      </c>
      <c r="B85">
        <v>3</v>
      </c>
      <c r="C85">
        <v>55</v>
      </c>
      <c r="D85">
        <v>1</v>
      </c>
      <c r="E85">
        <v>1</v>
      </c>
      <c r="F85">
        <v>0</v>
      </c>
      <c r="G85">
        <v>0</v>
      </c>
      <c r="H85">
        <v>450</v>
      </c>
      <c r="I85">
        <f t="shared" si="28"/>
        <v>81</v>
      </c>
      <c r="J85" s="6">
        <f t="array" aca="1" ref="J85:N85" ca="1">TRANSPOSE(ols(OFFSET($C$2:$C$10,I85,0),OFFSET($D$2:$H$10,I85,0)))</f>
        <v>47.321428571429351</v>
      </c>
      <c r="K85" s="6">
        <f ca="1"/>
        <v>17.14285714285711</v>
      </c>
      <c r="L85" s="6">
        <f ca="1"/>
        <v>3.571428571427532</v>
      </c>
      <c r="M85" s="6">
        <f ca="1"/>
        <v>3.214285714286234</v>
      </c>
      <c r="N85" s="6">
        <f ca="1"/>
        <v>-1.0714285714284344E-2</v>
      </c>
      <c r="O85" s="6">
        <f t="shared" ca="1" si="20"/>
        <v>59.642857142858503</v>
      </c>
      <c r="P85" t="str">
        <f t="shared" si="21"/>
        <v>NA</v>
      </c>
      <c r="Q85" s="10">
        <f t="shared" ca="1" si="22"/>
        <v>50.3571428571436</v>
      </c>
      <c r="R85" s="10">
        <f t="shared" ca="1" si="23"/>
        <v>64.464285714286461</v>
      </c>
      <c r="S85" s="10">
        <f t="shared" ca="1" si="24"/>
        <v>-14.107142857142861</v>
      </c>
      <c r="T85" s="10">
        <f t="shared" ca="1" si="25"/>
        <v>1316.6666666668355</v>
      </c>
      <c r="U85" s="10" t="str">
        <f t="shared" ca="1" si="26"/>
        <v>OR</v>
      </c>
      <c r="V85">
        <f t="shared" si="27"/>
        <v>2</v>
      </c>
    </row>
    <row r="86" spans="1:22" x14ac:dyDescent="0.25">
      <c r="A86">
        <v>10</v>
      </c>
      <c r="B86">
        <v>4</v>
      </c>
      <c r="C86">
        <v>45</v>
      </c>
      <c r="D86">
        <v>1</v>
      </c>
      <c r="E86">
        <v>0</v>
      </c>
      <c r="F86">
        <v>0</v>
      </c>
      <c r="G86">
        <v>0</v>
      </c>
      <c r="H86">
        <v>550</v>
      </c>
      <c r="I86">
        <f t="shared" si="28"/>
        <v>81</v>
      </c>
      <c r="J86" s="6">
        <f t="array" aca="1" ref="J86:N86" ca="1">TRANSPOSE(ols(OFFSET($C$2:$C$10,I86,0),OFFSET($D$2:$H$10,I86,0)))</f>
        <v>47.321428571429351</v>
      </c>
      <c r="K86" s="6">
        <f ca="1"/>
        <v>17.14285714285711</v>
      </c>
      <c r="L86" s="6">
        <f ca="1"/>
        <v>3.571428571427532</v>
      </c>
      <c r="M86" s="6">
        <f ca="1"/>
        <v>3.214285714286234</v>
      </c>
      <c r="N86" s="6">
        <f ca="1"/>
        <v>-1.0714285714284344E-2</v>
      </c>
      <c r="O86" s="6">
        <f t="shared" ca="1" si="20"/>
        <v>41.428571428572965</v>
      </c>
      <c r="P86" t="str">
        <f t="shared" si="21"/>
        <v>NA</v>
      </c>
      <c r="Q86" s="10">
        <f t="shared" ca="1" si="22"/>
        <v>50.3571428571436</v>
      </c>
      <c r="R86" s="10">
        <f t="shared" ca="1" si="23"/>
        <v>47.321428571429351</v>
      </c>
      <c r="S86" s="10">
        <f t="shared" ca="1" si="24"/>
        <v>3.0357142857142492</v>
      </c>
      <c r="T86" s="10">
        <f t="shared" ca="1" si="25"/>
        <v>-283.33333333336617</v>
      </c>
      <c r="U86" s="10" t="str">
        <f t="shared" ca="1" si="26"/>
        <v>OR</v>
      </c>
      <c r="V86">
        <f t="shared" si="27"/>
        <v>1</v>
      </c>
    </row>
    <row r="87" spans="1:22" x14ac:dyDescent="0.25">
      <c r="A87">
        <v>10</v>
      </c>
      <c r="B87">
        <v>5</v>
      </c>
      <c r="C87">
        <v>50</v>
      </c>
      <c r="D87">
        <v>1</v>
      </c>
      <c r="E87">
        <v>0</v>
      </c>
      <c r="F87">
        <v>1</v>
      </c>
      <c r="G87">
        <v>1</v>
      </c>
      <c r="H87">
        <v>250</v>
      </c>
      <c r="I87">
        <f t="shared" si="28"/>
        <v>81</v>
      </c>
      <c r="J87" s="6">
        <f t="array" aca="1" ref="J87:N87" ca="1">TRANSPOSE(ols(OFFSET($C$2:$C$10,I87,0),OFFSET($D$2:$H$10,I87,0)))</f>
        <v>47.321428571429351</v>
      </c>
      <c r="K87" s="6">
        <f ca="1"/>
        <v>17.14285714285711</v>
      </c>
      <c r="L87" s="6">
        <f ca="1"/>
        <v>3.571428571427532</v>
      </c>
      <c r="M87" s="6">
        <f ca="1"/>
        <v>3.214285714286234</v>
      </c>
      <c r="N87" s="6">
        <f ca="1"/>
        <v>-1.0714285714284344E-2</v>
      </c>
      <c r="O87" s="6">
        <f t="shared" ca="1" si="20"/>
        <v>51.428571428572027</v>
      </c>
      <c r="P87" t="str">
        <f t="shared" si="21"/>
        <v>NA</v>
      </c>
      <c r="Q87" s="10">
        <f t="shared" ca="1" si="22"/>
        <v>50.3571428571436</v>
      </c>
      <c r="R87" s="10">
        <f t="shared" ca="1" si="23"/>
        <v>54.107142857143117</v>
      </c>
      <c r="S87" s="10">
        <f t="shared" ca="1" si="24"/>
        <v>-3.7499999999995168</v>
      </c>
      <c r="T87" s="10">
        <f t="shared" ca="1" si="25"/>
        <v>349.99999999999966</v>
      </c>
      <c r="U87" s="10">
        <f t="shared" ca="1" si="26"/>
        <v>349.99999999999966</v>
      </c>
      <c r="V87">
        <f t="shared" si="27"/>
        <v>6</v>
      </c>
    </row>
    <row r="88" spans="1:22" x14ac:dyDescent="0.25">
      <c r="A88">
        <v>10</v>
      </c>
      <c r="B88">
        <v>6</v>
      </c>
      <c r="C88">
        <v>50</v>
      </c>
      <c r="D88">
        <v>1</v>
      </c>
      <c r="E88">
        <v>0</v>
      </c>
      <c r="F88">
        <v>1</v>
      </c>
      <c r="G88">
        <v>1</v>
      </c>
      <c r="H88">
        <v>350</v>
      </c>
      <c r="I88">
        <f t="shared" si="28"/>
        <v>81</v>
      </c>
      <c r="J88" s="6">
        <f t="array" aca="1" ref="J88:N88" ca="1">TRANSPOSE(ols(OFFSET($C$2:$C$10,I88,0),OFFSET($D$2:$H$10,I88,0)))</f>
        <v>47.321428571429351</v>
      </c>
      <c r="K88" s="6">
        <f ca="1"/>
        <v>17.14285714285711</v>
      </c>
      <c r="L88" s="6">
        <f ca="1"/>
        <v>3.571428571427532</v>
      </c>
      <c r="M88" s="6">
        <f ca="1"/>
        <v>3.214285714286234</v>
      </c>
      <c r="N88" s="6">
        <f ca="1"/>
        <v>-1.0714285714284344E-2</v>
      </c>
      <c r="O88" s="6">
        <f t="shared" ca="1" si="20"/>
        <v>50.3571428571436</v>
      </c>
      <c r="P88">
        <f t="shared" ca="1" si="21"/>
        <v>50.3571428571436</v>
      </c>
      <c r="Q88" s="10">
        <f t="shared" ca="1" si="22"/>
        <v>50.3571428571436</v>
      </c>
      <c r="R88" s="10">
        <f t="shared" ca="1" si="23"/>
        <v>54.107142857143117</v>
      </c>
      <c r="S88" s="10">
        <f t="shared" ca="1" si="24"/>
        <v>-3.7499999999995168</v>
      </c>
      <c r="T88" s="10">
        <f t="shared" ca="1" si="25"/>
        <v>349.99999999999966</v>
      </c>
      <c r="U88" s="10">
        <f t="shared" ca="1" si="26"/>
        <v>349.99999999999966</v>
      </c>
      <c r="V88">
        <f t="shared" si="27"/>
        <v>6</v>
      </c>
    </row>
    <row r="89" spans="1:22" x14ac:dyDescent="0.25">
      <c r="A89">
        <v>10</v>
      </c>
      <c r="B89">
        <v>7</v>
      </c>
      <c r="C89">
        <v>65</v>
      </c>
      <c r="D89">
        <v>1</v>
      </c>
      <c r="E89">
        <v>1</v>
      </c>
      <c r="F89">
        <v>0</v>
      </c>
      <c r="G89">
        <v>1</v>
      </c>
      <c r="H89">
        <v>450</v>
      </c>
      <c r="I89">
        <f t="shared" si="28"/>
        <v>81</v>
      </c>
      <c r="J89" s="6">
        <f t="array" aca="1" ref="J89:N89" ca="1">TRANSPOSE(ols(OFFSET($C$2:$C$10,I89,0),OFFSET($D$2:$H$10,I89,0)))</f>
        <v>47.321428571429351</v>
      </c>
      <c r="K89" s="6">
        <f ca="1"/>
        <v>17.14285714285711</v>
      </c>
      <c r="L89" s="6">
        <f ca="1"/>
        <v>3.571428571427532</v>
      </c>
      <c r="M89" s="6">
        <f ca="1"/>
        <v>3.214285714286234</v>
      </c>
      <c r="N89" s="6">
        <f ca="1"/>
        <v>-1.0714285714284344E-2</v>
      </c>
      <c r="O89" s="6">
        <f t="shared" ca="1" si="20"/>
        <v>62.857142857144737</v>
      </c>
      <c r="P89" t="str">
        <f t="shared" si="21"/>
        <v>NA</v>
      </c>
      <c r="Q89" s="10">
        <f t="shared" ca="1" si="22"/>
        <v>50.3571428571436</v>
      </c>
      <c r="R89" s="10">
        <f t="shared" ca="1" si="23"/>
        <v>67.678571428572695</v>
      </c>
      <c r="S89" s="10">
        <f t="shared" ca="1" si="24"/>
        <v>-17.321428571429095</v>
      </c>
      <c r="T89" s="10">
        <f t="shared" ca="1" si="25"/>
        <v>1616.6666666669223</v>
      </c>
      <c r="U89" s="10" t="str">
        <f t="shared" ca="1" si="26"/>
        <v>OR</v>
      </c>
      <c r="V89">
        <f t="shared" si="27"/>
        <v>5</v>
      </c>
    </row>
    <row r="90" spans="1:22" x14ac:dyDescent="0.25">
      <c r="A90">
        <v>10</v>
      </c>
      <c r="B90">
        <v>8</v>
      </c>
      <c r="C90">
        <v>65</v>
      </c>
      <c r="D90">
        <v>1</v>
      </c>
      <c r="E90">
        <v>1</v>
      </c>
      <c r="F90">
        <v>0</v>
      </c>
      <c r="G90">
        <v>1</v>
      </c>
      <c r="H90">
        <v>550</v>
      </c>
      <c r="I90">
        <f t="shared" si="28"/>
        <v>81</v>
      </c>
      <c r="J90" s="6">
        <f t="array" aca="1" ref="J90:N90" ca="1">TRANSPOSE(ols(OFFSET($C$2:$C$10,I90,0),OFFSET($D$2:$H$10,I90,0)))</f>
        <v>47.321428571429351</v>
      </c>
      <c r="K90" s="6">
        <f ca="1"/>
        <v>17.14285714285711</v>
      </c>
      <c r="L90" s="6">
        <f ca="1"/>
        <v>3.571428571427532</v>
      </c>
      <c r="M90" s="6">
        <f ca="1"/>
        <v>3.214285714286234</v>
      </c>
      <c r="N90" s="6">
        <f ca="1"/>
        <v>-1.0714285714284344E-2</v>
      </c>
      <c r="O90" s="6">
        <f t="shared" ca="1" si="20"/>
        <v>61.78571428571631</v>
      </c>
      <c r="P90" t="str">
        <f t="shared" si="21"/>
        <v>NA</v>
      </c>
      <c r="Q90" s="10">
        <f t="shared" ca="1" si="22"/>
        <v>50.3571428571436</v>
      </c>
      <c r="R90" s="10">
        <f t="shared" ca="1" si="23"/>
        <v>67.678571428572695</v>
      </c>
      <c r="S90" s="10">
        <f t="shared" ca="1" si="24"/>
        <v>-17.321428571429095</v>
      </c>
      <c r="T90" s="10">
        <f t="shared" ca="1" si="25"/>
        <v>1616.6666666669223</v>
      </c>
      <c r="U90" s="10" t="str">
        <f t="shared" ca="1" si="26"/>
        <v>OR</v>
      </c>
      <c r="V90">
        <f t="shared" si="27"/>
        <v>5</v>
      </c>
    </row>
    <row r="91" spans="1:22" x14ac:dyDescent="0.25">
      <c r="A91">
        <v>10</v>
      </c>
      <c r="B91">
        <v>9</v>
      </c>
      <c r="C91">
        <v>40</v>
      </c>
      <c r="D91">
        <v>1</v>
      </c>
      <c r="E91">
        <v>0</v>
      </c>
      <c r="F91">
        <v>0</v>
      </c>
      <c r="G91">
        <v>1</v>
      </c>
      <c r="H91">
        <v>650</v>
      </c>
      <c r="I91">
        <f t="shared" si="28"/>
        <v>81</v>
      </c>
      <c r="J91" s="6">
        <f t="array" aca="1" ref="J91:N91" ca="1">TRANSPOSE(ols(OFFSET($C$2:$C$10,I91,0),OFFSET($D$2:$H$10,I91,0)))</f>
        <v>47.321428571429351</v>
      </c>
      <c r="K91" s="6">
        <f ca="1"/>
        <v>17.14285714285711</v>
      </c>
      <c r="L91" s="6">
        <f ca="1"/>
        <v>3.571428571427532</v>
      </c>
      <c r="M91" s="6">
        <f ca="1"/>
        <v>3.214285714286234</v>
      </c>
      <c r="N91" s="6">
        <f ca="1"/>
        <v>-1.0714285714284344E-2</v>
      </c>
      <c r="O91" s="6">
        <f t="shared" ca="1" si="20"/>
        <v>43.571428571430758</v>
      </c>
      <c r="P91" t="str">
        <f t="shared" si="21"/>
        <v>NA</v>
      </c>
      <c r="Q91" s="10">
        <f t="shared" ca="1" si="22"/>
        <v>50.3571428571436</v>
      </c>
      <c r="R91" s="10">
        <f t="shared" ca="1" si="23"/>
        <v>50.535714285715585</v>
      </c>
      <c r="S91" s="10">
        <f t="shared" ca="1" si="24"/>
        <v>-0.17857142857198482</v>
      </c>
      <c r="T91" s="10">
        <f t="shared" ca="1" si="25"/>
        <v>16.666666666720715</v>
      </c>
      <c r="U91" s="10" t="str">
        <f t="shared" ca="1" si="26"/>
        <v>OR</v>
      </c>
      <c r="V91">
        <f t="shared" si="27"/>
        <v>4</v>
      </c>
    </row>
    <row r="92" spans="1:22" x14ac:dyDescent="0.25">
      <c r="A92">
        <v>11</v>
      </c>
      <c r="B92">
        <v>1</v>
      </c>
      <c r="C92">
        <v>55</v>
      </c>
      <c r="D92">
        <v>1</v>
      </c>
      <c r="E92">
        <v>0</v>
      </c>
      <c r="F92">
        <v>1</v>
      </c>
      <c r="G92">
        <v>0</v>
      </c>
      <c r="H92">
        <v>250</v>
      </c>
      <c r="I92">
        <f t="shared" si="28"/>
        <v>90</v>
      </c>
      <c r="J92" s="6">
        <f t="array" aca="1" ref="J92:N92" ca="1">TRANSPOSE(ols(OFFSET($C$2:$C$10,I92,0),OFFSET($D$2:$H$10,I92,0)))</f>
        <v>76.369047619046796</v>
      </c>
      <c r="K92" s="6">
        <f ca="1"/>
        <v>3.5714285714284415</v>
      </c>
      <c r="L92" s="6">
        <f ca="1"/>
        <v>-12.380952380953204</v>
      </c>
      <c r="M92" s="6">
        <f ca="1"/>
        <v>-1.3095238095233981</v>
      </c>
      <c r="N92" s="6">
        <f ca="1"/>
        <v>-3.4523809523809845E-2</v>
      </c>
      <c r="O92" s="6">
        <f t="shared" ca="1" si="20"/>
        <v>55.357142857141127</v>
      </c>
      <c r="P92" t="str">
        <f t="shared" si="21"/>
        <v>NA</v>
      </c>
      <c r="Q92" s="10">
        <f t="shared" ca="1" si="22"/>
        <v>50.595238095236752</v>
      </c>
      <c r="R92" s="10">
        <f t="shared" ca="1" si="23"/>
        <v>63.988095238093592</v>
      </c>
      <c r="S92" s="10">
        <f t="shared" ca="1" si="24"/>
        <v>-13.39285714285684</v>
      </c>
      <c r="T92" s="10">
        <f t="shared" ca="1" si="25"/>
        <v>387.93103448274627</v>
      </c>
      <c r="U92" s="10">
        <f t="shared" ca="1" si="26"/>
        <v>387.93103448274627</v>
      </c>
      <c r="V92">
        <f t="shared" si="27"/>
        <v>3</v>
      </c>
    </row>
    <row r="93" spans="1:22" x14ac:dyDescent="0.25">
      <c r="A93">
        <v>11</v>
      </c>
      <c r="B93">
        <v>2</v>
      </c>
      <c r="C93">
        <v>65</v>
      </c>
      <c r="D93">
        <v>1</v>
      </c>
      <c r="E93">
        <v>1</v>
      </c>
      <c r="F93">
        <v>0</v>
      </c>
      <c r="G93">
        <v>0</v>
      </c>
      <c r="H93">
        <v>350</v>
      </c>
      <c r="I93">
        <f t="shared" si="28"/>
        <v>90</v>
      </c>
      <c r="J93" s="6">
        <f t="array" aca="1" ref="J93:N93" ca="1">TRANSPOSE(ols(OFFSET($C$2:$C$10,I93,0),OFFSET($D$2:$H$10,I93,0)))</f>
        <v>76.369047619046796</v>
      </c>
      <c r="K93" s="6">
        <f ca="1"/>
        <v>3.5714285714284415</v>
      </c>
      <c r="L93" s="6">
        <f ca="1"/>
        <v>-12.380952380953204</v>
      </c>
      <c r="M93" s="6">
        <f ca="1"/>
        <v>-1.3095238095233981</v>
      </c>
      <c r="N93" s="6">
        <f ca="1"/>
        <v>-3.4523809523809845E-2</v>
      </c>
      <c r="O93" s="6">
        <f t="shared" ca="1" si="20"/>
        <v>67.857142857141795</v>
      </c>
      <c r="P93" t="str">
        <f t="shared" si="21"/>
        <v>NA</v>
      </c>
      <c r="Q93" s="10">
        <f t="shared" ca="1" si="22"/>
        <v>50.595238095236752</v>
      </c>
      <c r="R93" s="10">
        <f t="shared" ca="1" si="23"/>
        <v>79.940476190475238</v>
      </c>
      <c r="S93" s="10">
        <f t="shared" ca="1" si="24"/>
        <v>-29.345238095238486</v>
      </c>
      <c r="T93" s="10">
        <f t="shared" ca="1" si="25"/>
        <v>850.00000000000341</v>
      </c>
      <c r="U93" s="10" t="str">
        <f t="shared" ca="1" si="26"/>
        <v>OR</v>
      </c>
      <c r="V93">
        <f t="shared" si="27"/>
        <v>2</v>
      </c>
    </row>
    <row r="94" spans="1:22" x14ac:dyDescent="0.25">
      <c r="A94">
        <v>11</v>
      </c>
      <c r="B94">
        <v>3</v>
      </c>
      <c r="C94">
        <v>65</v>
      </c>
      <c r="D94">
        <v>1</v>
      </c>
      <c r="E94">
        <v>1</v>
      </c>
      <c r="F94">
        <v>0</v>
      </c>
      <c r="G94">
        <v>0</v>
      </c>
      <c r="H94">
        <v>450</v>
      </c>
      <c r="I94">
        <f t="shared" si="28"/>
        <v>90</v>
      </c>
      <c r="J94" s="6">
        <f t="array" aca="1" ref="J94:N94" ca="1">TRANSPOSE(ols(OFFSET($C$2:$C$10,I94,0),OFFSET($D$2:$H$10,I94,0)))</f>
        <v>76.369047619046796</v>
      </c>
      <c r="K94" s="6">
        <f ca="1"/>
        <v>3.5714285714284415</v>
      </c>
      <c r="L94" s="6">
        <f ca="1"/>
        <v>-12.380952380953204</v>
      </c>
      <c r="M94" s="6">
        <f ca="1"/>
        <v>-1.3095238095233981</v>
      </c>
      <c r="N94" s="6">
        <f ca="1"/>
        <v>-3.4523809523809845E-2</v>
      </c>
      <c r="O94" s="6">
        <f t="shared" ca="1" si="20"/>
        <v>64.404761904760804</v>
      </c>
      <c r="P94" t="str">
        <f t="shared" si="21"/>
        <v>NA</v>
      </c>
      <c r="Q94" s="10">
        <f t="shared" ca="1" si="22"/>
        <v>50.595238095236752</v>
      </c>
      <c r="R94" s="10">
        <f t="shared" ca="1" si="23"/>
        <v>79.940476190475238</v>
      </c>
      <c r="S94" s="10">
        <f t="shared" ca="1" si="24"/>
        <v>-29.345238095238486</v>
      </c>
      <c r="T94" s="10">
        <f t="shared" ca="1" si="25"/>
        <v>850.00000000000341</v>
      </c>
      <c r="U94" s="10" t="str">
        <f t="shared" ca="1" si="26"/>
        <v>OR</v>
      </c>
      <c r="V94">
        <f t="shared" si="27"/>
        <v>2</v>
      </c>
    </row>
    <row r="95" spans="1:22" x14ac:dyDescent="0.25">
      <c r="A95">
        <v>11</v>
      </c>
      <c r="B95">
        <v>4</v>
      </c>
      <c r="C95">
        <v>60</v>
      </c>
      <c r="D95">
        <v>1</v>
      </c>
      <c r="E95">
        <v>0</v>
      </c>
      <c r="F95">
        <v>0</v>
      </c>
      <c r="G95">
        <v>0</v>
      </c>
      <c r="H95">
        <v>550</v>
      </c>
      <c r="I95">
        <f t="shared" si="28"/>
        <v>90</v>
      </c>
      <c r="J95" s="6">
        <f t="array" aca="1" ref="J95:N95" ca="1">TRANSPOSE(ols(OFFSET($C$2:$C$10,I95,0),OFFSET($D$2:$H$10,I95,0)))</f>
        <v>76.369047619046796</v>
      </c>
      <c r="K95" s="6">
        <f ca="1"/>
        <v>3.5714285714284415</v>
      </c>
      <c r="L95" s="6">
        <f ca="1"/>
        <v>-12.380952380953204</v>
      </c>
      <c r="M95" s="6">
        <f ca="1"/>
        <v>-1.3095238095233981</v>
      </c>
      <c r="N95" s="6">
        <f ca="1"/>
        <v>-3.4523809523809845E-2</v>
      </c>
      <c r="O95" s="6">
        <f t="shared" ca="1" si="20"/>
        <v>57.380952380951385</v>
      </c>
      <c r="P95" t="str">
        <f t="shared" si="21"/>
        <v>NA</v>
      </c>
      <c r="Q95" s="10">
        <f t="shared" ca="1" si="22"/>
        <v>50.595238095236752</v>
      </c>
      <c r="R95" s="10">
        <f t="shared" ca="1" si="23"/>
        <v>76.369047619046796</v>
      </c>
      <c r="S95" s="10">
        <f t="shared" ca="1" si="24"/>
        <v>-25.773809523810044</v>
      </c>
      <c r="T95" s="10">
        <f t="shared" ca="1" si="25"/>
        <v>746.55172413793912</v>
      </c>
      <c r="U95" s="10" t="str">
        <f t="shared" ca="1" si="26"/>
        <v>OR</v>
      </c>
      <c r="V95">
        <f t="shared" si="27"/>
        <v>1</v>
      </c>
    </row>
    <row r="96" spans="1:22" x14ac:dyDescent="0.25">
      <c r="A96">
        <v>11</v>
      </c>
      <c r="B96">
        <v>5</v>
      </c>
      <c r="C96">
        <v>55</v>
      </c>
      <c r="D96">
        <v>1</v>
      </c>
      <c r="E96">
        <v>0</v>
      </c>
      <c r="F96">
        <v>1</v>
      </c>
      <c r="G96">
        <v>1</v>
      </c>
      <c r="H96">
        <v>250</v>
      </c>
      <c r="I96">
        <f t="shared" si="28"/>
        <v>90</v>
      </c>
      <c r="J96" s="6">
        <f t="array" aca="1" ref="J96:N96" ca="1">TRANSPOSE(ols(OFFSET($C$2:$C$10,I96,0),OFFSET($D$2:$H$10,I96,0)))</f>
        <v>76.369047619046796</v>
      </c>
      <c r="K96" s="6">
        <f ca="1"/>
        <v>3.5714285714284415</v>
      </c>
      <c r="L96" s="6">
        <f ca="1"/>
        <v>-12.380952380953204</v>
      </c>
      <c r="M96" s="6">
        <f ca="1"/>
        <v>-1.3095238095233981</v>
      </c>
      <c r="N96" s="6">
        <f ca="1"/>
        <v>-3.4523809523809845E-2</v>
      </c>
      <c r="O96" s="6">
        <f t="shared" ca="1" si="20"/>
        <v>54.047619047617729</v>
      </c>
      <c r="P96" t="str">
        <f t="shared" si="21"/>
        <v>NA</v>
      </c>
      <c r="Q96" s="10">
        <f t="shared" ca="1" si="22"/>
        <v>50.595238095236752</v>
      </c>
      <c r="R96" s="10">
        <f t="shared" ca="1" si="23"/>
        <v>62.678571428570194</v>
      </c>
      <c r="S96" s="10">
        <f t="shared" ca="1" si="24"/>
        <v>-12.083333333333442</v>
      </c>
      <c r="T96" s="10">
        <f t="shared" ca="1" si="25"/>
        <v>349.99999999999989</v>
      </c>
      <c r="U96" s="10">
        <f t="shared" ca="1" si="26"/>
        <v>349.99999999999989</v>
      </c>
      <c r="V96">
        <f t="shared" si="27"/>
        <v>6</v>
      </c>
    </row>
    <row r="97" spans="1:22" x14ac:dyDescent="0.25">
      <c r="A97">
        <v>11</v>
      </c>
      <c r="B97">
        <v>6</v>
      </c>
      <c r="C97">
        <v>50</v>
      </c>
      <c r="D97">
        <v>1</v>
      </c>
      <c r="E97">
        <v>0</v>
      </c>
      <c r="F97">
        <v>1</v>
      </c>
      <c r="G97">
        <v>1</v>
      </c>
      <c r="H97">
        <v>350</v>
      </c>
      <c r="I97">
        <f t="shared" si="28"/>
        <v>90</v>
      </c>
      <c r="J97" s="6">
        <f t="array" aca="1" ref="J97:N97" ca="1">TRANSPOSE(ols(OFFSET($C$2:$C$10,I97,0),OFFSET($D$2:$H$10,I97,0)))</f>
        <v>76.369047619046796</v>
      </c>
      <c r="K97" s="6">
        <f ca="1"/>
        <v>3.5714285714284415</v>
      </c>
      <c r="L97" s="6">
        <f ca="1"/>
        <v>-12.380952380953204</v>
      </c>
      <c r="M97" s="6">
        <f ca="1"/>
        <v>-1.3095238095233981</v>
      </c>
      <c r="N97" s="6">
        <f ca="1"/>
        <v>-3.4523809523809845E-2</v>
      </c>
      <c r="O97" s="6">
        <f t="shared" ca="1" si="20"/>
        <v>50.595238095236752</v>
      </c>
      <c r="P97">
        <f t="shared" ca="1" si="21"/>
        <v>50.595238095236752</v>
      </c>
      <c r="Q97" s="10">
        <f t="shared" ca="1" si="22"/>
        <v>50.595238095236752</v>
      </c>
      <c r="R97" s="10">
        <f t="shared" ca="1" si="23"/>
        <v>62.678571428570194</v>
      </c>
      <c r="S97" s="10">
        <f t="shared" ca="1" si="24"/>
        <v>-12.083333333333442</v>
      </c>
      <c r="T97" s="10">
        <f t="shared" ca="1" si="25"/>
        <v>349.99999999999989</v>
      </c>
      <c r="U97" s="10">
        <f t="shared" ca="1" si="26"/>
        <v>349.99999999999989</v>
      </c>
      <c r="V97">
        <f t="shared" si="27"/>
        <v>6</v>
      </c>
    </row>
    <row r="98" spans="1:22" x14ac:dyDescent="0.25">
      <c r="A98">
        <v>11</v>
      </c>
      <c r="B98">
        <v>7</v>
      </c>
      <c r="C98">
        <v>65</v>
      </c>
      <c r="D98">
        <v>1</v>
      </c>
      <c r="E98">
        <v>1</v>
      </c>
      <c r="F98">
        <v>0</v>
      </c>
      <c r="G98">
        <v>1</v>
      </c>
      <c r="H98">
        <v>450</v>
      </c>
      <c r="I98">
        <f t="shared" si="28"/>
        <v>90</v>
      </c>
      <c r="J98" s="6">
        <f t="array" aca="1" ref="J98:N98" ca="1">TRANSPOSE(ols(OFFSET($C$2:$C$10,I98,0),OFFSET($D$2:$H$10,I98,0)))</f>
        <v>76.369047619046796</v>
      </c>
      <c r="K98" s="6">
        <f ca="1"/>
        <v>3.5714285714284415</v>
      </c>
      <c r="L98" s="6">
        <f ca="1"/>
        <v>-12.380952380953204</v>
      </c>
      <c r="M98" s="6">
        <f ca="1"/>
        <v>-1.3095238095233981</v>
      </c>
      <c r="N98" s="6">
        <f ca="1"/>
        <v>-3.4523809523809845E-2</v>
      </c>
      <c r="O98" s="6">
        <f t="shared" ca="1" si="20"/>
        <v>63.095238095237406</v>
      </c>
      <c r="P98" t="str">
        <f t="shared" si="21"/>
        <v>NA</v>
      </c>
      <c r="Q98" s="10">
        <f t="shared" ca="1" si="22"/>
        <v>50.595238095236752</v>
      </c>
      <c r="R98" s="10">
        <f t="shared" ca="1" si="23"/>
        <v>78.63095238095184</v>
      </c>
      <c r="S98" s="10">
        <f t="shared" ca="1" si="24"/>
        <v>-28.035714285715088</v>
      </c>
      <c r="T98" s="10">
        <f t="shared" ca="1" si="25"/>
        <v>812.06896551725708</v>
      </c>
      <c r="U98" s="10" t="str">
        <f t="shared" ca="1" si="26"/>
        <v>OR</v>
      </c>
      <c r="V98">
        <f t="shared" si="27"/>
        <v>5</v>
      </c>
    </row>
    <row r="99" spans="1:22" x14ac:dyDescent="0.25">
      <c r="A99">
        <v>11</v>
      </c>
      <c r="B99">
        <v>8</v>
      </c>
      <c r="C99">
        <v>60</v>
      </c>
      <c r="D99">
        <v>1</v>
      </c>
      <c r="E99">
        <v>1</v>
      </c>
      <c r="F99">
        <v>0</v>
      </c>
      <c r="G99">
        <v>1</v>
      </c>
      <c r="H99">
        <v>550</v>
      </c>
      <c r="I99">
        <f t="shared" si="28"/>
        <v>90</v>
      </c>
      <c r="J99" s="6">
        <f t="array" aca="1" ref="J99:N99" ca="1">TRANSPOSE(ols(OFFSET($C$2:$C$10,I99,0),OFFSET($D$2:$H$10,I99,0)))</f>
        <v>76.369047619046796</v>
      </c>
      <c r="K99" s="6">
        <f ca="1"/>
        <v>3.5714285714284415</v>
      </c>
      <c r="L99" s="6">
        <f ca="1"/>
        <v>-12.380952380953204</v>
      </c>
      <c r="M99" s="6">
        <f ca="1"/>
        <v>-1.3095238095233981</v>
      </c>
      <c r="N99" s="6">
        <f ca="1"/>
        <v>-3.4523809523809845E-2</v>
      </c>
      <c r="O99" s="6">
        <f t="shared" ca="1" si="20"/>
        <v>59.642857142856428</v>
      </c>
      <c r="P99" t="str">
        <f t="shared" si="21"/>
        <v>NA</v>
      </c>
      <c r="Q99" s="10">
        <f t="shared" ca="1" si="22"/>
        <v>50.595238095236752</v>
      </c>
      <c r="R99" s="10">
        <f t="shared" ca="1" si="23"/>
        <v>78.63095238095184</v>
      </c>
      <c r="S99" s="10">
        <f t="shared" ca="1" si="24"/>
        <v>-28.035714285715088</v>
      </c>
      <c r="T99" s="10">
        <f t="shared" ca="1" si="25"/>
        <v>812.06896551725708</v>
      </c>
      <c r="U99" s="10" t="str">
        <f t="shared" ca="1" si="26"/>
        <v>OR</v>
      </c>
      <c r="V99">
        <f t="shared" si="27"/>
        <v>5</v>
      </c>
    </row>
    <row r="100" spans="1:22" x14ac:dyDescent="0.25">
      <c r="A100">
        <v>11</v>
      </c>
      <c r="B100">
        <v>9</v>
      </c>
      <c r="C100">
        <v>50</v>
      </c>
      <c r="D100">
        <v>1</v>
      </c>
      <c r="E100">
        <v>0</v>
      </c>
      <c r="F100">
        <v>0</v>
      </c>
      <c r="G100">
        <v>1</v>
      </c>
      <c r="H100">
        <v>650</v>
      </c>
      <c r="I100">
        <f t="shared" si="28"/>
        <v>90</v>
      </c>
      <c r="J100" s="6">
        <f t="array" aca="1" ref="J100:N100" ca="1">TRANSPOSE(ols(OFFSET($C$2:$C$10,I100,0),OFFSET($D$2:$H$10,I100,0)))</f>
        <v>76.369047619046796</v>
      </c>
      <c r="K100" s="6">
        <f ca="1"/>
        <v>3.5714285714284415</v>
      </c>
      <c r="L100" s="6">
        <f ca="1"/>
        <v>-12.380952380953204</v>
      </c>
      <c r="M100" s="6">
        <f ca="1"/>
        <v>-1.3095238095233981</v>
      </c>
      <c r="N100" s="6">
        <f ca="1"/>
        <v>-3.4523809523809845E-2</v>
      </c>
      <c r="O100" s="6">
        <f t="shared" ca="1" si="20"/>
        <v>52.619047619046995</v>
      </c>
      <c r="P100" t="str">
        <f t="shared" si="21"/>
        <v>NA</v>
      </c>
      <c r="Q100" s="10">
        <f t="shared" ca="1" si="22"/>
        <v>50.595238095236752</v>
      </c>
      <c r="R100" s="10">
        <f t="shared" ca="1" si="23"/>
        <v>75.059523809523398</v>
      </c>
      <c r="S100" s="10">
        <f t="shared" ca="1" si="24"/>
        <v>-24.464285714286646</v>
      </c>
      <c r="T100" s="10">
        <f t="shared" ca="1" si="25"/>
        <v>708.62068965519279</v>
      </c>
      <c r="U100" s="10" t="str">
        <f t="shared" ca="1" si="26"/>
        <v>OR</v>
      </c>
      <c r="V100">
        <f t="shared" si="27"/>
        <v>4</v>
      </c>
    </row>
    <row r="101" spans="1:22" x14ac:dyDescent="0.25">
      <c r="A101">
        <v>12</v>
      </c>
      <c r="B101">
        <v>1</v>
      </c>
      <c r="C101">
        <v>70</v>
      </c>
      <c r="D101">
        <v>1</v>
      </c>
      <c r="E101">
        <v>0</v>
      </c>
      <c r="F101">
        <v>1</v>
      </c>
      <c r="G101">
        <v>0</v>
      </c>
      <c r="H101">
        <v>250</v>
      </c>
      <c r="I101">
        <f t="shared" si="28"/>
        <v>99</v>
      </c>
      <c r="J101" s="6">
        <f t="array" aca="1" ref="J101:N101" ca="1">TRANSPOSE(ols(OFFSET($C$2:$C$10,I101,0),OFFSET($D$2:$H$10,I101,0)))</f>
        <v>207.85714285713948</v>
      </c>
      <c r="K101" s="6">
        <f ca="1"/>
        <v>-4.2857142857133113</v>
      </c>
      <c r="L101" s="6">
        <f ca="1"/>
        <v>-57.142857142856428</v>
      </c>
      <c r="M101" s="6">
        <f ca="1"/>
        <v>18.571428571428555</v>
      </c>
      <c r="N101" s="6">
        <f ca="1"/>
        <v>-0.32857142857142385</v>
      </c>
      <c r="O101" s="6">
        <f t="shared" ca="1" si="20"/>
        <v>68.571428571427091</v>
      </c>
      <c r="P101" t="str">
        <f t="shared" si="21"/>
        <v>NA</v>
      </c>
      <c r="Q101" s="10">
        <f t="shared" ca="1" si="22"/>
        <v>54.285714285713254</v>
      </c>
      <c r="R101" s="10">
        <f t="shared" ca="1" si="23"/>
        <v>150.71428571428305</v>
      </c>
      <c r="S101" s="10">
        <f t="shared" ca="1" si="24"/>
        <v>-96.428571428569796</v>
      </c>
      <c r="T101" s="10">
        <f t="shared" ca="1" si="25"/>
        <v>293.47826086956445</v>
      </c>
      <c r="U101" s="10">
        <f t="shared" ca="1" si="26"/>
        <v>293.47826086956445</v>
      </c>
      <c r="V101">
        <f t="shared" si="27"/>
        <v>3</v>
      </c>
    </row>
    <row r="102" spans="1:22" x14ac:dyDescent="0.25">
      <c r="A102">
        <v>12</v>
      </c>
      <c r="B102">
        <v>2</v>
      </c>
      <c r="C102">
        <v>90</v>
      </c>
      <c r="D102">
        <v>1</v>
      </c>
      <c r="E102">
        <v>1</v>
      </c>
      <c r="F102">
        <v>0</v>
      </c>
      <c r="G102">
        <v>0</v>
      </c>
      <c r="H102">
        <v>350</v>
      </c>
      <c r="I102">
        <f t="shared" si="28"/>
        <v>99</v>
      </c>
      <c r="J102" s="6">
        <f t="array" aca="1" ref="J102:N102" ca="1">TRANSPOSE(ols(OFFSET($C$2:$C$10,I102,0),OFFSET($D$2:$H$10,I102,0)))</f>
        <v>207.85714285713948</v>
      </c>
      <c r="K102" s="6">
        <f ca="1"/>
        <v>-4.2857142857133113</v>
      </c>
      <c r="L102" s="6">
        <f ca="1"/>
        <v>-57.142857142856428</v>
      </c>
      <c r="M102" s="6">
        <f ca="1"/>
        <v>18.571428571428555</v>
      </c>
      <c r="N102" s="6">
        <f ca="1"/>
        <v>-0.32857142857142385</v>
      </c>
      <c r="O102" s="6">
        <f t="shared" ca="1" si="20"/>
        <v>88.571428571427816</v>
      </c>
      <c r="P102" t="str">
        <f t="shared" si="21"/>
        <v>NA</v>
      </c>
      <c r="Q102" s="10">
        <f t="shared" ca="1" si="22"/>
        <v>54.285714285713254</v>
      </c>
      <c r="R102" s="10">
        <f t="shared" ca="1" si="23"/>
        <v>203.57142857142617</v>
      </c>
      <c r="S102" s="10">
        <f t="shared" ca="1" si="24"/>
        <v>-149.28571428571291</v>
      </c>
      <c r="T102" s="10">
        <f t="shared" ca="1" si="25"/>
        <v>454.34782608695889</v>
      </c>
      <c r="U102" s="10">
        <f t="shared" ca="1" si="26"/>
        <v>454.34782608695889</v>
      </c>
      <c r="V102">
        <f t="shared" si="27"/>
        <v>2</v>
      </c>
    </row>
    <row r="103" spans="1:22" x14ac:dyDescent="0.25">
      <c r="A103">
        <v>12</v>
      </c>
      <c r="B103">
        <v>3</v>
      </c>
      <c r="C103">
        <v>60</v>
      </c>
      <c r="D103">
        <v>1</v>
      </c>
      <c r="E103">
        <v>1</v>
      </c>
      <c r="F103">
        <v>0</v>
      </c>
      <c r="G103">
        <v>0</v>
      </c>
      <c r="H103">
        <v>450</v>
      </c>
      <c r="I103">
        <f t="shared" si="28"/>
        <v>99</v>
      </c>
      <c r="J103" s="6">
        <f t="array" aca="1" ref="J103:N103" ca="1">TRANSPOSE(ols(OFFSET($C$2:$C$10,I103,0),OFFSET($D$2:$H$10,I103,0)))</f>
        <v>207.85714285713948</v>
      </c>
      <c r="K103" s="6">
        <f ca="1"/>
        <v>-4.2857142857133113</v>
      </c>
      <c r="L103" s="6">
        <f ca="1"/>
        <v>-57.142857142856428</v>
      </c>
      <c r="M103" s="6">
        <f ca="1"/>
        <v>18.571428571428555</v>
      </c>
      <c r="N103" s="6">
        <f ca="1"/>
        <v>-0.32857142857142385</v>
      </c>
      <c r="O103" s="6">
        <f t="shared" ca="1" si="20"/>
        <v>55.714285714285438</v>
      </c>
      <c r="P103" t="str">
        <f t="shared" si="21"/>
        <v>NA</v>
      </c>
      <c r="Q103" s="10">
        <f t="shared" ca="1" si="22"/>
        <v>54.285714285713254</v>
      </c>
      <c r="R103" s="10">
        <f t="shared" ca="1" si="23"/>
        <v>203.57142857142617</v>
      </c>
      <c r="S103" s="10">
        <f t="shared" ca="1" si="24"/>
        <v>-149.28571428571291</v>
      </c>
      <c r="T103" s="10">
        <f t="shared" ca="1" si="25"/>
        <v>454.34782608695889</v>
      </c>
      <c r="U103" s="10">
        <f t="shared" ca="1" si="26"/>
        <v>454.34782608695889</v>
      </c>
      <c r="V103">
        <f t="shared" si="27"/>
        <v>2</v>
      </c>
    </row>
    <row r="104" spans="1:22" x14ac:dyDescent="0.25">
      <c r="A104">
        <v>12</v>
      </c>
      <c r="B104">
        <v>4</v>
      </c>
      <c r="C104">
        <v>20</v>
      </c>
      <c r="D104">
        <v>1</v>
      </c>
      <c r="E104">
        <v>0</v>
      </c>
      <c r="F104">
        <v>0</v>
      </c>
      <c r="G104">
        <v>0</v>
      </c>
      <c r="H104">
        <v>550</v>
      </c>
      <c r="I104">
        <f t="shared" si="28"/>
        <v>99</v>
      </c>
      <c r="J104" s="6">
        <f t="array" aca="1" ref="J104:N104" ca="1">TRANSPOSE(ols(OFFSET($C$2:$C$10,I104,0),OFFSET($D$2:$H$10,I104,0)))</f>
        <v>207.85714285713948</v>
      </c>
      <c r="K104" s="6">
        <f ca="1"/>
        <v>-4.2857142857133113</v>
      </c>
      <c r="L104" s="6">
        <f ca="1"/>
        <v>-57.142857142856428</v>
      </c>
      <c r="M104" s="6">
        <f ca="1"/>
        <v>18.571428571428555</v>
      </c>
      <c r="N104" s="6">
        <f ca="1"/>
        <v>-0.32857142857142385</v>
      </c>
      <c r="O104" s="6">
        <f t="shared" ca="1" si="20"/>
        <v>27.142857142856371</v>
      </c>
      <c r="P104" t="str">
        <f t="shared" si="21"/>
        <v>NA</v>
      </c>
      <c r="Q104" s="10">
        <f t="shared" ca="1" si="22"/>
        <v>54.285714285713254</v>
      </c>
      <c r="R104" s="10">
        <f t="shared" ca="1" si="23"/>
        <v>207.85714285713948</v>
      </c>
      <c r="S104" s="10">
        <f t="shared" ca="1" si="24"/>
        <v>-153.57142857142622</v>
      </c>
      <c r="T104" s="10">
        <f t="shared" ca="1" si="25"/>
        <v>467.39130434782567</v>
      </c>
      <c r="U104" s="10">
        <f t="shared" ca="1" si="26"/>
        <v>467.39130434782567</v>
      </c>
      <c r="V104">
        <f t="shared" si="27"/>
        <v>1</v>
      </c>
    </row>
    <row r="105" spans="1:22" x14ac:dyDescent="0.25">
      <c r="A105">
        <v>12</v>
      </c>
      <c r="B105">
        <v>5</v>
      </c>
      <c r="C105">
        <v>70</v>
      </c>
      <c r="D105">
        <v>1</v>
      </c>
      <c r="E105">
        <v>0</v>
      </c>
      <c r="F105">
        <v>1</v>
      </c>
      <c r="G105">
        <v>1</v>
      </c>
      <c r="H105">
        <v>250</v>
      </c>
      <c r="I105">
        <f t="shared" si="28"/>
        <v>99</v>
      </c>
      <c r="J105" s="6">
        <f t="array" aca="1" ref="J105:N105" ca="1">TRANSPOSE(ols(OFFSET($C$2:$C$10,I105,0),OFFSET($D$2:$H$10,I105,0)))</f>
        <v>207.85714285713948</v>
      </c>
      <c r="K105" s="6">
        <f ca="1"/>
        <v>-4.2857142857133113</v>
      </c>
      <c r="L105" s="6">
        <f ca="1"/>
        <v>-57.142857142856428</v>
      </c>
      <c r="M105" s="6">
        <f ca="1"/>
        <v>18.571428571428555</v>
      </c>
      <c r="N105" s="6">
        <f ca="1"/>
        <v>-0.32857142857142385</v>
      </c>
      <c r="O105" s="6">
        <f t="shared" ca="1" si="20"/>
        <v>87.142857142855647</v>
      </c>
      <c r="P105" t="str">
        <f t="shared" si="21"/>
        <v>NA</v>
      </c>
      <c r="Q105" s="10">
        <f t="shared" ca="1" si="22"/>
        <v>54.285714285713254</v>
      </c>
      <c r="R105" s="10">
        <f t="shared" ca="1" si="23"/>
        <v>169.28571428571161</v>
      </c>
      <c r="S105" s="10">
        <f t="shared" ca="1" si="24"/>
        <v>-114.99999999999835</v>
      </c>
      <c r="T105" s="10">
        <f t="shared" ca="1" si="25"/>
        <v>350</v>
      </c>
      <c r="U105" s="10">
        <f t="shared" ca="1" si="26"/>
        <v>350</v>
      </c>
      <c r="V105">
        <f t="shared" si="27"/>
        <v>6</v>
      </c>
    </row>
    <row r="106" spans="1:22" x14ac:dyDescent="0.25">
      <c r="A106">
        <v>12</v>
      </c>
      <c r="B106">
        <v>6</v>
      </c>
      <c r="C106">
        <v>70</v>
      </c>
      <c r="D106">
        <v>1</v>
      </c>
      <c r="E106">
        <v>0</v>
      </c>
      <c r="F106">
        <v>1</v>
      </c>
      <c r="G106">
        <v>1</v>
      </c>
      <c r="H106">
        <v>350</v>
      </c>
      <c r="I106">
        <f t="shared" si="28"/>
        <v>99</v>
      </c>
      <c r="J106" s="6">
        <f t="array" aca="1" ref="J106:N106" ca="1">TRANSPOSE(ols(OFFSET($C$2:$C$10,I106,0),OFFSET($D$2:$H$10,I106,0)))</f>
        <v>207.85714285713948</v>
      </c>
      <c r="K106" s="6">
        <f ca="1"/>
        <v>-4.2857142857133113</v>
      </c>
      <c r="L106" s="6">
        <f ca="1"/>
        <v>-57.142857142856428</v>
      </c>
      <c r="M106" s="6">
        <f ca="1"/>
        <v>18.571428571428555</v>
      </c>
      <c r="N106" s="6">
        <f ca="1"/>
        <v>-0.32857142857142385</v>
      </c>
      <c r="O106" s="6">
        <f t="shared" ca="1" si="20"/>
        <v>54.285714285713254</v>
      </c>
      <c r="P106">
        <f t="shared" ca="1" si="21"/>
        <v>54.285714285713254</v>
      </c>
      <c r="Q106" s="10">
        <f t="shared" ca="1" si="22"/>
        <v>54.285714285713254</v>
      </c>
      <c r="R106" s="10">
        <f t="shared" ca="1" si="23"/>
        <v>169.28571428571161</v>
      </c>
      <c r="S106" s="10">
        <f t="shared" ca="1" si="24"/>
        <v>-114.99999999999835</v>
      </c>
      <c r="T106" s="10">
        <f t="shared" ca="1" si="25"/>
        <v>350</v>
      </c>
      <c r="U106" s="10">
        <f t="shared" ca="1" si="26"/>
        <v>350</v>
      </c>
      <c r="V106">
        <f t="shared" si="27"/>
        <v>6</v>
      </c>
    </row>
    <row r="107" spans="1:22" x14ac:dyDescent="0.25">
      <c r="A107">
        <v>12</v>
      </c>
      <c r="B107">
        <v>7</v>
      </c>
      <c r="C107">
        <v>90</v>
      </c>
      <c r="D107">
        <v>1</v>
      </c>
      <c r="E107">
        <v>1</v>
      </c>
      <c r="F107">
        <v>0</v>
      </c>
      <c r="G107">
        <v>1</v>
      </c>
      <c r="H107">
        <v>450</v>
      </c>
      <c r="I107">
        <f t="shared" si="28"/>
        <v>99</v>
      </c>
      <c r="J107" s="6">
        <f t="array" aca="1" ref="J107:N107" ca="1">TRANSPOSE(ols(OFFSET($C$2:$C$10,I107,0),OFFSET($D$2:$H$10,I107,0)))</f>
        <v>207.85714285713948</v>
      </c>
      <c r="K107" s="6">
        <f ca="1"/>
        <v>-4.2857142857133113</v>
      </c>
      <c r="L107" s="6">
        <f ca="1"/>
        <v>-57.142857142856428</v>
      </c>
      <c r="M107" s="6">
        <f ca="1"/>
        <v>18.571428571428555</v>
      </c>
      <c r="N107" s="6">
        <f ca="1"/>
        <v>-0.32857142857142385</v>
      </c>
      <c r="O107" s="6">
        <f t="shared" ca="1" si="20"/>
        <v>74.285714285713993</v>
      </c>
      <c r="P107" t="str">
        <f t="shared" si="21"/>
        <v>NA</v>
      </c>
      <c r="Q107" s="10">
        <f t="shared" ca="1" si="22"/>
        <v>54.285714285713254</v>
      </c>
      <c r="R107" s="10">
        <f t="shared" ca="1" si="23"/>
        <v>222.14285714285472</v>
      </c>
      <c r="S107" s="10">
        <f t="shared" ca="1" si="24"/>
        <v>-167.85714285714147</v>
      </c>
      <c r="T107" s="10">
        <f t="shared" ca="1" si="25"/>
        <v>510.86956521739444</v>
      </c>
      <c r="U107" s="10">
        <f t="shared" ca="1" si="26"/>
        <v>510.86956521739444</v>
      </c>
      <c r="V107">
        <f t="shared" si="27"/>
        <v>5</v>
      </c>
    </row>
    <row r="108" spans="1:22" x14ac:dyDescent="0.25">
      <c r="A108">
        <v>12</v>
      </c>
      <c r="B108">
        <v>8</v>
      </c>
      <c r="C108">
        <v>20</v>
      </c>
      <c r="D108">
        <v>1</v>
      </c>
      <c r="E108">
        <v>1</v>
      </c>
      <c r="F108">
        <v>0</v>
      </c>
      <c r="G108">
        <v>1</v>
      </c>
      <c r="H108">
        <v>550</v>
      </c>
      <c r="I108">
        <f t="shared" si="28"/>
        <v>99</v>
      </c>
      <c r="J108" s="6">
        <f t="array" aca="1" ref="J108:N108" ca="1">TRANSPOSE(ols(OFFSET($C$2:$C$10,I108,0),OFFSET($D$2:$H$10,I108,0)))</f>
        <v>207.85714285713948</v>
      </c>
      <c r="K108" s="6">
        <f ca="1"/>
        <v>-4.2857142857133113</v>
      </c>
      <c r="L108" s="6">
        <f ca="1"/>
        <v>-57.142857142856428</v>
      </c>
      <c r="M108" s="6">
        <f ca="1"/>
        <v>18.571428571428555</v>
      </c>
      <c r="N108" s="6">
        <f ca="1"/>
        <v>-0.32857142857142385</v>
      </c>
      <c r="O108" s="6">
        <f t="shared" ca="1" si="20"/>
        <v>41.428571428571615</v>
      </c>
      <c r="P108" t="str">
        <f t="shared" si="21"/>
        <v>NA</v>
      </c>
      <c r="Q108" s="10">
        <f t="shared" ca="1" si="22"/>
        <v>54.285714285713254</v>
      </c>
      <c r="R108" s="10">
        <f t="shared" ca="1" si="23"/>
        <v>222.14285714285472</v>
      </c>
      <c r="S108" s="10">
        <f t="shared" ca="1" si="24"/>
        <v>-167.85714285714147</v>
      </c>
      <c r="T108" s="10">
        <f t="shared" ca="1" si="25"/>
        <v>510.86956521739444</v>
      </c>
      <c r="U108" s="10">
        <f t="shared" ca="1" si="26"/>
        <v>510.86956521739444</v>
      </c>
      <c r="V108">
        <f t="shared" si="27"/>
        <v>5</v>
      </c>
    </row>
    <row r="109" spans="1:22" x14ac:dyDescent="0.25">
      <c r="A109">
        <v>12</v>
      </c>
      <c r="B109">
        <v>9</v>
      </c>
      <c r="C109">
        <v>20</v>
      </c>
      <c r="D109">
        <v>1</v>
      </c>
      <c r="E109">
        <v>0</v>
      </c>
      <c r="F109">
        <v>0</v>
      </c>
      <c r="G109">
        <v>1</v>
      </c>
      <c r="H109">
        <v>650</v>
      </c>
      <c r="I109">
        <f t="shared" si="28"/>
        <v>99</v>
      </c>
      <c r="J109" s="6">
        <f t="array" aca="1" ref="J109:N109" ca="1">TRANSPOSE(ols(OFFSET($C$2:$C$10,I109,0),OFFSET($D$2:$H$10,I109,0)))</f>
        <v>207.85714285713948</v>
      </c>
      <c r="K109" s="6">
        <f ca="1"/>
        <v>-4.2857142857133113</v>
      </c>
      <c r="L109" s="6">
        <f ca="1"/>
        <v>-57.142857142856428</v>
      </c>
      <c r="M109" s="6">
        <f ca="1"/>
        <v>18.571428571428555</v>
      </c>
      <c r="N109" s="6">
        <f ca="1"/>
        <v>-0.32857142857142385</v>
      </c>
      <c r="O109" s="6">
        <f t="shared" ca="1" si="20"/>
        <v>12.85714285714252</v>
      </c>
      <c r="P109" t="str">
        <f t="shared" si="21"/>
        <v>NA</v>
      </c>
      <c r="Q109" s="10">
        <f t="shared" ca="1" si="22"/>
        <v>54.285714285713254</v>
      </c>
      <c r="R109" s="10">
        <f t="shared" ca="1" si="23"/>
        <v>226.42857142856803</v>
      </c>
      <c r="S109" s="10">
        <f t="shared" ca="1" si="24"/>
        <v>-172.14285714285478</v>
      </c>
      <c r="T109" s="10">
        <f t="shared" ca="1" si="25"/>
        <v>523.91304347826122</v>
      </c>
      <c r="U109" s="10">
        <f t="shared" ca="1" si="26"/>
        <v>523.91304347826122</v>
      </c>
      <c r="V109">
        <f t="shared" si="27"/>
        <v>4</v>
      </c>
    </row>
    <row r="110" spans="1:22" x14ac:dyDescent="0.25">
      <c r="A110">
        <v>13</v>
      </c>
      <c r="B110">
        <v>1</v>
      </c>
      <c r="C110">
        <v>70</v>
      </c>
      <c r="D110">
        <v>1</v>
      </c>
      <c r="E110">
        <v>0</v>
      </c>
      <c r="F110">
        <v>1</v>
      </c>
      <c r="G110">
        <v>0</v>
      </c>
      <c r="H110">
        <v>250</v>
      </c>
      <c r="I110">
        <f t="shared" si="28"/>
        <v>108</v>
      </c>
      <c r="J110" s="6">
        <f t="array" aca="1" ref="J110:N110" ca="1">TRANSPOSE(ols(OFFSET($C$2:$C$10,I110,0),OFFSET($D$2:$H$10,I110,0)))</f>
        <v>182.85714285714039</v>
      </c>
      <c r="K110" s="6">
        <f ca="1"/>
        <v>-19.285714285713993</v>
      </c>
      <c r="L110" s="6">
        <f ca="1"/>
        <v>-47.142857142856883</v>
      </c>
      <c r="M110" s="6">
        <f ca="1"/>
        <v>-21.428571428571217</v>
      </c>
      <c r="N110" s="6">
        <f ca="1"/>
        <v>-0.22857142857142776</v>
      </c>
      <c r="O110" s="6">
        <f t="shared" ca="1" si="20"/>
        <v>78.571428571426566</v>
      </c>
      <c r="P110" t="str">
        <f t="shared" si="21"/>
        <v>NA</v>
      </c>
      <c r="Q110" s="10">
        <f t="shared" ca="1" si="22"/>
        <v>34.285714285712572</v>
      </c>
      <c r="R110" s="10">
        <f t="shared" ca="1" si="23"/>
        <v>135.71428571428351</v>
      </c>
      <c r="S110" s="10">
        <f t="shared" ca="1" si="24"/>
        <v>-101.42857142857093</v>
      </c>
      <c r="T110" s="10">
        <f t="shared" ca="1" si="25"/>
        <v>443.74999999999943</v>
      </c>
      <c r="U110" s="10">
        <f t="shared" ca="1" si="26"/>
        <v>443.74999999999943</v>
      </c>
      <c r="V110">
        <f t="shared" si="27"/>
        <v>3</v>
      </c>
    </row>
    <row r="111" spans="1:22" x14ac:dyDescent="0.25">
      <c r="A111">
        <v>13</v>
      </c>
      <c r="B111">
        <v>2</v>
      </c>
      <c r="C111">
        <v>90</v>
      </c>
      <c r="D111">
        <v>1</v>
      </c>
      <c r="E111">
        <v>1</v>
      </c>
      <c r="F111">
        <v>0</v>
      </c>
      <c r="G111">
        <v>0</v>
      </c>
      <c r="H111">
        <v>350</v>
      </c>
      <c r="I111">
        <f t="shared" si="28"/>
        <v>108</v>
      </c>
      <c r="J111" s="6">
        <f t="array" aca="1" ref="J111:N111" ca="1">TRANSPOSE(ols(OFFSET($C$2:$C$10,I111,0),OFFSET($D$2:$H$10,I111,0)))</f>
        <v>182.85714285714039</v>
      </c>
      <c r="K111" s="6">
        <f ca="1"/>
        <v>-19.285714285713993</v>
      </c>
      <c r="L111" s="6">
        <f ca="1"/>
        <v>-47.142857142856883</v>
      </c>
      <c r="M111" s="6">
        <f ca="1"/>
        <v>-21.428571428571217</v>
      </c>
      <c r="N111" s="6">
        <f ca="1"/>
        <v>-0.22857142857142776</v>
      </c>
      <c r="O111" s="6">
        <f t="shared" ca="1" si="20"/>
        <v>83.571428571426679</v>
      </c>
      <c r="P111" t="str">
        <f t="shared" si="21"/>
        <v>NA</v>
      </c>
      <c r="Q111" s="10">
        <f t="shared" ca="1" si="22"/>
        <v>34.285714285712572</v>
      </c>
      <c r="R111" s="10">
        <f t="shared" ca="1" si="23"/>
        <v>163.5714285714264</v>
      </c>
      <c r="S111" s="10">
        <f t="shared" ca="1" si="24"/>
        <v>-129.28571428571382</v>
      </c>
      <c r="T111" s="10">
        <f t="shared" ca="1" si="25"/>
        <v>565.625</v>
      </c>
      <c r="U111" s="10">
        <f t="shared" ca="1" si="26"/>
        <v>565.625</v>
      </c>
      <c r="V111">
        <f t="shared" si="27"/>
        <v>2</v>
      </c>
    </row>
    <row r="112" spans="1:22" x14ac:dyDescent="0.25">
      <c r="A112">
        <v>13</v>
      </c>
      <c r="B112">
        <v>3</v>
      </c>
      <c r="C112">
        <v>60</v>
      </c>
      <c r="D112">
        <v>1</v>
      </c>
      <c r="E112">
        <v>1</v>
      </c>
      <c r="F112">
        <v>0</v>
      </c>
      <c r="G112">
        <v>0</v>
      </c>
      <c r="H112">
        <v>450</v>
      </c>
      <c r="I112">
        <f t="shared" si="28"/>
        <v>108</v>
      </c>
      <c r="J112" s="6">
        <f t="array" aca="1" ref="J112:N112" ca="1">TRANSPOSE(ols(OFFSET($C$2:$C$10,I112,0),OFFSET($D$2:$H$10,I112,0)))</f>
        <v>182.85714285714039</v>
      </c>
      <c r="K112" s="6">
        <f ca="1"/>
        <v>-19.285714285713993</v>
      </c>
      <c r="L112" s="6">
        <f ca="1"/>
        <v>-47.142857142856883</v>
      </c>
      <c r="M112" s="6">
        <f ca="1"/>
        <v>-21.428571428571217</v>
      </c>
      <c r="N112" s="6">
        <f ca="1"/>
        <v>-0.22857142857142776</v>
      </c>
      <c r="O112" s="6">
        <f t="shared" ca="1" si="20"/>
        <v>60.714285714283903</v>
      </c>
      <c r="P112" t="str">
        <f t="shared" si="21"/>
        <v>NA</v>
      </c>
      <c r="Q112" s="10">
        <f t="shared" ca="1" si="22"/>
        <v>34.285714285712572</v>
      </c>
      <c r="R112" s="10">
        <f t="shared" ca="1" si="23"/>
        <v>163.5714285714264</v>
      </c>
      <c r="S112" s="10">
        <f t="shared" ca="1" si="24"/>
        <v>-129.28571428571382</v>
      </c>
      <c r="T112" s="10">
        <f t="shared" ca="1" si="25"/>
        <v>565.625</v>
      </c>
      <c r="U112" s="10">
        <f t="shared" ca="1" si="26"/>
        <v>565.625</v>
      </c>
      <c r="V112">
        <f t="shared" si="27"/>
        <v>2</v>
      </c>
    </row>
    <row r="113" spans="1:22" x14ac:dyDescent="0.25">
      <c r="A113">
        <v>13</v>
      </c>
      <c r="B113">
        <v>4</v>
      </c>
      <c r="C113">
        <v>60</v>
      </c>
      <c r="D113">
        <v>1</v>
      </c>
      <c r="E113">
        <v>0</v>
      </c>
      <c r="F113">
        <v>0</v>
      </c>
      <c r="G113">
        <v>0</v>
      </c>
      <c r="H113">
        <v>550</v>
      </c>
      <c r="I113">
        <f t="shared" si="28"/>
        <v>108</v>
      </c>
      <c r="J113" s="6">
        <f t="array" aca="1" ref="J113:N113" ca="1">TRANSPOSE(ols(OFFSET($C$2:$C$10,I113,0),OFFSET($D$2:$H$10,I113,0)))</f>
        <v>182.85714285714039</v>
      </c>
      <c r="K113" s="6">
        <f ca="1"/>
        <v>-19.285714285713993</v>
      </c>
      <c r="L113" s="6">
        <f ca="1"/>
        <v>-47.142857142856883</v>
      </c>
      <c r="M113" s="6">
        <f ca="1"/>
        <v>-21.428571428571217</v>
      </c>
      <c r="N113" s="6">
        <f ca="1"/>
        <v>-0.22857142857142776</v>
      </c>
      <c r="O113" s="6">
        <f t="shared" ca="1" si="20"/>
        <v>57.142857142855121</v>
      </c>
      <c r="P113" t="str">
        <f t="shared" si="21"/>
        <v>NA</v>
      </c>
      <c r="Q113" s="10">
        <f t="shared" ca="1" si="22"/>
        <v>34.285714285712572</v>
      </c>
      <c r="R113" s="10">
        <f t="shared" ca="1" si="23"/>
        <v>182.85714285714039</v>
      </c>
      <c r="S113" s="10">
        <f t="shared" ca="1" si="24"/>
        <v>-148.57142857142782</v>
      </c>
      <c r="T113" s="10">
        <f t="shared" ca="1" si="25"/>
        <v>649.99999999999898</v>
      </c>
      <c r="U113" s="10">
        <f t="shared" ca="1" si="26"/>
        <v>649.99999999999898</v>
      </c>
      <c r="V113">
        <f t="shared" si="27"/>
        <v>1</v>
      </c>
    </row>
    <row r="114" spans="1:22" x14ac:dyDescent="0.25">
      <c r="A114">
        <v>13</v>
      </c>
      <c r="B114">
        <v>5</v>
      </c>
      <c r="C114">
        <v>60</v>
      </c>
      <c r="D114">
        <v>1</v>
      </c>
      <c r="E114">
        <v>0</v>
      </c>
      <c r="F114">
        <v>1</v>
      </c>
      <c r="G114">
        <v>1</v>
      </c>
      <c r="H114">
        <v>250</v>
      </c>
      <c r="I114">
        <f t="shared" si="28"/>
        <v>108</v>
      </c>
      <c r="J114" s="6">
        <f t="array" aca="1" ref="J114:N114" ca="1">TRANSPOSE(ols(OFFSET($C$2:$C$10,I114,0),OFFSET($D$2:$H$10,I114,0)))</f>
        <v>182.85714285714039</v>
      </c>
      <c r="K114" s="6">
        <f ca="1"/>
        <v>-19.285714285713993</v>
      </c>
      <c r="L114" s="6">
        <f ca="1"/>
        <v>-47.142857142856883</v>
      </c>
      <c r="M114" s="6">
        <f ca="1"/>
        <v>-21.428571428571217</v>
      </c>
      <c r="N114" s="6">
        <f ca="1"/>
        <v>-0.22857142857142776</v>
      </c>
      <c r="O114" s="6">
        <f t="shared" ca="1" si="20"/>
        <v>57.142857142855348</v>
      </c>
      <c r="P114" t="str">
        <f t="shared" si="21"/>
        <v>NA</v>
      </c>
      <c r="Q114" s="10">
        <f t="shared" ca="1" si="22"/>
        <v>34.285714285712572</v>
      </c>
      <c r="R114" s="10">
        <f t="shared" ca="1" si="23"/>
        <v>114.28571428571229</v>
      </c>
      <c r="S114" s="10">
        <f t="shared" ca="1" si="24"/>
        <v>-79.999999999999716</v>
      </c>
      <c r="T114" s="10">
        <f t="shared" ca="1" si="25"/>
        <v>350</v>
      </c>
      <c r="U114" s="10">
        <f t="shared" ca="1" si="26"/>
        <v>350</v>
      </c>
      <c r="V114">
        <f t="shared" si="27"/>
        <v>6</v>
      </c>
    </row>
    <row r="115" spans="1:22" x14ac:dyDescent="0.25">
      <c r="A115">
        <v>13</v>
      </c>
      <c r="B115">
        <v>6</v>
      </c>
      <c r="C115">
        <v>40</v>
      </c>
      <c r="D115">
        <v>1</v>
      </c>
      <c r="E115">
        <v>0</v>
      </c>
      <c r="F115">
        <v>1</v>
      </c>
      <c r="G115">
        <v>1</v>
      </c>
      <c r="H115">
        <v>350</v>
      </c>
      <c r="I115">
        <f t="shared" si="28"/>
        <v>108</v>
      </c>
      <c r="J115" s="6">
        <f t="array" aca="1" ref="J115:N115" ca="1">TRANSPOSE(ols(OFFSET($C$2:$C$10,I115,0),OFFSET($D$2:$H$10,I115,0)))</f>
        <v>182.85714285714039</v>
      </c>
      <c r="K115" s="6">
        <f ca="1"/>
        <v>-19.285714285713993</v>
      </c>
      <c r="L115" s="6">
        <f ca="1"/>
        <v>-47.142857142856883</v>
      </c>
      <c r="M115" s="6">
        <f ca="1"/>
        <v>-21.428571428571217</v>
      </c>
      <c r="N115" s="6">
        <f ca="1"/>
        <v>-0.22857142857142776</v>
      </c>
      <c r="O115" s="6">
        <f t="shared" ca="1" si="20"/>
        <v>34.285714285712572</v>
      </c>
      <c r="P115">
        <f t="shared" ca="1" si="21"/>
        <v>34.285714285712572</v>
      </c>
      <c r="Q115" s="10">
        <f t="shared" ca="1" si="22"/>
        <v>34.285714285712572</v>
      </c>
      <c r="R115" s="10">
        <f t="shared" ca="1" si="23"/>
        <v>114.28571428571229</v>
      </c>
      <c r="S115" s="10">
        <f t="shared" ca="1" si="24"/>
        <v>-79.999999999999716</v>
      </c>
      <c r="T115" s="10">
        <f t="shared" ca="1" si="25"/>
        <v>350</v>
      </c>
      <c r="U115" s="10">
        <f t="shared" ca="1" si="26"/>
        <v>350</v>
      </c>
      <c r="V115">
        <f t="shared" si="27"/>
        <v>6</v>
      </c>
    </row>
    <row r="116" spans="1:22" x14ac:dyDescent="0.25">
      <c r="A116">
        <v>13</v>
      </c>
      <c r="B116">
        <v>7</v>
      </c>
      <c r="C116">
        <v>30</v>
      </c>
      <c r="D116">
        <v>1</v>
      </c>
      <c r="E116">
        <v>1</v>
      </c>
      <c r="F116">
        <v>0</v>
      </c>
      <c r="G116">
        <v>1</v>
      </c>
      <c r="H116">
        <v>450</v>
      </c>
      <c r="I116">
        <f t="shared" si="28"/>
        <v>108</v>
      </c>
      <c r="J116" s="6">
        <f t="array" aca="1" ref="J116:N116" ca="1">TRANSPOSE(ols(OFFSET($C$2:$C$10,I116,0),OFFSET($D$2:$H$10,I116,0)))</f>
        <v>182.85714285714039</v>
      </c>
      <c r="K116" s="6">
        <f ca="1"/>
        <v>-19.285714285713993</v>
      </c>
      <c r="L116" s="6">
        <f ca="1"/>
        <v>-47.142857142856883</v>
      </c>
      <c r="M116" s="6">
        <f ca="1"/>
        <v>-21.428571428571217</v>
      </c>
      <c r="N116" s="6">
        <f ca="1"/>
        <v>-0.22857142857142776</v>
      </c>
      <c r="O116" s="6">
        <f t="shared" ca="1" si="20"/>
        <v>39.285714285712686</v>
      </c>
      <c r="P116" t="str">
        <f t="shared" si="21"/>
        <v>NA</v>
      </c>
      <c r="Q116" s="10">
        <f t="shared" ca="1" si="22"/>
        <v>34.285714285712572</v>
      </c>
      <c r="R116" s="10">
        <f t="shared" ca="1" si="23"/>
        <v>142.14285714285518</v>
      </c>
      <c r="S116" s="10">
        <f t="shared" ca="1" si="24"/>
        <v>-107.85714285714261</v>
      </c>
      <c r="T116" s="10">
        <f t="shared" ca="1" si="25"/>
        <v>471.87500000000057</v>
      </c>
      <c r="U116" s="10">
        <f t="shared" ca="1" si="26"/>
        <v>471.87500000000057</v>
      </c>
      <c r="V116">
        <f t="shared" si="27"/>
        <v>5</v>
      </c>
    </row>
    <row r="117" spans="1:22" x14ac:dyDescent="0.25">
      <c r="A117">
        <v>13</v>
      </c>
      <c r="B117">
        <v>8</v>
      </c>
      <c r="C117">
        <v>20</v>
      </c>
      <c r="D117">
        <v>1</v>
      </c>
      <c r="E117">
        <v>1</v>
      </c>
      <c r="F117">
        <v>0</v>
      </c>
      <c r="G117">
        <v>1</v>
      </c>
      <c r="H117">
        <v>550</v>
      </c>
      <c r="I117">
        <f t="shared" si="28"/>
        <v>108</v>
      </c>
      <c r="J117" s="6">
        <f t="array" aca="1" ref="J117:N117" ca="1">TRANSPOSE(ols(OFFSET($C$2:$C$10,I117,0),OFFSET($D$2:$H$10,I117,0)))</f>
        <v>182.85714285714039</v>
      </c>
      <c r="K117" s="6">
        <f ca="1"/>
        <v>-19.285714285713993</v>
      </c>
      <c r="L117" s="6">
        <f ca="1"/>
        <v>-47.142857142856883</v>
      </c>
      <c r="M117" s="6">
        <f ca="1"/>
        <v>-21.428571428571217</v>
      </c>
      <c r="N117" s="6">
        <f ca="1"/>
        <v>-0.22857142857142776</v>
      </c>
      <c r="O117" s="6">
        <f t="shared" ca="1" si="20"/>
        <v>16.42857142856991</v>
      </c>
      <c r="P117" t="str">
        <f t="shared" si="21"/>
        <v>NA</v>
      </c>
      <c r="Q117" s="10">
        <f t="shared" ca="1" si="22"/>
        <v>34.285714285712572</v>
      </c>
      <c r="R117" s="10">
        <f t="shared" ca="1" si="23"/>
        <v>142.14285714285518</v>
      </c>
      <c r="S117" s="10">
        <f t="shared" ca="1" si="24"/>
        <v>-107.85714285714261</v>
      </c>
      <c r="T117" s="10">
        <f t="shared" ca="1" si="25"/>
        <v>471.87500000000057</v>
      </c>
      <c r="U117" s="10">
        <f t="shared" ca="1" si="26"/>
        <v>471.87500000000057</v>
      </c>
      <c r="V117">
        <f t="shared" si="27"/>
        <v>5</v>
      </c>
    </row>
    <row r="118" spans="1:22" x14ac:dyDescent="0.25">
      <c r="A118">
        <v>13</v>
      </c>
      <c r="B118">
        <v>9</v>
      </c>
      <c r="C118">
        <v>10</v>
      </c>
      <c r="D118">
        <v>1</v>
      </c>
      <c r="E118">
        <v>0</v>
      </c>
      <c r="F118">
        <v>0</v>
      </c>
      <c r="G118">
        <v>1</v>
      </c>
      <c r="H118">
        <v>650</v>
      </c>
      <c r="I118">
        <f t="shared" si="28"/>
        <v>108</v>
      </c>
      <c r="J118" s="6">
        <f t="array" aca="1" ref="J118:N118" ca="1">TRANSPOSE(ols(OFFSET($C$2:$C$10,I118,0),OFFSET($D$2:$H$10,I118,0)))</f>
        <v>182.85714285714039</v>
      </c>
      <c r="K118" s="6">
        <f ca="1"/>
        <v>-19.285714285713993</v>
      </c>
      <c r="L118" s="6">
        <f ca="1"/>
        <v>-47.142857142856883</v>
      </c>
      <c r="M118" s="6">
        <f ca="1"/>
        <v>-21.428571428571217</v>
      </c>
      <c r="N118" s="6">
        <f ca="1"/>
        <v>-0.22857142857142776</v>
      </c>
      <c r="O118" s="6">
        <f t="shared" ca="1" si="20"/>
        <v>12.857142857141127</v>
      </c>
      <c r="P118" t="str">
        <f t="shared" si="21"/>
        <v>NA</v>
      </c>
      <c r="Q118" s="10">
        <f t="shared" ca="1" si="22"/>
        <v>34.285714285712572</v>
      </c>
      <c r="R118" s="10">
        <f t="shared" ca="1" si="23"/>
        <v>161.42857142856917</v>
      </c>
      <c r="S118" s="10">
        <f t="shared" ca="1" si="24"/>
        <v>-127.1428571428566</v>
      </c>
      <c r="T118" s="10">
        <f t="shared" ca="1" si="25"/>
        <v>556.24999999999955</v>
      </c>
      <c r="U118" s="10">
        <f t="shared" ca="1" si="26"/>
        <v>556.24999999999955</v>
      </c>
      <c r="V118">
        <f t="shared" si="27"/>
        <v>4</v>
      </c>
    </row>
    <row r="119" spans="1:22" x14ac:dyDescent="0.25">
      <c r="A119">
        <v>14</v>
      </c>
      <c r="B119">
        <v>1</v>
      </c>
      <c r="C119">
        <v>100</v>
      </c>
      <c r="D119">
        <v>1</v>
      </c>
      <c r="E119">
        <v>0</v>
      </c>
      <c r="F119">
        <v>1</v>
      </c>
      <c r="G119">
        <v>0</v>
      </c>
      <c r="H119">
        <v>250</v>
      </c>
      <c r="I119">
        <f t="shared" si="28"/>
        <v>117</v>
      </c>
      <c r="J119" s="6">
        <f t="array" aca="1" ref="J119:N119" ca="1">TRANSPOSE(ols(OFFSET($C$2:$C$10,I119,0),OFFSET($D$2:$H$10,I119,0)))</f>
        <v>114.28571428571286</v>
      </c>
      <c r="K119" s="6">
        <f ca="1"/>
        <v>3.5714285714284415</v>
      </c>
      <c r="L119" s="6">
        <f ca="1"/>
        <v>24.285714285714221</v>
      </c>
      <c r="M119" s="6">
        <f ca="1"/>
        <v>-7.1428571428567693</v>
      </c>
      <c r="N119" s="6">
        <f ca="1"/>
        <v>-0.14285714285714413</v>
      </c>
      <c r="O119" s="6">
        <f t="shared" ca="1" si="20"/>
        <v>102.85714285714104</v>
      </c>
      <c r="P119" t="str">
        <f t="shared" si="21"/>
        <v>NA</v>
      </c>
      <c r="Q119" s="10">
        <f t="shared" ca="1" si="22"/>
        <v>81.428571428569867</v>
      </c>
      <c r="R119" s="10">
        <f t="shared" ca="1" si="23"/>
        <v>138.57142857142708</v>
      </c>
      <c r="S119" s="10">
        <f t="shared" ca="1" si="24"/>
        <v>-57.14285714285721</v>
      </c>
      <c r="T119" s="10">
        <f t="shared" ca="1" si="25"/>
        <v>399.99999999999693</v>
      </c>
      <c r="U119" s="10">
        <f t="shared" ca="1" si="26"/>
        <v>399.99999999999693</v>
      </c>
      <c r="V119">
        <f t="shared" si="27"/>
        <v>3</v>
      </c>
    </row>
    <row r="120" spans="1:22" x14ac:dyDescent="0.25">
      <c r="A120">
        <v>14</v>
      </c>
      <c r="B120">
        <v>2</v>
      </c>
      <c r="C120">
        <v>70</v>
      </c>
      <c r="D120">
        <v>1</v>
      </c>
      <c r="E120">
        <v>1</v>
      </c>
      <c r="F120">
        <v>0</v>
      </c>
      <c r="G120">
        <v>0</v>
      </c>
      <c r="H120">
        <v>350</v>
      </c>
      <c r="I120">
        <f t="shared" si="28"/>
        <v>117</v>
      </c>
      <c r="J120" s="6">
        <f t="array" aca="1" ref="J120:N120" ca="1">TRANSPOSE(ols(OFFSET($C$2:$C$10,I120,0),OFFSET($D$2:$H$10,I120,0)))</f>
        <v>114.28571428571286</v>
      </c>
      <c r="K120" s="6">
        <f ca="1"/>
        <v>3.5714285714284415</v>
      </c>
      <c r="L120" s="6">
        <f ca="1"/>
        <v>24.285714285714221</v>
      </c>
      <c r="M120" s="6">
        <f ca="1"/>
        <v>-7.1428571428567693</v>
      </c>
      <c r="N120" s="6">
        <f ca="1"/>
        <v>-0.14285714285714413</v>
      </c>
      <c r="O120" s="6">
        <f t="shared" ca="1" si="20"/>
        <v>67.857142857140857</v>
      </c>
      <c r="P120" t="str">
        <f t="shared" si="21"/>
        <v>NA</v>
      </c>
      <c r="Q120" s="10">
        <f t="shared" ca="1" si="22"/>
        <v>81.428571428569867</v>
      </c>
      <c r="R120" s="10">
        <f t="shared" ca="1" si="23"/>
        <v>117.8571428571413</v>
      </c>
      <c r="S120" s="10">
        <f t="shared" ca="1" si="24"/>
        <v>-36.428571428571431</v>
      </c>
      <c r="T120" s="10">
        <f t="shared" ca="1" si="25"/>
        <v>254.99999999999775</v>
      </c>
      <c r="U120" s="10">
        <f t="shared" ca="1" si="26"/>
        <v>254.99999999999775</v>
      </c>
      <c r="V120">
        <f t="shared" si="27"/>
        <v>2</v>
      </c>
    </row>
    <row r="121" spans="1:22" x14ac:dyDescent="0.25">
      <c r="A121">
        <v>14</v>
      </c>
      <c r="B121">
        <v>3</v>
      </c>
      <c r="C121">
        <v>50</v>
      </c>
      <c r="D121">
        <v>1</v>
      </c>
      <c r="E121">
        <v>1</v>
      </c>
      <c r="F121">
        <v>0</v>
      </c>
      <c r="G121">
        <v>0</v>
      </c>
      <c r="H121">
        <v>450</v>
      </c>
      <c r="I121">
        <f t="shared" si="28"/>
        <v>117</v>
      </c>
      <c r="J121" s="6">
        <f t="array" aca="1" ref="J121:N121" ca="1">TRANSPOSE(ols(OFFSET($C$2:$C$10,I121,0),OFFSET($D$2:$H$10,I121,0)))</f>
        <v>114.28571428571286</v>
      </c>
      <c r="K121" s="6">
        <f ca="1"/>
        <v>3.5714285714284415</v>
      </c>
      <c r="L121" s="6">
        <f ca="1"/>
        <v>24.285714285714221</v>
      </c>
      <c r="M121" s="6">
        <f ca="1"/>
        <v>-7.1428571428567693</v>
      </c>
      <c r="N121" s="6">
        <f ca="1"/>
        <v>-0.14285714285714413</v>
      </c>
      <c r="O121" s="6">
        <f t="shared" ca="1" si="20"/>
        <v>53.571428571426438</v>
      </c>
      <c r="P121" t="str">
        <f t="shared" si="21"/>
        <v>NA</v>
      </c>
      <c r="Q121" s="10">
        <f t="shared" ca="1" si="22"/>
        <v>81.428571428569867</v>
      </c>
      <c r="R121" s="10">
        <f t="shared" ca="1" si="23"/>
        <v>117.8571428571413</v>
      </c>
      <c r="S121" s="10">
        <f t="shared" ca="1" si="24"/>
        <v>-36.428571428571431</v>
      </c>
      <c r="T121" s="10">
        <f t="shared" ca="1" si="25"/>
        <v>254.99999999999775</v>
      </c>
      <c r="U121" s="10">
        <f t="shared" ca="1" si="26"/>
        <v>254.99999999999775</v>
      </c>
      <c r="V121">
        <f t="shared" si="27"/>
        <v>2</v>
      </c>
    </row>
    <row r="122" spans="1:22" x14ac:dyDescent="0.25">
      <c r="A122">
        <v>14</v>
      </c>
      <c r="B122">
        <v>4</v>
      </c>
      <c r="C122">
        <v>40</v>
      </c>
      <c r="D122">
        <v>1</v>
      </c>
      <c r="E122">
        <v>0</v>
      </c>
      <c r="F122">
        <v>0</v>
      </c>
      <c r="G122">
        <v>0</v>
      </c>
      <c r="H122">
        <v>550</v>
      </c>
      <c r="I122">
        <f t="shared" si="28"/>
        <v>117</v>
      </c>
      <c r="J122" s="6">
        <f t="array" aca="1" ref="J122:N122" ca="1">TRANSPOSE(ols(OFFSET($C$2:$C$10,I122,0),OFFSET($D$2:$H$10,I122,0)))</f>
        <v>114.28571428571286</v>
      </c>
      <c r="K122" s="6">
        <f ca="1"/>
        <v>3.5714285714284415</v>
      </c>
      <c r="L122" s="6">
        <f ca="1"/>
        <v>24.285714285714221</v>
      </c>
      <c r="M122" s="6">
        <f ca="1"/>
        <v>-7.1428571428567693</v>
      </c>
      <c r="N122" s="6">
        <f ca="1"/>
        <v>-0.14285714285714413</v>
      </c>
      <c r="O122" s="6">
        <f t="shared" ca="1" si="20"/>
        <v>35.714285714283591</v>
      </c>
      <c r="P122" t="str">
        <f t="shared" si="21"/>
        <v>NA</v>
      </c>
      <c r="Q122" s="10">
        <f t="shared" ca="1" si="22"/>
        <v>81.428571428569867</v>
      </c>
      <c r="R122" s="10">
        <f t="shared" ca="1" si="23"/>
        <v>114.28571428571286</v>
      </c>
      <c r="S122" s="10">
        <f t="shared" ca="1" si="24"/>
        <v>-32.857142857142989</v>
      </c>
      <c r="T122" s="10">
        <f t="shared" ca="1" si="25"/>
        <v>229.99999999999889</v>
      </c>
      <c r="U122" s="10" t="str">
        <f t="shared" ca="1" si="26"/>
        <v>OR</v>
      </c>
      <c r="V122">
        <f t="shared" si="27"/>
        <v>1</v>
      </c>
    </row>
    <row r="123" spans="1:22" x14ac:dyDescent="0.25">
      <c r="A123">
        <v>14</v>
      </c>
      <c r="B123">
        <v>5</v>
      </c>
      <c r="C123">
        <v>100</v>
      </c>
      <c r="D123">
        <v>1</v>
      </c>
      <c r="E123">
        <v>0</v>
      </c>
      <c r="F123">
        <v>1</v>
      </c>
      <c r="G123">
        <v>1</v>
      </c>
      <c r="H123">
        <v>250</v>
      </c>
      <c r="I123">
        <f t="shared" si="28"/>
        <v>117</v>
      </c>
      <c r="J123" s="6">
        <f t="array" aca="1" ref="J123:N123" ca="1">TRANSPOSE(ols(OFFSET($C$2:$C$10,I123,0),OFFSET($D$2:$H$10,I123,0)))</f>
        <v>114.28571428571286</v>
      </c>
      <c r="K123" s="6">
        <f ca="1"/>
        <v>3.5714285714284415</v>
      </c>
      <c r="L123" s="6">
        <f ca="1"/>
        <v>24.285714285714221</v>
      </c>
      <c r="M123" s="6">
        <f ca="1"/>
        <v>-7.1428571428567693</v>
      </c>
      <c r="N123" s="6">
        <f ca="1"/>
        <v>-0.14285714285714413</v>
      </c>
      <c r="O123" s="6">
        <f t="shared" ca="1" si="20"/>
        <v>95.714285714284273</v>
      </c>
      <c r="P123" t="str">
        <f t="shared" si="21"/>
        <v>NA</v>
      </c>
      <c r="Q123" s="10">
        <f t="shared" ca="1" si="22"/>
        <v>81.428571428569867</v>
      </c>
      <c r="R123" s="10">
        <f t="shared" ca="1" si="23"/>
        <v>131.42857142857031</v>
      </c>
      <c r="S123" s="10">
        <f t="shared" ca="1" si="24"/>
        <v>-50.000000000000441</v>
      </c>
      <c r="T123" s="10">
        <f t="shared" ca="1" si="25"/>
        <v>350</v>
      </c>
      <c r="U123" s="10">
        <f t="shared" ca="1" si="26"/>
        <v>350</v>
      </c>
      <c r="V123">
        <f t="shared" si="27"/>
        <v>6</v>
      </c>
    </row>
    <row r="124" spans="1:22" x14ac:dyDescent="0.25">
      <c r="A124">
        <v>14</v>
      </c>
      <c r="B124">
        <v>6</v>
      </c>
      <c r="C124">
        <v>80</v>
      </c>
      <c r="D124">
        <v>1</v>
      </c>
      <c r="E124">
        <v>0</v>
      </c>
      <c r="F124">
        <v>1</v>
      </c>
      <c r="G124">
        <v>1</v>
      </c>
      <c r="H124">
        <v>350</v>
      </c>
      <c r="I124">
        <f t="shared" si="28"/>
        <v>117</v>
      </c>
      <c r="J124" s="6">
        <f t="array" aca="1" ref="J124:N124" ca="1">TRANSPOSE(ols(OFFSET($C$2:$C$10,I124,0),OFFSET($D$2:$H$10,I124,0)))</f>
        <v>114.28571428571286</v>
      </c>
      <c r="K124" s="6">
        <f ca="1"/>
        <v>3.5714285714284415</v>
      </c>
      <c r="L124" s="6">
        <f ca="1"/>
        <v>24.285714285714221</v>
      </c>
      <c r="M124" s="6">
        <f ca="1"/>
        <v>-7.1428571428567693</v>
      </c>
      <c r="N124" s="6">
        <f ca="1"/>
        <v>-0.14285714285714413</v>
      </c>
      <c r="O124" s="6">
        <f t="shared" ca="1" si="20"/>
        <v>81.428571428569867</v>
      </c>
      <c r="P124">
        <f t="shared" ca="1" si="21"/>
        <v>81.428571428569867</v>
      </c>
      <c r="Q124" s="10">
        <f t="shared" ca="1" si="22"/>
        <v>81.428571428569867</v>
      </c>
      <c r="R124" s="10">
        <f t="shared" ca="1" si="23"/>
        <v>131.42857142857031</v>
      </c>
      <c r="S124" s="10">
        <f t="shared" ca="1" si="24"/>
        <v>-50.000000000000441</v>
      </c>
      <c r="T124" s="10">
        <f t="shared" ca="1" si="25"/>
        <v>350</v>
      </c>
      <c r="U124" s="10">
        <f t="shared" ca="1" si="26"/>
        <v>350</v>
      </c>
      <c r="V124">
        <f t="shared" si="27"/>
        <v>6</v>
      </c>
    </row>
    <row r="125" spans="1:22" x14ac:dyDescent="0.25">
      <c r="A125">
        <v>14</v>
      </c>
      <c r="B125">
        <v>7</v>
      </c>
      <c r="C125">
        <v>40</v>
      </c>
      <c r="D125">
        <v>1</v>
      </c>
      <c r="E125">
        <v>1</v>
      </c>
      <c r="F125">
        <v>0</v>
      </c>
      <c r="G125">
        <v>1</v>
      </c>
      <c r="H125">
        <v>450</v>
      </c>
      <c r="I125">
        <f t="shared" si="28"/>
        <v>117</v>
      </c>
      <c r="J125" s="6">
        <f t="array" aca="1" ref="J125:N125" ca="1">TRANSPOSE(ols(OFFSET($C$2:$C$10,I125,0),OFFSET($D$2:$H$10,I125,0)))</f>
        <v>114.28571428571286</v>
      </c>
      <c r="K125" s="6">
        <f ca="1"/>
        <v>3.5714285714284415</v>
      </c>
      <c r="L125" s="6">
        <f ca="1"/>
        <v>24.285714285714221</v>
      </c>
      <c r="M125" s="6">
        <f ca="1"/>
        <v>-7.1428571428567693</v>
      </c>
      <c r="N125" s="6">
        <f ca="1"/>
        <v>-0.14285714285714413</v>
      </c>
      <c r="O125" s="6">
        <f t="shared" ca="1" si="20"/>
        <v>46.428571428569668</v>
      </c>
      <c r="P125" t="str">
        <f t="shared" si="21"/>
        <v>NA</v>
      </c>
      <c r="Q125" s="10">
        <f t="shared" ca="1" si="22"/>
        <v>81.428571428569867</v>
      </c>
      <c r="R125" s="10">
        <f t="shared" ca="1" si="23"/>
        <v>110.71428571428453</v>
      </c>
      <c r="S125" s="10">
        <f t="shared" ca="1" si="24"/>
        <v>-29.285714285714661</v>
      </c>
      <c r="T125" s="10">
        <f t="shared" ca="1" si="25"/>
        <v>205.0000000000008</v>
      </c>
      <c r="U125" s="10" t="str">
        <f t="shared" ca="1" si="26"/>
        <v>OR</v>
      </c>
      <c r="V125">
        <f t="shared" si="27"/>
        <v>5</v>
      </c>
    </row>
    <row r="126" spans="1:22" x14ac:dyDescent="0.25">
      <c r="A126">
        <v>14</v>
      </c>
      <c r="B126">
        <v>8</v>
      </c>
      <c r="C126">
        <v>40</v>
      </c>
      <c r="D126">
        <v>1</v>
      </c>
      <c r="E126">
        <v>1</v>
      </c>
      <c r="F126">
        <v>0</v>
      </c>
      <c r="G126">
        <v>1</v>
      </c>
      <c r="H126">
        <v>550</v>
      </c>
      <c r="I126">
        <f t="shared" si="28"/>
        <v>117</v>
      </c>
      <c r="J126" s="6">
        <f t="array" aca="1" ref="J126:N126" ca="1">TRANSPOSE(ols(OFFSET($C$2:$C$10,I126,0),OFFSET($D$2:$H$10,I126,0)))</f>
        <v>114.28571428571286</v>
      </c>
      <c r="K126" s="6">
        <f ca="1"/>
        <v>3.5714285714284415</v>
      </c>
      <c r="L126" s="6">
        <f ca="1"/>
        <v>24.285714285714221</v>
      </c>
      <c r="M126" s="6">
        <f ca="1"/>
        <v>-7.1428571428567693</v>
      </c>
      <c r="N126" s="6">
        <f ca="1"/>
        <v>-0.14285714285714413</v>
      </c>
      <c r="O126" s="6">
        <f t="shared" ca="1" si="20"/>
        <v>32.142857142855263</v>
      </c>
      <c r="P126" t="str">
        <f t="shared" si="21"/>
        <v>NA</v>
      </c>
      <c r="Q126" s="10">
        <f t="shared" ca="1" si="22"/>
        <v>81.428571428569867</v>
      </c>
      <c r="R126" s="10">
        <f t="shared" ca="1" si="23"/>
        <v>110.71428571428453</v>
      </c>
      <c r="S126" s="10">
        <f t="shared" ca="1" si="24"/>
        <v>-29.285714285714661</v>
      </c>
      <c r="T126" s="10">
        <f t="shared" ca="1" si="25"/>
        <v>205.0000000000008</v>
      </c>
      <c r="U126" s="10" t="str">
        <f t="shared" ca="1" si="26"/>
        <v>OR</v>
      </c>
      <c r="V126">
        <f t="shared" si="27"/>
        <v>5</v>
      </c>
    </row>
    <row r="127" spans="1:22" x14ac:dyDescent="0.25">
      <c r="A127">
        <v>14</v>
      </c>
      <c r="B127">
        <v>9</v>
      </c>
      <c r="C127">
        <v>10</v>
      </c>
      <c r="D127">
        <v>1</v>
      </c>
      <c r="E127">
        <v>0</v>
      </c>
      <c r="F127">
        <v>0</v>
      </c>
      <c r="G127">
        <v>1</v>
      </c>
      <c r="H127">
        <v>650</v>
      </c>
      <c r="I127">
        <f t="shared" si="28"/>
        <v>117</v>
      </c>
      <c r="J127" s="6">
        <f t="array" aca="1" ref="J127:N127" ca="1">TRANSPOSE(ols(OFFSET($C$2:$C$10,I127,0),OFFSET($D$2:$H$10,I127,0)))</f>
        <v>114.28571428571286</v>
      </c>
      <c r="K127" s="6">
        <f ca="1"/>
        <v>3.5714285714284415</v>
      </c>
      <c r="L127" s="6">
        <f ca="1"/>
        <v>24.285714285714221</v>
      </c>
      <c r="M127" s="6">
        <f ca="1"/>
        <v>-7.1428571428567693</v>
      </c>
      <c r="N127" s="6">
        <f ca="1"/>
        <v>-0.14285714285714413</v>
      </c>
      <c r="O127" s="6">
        <f t="shared" ca="1" si="20"/>
        <v>14.285714285712402</v>
      </c>
      <c r="P127" t="str">
        <f t="shared" si="21"/>
        <v>NA</v>
      </c>
      <c r="Q127" s="10">
        <f t="shared" ca="1" si="22"/>
        <v>81.428571428569867</v>
      </c>
      <c r="R127" s="10">
        <f t="shared" ca="1" si="23"/>
        <v>107.14285714285609</v>
      </c>
      <c r="S127" s="10">
        <f t="shared" ca="1" si="24"/>
        <v>-25.71428571428622</v>
      </c>
      <c r="T127" s="10">
        <f t="shared" ca="1" si="25"/>
        <v>180.00000000000193</v>
      </c>
      <c r="U127" s="10" t="str">
        <f t="shared" ca="1" si="26"/>
        <v>OR</v>
      </c>
      <c r="V127">
        <f t="shared" si="27"/>
        <v>4</v>
      </c>
    </row>
    <row r="128" spans="1:22" x14ac:dyDescent="0.25">
      <c r="A128">
        <v>15</v>
      </c>
      <c r="B128">
        <v>1</v>
      </c>
      <c r="C128">
        <v>70</v>
      </c>
      <c r="D128">
        <v>1</v>
      </c>
      <c r="E128">
        <v>0</v>
      </c>
      <c r="F128">
        <v>1</v>
      </c>
      <c r="G128">
        <v>0</v>
      </c>
      <c r="H128">
        <v>250</v>
      </c>
      <c r="I128">
        <f t="shared" si="28"/>
        <v>126</v>
      </c>
      <c r="J128" s="6">
        <f t="array" aca="1" ref="J128:N128" ca="1">TRANSPOSE(ols(OFFSET($C$2:$C$10,I128,0),OFFSET($D$2:$H$10,I128,0)))</f>
        <v>104.52380952380736</v>
      </c>
      <c r="K128" s="6">
        <f ca="1"/>
        <v>0.714285714286234</v>
      </c>
      <c r="L128" s="6">
        <f ca="1"/>
        <v>-15.476190476190823</v>
      </c>
      <c r="M128" s="6">
        <f ca="1"/>
        <v>-4.7619047619041339</v>
      </c>
      <c r="N128" s="6">
        <f ca="1"/>
        <v>-6.1904761904767014E-2</v>
      </c>
      <c r="O128" s="6">
        <f t="shared" ca="1" si="20"/>
        <v>73.571428571424775</v>
      </c>
      <c r="P128" t="str">
        <f t="shared" si="21"/>
        <v>NA</v>
      </c>
      <c r="Q128" s="10">
        <f t="shared" ca="1" si="22"/>
        <v>62.619047619043947</v>
      </c>
      <c r="R128" s="10">
        <f t="shared" ca="1" si="23"/>
        <v>89.047619047616536</v>
      </c>
      <c r="S128" s="10">
        <f t="shared" ca="1" si="24"/>
        <v>-26.428571428572589</v>
      </c>
      <c r="T128" s="10">
        <f t="shared" ca="1" si="25"/>
        <v>426.92307692306042</v>
      </c>
      <c r="U128" s="10">
        <f t="shared" ca="1" si="26"/>
        <v>426.92307692306042</v>
      </c>
      <c r="V128">
        <f t="shared" si="27"/>
        <v>3</v>
      </c>
    </row>
    <row r="129" spans="1:22" x14ac:dyDescent="0.25">
      <c r="A129">
        <v>15</v>
      </c>
      <c r="B129">
        <v>2</v>
      </c>
      <c r="C129">
        <v>80</v>
      </c>
      <c r="D129">
        <v>1</v>
      </c>
      <c r="E129">
        <v>1</v>
      </c>
      <c r="F129">
        <v>0</v>
      </c>
      <c r="G129">
        <v>0</v>
      </c>
      <c r="H129">
        <v>350</v>
      </c>
      <c r="I129">
        <f t="shared" si="28"/>
        <v>126</v>
      </c>
      <c r="J129" s="6">
        <f t="array" aca="1" ref="J129:N129" ca="1">TRANSPOSE(ols(OFFSET($C$2:$C$10,I129,0),OFFSET($D$2:$H$10,I129,0)))</f>
        <v>104.52380952380736</v>
      </c>
      <c r="K129" s="6">
        <f ca="1"/>
        <v>0.714285714286234</v>
      </c>
      <c r="L129" s="6">
        <f ca="1"/>
        <v>-15.476190476190823</v>
      </c>
      <c r="M129" s="6">
        <f ca="1"/>
        <v>-4.7619047619041339</v>
      </c>
      <c r="N129" s="6">
        <f ca="1"/>
        <v>-6.1904761904767014E-2</v>
      </c>
      <c r="O129" s="6">
        <f t="shared" ca="1" si="20"/>
        <v>83.571428571425145</v>
      </c>
      <c r="P129" t="str">
        <f t="shared" si="21"/>
        <v>NA</v>
      </c>
      <c r="Q129" s="10">
        <f t="shared" ca="1" si="22"/>
        <v>62.619047619043947</v>
      </c>
      <c r="R129" s="10">
        <f t="shared" ca="1" si="23"/>
        <v>105.23809523809359</v>
      </c>
      <c r="S129" s="10">
        <f t="shared" ca="1" si="24"/>
        <v>-42.619047619049645</v>
      </c>
      <c r="T129" s="10">
        <f t="shared" ca="1" si="25"/>
        <v>688.46153846151435</v>
      </c>
      <c r="U129" s="10" t="str">
        <f t="shared" ca="1" si="26"/>
        <v>OR</v>
      </c>
      <c r="V129">
        <f t="shared" si="27"/>
        <v>2</v>
      </c>
    </row>
    <row r="130" spans="1:22" x14ac:dyDescent="0.25">
      <c r="A130">
        <v>15</v>
      </c>
      <c r="B130">
        <v>3</v>
      </c>
      <c r="C130">
        <v>80</v>
      </c>
      <c r="D130">
        <v>1</v>
      </c>
      <c r="E130">
        <v>1</v>
      </c>
      <c r="F130">
        <v>0</v>
      </c>
      <c r="G130">
        <v>0</v>
      </c>
      <c r="H130">
        <v>450</v>
      </c>
      <c r="I130">
        <f t="shared" si="28"/>
        <v>126</v>
      </c>
      <c r="J130" s="6">
        <f t="array" aca="1" ref="J130:N130" ca="1">TRANSPOSE(ols(OFFSET($C$2:$C$10,I130,0),OFFSET($D$2:$H$10,I130,0)))</f>
        <v>104.52380952380736</v>
      </c>
      <c r="K130" s="6">
        <f ca="1"/>
        <v>0.714285714286234</v>
      </c>
      <c r="L130" s="6">
        <f ca="1"/>
        <v>-15.476190476190823</v>
      </c>
      <c r="M130" s="6">
        <f ca="1"/>
        <v>-4.7619047619041339</v>
      </c>
      <c r="N130" s="6">
        <f ca="1"/>
        <v>-6.1904761904767014E-2</v>
      </c>
      <c r="O130" s="6">
        <f t="shared" ca="1" si="20"/>
        <v>77.380952380948429</v>
      </c>
      <c r="P130" t="str">
        <f t="shared" si="21"/>
        <v>NA</v>
      </c>
      <c r="Q130" s="10">
        <f t="shared" ca="1" si="22"/>
        <v>62.619047619043947</v>
      </c>
      <c r="R130" s="10">
        <f t="shared" ca="1" si="23"/>
        <v>105.23809523809359</v>
      </c>
      <c r="S130" s="10">
        <f t="shared" ca="1" si="24"/>
        <v>-42.619047619049645</v>
      </c>
      <c r="T130" s="10">
        <f t="shared" ca="1" si="25"/>
        <v>688.46153846151435</v>
      </c>
      <c r="U130" s="10" t="str">
        <f t="shared" ca="1" si="26"/>
        <v>OR</v>
      </c>
      <c r="V130">
        <f t="shared" si="27"/>
        <v>2</v>
      </c>
    </row>
    <row r="131" spans="1:22" x14ac:dyDescent="0.25">
      <c r="A131">
        <v>15</v>
      </c>
      <c r="B131">
        <v>4</v>
      </c>
      <c r="C131">
        <v>75</v>
      </c>
      <c r="D131">
        <v>1</v>
      </c>
      <c r="E131">
        <v>0</v>
      </c>
      <c r="F131">
        <v>0</v>
      </c>
      <c r="G131">
        <v>0</v>
      </c>
      <c r="H131">
        <v>550</v>
      </c>
      <c r="I131">
        <f t="shared" si="28"/>
        <v>126</v>
      </c>
      <c r="J131" s="6">
        <f t="array" aca="1" ref="J131:N131" ca="1">TRANSPOSE(ols(OFFSET($C$2:$C$10,I131,0),OFFSET($D$2:$H$10,I131,0)))</f>
        <v>104.52380952380736</v>
      </c>
      <c r="K131" s="6">
        <f ca="1"/>
        <v>0.714285714286234</v>
      </c>
      <c r="L131" s="6">
        <f ca="1"/>
        <v>-15.476190476190823</v>
      </c>
      <c r="M131" s="6">
        <f ca="1"/>
        <v>-4.7619047619041339</v>
      </c>
      <c r="N131" s="6">
        <f ca="1"/>
        <v>-6.1904761904767014E-2</v>
      </c>
      <c r="O131" s="6">
        <f t="shared" ref="O131:O194" ca="1" si="29">SUMPRODUCT(J131:N131,D131:H131)</f>
        <v>70.476190476185508</v>
      </c>
      <c r="P131" t="str">
        <f t="shared" ref="P131:P194" si="30">IF(AND(F131=1,G131=1,H131=350),O131,"NA")</f>
        <v>NA</v>
      </c>
      <c r="Q131" s="10">
        <f t="shared" ref="Q131:Q194" ca="1" si="31">AVERAGEIF($A$2:$A$5383,A131,$P$2:$P$5383)</f>
        <v>62.619047619043947</v>
      </c>
      <c r="R131" s="10">
        <f t="shared" ref="R131:R194" ca="1" si="32">O131-N131*H131</f>
        <v>104.52380952380736</v>
      </c>
      <c r="S131" s="10">
        <f t="shared" ref="S131:S194" ca="1" si="33">Q131-R131</f>
        <v>-41.904761904763411</v>
      </c>
      <c r="T131" s="10">
        <f t="shared" ref="T131:T194" ca="1" si="34">S131/N131</f>
        <v>676.92307692304541</v>
      </c>
      <c r="U131" s="10" t="str">
        <f t="shared" ref="U131:U194" ca="1" si="35">IF(OR(T131&lt;250,T131&gt;650),"OR",T131)</f>
        <v>OR</v>
      </c>
      <c r="V131">
        <f t="shared" ref="V131:V194" si="36">IF(AND(E131=1,G131=0),2,IF(AND(F131=1,G131=0),3,IF(AND(E131=1,G131=1),5,IF(AND(F131=1,G131=1),6,IF(G131=0,1,IF(G131=1,4))))))</f>
        <v>1</v>
      </c>
    </row>
    <row r="132" spans="1:22" x14ac:dyDescent="0.25">
      <c r="A132">
        <v>15</v>
      </c>
      <c r="B132">
        <v>5</v>
      </c>
      <c r="C132">
        <v>70</v>
      </c>
      <c r="D132">
        <v>1</v>
      </c>
      <c r="E132">
        <v>0</v>
      </c>
      <c r="F132">
        <v>1</v>
      </c>
      <c r="G132">
        <v>1</v>
      </c>
      <c r="H132">
        <v>250</v>
      </c>
      <c r="I132">
        <f t="shared" si="28"/>
        <v>126</v>
      </c>
      <c r="J132" s="6">
        <f t="array" aca="1" ref="J132:N132" ca="1">TRANSPOSE(ols(OFFSET($C$2:$C$10,I132,0),OFFSET($D$2:$H$10,I132,0)))</f>
        <v>104.52380952380736</v>
      </c>
      <c r="K132" s="6">
        <f ca="1"/>
        <v>0.714285714286234</v>
      </c>
      <c r="L132" s="6">
        <f ca="1"/>
        <v>-15.476190476190823</v>
      </c>
      <c r="M132" s="6">
        <f ca="1"/>
        <v>-4.7619047619041339</v>
      </c>
      <c r="N132" s="6">
        <f ca="1"/>
        <v>-6.1904761904767014E-2</v>
      </c>
      <c r="O132" s="6">
        <f t="shared" ca="1" si="29"/>
        <v>68.809523809520641</v>
      </c>
      <c r="P132" t="str">
        <f t="shared" si="30"/>
        <v>NA</v>
      </c>
      <c r="Q132" s="10">
        <f t="shared" ca="1" si="31"/>
        <v>62.619047619043947</v>
      </c>
      <c r="R132" s="10">
        <f t="shared" ca="1" si="32"/>
        <v>84.285714285712402</v>
      </c>
      <c r="S132" s="10">
        <f t="shared" ca="1" si="33"/>
        <v>-21.666666666668455</v>
      </c>
      <c r="T132" s="10">
        <f t="shared" ca="1" si="34"/>
        <v>350</v>
      </c>
      <c r="U132" s="10">
        <f t="shared" ca="1" si="35"/>
        <v>350</v>
      </c>
      <c r="V132">
        <f t="shared" si="36"/>
        <v>6</v>
      </c>
    </row>
    <row r="133" spans="1:22" x14ac:dyDescent="0.25">
      <c r="A133">
        <v>15</v>
      </c>
      <c r="B133">
        <v>6</v>
      </c>
      <c r="C133">
        <v>65</v>
      </c>
      <c r="D133">
        <v>1</v>
      </c>
      <c r="E133">
        <v>0</v>
      </c>
      <c r="F133">
        <v>1</v>
      </c>
      <c r="G133">
        <v>1</v>
      </c>
      <c r="H133">
        <v>350</v>
      </c>
      <c r="I133">
        <f t="shared" si="28"/>
        <v>126</v>
      </c>
      <c r="J133" s="6">
        <f t="array" aca="1" ref="J133:N133" ca="1">TRANSPOSE(ols(OFFSET($C$2:$C$10,I133,0),OFFSET($D$2:$H$10,I133,0)))</f>
        <v>104.52380952380736</v>
      </c>
      <c r="K133" s="6">
        <f ca="1"/>
        <v>0.714285714286234</v>
      </c>
      <c r="L133" s="6">
        <f ca="1"/>
        <v>-15.476190476190823</v>
      </c>
      <c r="M133" s="6">
        <f ca="1"/>
        <v>-4.7619047619041339</v>
      </c>
      <c r="N133" s="6">
        <f ca="1"/>
        <v>-6.1904761904767014E-2</v>
      </c>
      <c r="O133" s="6">
        <f t="shared" ca="1" si="29"/>
        <v>62.619047619043947</v>
      </c>
      <c r="P133">
        <f t="shared" ca="1" si="30"/>
        <v>62.619047619043947</v>
      </c>
      <c r="Q133" s="10">
        <f t="shared" ca="1" si="31"/>
        <v>62.619047619043947</v>
      </c>
      <c r="R133" s="10">
        <f t="shared" ca="1" si="32"/>
        <v>84.285714285712402</v>
      </c>
      <c r="S133" s="10">
        <f t="shared" ca="1" si="33"/>
        <v>-21.666666666668455</v>
      </c>
      <c r="T133" s="10">
        <f t="shared" ca="1" si="34"/>
        <v>350</v>
      </c>
      <c r="U133" s="10">
        <f t="shared" ca="1" si="35"/>
        <v>350</v>
      </c>
      <c r="V133">
        <f t="shared" si="36"/>
        <v>6</v>
      </c>
    </row>
    <row r="134" spans="1:22" x14ac:dyDescent="0.25">
      <c r="A134">
        <v>15</v>
      </c>
      <c r="B134">
        <v>7</v>
      </c>
      <c r="C134">
        <v>75</v>
      </c>
      <c r="D134">
        <v>1</v>
      </c>
      <c r="E134">
        <v>1</v>
      </c>
      <c r="F134">
        <v>0</v>
      </c>
      <c r="G134">
        <v>1</v>
      </c>
      <c r="H134">
        <v>450</v>
      </c>
      <c r="I134">
        <f t="shared" si="28"/>
        <v>126</v>
      </c>
      <c r="J134" s="6">
        <f t="array" aca="1" ref="J134:N134" ca="1">TRANSPOSE(ols(OFFSET($C$2:$C$10,I134,0),OFFSET($D$2:$H$10,I134,0)))</f>
        <v>104.52380952380736</v>
      </c>
      <c r="K134" s="6">
        <f ca="1"/>
        <v>0.714285714286234</v>
      </c>
      <c r="L134" s="6">
        <f ca="1"/>
        <v>-15.476190476190823</v>
      </c>
      <c r="M134" s="6">
        <f ca="1"/>
        <v>-4.7619047619041339</v>
      </c>
      <c r="N134" s="6">
        <f ca="1"/>
        <v>-6.1904761904767014E-2</v>
      </c>
      <c r="O134" s="6">
        <f t="shared" ca="1" si="29"/>
        <v>72.619047619044295</v>
      </c>
      <c r="P134" t="str">
        <f t="shared" si="30"/>
        <v>NA</v>
      </c>
      <c r="Q134" s="10">
        <f t="shared" ca="1" si="31"/>
        <v>62.619047619043947</v>
      </c>
      <c r="R134" s="10">
        <f t="shared" ca="1" si="32"/>
        <v>100.47619047618946</v>
      </c>
      <c r="S134" s="10">
        <f t="shared" ca="1" si="33"/>
        <v>-37.857142857145512</v>
      </c>
      <c r="T134" s="10">
        <f t="shared" ca="1" si="34"/>
        <v>611.53846153845393</v>
      </c>
      <c r="U134" s="10">
        <f t="shared" ca="1" si="35"/>
        <v>611.53846153845393</v>
      </c>
      <c r="V134">
        <f t="shared" si="36"/>
        <v>5</v>
      </c>
    </row>
    <row r="135" spans="1:22" x14ac:dyDescent="0.25">
      <c r="A135">
        <v>15</v>
      </c>
      <c r="B135">
        <v>8</v>
      </c>
      <c r="C135">
        <v>65</v>
      </c>
      <c r="D135">
        <v>1</v>
      </c>
      <c r="E135">
        <v>1</v>
      </c>
      <c r="F135">
        <v>0</v>
      </c>
      <c r="G135">
        <v>1</v>
      </c>
      <c r="H135">
        <v>550</v>
      </c>
      <c r="I135">
        <f t="shared" si="28"/>
        <v>126</v>
      </c>
      <c r="J135" s="6">
        <f t="array" aca="1" ref="J135:N135" ca="1">TRANSPOSE(ols(OFFSET($C$2:$C$10,I135,0),OFFSET($D$2:$H$10,I135,0)))</f>
        <v>104.52380952380736</v>
      </c>
      <c r="K135" s="6">
        <f ca="1"/>
        <v>0.714285714286234</v>
      </c>
      <c r="L135" s="6">
        <f ca="1"/>
        <v>-15.476190476190823</v>
      </c>
      <c r="M135" s="6">
        <f ca="1"/>
        <v>-4.7619047619041339</v>
      </c>
      <c r="N135" s="6">
        <f ca="1"/>
        <v>-6.1904761904767014E-2</v>
      </c>
      <c r="O135" s="6">
        <f t="shared" ca="1" si="29"/>
        <v>66.428571428567608</v>
      </c>
      <c r="P135" t="str">
        <f t="shared" si="30"/>
        <v>NA</v>
      </c>
      <c r="Q135" s="10">
        <f t="shared" ca="1" si="31"/>
        <v>62.619047619043947</v>
      </c>
      <c r="R135" s="10">
        <f t="shared" ca="1" si="32"/>
        <v>100.47619047618946</v>
      </c>
      <c r="S135" s="10">
        <f t="shared" ca="1" si="33"/>
        <v>-37.857142857145512</v>
      </c>
      <c r="T135" s="10">
        <f t="shared" ca="1" si="34"/>
        <v>611.53846153845393</v>
      </c>
      <c r="U135" s="10">
        <f t="shared" ca="1" si="35"/>
        <v>611.53846153845393</v>
      </c>
      <c r="V135">
        <f t="shared" si="36"/>
        <v>5</v>
      </c>
    </row>
    <row r="136" spans="1:22" x14ac:dyDescent="0.25">
      <c r="A136">
        <v>15</v>
      </c>
      <c r="B136">
        <v>9</v>
      </c>
      <c r="C136">
        <v>55</v>
      </c>
      <c r="D136">
        <v>1</v>
      </c>
      <c r="E136">
        <v>0</v>
      </c>
      <c r="F136">
        <v>0</v>
      </c>
      <c r="G136">
        <v>1</v>
      </c>
      <c r="H136">
        <v>650</v>
      </c>
      <c r="I136">
        <f t="shared" si="28"/>
        <v>126</v>
      </c>
      <c r="J136" s="6">
        <f t="array" aca="1" ref="J136:N136" ca="1">TRANSPOSE(ols(OFFSET($C$2:$C$10,I136,0),OFFSET($D$2:$H$10,I136,0)))</f>
        <v>104.52380952380736</v>
      </c>
      <c r="K136" s="6">
        <f ca="1"/>
        <v>0.714285714286234</v>
      </c>
      <c r="L136" s="6">
        <f ca="1"/>
        <v>-15.476190476190823</v>
      </c>
      <c r="M136" s="6">
        <f ca="1"/>
        <v>-4.7619047619041339</v>
      </c>
      <c r="N136" s="6">
        <f ca="1"/>
        <v>-6.1904761904767014E-2</v>
      </c>
      <c r="O136" s="6">
        <f t="shared" ca="1" si="29"/>
        <v>59.523809523804665</v>
      </c>
      <c r="P136" t="str">
        <f t="shared" si="30"/>
        <v>NA</v>
      </c>
      <c r="Q136" s="10">
        <f t="shared" ca="1" si="31"/>
        <v>62.619047619043947</v>
      </c>
      <c r="R136" s="10">
        <f t="shared" ca="1" si="32"/>
        <v>99.761904761903224</v>
      </c>
      <c r="S136" s="10">
        <f t="shared" ca="1" si="33"/>
        <v>-37.142857142859278</v>
      </c>
      <c r="T136" s="10">
        <f t="shared" ca="1" si="34"/>
        <v>599.99999999998499</v>
      </c>
      <c r="U136" s="10">
        <f t="shared" ca="1" si="35"/>
        <v>599.99999999998499</v>
      </c>
      <c r="V136">
        <f t="shared" si="36"/>
        <v>4</v>
      </c>
    </row>
    <row r="137" spans="1:22" x14ac:dyDescent="0.25">
      <c r="A137">
        <v>16</v>
      </c>
      <c r="B137">
        <v>1</v>
      </c>
      <c r="C137">
        <v>85</v>
      </c>
      <c r="D137">
        <v>1</v>
      </c>
      <c r="E137">
        <v>0</v>
      </c>
      <c r="F137">
        <v>1</v>
      </c>
      <c r="G137">
        <v>0</v>
      </c>
      <c r="H137">
        <v>250</v>
      </c>
      <c r="I137">
        <f t="shared" si="28"/>
        <v>135</v>
      </c>
      <c r="J137" s="6">
        <f t="array" aca="1" ref="J137:N137" ca="1">TRANSPOSE(ols(OFFSET($C$2:$C$10,I137,0),OFFSET($D$2:$H$10,I137,0)))</f>
        <v>124.04761904761654</v>
      </c>
      <c r="K137" s="6">
        <f ca="1"/>
        <v>-6.0714285714284415</v>
      </c>
      <c r="L137" s="6">
        <f ca="1"/>
        <v>-0.95238095238164533</v>
      </c>
      <c r="M137" s="6">
        <f ca="1"/>
        <v>-9.52380952380895</v>
      </c>
      <c r="N137" s="6">
        <f ca="1"/>
        <v>-0.12380952380952692</v>
      </c>
      <c r="O137" s="6">
        <f t="shared" ca="1" si="29"/>
        <v>92.14285714285316</v>
      </c>
      <c r="P137" t="str">
        <f t="shared" si="30"/>
        <v>NA</v>
      </c>
      <c r="Q137" s="10">
        <f t="shared" ca="1" si="31"/>
        <v>70.238095238091518</v>
      </c>
      <c r="R137" s="10">
        <f t="shared" ca="1" si="32"/>
        <v>123.09523809523489</v>
      </c>
      <c r="S137" s="10">
        <f t="shared" ca="1" si="33"/>
        <v>-52.857142857143373</v>
      </c>
      <c r="T137" s="10">
        <f t="shared" ca="1" si="34"/>
        <v>426.92307692307037</v>
      </c>
      <c r="U137" s="10">
        <f t="shared" ca="1" si="35"/>
        <v>426.92307692307037</v>
      </c>
      <c r="V137">
        <f t="shared" si="36"/>
        <v>3</v>
      </c>
    </row>
    <row r="138" spans="1:22" x14ac:dyDescent="0.25">
      <c r="A138">
        <v>16</v>
      </c>
      <c r="B138">
        <v>2</v>
      </c>
      <c r="C138">
        <v>75</v>
      </c>
      <c r="D138">
        <v>1</v>
      </c>
      <c r="E138">
        <v>1</v>
      </c>
      <c r="F138">
        <v>0</v>
      </c>
      <c r="G138">
        <v>0</v>
      </c>
      <c r="H138">
        <v>350</v>
      </c>
      <c r="I138">
        <f t="shared" si="28"/>
        <v>135</v>
      </c>
      <c r="J138" s="6">
        <f t="array" aca="1" ref="J138:N138" ca="1">TRANSPOSE(ols(OFFSET($C$2:$C$10,I138,0),OFFSET($D$2:$H$10,I138,0)))</f>
        <v>124.04761904761654</v>
      </c>
      <c r="K138" s="6">
        <f ca="1"/>
        <v>-6.0714285714284415</v>
      </c>
      <c r="L138" s="6">
        <f ca="1"/>
        <v>-0.95238095238164533</v>
      </c>
      <c r="M138" s="6">
        <f ca="1"/>
        <v>-9.52380952380895</v>
      </c>
      <c r="N138" s="6">
        <f ca="1"/>
        <v>-0.12380952380952692</v>
      </c>
      <c r="O138" s="6">
        <f t="shared" ca="1" si="29"/>
        <v>74.642857142853671</v>
      </c>
      <c r="P138" t="str">
        <f t="shared" si="30"/>
        <v>NA</v>
      </c>
      <c r="Q138" s="10">
        <f t="shared" ca="1" si="31"/>
        <v>70.238095238091518</v>
      </c>
      <c r="R138" s="10">
        <f t="shared" ca="1" si="32"/>
        <v>117.97619047618809</v>
      </c>
      <c r="S138" s="10">
        <f t="shared" ca="1" si="33"/>
        <v>-47.738095238096577</v>
      </c>
      <c r="T138" s="10">
        <f t="shared" ca="1" si="34"/>
        <v>385.57692307692417</v>
      </c>
      <c r="U138" s="10">
        <f t="shared" ca="1" si="35"/>
        <v>385.57692307692417</v>
      </c>
      <c r="V138">
        <f t="shared" si="36"/>
        <v>2</v>
      </c>
    </row>
    <row r="139" spans="1:22" x14ac:dyDescent="0.25">
      <c r="A139">
        <v>16</v>
      </c>
      <c r="B139">
        <v>3</v>
      </c>
      <c r="C139">
        <v>65</v>
      </c>
      <c r="D139">
        <v>1</v>
      </c>
      <c r="E139">
        <v>1</v>
      </c>
      <c r="F139">
        <v>0</v>
      </c>
      <c r="G139">
        <v>0</v>
      </c>
      <c r="H139">
        <v>450</v>
      </c>
      <c r="I139">
        <f t="shared" si="28"/>
        <v>135</v>
      </c>
      <c r="J139" s="6">
        <f t="array" aca="1" ref="J139:N139" ca="1">TRANSPOSE(ols(OFFSET($C$2:$C$10,I139,0),OFFSET($D$2:$H$10,I139,0)))</f>
        <v>124.04761904761654</v>
      </c>
      <c r="K139" s="6">
        <f ca="1"/>
        <v>-6.0714285714284415</v>
      </c>
      <c r="L139" s="6">
        <f ca="1"/>
        <v>-0.95238095238164533</v>
      </c>
      <c r="M139" s="6">
        <f ca="1"/>
        <v>-9.52380952380895</v>
      </c>
      <c r="N139" s="6">
        <f ca="1"/>
        <v>-0.12380952380952692</v>
      </c>
      <c r="O139" s="6">
        <f t="shared" ca="1" si="29"/>
        <v>62.261904761900979</v>
      </c>
      <c r="P139" t="str">
        <f t="shared" si="30"/>
        <v>NA</v>
      </c>
      <c r="Q139" s="10">
        <f t="shared" ca="1" si="31"/>
        <v>70.238095238091518</v>
      </c>
      <c r="R139" s="10">
        <f t="shared" ca="1" si="32"/>
        <v>117.97619047618809</v>
      </c>
      <c r="S139" s="10">
        <f t="shared" ca="1" si="33"/>
        <v>-47.738095238096577</v>
      </c>
      <c r="T139" s="10">
        <f t="shared" ca="1" si="34"/>
        <v>385.57692307692417</v>
      </c>
      <c r="U139" s="10">
        <f t="shared" ca="1" si="35"/>
        <v>385.57692307692417</v>
      </c>
      <c r="V139">
        <f t="shared" si="36"/>
        <v>2</v>
      </c>
    </row>
    <row r="140" spans="1:22" x14ac:dyDescent="0.25">
      <c r="A140">
        <v>16</v>
      </c>
      <c r="B140">
        <v>4</v>
      </c>
      <c r="C140">
        <v>60</v>
      </c>
      <c r="D140">
        <v>1</v>
      </c>
      <c r="E140">
        <v>0</v>
      </c>
      <c r="F140">
        <v>0</v>
      </c>
      <c r="G140">
        <v>0</v>
      </c>
      <c r="H140">
        <v>550</v>
      </c>
      <c r="I140">
        <f t="shared" ref="I140:I203" si="37">IF(A140&gt;A139,I139+9,I139)</f>
        <v>135</v>
      </c>
      <c r="J140" s="6">
        <f t="array" aca="1" ref="J140:N140" ca="1">TRANSPOSE(ols(OFFSET($C$2:$C$10,I140,0),OFFSET($D$2:$H$10,I140,0)))</f>
        <v>124.04761904761654</v>
      </c>
      <c r="K140" s="6">
        <f ca="1"/>
        <v>-6.0714285714284415</v>
      </c>
      <c r="L140" s="6">
        <f ca="1"/>
        <v>-0.95238095238164533</v>
      </c>
      <c r="M140" s="6">
        <f ca="1"/>
        <v>-9.52380952380895</v>
      </c>
      <c r="N140" s="6">
        <f ca="1"/>
        <v>-0.12380952380952692</v>
      </c>
      <c r="O140" s="6">
        <f t="shared" ca="1" si="29"/>
        <v>55.952380952376728</v>
      </c>
      <c r="P140" t="str">
        <f t="shared" si="30"/>
        <v>NA</v>
      </c>
      <c r="Q140" s="10">
        <f t="shared" ca="1" si="31"/>
        <v>70.238095238091518</v>
      </c>
      <c r="R140" s="10">
        <f t="shared" ca="1" si="32"/>
        <v>124.04761904761654</v>
      </c>
      <c r="S140" s="10">
        <f t="shared" ca="1" si="33"/>
        <v>-53.809523809525018</v>
      </c>
      <c r="T140" s="10">
        <f t="shared" ca="1" si="34"/>
        <v>434.61538461538345</v>
      </c>
      <c r="U140" s="10">
        <f t="shared" ca="1" si="35"/>
        <v>434.61538461538345</v>
      </c>
      <c r="V140">
        <f t="shared" si="36"/>
        <v>1</v>
      </c>
    </row>
    <row r="141" spans="1:22" x14ac:dyDescent="0.25">
      <c r="A141">
        <v>16</v>
      </c>
      <c r="B141">
        <v>5</v>
      </c>
      <c r="C141">
        <v>85</v>
      </c>
      <c r="D141">
        <v>1</v>
      </c>
      <c r="E141">
        <v>0</v>
      </c>
      <c r="F141">
        <v>1</v>
      </c>
      <c r="G141">
        <v>1</v>
      </c>
      <c r="H141">
        <v>250</v>
      </c>
      <c r="I141">
        <f t="shared" si="37"/>
        <v>135</v>
      </c>
      <c r="J141" s="6">
        <f t="array" aca="1" ref="J141:N141" ca="1">TRANSPOSE(ols(OFFSET($C$2:$C$10,I141,0),OFFSET($D$2:$H$10,I141,0)))</f>
        <v>124.04761904761654</v>
      </c>
      <c r="K141" s="6">
        <f ca="1"/>
        <v>-6.0714285714284415</v>
      </c>
      <c r="L141" s="6">
        <f ca="1"/>
        <v>-0.95238095238164533</v>
      </c>
      <c r="M141" s="6">
        <f ca="1"/>
        <v>-9.52380952380895</v>
      </c>
      <c r="N141" s="6">
        <f ca="1"/>
        <v>-0.12380952380952692</v>
      </c>
      <c r="O141" s="6">
        <f t="shared" ca="1" si="29"/>
        <v>82.61904761904421</v>
      </c>
      <c r="P141" t="str">
        <f t="shared" si="30"/>
        <v>NA</v>
      </c>
      <c r="Q141" s="10">
        <f t="shared" ca="1" si="31"/>
        <v>70.238095238091518</v>
      </c>
      <c r="R141" s="10">
        <f t="shared" ca="1" si="32"/>
        <v>113.57142857142594</v>
      </c>
      <c r="S141" s="10">
        <f t="shared" ca="1" si="33"/>
        <v>-43.333333333334423</v>
      </c>
      <c r="T141" s="10">
        <f t="shared" ca="1" si="34"/>
        <v>350</v>
      </c>
      <c r="U141" s="10">
        <f t="shared" ca="1" si="35"/>
        <v>350</v>
      </c>
      <c r="V141">
        <f t="shared" si="36"/>
        <v>6</v>
      </c>
    </row>
    <row r="142" spans="1:22" x14ac:dyDescent="0.25">
      <c r="A142">
        <v>16</v>
      </c>
      <c r="B142">
        <v>6</v>
      </c>
      <c r="C142">
        <v>75</v>
      </c>
      <c r="D142">
        <v>1</v>
      </c>
      <c r="E142">
        <v>0</v>
      </c>
      <c r="F142">
        <v>1</v>
      </c>
      <c r="G142">
        <v>1</v>
      </c>
      <c r="H142">
        <v>350</v>
      </c>
      <c r="I142">
        <f t="shared" si="37"/>
        <v>135</v>
      </c>
      <c r="J142" s="6">
        <f t="array" aca="1" ref="J142:N142" ca="1">TRANSPOSE(ols(OFFSET($C$2:$C$10,I142,0),OFFSET($D$2:$H$10,I142,0)))</f>
        <v>124.04761904761654</v>
      </c>
      <c r="K142" s="6">
        <f ca="1"/>
        <v>-6.0714285714284415</v>
      </c>
      <c r="L142" s="6">
        <f ca="1"/>
        <v>-0.95238095238164533</v>
      </c>
      <c r="M142" s="6">
        <f ca="1"/>
        <v>-9.52380952380895</v>
      </c>
      <c r="N142" s="6">
        <f ca="1"/>
        <v>-0.12380952380952692</v>
      </c>
      <c r="O142" s="6">
        <f t="shared" ca="1" si="29"/>
        <v>70.238095238091518</v>
      </c>
      <c r="P142">
        <f t="shared" ca="1" si="30"/>
        <v>70.238095238091518</v>
      </c>
      <c r="Q142" s="10">
        <f t="shared" ca="1" si="31"/>
        <v>70.238095238091518</v>
      </c>
      <c r="R142" s="10">
        <f t="shared" ca="1" si="32"/>
        <v>113.57142857142594</v>
      </c>
      <c r="S142" s="10">
        <f t="shared" ca="1" si="33"/>
        <v>-43.333333333334423</v>
      </c>
      <c r="T142" s="10">
        <f t="shared" ca="1" si="34"/>
        <v>350</v>
      </c>
      <c r="U142" s="10">
        <f t="shared" ca="1" si="35"/>
        <v>350</v>
      </c>
      <c r="V142">
        <f t="shared" si="36"/>
        <v>6</v>
      </c>
    </row>
    <row r="143" spans="1:22" x14ac:dyDescent="0.25">
      <c r="A143">
        <v>16</v>
      </c>
      <c r="B143">
        <v>7</v>
      </c>
      <c r="C143">
        <v>50</v>
      </c>
      <c r="D143">
        <v>1</v>
      </c>
      <c r="E143">
        <v>1</v>
      </c>
      <c r="F143">
        <v>0</v>
      </c>
      <c r="G143">
        <v>1</v>
      </c>
      <c r="H143">
        <v>450</v>
      </c>
      <c r="I143">
        <f t="shared" si="37"/>
        <v>135</v>
      </c>
      <c r="J143" s="6">
        <f t="array" aca="1" ref="J143:N143" ca="1">TRANSPOSE(ols(OFFSET($C$2:$C$10,I143,0),OFFSET($D$2:$H$10,I143,0)))</f>
        <v>124.04761904761654</v>
      </c>
      <c r="K143" s="6">
        <f ca="1"/>
        <v>-6.0714285714284415</v>
      </c>
      <c r="L143" s="6">
        <f ca="1"/>
        <v>-0.95238095238164533</v>
      </c>
      <c r="M143" s="6">
        <f ca="1"/>
        <v>-9.52380952380895</v>
      </c>
      <c r="N143" s="6">
        <f ca="1"/>
        <v>-0.12380952380952692</v>
      </c>
      <c r="O143" s="6">
        <f t="shared" ca="1" si="29"/>
        <v>52.738095238092029</v>
      </c>
      <c r="P143" t="str">
        <f t="shared" si="30"/>
        <v>NA</v>
      </c>
      <c r="Q143" s="10">
        <f t="shared" ca="1" si="31"/>
        <v>70.238095238091518</v>
      </c>
      <c r="R143" s="10">
        <f t="shared" ca="1" si="32"/>
        <v>108.45238095237914</v>
      </c>
      <c r="S143" s="10">
        <f t="shared" ca="1" si="33"/>
        <v>-38.214285714287627</v>
      </c>
      <c r="T143" s="10">
        <f t="shared" ca="1" si="34"/>
        <v>308.65384615385386</v>
      </c>
      <c r="U143" s="10">
        <f t="shared" ca="1" si="35"/>
        <v>308.65384615385386</v>
      </c>
      <c r="V143">
        <f t="shared" si="36"/>
        <v>5</v>
      </c>
    </row>
    <row r="144" spans="1:22" x14ac:dyDescent="0.25">
      <c r="A144">
        <v>16</v>
      </c>
      <c r="B144">
        <v>8</v>
      </c>
      <c r="C144">
        <v>40</v>
      </c>
      <c r="D144">
        <v>1</v>
      </c>
      <c r="E144">
        <v>1</v>
      </c>
      <c r="F144">
        <v>0</v>
      </c>
      <c r="G144">
        <v>1</v>
      </c>
      <c r="H144">
        <v>550</v>
      </c>
      <c r="I144">
        <f t="shared" si="37"/>
        <v>135</v>
      </c>
      <c r="J144" s="6">
        <f t="array" aca="1" ref="J144:N144" ca="1">TRANSPOSE(ols(OFFSET($C$2:$C$10,I144,0),OFFSET($D$2:$H$10,I144,0)))</f>
        <v>124.04761904761654</v>
      </c>
      <c r="K144" s="6">
        <f ca="1"/>
        <v>-6.0714285714284415</v>
      </c>
      <c r="L144" s="6">
        <f ca="1"/>
        <v>-0.95238095238164533</v>
      </c>
      <c r="M144" s="6">
        <f ca="1"/>
        <v>-9.52380952380895</v>
      </c>
      <c r="N144" s="6">
        <f ca="1"/>
        <v>-0.12380952380952692</v>
      </c>
      <c r="O144" s="6">
        <f t="shared" ca="1" si="29"/>
        <v>40.357142857139337</v>
      </c>
      <c r="P144" t="str">
        <f t="shared" si="30"/>
        <v>NA</v>
      </c>
      <c r="Q144" s="10">
        <f t="shared" ca="1" si="31"/>
        <v>70.238095238091518</v>
      </c>
      <c r="R144" s="10">
        <f t="shared" ca="1" si="32"/>
        <v>108.45238095237914</v>
      </c>
      <c r="S144" s="10">
        <f t="shared" ca="1" si="33"/>
        <v>-38.214285714287627</v>
      </c>
      <c r="T144" s="10">
        <f t="shared" ca="1" si="34"/>
        <v>308.65384615385386</v>
      </c>
      <c r="U144" s="10">
        <f t="shared" ca="1" si="35"/>
        <v>308.65384615385386</v>
      </c>
      <c r="V144">
        <f t="shared" si="36"/>
        <v>5</v>
      </c>
    </row>
    <row r="145" spans="1:22" x14ac:dyDescent="0.25">
      <c r="A145">
        <v>16</v>
      </c>
      <c r="B145">
        <v>9</v>
      </c>
      <c r="C145">
        <v>30</v>
      </c>
      <c r="D145">
        <v>1</v>
      </c>
      <c r="E145">
        <v>0</v>
      </c>
      <c r="F145">
        <v>0</v>
      </c>
      <c r="G145">
        <v>1</v>
      </c>
      <c r="H145">
        <v>650</v>
      </c>
      <c r="I145">
        <f t="shared" si="37"/>
        <v>135</v>
      </c>
      <c r="J145" s="6">
        <f t="array" aca="1" ref="J145:N145" ca="1">TRANSPOSE(ols(OFFSET($C$2:$C$10,I145,0),OFFSET($D$2:$H$10,I145,0)))</f>
        <v>124.04761904761654</v>
      </c>
      <c r="K145" s="6">
        <f ca="1"/>
        <v>-6.0714285714284415</v>
      </c>
      <c r="L145" s="6">
        <f ca="1"/>
        <v>-0.95238095238164533</v>
      </c>
      <c r="M145" s="6">
        <f ca="1"/>
        <v>-9.52380952380895</v>
      </c>
      <c r="N145" s="6">
        <f ca="1"/>
        <v>-0.12380952380952692</v>
      </c>
      <c r="O145" s="6">
        <f t="shared" ca="1" si="29"/>
        <v>34.047619047615086</v>
      </c>
      <c r="P145" t="str">
        <f t="shared" si="30"/>
        <v>NA</v>
      </c>
      <c r="Q145" s="10">
        <f t="shared" ca="1" si="31"/>
        <v>70.238095238091518</v>
      </c>
      <c r="R145" s="10">
        <f t="shared" ca="1" si="32"/>
        <v>114.52380952380759</v>
      </c>
      <c r="S145" s="10">
        <f t="shared" ca="1" si="33"/>
        <v>-44.285714285716068</v>
      </c>
      <c r="T145" s="10">
        <f t="shared" ca="1" si="34"/>
        <v>357.69230769231308</v>
      </c>
      <c r="U145" s="10">
        <f t="shared" ca="1" si="35"/>
        <v>357.69230769231308</v>
      </c>
      <c r="V145">
        <f t="shared" si="36"/>
        <v>4</v>
      </c>
    </row>
    <row r="146" spans="1:22" x14ac:dyDescent="0.25">
      <c r="A146">
        <v>17</v>
      </c>
      <c r="B146">
        <v>1</v>
      </c>
      <c r="C146">
        <v>55</v>
      </c>
      <c r="D146">
        <v>1</v>
      </c>
      <c r="E146">
        <v>0</v>
      </c>
      <c r="F146">
        <v>1</v>
      </c>
      <c r="G146">
        <v>0</v>
      </c>
      <c r="H146">
        <v>250</v>
      </c>
      <c r="I146">
        <f t="shared" si="37"/>
        <v>144</v>
      </c>
      <c r="J146" s="6">
        <f t="array" aca="1" ref="J146:N146" ca="1">TRANSPOSE(ols(OFFSET($C$2:$C$10,I146,0),OFFSET($D$2:$H$10,I146,0)))</f>
        <v>94.58333333333303</v>
      </c>
      <c r="K146" s="6">
        <f ca="1"/>
        <v>22.5</v>
      </c>
      <c r="L146" s="6">
        <f ca="1"/>
        <v>-1.6666666666665151</v>
      </c>
      <c r="M146" s="6">
        <f ca="1"/>
        <v>15.833333333333485</v>
      </c>
      <c r="N146" s="6">
        <f ca="1"/>
        <v>-0.14166666666666927</v>
      </c>
      <c r="O146" s="6">
        <f t="shared" ca="1" si="29"/>
        <v>57.499999999999197</v>
      </c>
      <c r="P146" t="str">
        <f t="shared" si="30"/>
        <v>NA</v>
      </c>
      <c r="Q146" s="10">
        <f t="shared" ca="1" si="31"/>
        <v>59.166666666665755</v>
      </c>
      <c r="R146" s="10">
        <f t="shared" ca="1" si="32"/>
        <v>92.916666666666515</v>
      </c>
      <c r="S146" s="10">
        <f t="shared" ca="1" si="33"/>
        <v>-33.75000000000076</v>
      </c>
      <c r="T146" s="10">
        <f t="shared" ca="1" si="34"/>
        <v>238.23529411764804</v>
      </c>
      <c r="U146" s="10" t="str">
        <f t="shared" ca="1" si="35"/>
        <v>OR</v>
      </c>
      <c r="V146">
        <f t="shared" si="36"/>
        <v>3</v>
      </c>
    </row>
    <row r="147" spans="1:22" x14ac:dyDescent="0.25">
      <c r="A147">
        <v>17</v>
      </c>
      <c r="B147">
        <v>2</v>
      </c>
      <c r="C147">
        <v>70</v>
      </c>
      <c r="D147">
        <v>1</v>
      </c>
      <c r="E147">
        <v>1</v>
      </c>
      <c r="F147">
        <v>0</v>
      </c>
      <c r="G147">
        <v>0</v>
      </c>
      <c r="H147">
        <v>350</v>
      </c>
      <c r="I147">
        <f t="shared" si="37"/>
        <v>144</v>
      </c>
      <c r="J147" s="6">
        <f t="array" aca="1" ref="J147:N147" ca="1">TRANSPOSE(ols(OFFSET($C$2:$C$10,I147,0),OFFSET($D$2:$H$10,I147,0)))</f>
        <v>94.58333333333303</v>
      </c>
      <c r="K147" s="6">
        <f ca="1"/>
        <v>22.5</v>
      </c>
      <c r="L147" s="6">
        <f ca="1"/>
        <v>-1.6666666666665151</v>
      </c>
      <c r="M147" s="6">
        <f ca="1"/>
        <v>15.833333333333485</v>
      </c>
      <c r="N147" s="6">
        <f ca="1"/>
        <v>-0.14166666666666927</v>
      </c>
      <c r="O147" s="6">
        <f t="shared" ca="1" si="29"/>
        <v>67.499999999998778</v>
      </c>
      <c r="P147" t="str">
        <f t="shared" si="30"/>
        <v>NA</v>
      </c>
      <c r="Q147" s="10">
        <f t="shared" ca="1" si="31"/>
        <v>59.166666666665755</v>
      </c>
      <c r="R147" s="10">
        <f t="shared" ca="1" si="32"/>
        <v>117.08333333333303</v>
      </c>
      <c r="S147" s="10">
        <f t="shared" ca="1" si="33"/>
        <v>-57.916666666667275</v>
      </c>
      <c r="T147" s="10">
        <f t="shared" ca="1" si="34"/>
        <v>408.82352941176146</v>
      </c>
      <c r="U147" s="10">
        <f t="shared" ca="1" si="35"/>
        <v>408.82352941176146</v>
      </c>
      <c r="V147">
        <f t="shared" si="36"/>
        <v>2</v>
      </c>
    </row>
    <row r="148" spans="1:22" x14ac:dyDescent="0.25">
      <c r="A148">
        <v>17</v>
      </c>
      <c r="B148">
        <v>3</v>
      </c>
      <c r="C148">
        <v>45</v>
      </c>
      <c r="D148">
        <v>1</v>
      </c>
      <c r="E148">
        <v>1</v>
      </c>
      <c r="F148">
        <v>0</v>
      </c>
      <c r="G148">
        <v>0</v>
      </c>
      <c r="H148">
        <v>450</v>
      </c>
      <c r="I148">
        <f t="shared" si="37"/>
        <v>144</v>
      </c>
      <c r="J148" s="6">
        <f t="array" aca="1" ref="J148:N148" ca="1">TRANSPOSE(ols(OFFSET($C$2:$C$10,I148,0),OFFSET($D$2:$H$10,I148,0)))</f>
        <v>94.58333333333303</v>
      </c>
      <c r="K148" s="6">
        <f ca="1"/>
        <v>22.5</v>
      </c>
      <c r="L148" s="6">
        <f ca="1"/>
        <v>-1.6666666666665151</v>
      </c>
      <c r="M148" s="6">
        <f ca="1"/>
        <v>15.833333333333485</v>
      </c>
      <c r="N148" s="6">
        <f ca="1"/>
        <v>-0.14166666666666927</v>
      </c>
      <c r="O148" s="6">
        <f t="shared" ca="1" si="29"/>
        <v>53.333333333331858</v>
      </c>
      <c r="P148" t="str">
        <f t="shared" si="30"/>
        <v>NA</v>
      </c>
      <c r="Q148" s="10">
        <f t="shared" ca="1" si="31"/>
        <v>59.166666666665755</v>
      </c>
      <c r="R148" s="10">
        <f t="shared" ca="1" si="32"/>
        <v>117.08333333333303</v>
      </c>
      <c r="S148" s="10">
        <f t="shared" ca="1" si="33"/>
        <v>-57.916666666667275</v>
      </c>
      <c r="T148" s="10">
        <f t="shared" ca="1" si="34"/>
        <v>408.82352941176146</v>
      </c>
      <c r="U148" s="10">
        <f t="shared" ca="1" si="35"/>
        <v>408.82352941176146</v>
      </c>
      <c r="V148">
        <f t="shared" si="36"/>
        <v>2</v>
      </c>
    </row>
    <row r="149" spans="1:22" x14ac:dyDescent="0.25">
      <c r="A149">
        <v>17</v>
      </c>
      <c r="B149">
        <v>4</v>
      </c>
      <c r="C149">
        <v>25</v>
      </c>
      <c r="D149">
        <v>1</v>
      </c>
      <c r="E149">
        <v>0</v>
      </c>
      <c r="F149">
        <v>0</v>
      </c>
      <c r="G149">
        <v>0</v>
      </c>
      <c r="H149">
        <v>550</v>
      </c>
      <c r="I149">
        <f t="shared" si="37"/>
        <v>144</v>
      </c>
      <c r="J149" s="6">
        <f t="array" aca="1" ref="J149:N149" ca="1">TRANSPOSE(ols(OFFSET($C$2:$C$10,I149,0),OFFSET($D$2:$H$10,I149,0)))</f>
        <v>94.58333333333303</v>
      </c>
      <c r="K149" s="6">
        <f ca="1"/>
        <v>22.5</v>
      </c>
      <c r="L149" s="6">
        <f ca="1"/>
        <v>-1.6666666666665151</v>
      </c>
      <c r="M149" s="6">
        <f ca="1"/>
        <v>15.833333333333485</v>
      </c>
      <c r="N149" s="6">
        <f ca="1"/>
        <v>-0.14166666666666927</v>
      </c>
      <c r="O149" s="6">
        <f t="shared" ca="1" si="29"/>
        <v>16.666666666664923</v>
      </c>
      <c r="P149" t="str">
        <f t="shared" si="30"/>
        <v>NA</v>
      </c>
      <c r="Q149" s="10">
        <f t="shared" ca="1" si="31"/>
        <v>59.166666666665755</v>
      </c>
      <c r="R149" s="10">
        <f t="shared" ca="1" si="32"/>
        <v>94.58333333333303</v>
      </c>
      <c r="S149" s="10">
        <f t="shared" ca="1" si="33"/>
        <v>-35.416666666667275</v>
      </c>
      <c r="T149" s="10">
        <f t="shared" ca="1" si="34"/>
        <v>249.99999999999969</v>
      </c>
      <c r="U149" s="10">
        <f t="shared" ca="1" si="35"/>
        <v>249.99999999999969</v>
      </c>
      <c r="V149">
        <f t="shared" si="36"/>
        <v>1</v>
      </c>
    </row>
    <row r="150" spans="1:22" x14ac:dyDescent="0.25">
      <c r="A150">
        <v>17</v>
      </c>
      <c r="B150">
        <v>5</v>
      </c>
      <c r="C150">
        <v>70</v>
      </c>
      <c r="D150">
        <v>1</v>
      </c>
      <c r="E150">
        <v>0</v>
      </c>
      <c r="F150">
        <v>1</v>
      </c>
      <c r="G150">
        <v>1</v>
      </c>
      <c r="H150">
        <v>250</v>
      </c>
      <c r="I150">
        <f t="shared" si="37"/>
        <v>144</v>
      </c>
      <c r="J150" s="6">
        <f t="array" aca="1" ref="J150:N150" ca="1">TRANSPOSE(ols(OFFSET($C$2:$C$10,I150,0),OFFSET($D$2:$H$10,I150,0)))</f>
        <v>94.58333333333303</v>
      </c>
      <c r="K150" s="6">
        <f ca="1"/>
        <v>22.5</v>
      </c>
      <c r="L150" s="6">
        <f ca="1"/>
        <v>-1.6666666666665151</v>
      </c>
      <c r="M150" s="6">
        <f ca="1"/>
        <v>15.833333333333485</v>
      </c>
      <c r="N150" s="6">
        <f ca="1"/>
        <v>-0.14166666666666927</v>
      </c>
      <c r="O150" s="6">
        <f t="shared" ca="1" si="29"/>
        <v>73.333333333332689</v>
      </c>
      <c r="P150" t="str">
        <f t="shared" si="30"/>
        <v>NA</v>
      </c>
      <c r="Q150" s="10">
        <f t="shared" ca="1" si="31"/>
        <v>59.166666666665755</v>
      </c>
      <c r="R150" s="10">
        <f t="shared" ca="1" si="32"/>
        <v>108.75</v>
      </c>
      <c r="S150" s="10">
        <f t="shared" ca="1" si="33"/>
        <v>-49.583333333334245</v>
      </c>
      <c r="T150" s="10">
        <f t="shared" ca="1" si="34"/>
        <v>350</v>
      </c>
      <c r="U150" s="10">
        <f t="shared" ca="1" si="35"/>
        <v>350</v>
      </c>
      <c r="V150">
        <f t="shared" si="36"/>
        <v>6</v>
      </c>
    </row>
    <row r="151" spans="1:22" x14ac:dyDescent="0.25">
      <c r="A151">
        <v>17</v>
      </c>
      <c r="B151">
        <v>6</v>
      </c>
      <c r="C151">
        <v>65</v>
      </c>
      <c r="D151">
        <v>1</v>
      </c>
      <c r="E151">
        <v>0</v>
      </c>
      <c r="F151">
        <v>1</v>
      </c>
      <c r="G151">
        <v>1</v>
      </c>
      <c r="H151">
        <v>350</v>
      </c>
      <c r="I151">
        <f t="shared" si="37"/>
        <v>144</v>
      </c>
      <c r="J151" s="6">
        <f t="array" aca="1" ref="J151:N151" ca="1">TRANSPOSE(ols(OFFSET($C$2:$C$10,I151,0),OFFSET($D$2:$H$10,I151,0)))</f>
        <v>94.58333333333303</v>
      </c>
      <c r="K151" s="6">
        <f ca="1"/>
        <v>22.5</v>
      </c>
      <c r="L151" s="6">
        <f ca="1"/>
        <v>-1.6666666666665151</v>
      </c>
      <c r="M151" s="6">
        <f ca="1"/>
        <v>15.833333333333485</v>
      </c>
      <c r="N151" s="6">
        <f ca="1"/>
        <v>-0.14166666666666927</v>
      </c>
      <c r="O151" s="6">
        <f t="shared" ca="1" si="29"/>
        <v>59.166666666665755</v>
      </c>
      <c r="P151">
        <f t="shared" ca="1" si="30"/>
        <v>59.166666666665755</v>
      </c>
      <c r="Q151" s="10">
        <f t="shared" ca="1" si="31"/>
        <v>59.166666666665755</v>
      </c>
      <c r="R151" s="10">
        <f t="shared" ca="1" si="32"/>
        <v>108.75</v>
      </c>
      <c r="S151" s="10">
        <f t="shared" ca="1" si="33"/>
        <v>-49.583333333334245</v>
      </c>
      <c r="T151" s="10">
        <f t="shared" ca="1" si="34"/>
        <v>350</v>
      </c>
      <c r="U151" s="10">
        <f t="shared" ca="1" si="35"/>
        <v>350</v>
      </c>
      <c r="V151">
        <f t="shared" si="36"/>
        <v>6</v>
      </c>
    </row>
    <row r="152" spans="1:22" x14ac:dyDescent="0.25">
      <c r="A152">
        <v>17</v>
      </c>
      <c r="B152">
        <v>7</v>
      </c>
      <c r="C152">
        <v>70</v>
      </c>
      <c r="D152">
        <v>1</v>
      </c>
      <c r="E152">
        <v>1</v>
      </c>
      <c r="F152">
        <v>0</v>
      </c>
      <c r="G152">
        <v>1</v>
      </c>
      <c r="H152">
        <v>450</v>
      </c>
      <c r="I152">
        <f t="shared" si="37"/>
        <v>144</v>
      </c>
      <c r="J152" s="6">
        <f t="array" aca="1" ref="J152:N152" ca="1">TRANSPOSE(ols(OFFSET($C$2:$C$10,I152,0),OFFSET($D$2:$H$10,I152,0)))</f>
        <v>94.58333333333303</v>
      </c>
      <c r="K152" s="6">
        <f ca="1"/>
        <v>22.5</v>
      </c>
      <c r="L152" s="6">
        <f ca="1"/>
        <v>-1.6666666666665151</v>
      </c>
      <c r="M152" s="6">
        <f ca="1"/>
        <v>15.833333333333485</v>
      </c>
      <c r="N152" s="6">
        <f ca="1"/>
        <v>-0.14166666666666927</v>
      </c>
      <c r="O152" s="6">
        <f t="shared" ca="1" si="29"/>
        <v>69.16666666666535</v>
      </c>
      <c r="P152" t="str">
        <f t="shared" si="30"/>
        <v>NA</v>
      </c>
      <c r="Q152" s="10">
        <f t="shared" ca="1" si="31"/>
        <v>59.166666666665755</v>
      </c>
      <c r="R152" s="10">
        <f t="shared" ca="1" si="32"/>
        <v>132.91666666666652</v>
      </c>
      <c r="S152" s="10">
        <f t="shared" ca="1" si="33"/>
        <v>-73.750000000000767</v>
      </c>
      <c r="T152" s="10">
        <f t="shared" ca="1" si="34"/>
        <v>520.58823529411347</v>
      </c>
      <c r="U152" s="10">
        <f t="shared" ca="1" si="35"/>
        <v>520.58823529411347</v>
      </c>
      <c r="V152">
        <f t="shared" si="36"/>
        <v>5</v>
      </c>
    </row>
    <row r="153" spans="1:22" x14ac:dyDescent="0.25">
      <c r="A153">
        <v>17</v>
      </c>
      <c r="B153">
        <v>8</v>
      </c>
      <c r="C153">
        <v>60</v>
      </c>
      <c r="D153">
        <v>1</v>
      </c>
      <c r="E153">
        <v>1</v>
      </c>
      <c r="F153">
        <v>0</v>
      </c>
      <c r="G153">
        <v>1</v>
      </c>
      <c r="H153">
        <v>550</v>
      </c>
      <c r="I153">
        <f t="shared" si="37"/>
        <v>144</v>
      </c>
      <c r="J153" s="6">
        <f t="array" aca="1" ref="J153:N153" ca="1">TRANSPOSE(ols(OFFSET($C$2:$C$10,I153,0),OFFSET($D$2:$H$10,I153,0)))</f>
        <v>94.58333333333303</v>
      </c>
      <c r="K153" s="6">
        <f ca="1"/>
        <v>22.5</v>
      </c>
      <c r="L153" s="6">
        <f ca="1"/>
        <v>-1.6666666666665151</v>
      </c>
      <c r="M153" s="6">
        <f ca="1"/>
        <v>15.833333333333485</v>
      </c>
      <c r="N153" s="6">
        <f ca="1"/>
        <v>-0.14166666666666927</v>
      </c>
      <c r="O153" s="6">
        <f t="shared" ca="1" si="29"/>
        <v>54.999999999998408</v>
      </c>
      <c r="P153" t="str">
        <f t="shared" si="30"/>
        <v>NA</v>
      </c>
      <c r="Q153" s="10">
        <f t="shared" ca="1" si="31"/>
        <v>59.166666666665755</v>
      </c>
      <c r="R153" s="10">
        <f t="shared" ca="1" si="32"/>
        <v>132.91666666666652</v>
      </c>
      <c r="S153" s="10">
        <f t="shared" ca="1" si="33"/>
        <v>-73.750000000000767</v>
      </c>
      <c r="T153" s="10">
        <f t="shared" ca="1" si="34"/>
        <v>520.58823529411347</v>
      </c>
      <c r="U153" s="10">
        <f t="shared" ca="1" si="35"/>
        <v>520.58823529411347</v>
      </c>
      <c r="V153">
        <f t="shared" si="36"/>
        <v>5</v>
      </c>
    </row>
    <row r="154" spans="1:22" x14ac:dyDescent="0.25">
      <c r="A154">
        <v>17</v>
      </c>
      <c r="B154">
        <v>9</v>
      </c>
      <c r="C154">
        <v>10</v>
      </c>
      <c r="D154">
        <v>1</v>
      </c>
      <c r="E154">
        <v>0</v>
      </c>
      <c r="F154">
        <v>0</v>
      </c>
      <c r="G154">
        <v>1</v>
      </c>
      <c r="H154">
        <v>650</v>
      </c>
      <c r="I154">
        <f t="shared" si="37"/>
        <v>144</v>
      </c>
      <c r="J154" s="6">
        <f t="array" aca="1" ref="J154:N154" ca="1">TRANSPOSE(ols(OFFSET($C$2:$C$10,I154,0),OFFSET($D$2:$H$10,I154,0)))</f>
        <v>94.58333333333303</v>
      </c>
      <c r="K154" s="6">
        <f ca="1"/>
        <v>22.5</v>
      </c>
      <c r="L154" s="6">
        <f ca="1"/>
        <v>-1.6666666666665151</v>
      </c>
      <c r="M154" s="6">
        <f ca="1"/>
        <v>15.833333333333485</v>
      </c>
      <c r="N154" s="6">
        <f ca="1"/>
        <v>-0.14166666666666927</v>
      </c>
      <c r="O154" s="6">
        <f t="shared" ca="1" si="29"/>
        <v>18.333333333331495</v>
      </c>
      <c r="P154" t="str">
        <f t="shared" si="30"/>
        <v>NA</v>
      </c>
      <c r="Q154" s="10">
        <f t="shared" ca="1" si="31"/>
        <v>59.166666666665755</v>
      </c>
      <c r="R154" s="10">
        <f t="shared" ca="1" si="32"/>
        <v>110.41666666666652</v>
      </c>
      <c r="S154" s="10">
        <f t="shared" ca="1" si="33"/>
        <v>-51.25000000000076</v>
      </c>
      <c r="T154" s="10">
        <f t="shared" ca="1" si="34"/>
        <v>361.76470588235168</v>
      </c>
      <c r="U154" s="10">
        <f t="shared" ca="1" si="35"/>
        <v>361.76470588235168</v>
      </c>
      <c r="V154">
        <f t="shared" si="36"/>
        <v>4</v>
      </c>
    </row>
    <row r="155" spans="1:22" x14ac:dyDescent="0.25">
      <c r="A155">
        <v>18</v>
      </c>
      <c r="B155">
        <v>1</v>
      </c>
      <c r="C155">
        <v>80</v>
      </c>
      <c r="D155">
        <v>1</v>
      </c>
      <c r="E155">
        <v>0</v>
      </c>
      <c r="F155">
        <v>1</v>
      </c>
      <c r="G155">
        <v>0</v>
      </c>
      <c r="H155">
        <v>250</v>
      </c>
      <c r="I155">
        <f t="shared" si="37"/>
        <v>153</v>
      </c>
      <c r="J155" s="6">
        <f t="array" aca="1" ref="J155:N155" ca="1">TRANSPOSE(ols(OFFSET($C$2:$C$10,I155,0),OFFSET($D$2:$H$10,I155,0)))</f>
        <v>89.583333333332121</v>
      </c>
      <c r="K155" s="6">
        <f ca="1"/>
        <v>5.0000000000004547</v>
      </c>
      <c r="L155" s="6">
        <f ca="1"/>
        <v>-1.6666666666669698</v>
      </c>
      <c r="M155" s="6">
        <f ca="1"/>
        <v>-4.1666666666662877</v>
      </c>
      <c r="N155" s="6">
        <f ca="1"/>
        <v>-4.1666666666667851E-2</v>
      </c>
      <c r="O155" s="6">
        <f t="shared" ca="1" si="29"/>
        <v>77.499999999998181</v>
      </c>
      <c r="P155" t="str">
        <f t="shared" si="30"/>
        <v>NA</v>
      </c>
      <c r="Q155" s="10">
        <f t="shared" ca="1" si="31"/>
        <v>69.166666666665122</v>
      </c>
      <c r="R155" s="10">
        <f t="shared" ca="1" si="32"/>
        <v>87.916666666665151</v>
      </c>
      <c r="S155" s="10">
        <f t="shared" ca="1" si="33"/>
        <v>-18.750000000000028</v>
      </c>
      <c r="T155" s="10">
        <f t="shared" ca="1" si="34"/>
        <v>449.99999999998789</v>
      </c>
      <c r="U155" s="10">
        <f t="shared" ca="1" si="35"/>
        <v>449.99999999998789</v>
      </c>
      <c r="V155">
        <f t="shared" si="36"/>
        <v>3</v>
      </c>
    </row>
    <row r="156" spans="1:22" x14ac:dyDescent="0.25">
      <c r="A156">
        <v>18</v>
      </c>
      <c r="B156">
        <v>2</v>
      </c>
      <c r="C156">
        <v>75</v>
      </c>
      <c r="D156">
        <v>1</v>
      </c>
      <c r="E156">
        <v>1</v>
      </c>
      <c r="F156">
        <v>0</v>
      </c>
      <c r="G156">
        <v>0</v>
      </c>
      <c r="H156">
        <v>350</v>
      </c>
      <c r="I156">
        <f t="shared" si="37"/>
        <v>153</v>
      </c>
      <c r="J156" s="6">
        <f t="array" aca="1" ref="J156:N156" ca="1">TRANSPOSE(ols(OFFSET($C$2:$C$10,I156,0),OFFSET($D$2:$H$10,I156,0)))</f>
        <v>89.583333333332121</v>
      </c>
      <c r="K156" s="6">
        <f ca="1"/>
        <v>5.0000000000004547</v>
      </c>
      <c r="L156" s="6">
        <f ca="1"/>
        <v>-1.6666666666669698</v>
      </c>
      <c r="M156" s="6">
        <f ca="1"/>
        <v>-4.1666666666662877</v>
      </c>
      <c r="N156" s="6">
        <f ca="1"/>
        <v>-4.1666666666667851E-2</v>
      </c>
      <c r="O156" s="6">
        <f t="shared" ca="1" si="29"/>
        <v>79.999999999998835</v>
      </c>
      <c r="P156" t="str">
        <f t="shared" si="30"/>
        <v>NA</v>
      </c>
      <c r="Q156" s="10">
        <f t="shared" ca="1" si="31"/>
        <v>69.166666666665122</v>
      </c>
      <c r="R156" s="10">
        <f t="shared" ca="1" si="32"/>
        <v>94.583333333332575</v>
      </c>
      <c r="S156" s="10">
        <f t="shared" ca="1" si="33"/>
        <v>-25.416666666667453</v>
      </c>
      <c r="T156" s="10">
        <f t="shared" ca="1" si="34"/>
        <v>610.00000000000159</v>
      </c>
      <c r="U156" s="10">
        <f t="shared" ca="1" si="35"/>
        <v>610.00000000000159</v>
      </c>
      <c r="V156">
        <f t="shared" si="36"/>
        <v>2</v>
      </c>
    </row>
    <row r="157" spans="1:22" x14ac:dyDescent="0.25">
      <c r="A157">
        <v>18</v>
      </c>
      <c r="B157">
        <v>3</v>
      </c>
      <c r="C157">
        <v>75</v>
      </c>
      <c r="D157">
        <v>1</v>
      </c>
      <c r="E157">
        <v>1</v>
      </c>
      <c r="F157">
        <v>0</v>
      </c>
      <c r="G157">
        <v>0</v>
      </c>
      <c r="H157">
        <v>450</v>
      </c>
      <c r="I157">
        <f t="shared" si="37"/>
        <v>153</v>
      </c>
      <c r="J157" s="6">
        <f t="array" aca="1" ref="J157:N157" ca="1">TRANSPOSE(ols(OFFSET($C$2:$C$10,I157,0),OFFSET($D$2:$H$10,I157,0)))</f>
        <v>89.583333333332121</v>
      </c>
      <c r="K157" s="6">
        <f ca="1"/>
        <v>5.0000000000004547</v>
      </c>
      <c r="L157" s="6">
        <f ca="1"/>
        <v>-1.6666666666669698</v>
      </c>
      <c r="M157" s="6">
        <f ca="1"/>
        <v>-4.1666666666662877</v>
      </c>
      <c r="N157" s="6">
        <f ca="1"/>
        <v>-4.1666666666667851E-2</v>
      </c>
      <c r="O157" s="6">
        <f t="shared" ca="1" si="29"/>
        <v>75.833333333332035</v>
      </c>
      <c r="P157" t="str">
        <f t="shared" si="30"/>
        <v>NA</v>
      </c>
      <c r="Q157" s="10">
        <f t="shared" ca="1" si="31"/>
        <v>69.166666666665122</v>
      </c>
      <c r="R157" s="10">
        <f t="shared" ca="1" si="32"/>
        <v>94.583333333332575</v>
      </c>
      <c r="S157" s="10">
        <f t="shared" ca="1" si="33"/>
        <v>-25.416666666667453</v>
      </c>
      <c r="T157" s="10">
        <f t="shared" ca="1" si="34"/>
        <v>610.00000000000159</v>
      </c>
      <c r="U157" s="10">
        <f t="shared" ca="1" si="35"/>
        <v>610.00000000000159</v>
      </c>
      <c r="V157">
        <f t="shared" si="36"/>
        <v>2</v>
      </c>
    </row>
    <row r="158" spans="1:22" x14ac:dyDescent="0.25">
      <c r="A158">
        <v>18</v>
      </c>
      <c r="B158">
        <v>4</v>
      </c>
      <c r="C158">
        <v>70</v>
      </c>
      <c r="D158">
        <v>1</v>
      </c>
      <c r="E158">
        <v>0</v>
      </c>
      <c r="F158">
        <v>0</v>
      </c>
      <c r="G158">
        <v>0</v>
      </c>
      <c r="H158">
        <v>550</v>
      </c>
      <c r="I158">
        <f t="shared" si="37"/>
        <v>153</v>
      </c>
      <c r="J158" s="6">
        <f t="array" aca="1" ref="J158:N158" ca="1">TRANSPOSE(ols(OFFSET($C$2:$C$10,I158,0),OFFSET($D$2:$H$10,I158,0)))</f>
        <v>89.583333333332121</v>
      </c>
      <c r="K158" s="6">
        <f ca="1"/>
        <v>5.0000000000004547</v>
      </c>
      <c r="L158" s="6">
        <f ca="1"/>
        <v>-1.6666666666669698</v>
      </c>
      <c r="M158" s="6">
        <f ca="1"/>
        <v>-4.1666666666662877</v>
      </c>
      <c r="N158" s="6">
        <f ca="1"/>
        <v>-4.1666666666667851E-2</v>
      </c>
      <c r="O158" s="6">
        <f t="shared" ca="1" si="29"/>
        <v>66.66666666666481</v>
      </c>
      <c r="P158" t="str">
        <f t="shared" si="30"/>
        <v>NA</v>
      </c>
      <c r="Q158" s="10">
        <f t="shared" ca="1" si="31"/>
        <v>69.166666666665122</v>
      </c>
      <c r="R158" s="10">
        <f t="shared" ca="1" si="32"/>
        <v>89.583333333332121</v>
      </c>
      <c r="S158" s="10">
        <f t="shared" ca="1" si="33"/>
        <v>-20.416666666666998</v>
      </c>
      <c r="T158" s="10">
        <f t="shared" ca="1" si="34"/>
        <v>489.99999999999403</v>
      </c>
      <c r="U158" s="10">
        <f t="shared" ca="1" si="35"/>
        <v>489.99999999999403</v>
      </c>
      <c r="V158">
        <f t="shared" si="36"/>
        <v>1</v>
      </c>
    </row>
    <row r="159" spans="1:22" x14ac:dyDescent="0.25">
      <c r="A159">
        <v>18</v>
      </c>
      <c r="B159">
        <v>5</v>
      </c>
      <c r="C159">
        <v>75</v>
      </c>
      <c r="D159">
        <v>1</v>
      </c>
      <c r="E159">
        <v>0</v>
      </c>
      <c r="F159">
        <v>1</v>
      </c>
      <c r="G159">
        <v>1</v>
      </c>
      <c r="H159">
        <v>250</v>
      </c>
      <c r="I159">
        <f t="shared" si="37"/>
        <v>153</v>
      </c>
      <c r="J159" s="6">
        <f t="array" aca="1" ref="J159:N159" ca="1">TRANSPOSE(ols(OFFSET($C$2:$C$10,I159,0),OFFSET($D$2:$H$10,I159,0)))</f>
        <v>89.583333333332121</v>
      </c>
      <c r="K159" s="6">
        <f ca="1"/>
        <v>5.0000000000004547</v>
      </c>
      <c r="L159" s="6">
        <f ca="1"/>
        <v>-1.6666666666669698</v>
      </c>
      <c r="M159" s="6">
        <f ca="1"/>
        <v>-4.1666666666662877</v>
      </c>
      <c r="N159" s="6">
        <f ca="1"/>
        <v>-4.1666666666667851E-2</v>
      </c>
      <c r="O159" s="6">
        <f t="shared" ca="1" si="29"/>
        <v>73.333333333331893</v>
      </c>
      <c r="P159" t="str">
        <f t="shared" si="30"/>
        <v>NA</v>
      </c>
      <c r="Q159" s="10">
        <f t="shared" ca="1" si="31"/>
        <v>69.166666666665122</v>
      </c>
      <c r="R159" s="10">
        <f t="shared" ca="1" si="32"/>
        <v>83.749999999998863</v>
      </c>
      <c r="S159" s="10">
        <f t="shared" ca="1" si="33"/>
        <v>-14.583333333333741</v>
      </c>
      <c r="T159" s="10">
        <f t="shared" ca="1" si="34"/>
        <v>349.99999999999983</v>
      </c>
      <c r="U159" s="10">
        <f t="shared" ca="1" si="35"/>
        <v>349.99999999999983</v>
      </c>
      <c r="V159">
        <f t="shared" si="36"/>
        <v>6</v>
      </c>
    </row>
    <row r="160" spans="1:22" x14ac:dyDescent="0.25">
      <c r="A160">
        <v>18</v>
      </c>
      <c r="B160">
        <v>6</v>
      </c>
      <c r="C160">
        <v>65</v>
      </c>
      <c r="D160">
        <v>1</v>
      </c>
      <c r="E160">
        <v>0</v>
      </c>
      <c r="F160">
        <v>1</v>
      </c>
      <c r="G160">
        <v>1</v>
      </c>
      <c r="H160">
        <v>350</v>
      </c>
      <c r="I160">
        <f t="shared" si="37"/>
        <v>153</v>
      </c>
      <c r="J160" s="6">
        <f t="array" aca="1" ref="J160:N160" ca="1">TRANSPOSE(ols(OFFSET($C$2:$C$10,I160,0),OFFSET($D$2:$H$10,I160,0)))</f>
        <v>89.583333333332121</v>
      </c>
      <c r="K160" s="6">
        <f ca="1"/>
        <v>5.0000000000004547</v>
      </c>
      <c r="L160" s="6">
        <f ca="1"/>
        <v>-1.6666666666669698</v>
      </c>
      <c r="M160" s="6">
        <f ca="1"/>
        <v>-4.1666666666662877</v>
      </c>
      <c r="N160" s="6">
        <f ca="1"/>
        <v>-4.1666666666667851E-2</v>
      </c>
      <c r="O160" s="6">
        <f t="shared" ca="1" si="29"/>
        <v>69.166666666665122</v>
      </c>
      <c r="P160">
        <f t="shared" ca="1" si="30"/>
        <v>69.166666666665122</v>
      </c>
      <c r="Q160" s="10">
        <f t="shared" ca="1" si="31"/>
        <v>69.166666666665122</v>
      </c>
      <c r="R160" s="10">
        <f t="shared" ca="1" si="32"/>
        <v>83.749999999998863</v>
      </c>
      <c r="S160" s="10">
        <f t="shared" ca="1" si="33"/>
        <v>-14.583333333333741</v>
      </c>
      <c r="T160" s="10">
        <f t="shared" ca="1" si="34"/>
        <v>349.99999999999983</v>
      </c>
      <c r="U160" s="10">
        <f t="shared" ca="1" si="35"/>
        <v>349.99999999999983</v>
      </c>
      <c r="V160">
        <f t="shared" si="36"/>
        <v>6</v>
      </c>
    </row>
    <row r="161" spans="1:22" x14ac:dyDescent="0.25">
      <c r="A161">
        <v>18</v>
      </c>
      <c r="B161">
        <v>7</v>
      </c>
      <c r="C161">
        <v>75</v>
      </c>
      <c r="D161">
        <v>1</v>
      </c>
      <c r="E161">
        <v>1</v>
      </c>
      <c r="F161">
        <v>0</v>
      </c>
      <c r="G161">
        <v>1</v>
      </c>
      <c r="H161">
        <v>450</v>
      </c>
      <c r="I161">
        <f t="shared" si="37"/>
        <v>153</v>
      </c>
      <c r="J161" s="6">
        <f t="array" aca="1" ref="J161:N161" ca="1">TRANSPOSE(ols(OFFSET($C$2:$C$10,I161,0),OFFSET($D$2:$H$10,I161,0)))</f>
        <v>89.583333333332121</v>
      </c>
      <c r="K161" s="6">
        <f ca="1"/>
        <v>5.0000000000004547</v>
      </c>
      <c r="L161" s="6">
        <f ca="1"/>
        <v>-1.6666666666669698</v>
      </c>
      <c r="M161" s="6">
        <f ca="1"/>
        <v>-4.1666666666662877</v>
      </c>
      <c r="N161" s="6">
        <f ca="1"/>
        <v>-4.1666666666667851E-2</v>
      </c>
      <c r="O161" s="6">
        <f t="shared" ca="1" si="29"/>
        <v>71.666666666665748</v>
      </c>
      <c r="P161" t="str">
        <f t="shared" si="30"/>
        <v>NA</v>
      </c>
      <c r="Q161" s="10">
        <f t="shared" ca="1" si="31"/>
        <v>69.166666666665122</v>
      </c>
      <c r="R161" s="10">
        <f t="shared" ca="1" si="32"/>
        <v>90.416666666666288</v>
      </c>
      <c r="S161" s="10">
        <f t="shared" ca="1" si="33"/>
        <v>-21.250000000001165</v>
      </c>
      <c r="T161" s="10">
        <f t="shared" ca="1" si="34"/>
        <v>510.00000000001347</v>
      </c>
      <c r="U161" s="10">
        <f t="shared" ca="1" si="35"/>
        <v>510.00000000001347</v>
      </c>
      <c r="V161">
        <f t="shared" si="36"/>
        <v>5</v>
      </c>
    </row>
    <row r="162" spans="1:22" x14ac:dyDescent="0.25">
      <c r="A162">
        <v>18</v>
      </c>
      <c r="B162">
        <v>8</v>
      </c>
      <c r="C162">
        <v>70</v>
      </c>
      <c r="D162">
        <v>1</v>
      </c>
      <c r="E162">
        <v>1</v>
      </c>
      <c r="F162">
        <v>0</v>
      </c>
      <c r="G162">
        <v>1</v>
      </c>
      <c r="H162">
        <v>550</v>
      </c>
      <c r="I162">
        <f t="shared" si="37"/>
        <v>153</v>
      </c>
      <c r="J162" s="6">
        <f t="array" aca="1" ref="J162:N162" ca="1">TRANSPOSE(ols(OFFSET($C$2:$C$10,I162,0),OFFSET($D$2:$H$10,I162,0)))</f>
        <v>89.583333333332121</v>
      </c>
      <c r="K162" s="6">
        <f ca="1"/>
        <v>5.0000000000004547</v>
      </c>
      <c r="L162" s="6">
        <f ca="1"/>
        <v>-1.6666666666669698</v>
      </c>
      <c r="M162" s="6">
        <f ca="1"/>
        <v>-4.1666666666662877</v>
      </c>
      <c r="N162" s="6">
        <f ca="1"/>
        <v>-4.1666666666667851E-2</v>
      </c>
      <c r="O162" s="6">
        <f t="shared" ca="1" si="29"/>
        <v>67.499999999998977</v>
      </c>
      <c r="P162" t="str">
        <f t="shared" si="30"/>
        <v>NA</v>
      </c>
      <c r="Q162" s="10">
        <f t="shared" ca="1" si="31"/>
        <v>69.166666666665122</v>
      </c>
      <c r="R162" s="10">
        <f t="shared" ca="1" si="32"/>
        <v>90.416666666666288</v>
      </c>
      <c r="S162" s="10">
        <f t="shared" ca="1" si="33"/>
        <v>-21.250000000001165</v>
      </c>
      <c r="T162" s="10">
        <f t="shared" ca="1" si="34"/>
        <v>510.00000000001347</v>
      </c>
      <c r="U162" s="10">
        <f t="shared" ca="1" si="35"/>
        <v>510.00000000001347</v>
      </c>
      <c r="V162">
        <f t="shared" si="36"/>
        <v>5</v>
      </c>
    </row>
    <row r="163" spans="1:22" x14ac:dyDescent="0.25">
      <c r="A163">
        <v>18</v>
      </c>
      <c r="B163">
        <v>9</v>
      </c>
      <c r="C163">
        <v>55</v>
      </c>
      <c r="D163">
        <v>1</v>
      </c>
      <c r="E163">
        <v>0</v>
      </c>
      <c r="F163">
        <v>0</v>
      </c>
      <c r="G163">
        <v>1</v>
      </c>
      <c r="H163">
        <v>650</v>
      </c>
      <c r="I163">
        <f t="shared" si="37"/>
        <v>153</v>
      </c>
      <c r="J163" s="6">
        <f t="array" aca="1" ref="J163:N163" ca="1">TRANSPOSE(ols(OFFSET($C$2:$C$10,I163,0),OFFSET($D$2:$H$10,I163,0)))</f>
        <v>89.583333333332121</v>
      </c>
      <c r="K163" s="6">
        <f ca="1"/>
        <v>5.0000000000004547</v>
      </c>
      <c r="L163" s="6">
        <f ca="1"/>
        <v>-1.6666666666669698</v>
      </c>
      <c r="M163" s="6">
        <f ca="1"/>
        <v>-4.1666666666662877</v>
      </c>
      <c r="N163" s="6">
        <f ca="1"/>
        <v>-4.1666666666667851E-2</v>
      </c>
      <c r="O163" s="6">
        <f t="shared" ca="1" si="29"/>
        <v>58.33333333333173</v>
      </c>
      <c r="P163" t="str">
        <f t="shared" si="30"/>
        <v>NA</v>
      </c>
      <c r="Q163" s="10">
        <f t="shared" ca="1" si="31"/>
        <v>69.166666666665122</v>
      </c>
      <c r="R163" s="10">
        <f t="shared" ca="1" si="32"/>
        <v>85.416666666665833</v>
      </c>
      <c r="S163" s="10">
        <f t="shared" ca="1" si="33"/>
        <v>-16.250000000000711</v>
      </c>
      <c r="T163" s="10">
        <f t="shared" ca="1" si="34"/>
        <v>390.00000000000597</v>
      </c>
      <c r="U163" s="10">
        <f t="shared" ca="1" si="35"/>
        <v>390.00000000000597</v>
      </c>
      <c r="V163">
        <f t="shared" si="36"/>
        <v>4</v>
      </c>
    </row>
    <row r="164" spans="1:22" x14ac:dyDescent="0.25">
      <c r="A164">
        <v>19</v>
      </c>
      <c r="B164">
        <v>1</v>
      </c>
      <c r="C164">
        <v>65</v>
      </c>
      <c r="D164">
        <v>1</v>
      </c>
      <c r="E164">
        <v>0</v>
      </c>
      <c r="F164">
        <v>1</v>
      </c>
      <c r="G164">
        <v>0</v>
      </c>
      <c r="H164">
        <v>250</v>
      </c>
      <c r="I164">
        <f t="shared" si="37"/>
        <v>162</v>
      </c>
      <c r="J164" s="6">
        <f t="array" aca="1" ref="J164:N164" ca="1">TRANSPOSE(ols(OFFSET($C$2:$C$10,I164,0),OFFSET($D$2:$H$10,I164,0)))</f>
        <v>123.45238095237983</v>
      </c>
      <c r="K164" s="6">
        <f ca="1"/>
        <v>-8.9285714285711038</v>
      </c>
      <c r="L164" s="6">
        <f ca="1"/>
        <v>-24.047619047618355</v>
      </c>
      <c r="M164" s="6">
        <f ca="1"/>
        <v>17.023809523809632</v>
      </c>
      <c r="N164" s="6">
        <f ca="1"/>
        <v>-0.12619047619048018</v>
      </c>
      <c r="O164" s="6">
        <f t="shared" ca="1" si="29"/>
        <v>67.857142857141426</v>
      </c>
      <c r="P164" t="str">
        <f t="shared" si="30"/>
        <v>NA</v>
      </c>
      <c r="Q164" s="10">
        <f t="shared" ca="1" si="31"/>
        <v>72.26190476190304</v>
      </c>
      <c r="R164" s="10">
        <f t="shared" ca="1" si="32"/>
        <v>99.404761904761472</v>
      </c>
      <c r="S164" s="10">
        <f t="shared" ca="1" si="33"/>
        <v>-27.142857142858432</v>
      </c>
      <c r="T164" s="10">
        <f t="shared" ca="1" si="34"/>
        <v>215.09433962264492</v>
      </c>
      <c r="U164" s="10" t="str">
        <f t="shared" ca="1" si="35"/>
        <v>OR</v>
      </c>
      <c r="V164">
        <f t="shared" si="36"/>
        <v>3</v>
      </c>
    </row>
    <row r="165" spans="1:22" x14ac:dyDescent="0.25">
      <c r="A165">
        <v>19</v>
      </c>
      <c r="B165">
        <v>2</v>
      </c>
      <c r="C165">
        <v>75</v>
      </c>
      <c r="D165">
        <v>1</v>
      </c>
      <c r="E165">
        <v>1</v>
      </c>
      <c r="F165">
        <v>0</v>
      </c>
      <c r="G165">
        <v>0</v>
      </c>
      <c r="H165">
        <v>350</v>
      </c>
      <c r="I165">
        <f t="shared" si="37"/>
        <v>162</v>
      </c>
      <c r="J165" s="6">
        <f t="array" aca="1" ref="J165:N165" ca="1">TRANSPOSE(ols(OFFSET($C$2:$C$10,I165,0),OFFSET($D$2:$H$10,I165,0)))</f>
        <v>123.45238095237983</v>
      </c>
      <c r="K165" s="6">
        <f ca="1"/>
        <v>-8.9285714285711038</v>
      </c>
      <c r="L165" s="6">
        <f ca="1"/>
        <v>-24.047619047618355</v>
      </c>
      <c r="M165" s="6">
        <f ca="1"/>
        <v>17.023809523809632</v>
      </c>
      <c r="N165" s="6">
        <f ca="1"/>
        <v>-0.12619047619048018</v>
      </c>
      <c r="O165" s="6">
        <f t="shared" ca="1" si="29"/>
        <v>70.357142857140659</v>
      </c>
      <c r="P165" t="str">
        <f t="shared" si="30"/>
        <v>NA</v>
      </c>
      <c r="Q165" s="10">
        <f t="shared" ca="1" si="31"/>
        <v>72.26190476190304</v>
      </c>
      <c r="R165" s="10">
        <f t="shared" ca="1" si="32"/>
        <v>114.52380952380872</v>
      </c>
      <c r="S165" s="10">
        <f t="shared" ca="1" si="33"/>
        <v>-42.261904761905683</v>
      </c>
      <c r="T165" s="10">
        <f t="shared" ca="1" si="34"/>
        <v>334.90566037735522</v>
      </c>
      <c r="U165" s="10">
        <f t="shared" ca="1" si="35"/>
        <v>334.90566037735522</v>
      </c>
      <c r="V165">
        <f t="shared" si="36"/>
        <v>2</v>
      </c>
    </row>
    <row r="166" spans="1:22" x14ac:dyDescent="0.25">
      <c r="A166">
        <v>19</v>
      </c>
      <c r="B166">
        <v>3</v>
      </c>
      <c r="C166">
        <v>55</v>
      </c>
      <c r="D166">
        <v>1</v>
      </c>
      <c r="E166">
        <v>1</v>
      </c>
      <c r="F166">
        <v>0</v>
      </c>
      <c r="G166">
        <v>0</v>
      </c>
      <c r="H166">
        <v>450</v>
      </c>
      <c r="I166">
        <f t="shared" si="37"/>
        <v>162</v>
      </c>
      <c r="J166" s="6">
        <f t="array" aca="1" ref="J166:N166" ca="1">TRANSPOSE(ols(OFFSET($C$2:$C$10,I166,0),OFFSET($D$2:$H$10,I166,0)))</f>
        <v>123.45238095237983</v>
      </c>
      <c r="K166" s="6">
        <f ca="1"/>
        <v>-8.9285714285711038</v>
      </c>
      <c r="L166" s="6">
        <f ca="1"/>
        <v>-24.047619047618355</v>
      </c>
      <c r="M166" s="6">
        <f ca="1"/>
        <v>17.023809523809632</v>
      </c>
      <c r="N166" s="6">
        <f ca="1"/>
        <v>-0.12619047619048018</v>
      </c>
      <c r="O166" s="6">
        <f t="shared" ca="1" si="29"/>
        <v>57.73809523809264</v>
      </c>
      <c r="P166" t="str">
        <f t="shared" si="30"/>
        <v>NA</v>
      </c>
      <c r="Q166" s="10">
        <f t="shared" ca="1" si="31"/>
        <v>72.26190476190304</v>
      </c>
      <c r="R166" s="10">
        <f t="shared" ca="1" si="32"/>
        <v>114.52380952380872</v>
      </c>
      <c r="S166" s="10">
        <f t="shared" ca="1" si="33"/>
        <v>-42.261904761905683</v>
      </c>
      <c r="T166" s="10">
        <f t="shared" ca="1" si="34"/>
        <v>334.90566037735522</v>
      </c>
      <c r="U166" s="10">
        <f t="shared" ca="1" si="35"/>
        <v>334.90566037735522</v>
      </c>
      <c r="V166">
        <f t="shared" si="36"/>
        <v>2</v>
      </c>
    </row>
    <row r="167" spans="1:22" x14ac:dyDescent="0.25">
      <c r="A167">
        <v>19</v>
      </c>
      <c r="B167">
        <v>4</v>
      </c>
      <c r="C167">
        <v>55</v>
      </c>
      <c r="D167">
        <v>1</v>
      </c>
      <c r="E167">
        <v>0</v>
      </c>
      <c r="F167">
        <v>0</v>
      </c>
      <c r="G167">
        <v>0</v>
      </c>
      <c r="H167">
        <v>550</v>
      </c>
      <c r="I167">
        <f t="shared" si="37"/>
        <v>162</v>
      </c>
      <c r="J167" s="6">
        <f t="array" aca="1" ref="J167:N167" ca="1">TRANSPOSE(ols(OFFSET($C$2:$C$10,I167,0),OFFSET($D$2:$H$10,I167,0)))</f>
        <v>123.45238095237983</v>
      </c>
      <c r="K167" s="6">
        <f ca="1"/>
        <v>-8.9285714285711038</v>
      </c>
      <c r="L167" s="6">
        <f ca="1"/>
        <v>-24.047619047618355</v>
      </c>
      <c r="M167" s="6">
        <f ca="1"/>
        <v>17.023809523809632</v>
      </c>
      <c r="N167" s="6">
        <f ca="1"/>
        <v>-0.12619047619048018</v>
      </c>
      <c r="O167" s="6">
        <f t="shared" ca="1" si="29"/>
        <v>54.047619047615726</v>
      </c>
      <c r="P167" t="str">
        <f t="shared" si="30"/>
        <v>NA</v>
      </c>
      <c r="Q167" s="10">
        <f t="shared" ca="1" si="31"/>
        <v>72.26190476190304</v>
      </c>
      <c r="R167" s="10">
        <f t="shared" ca="1" si="32"/>
        <v>123.45238095237983</v>
      </c>
      <c r="S167" s="10">
        <f t="shared" ca="1" si="33"/>
        <v>-51.190476190476787</v>
      </c>
      <c r="T167" s="10">
        <f t="shared" ca="1" si="34"/>
        <v>405.66037735848244</v>
      </c>
      <c r="U167" s="10">
        <f t="shared" ca="1" si="35"/>
        <v>405.66037735848244</v>
      </c>
      <c r="V167">
        <f t="shared" si="36"/>
        <v>1</v>
      </c>
    </row>
    <row r="168" spans="1:22" x14ac:dyDescent="0.25">
      <c r="A168">
        <v>19</v>
      </c>
      <c r="B168">
        <v>5</v>
      </c>
      <c r="C168">
        <v>85</v>
      </c>
      <c r="D168">
        <v>1</v>
      </c>
      <c r="E168">
        <v>0</v>
      </c>
      <c r="F168">
        <v>1</v>
      </c>
      <c r="G168">
        <v>1</v>
      </c>
      <c r="H168">
        <v>250</v>
      </c>
      <c r="I168">
        <f t="shared" si="37"/>
        <v>162</v>
      </c>
      <c r="J168" s="6">
        <f t="array" aca="1" ref="J168:N168" ca="1">TRANSPOSE(ols(OFFSET($C$2:$C$10,I168,0),OFFSET($D$2:$H$10,I168,0)))</f>
        <v>123.45238095237983</v>
      </c>
      <c r="K168" s="6">
        <f ca="1"/>
        <v>-8.9285714285711038</v>
      </c>
      <c r="L168" s="6">
        <f ca="1"/>
        <v>-24.047619047618355</v>
      </c>
      <c r="M168" s="6">
        <f ca="1"/>
        <v>17.023809523809632</v>
      </c>
      <c r="N168" s="6">
        <f ca="1"/>
        <v>-0.12619047619048018</v>
      </c>
      <c r="O168" s="6">
        <f t="shared" ca="1" si="29"/>
        <v>84.880952380951058</v>
      </c>
      <c r="P168" t="str">
        <f t="shared" si="30"/>
        <v>NA</v>
      </c>
      <c r="Q168" s="10">
        <f t="shared" ca="1" si="31"/>
        <v>72.26190476190304</v>
      </c>
      <c r="R168" s="10">
        <f t="shared" ca="1" si="32"/>
        <v>116.4285714285711</v>
      </c>
      <c r="S168" s="10">
        <f t="shared" ca="1" si="33"/>
        <v>-44.166666666668064</v>
      </c>
      <c r="T168" s="10">
        <f t="shared" ca="1" si="34"/>
        <v>350</v>
      </c>
      <c r="U168" s="10">
        <f t="shared" ca="1" si="35"/>
        <v>350</v>
      </c>
      <c r="V168">
        <f t="shared" si="36"/>
        <v>6</v>
      </c>
    </row>
    <row r="169" spans="1:22" x14ac:dyDescent="0.25">
      <c r="A169">
        <v>19</v>
      </c>
      <c r="B169">
        <v>6</v>
      </c>
      <c r="C169">
        <v>75</v>
      </c>
      <c r="D169">
        <v>1</v>
      </c>
      <c r="E169">
        <v>0</v>
      </c>
      <c r="F169">
        <v>1</v>
      </c>
      <c r="G169">
        <v>1</v>
      </c>
      <c r="H169">
        <v>350</v>
      </c>
      <c r="I169">
        <f t="shared" si="37"/>
        <v>162</v>
      </c>
      <c r="J169" s="6">
        <f t="array" aca="1" ref="J169:N169" ca="1">TRANSPOSE(ols(OFFSET($C$2:$C$10,I169,0),OFFSET($D$2:$H$10,I169,0)))</f>
        <v>123.45238095237983</v>
      </c>
      <c r="K169" s="6">
        <f ca="1"/>
        <v>-8.9285714285711038</v>
      </c>
      <c r="L169" s="6">
        <f ca="1"/>
        <v>-24.047619047618355</v>
      </c>
      <c r="M169" s="6">
        <f ca="1"/>
        <v>17.023809523809632</v>
      </c>
      <c r="N169" s="6">
        <f ca="1"/>
        <v>-0.12619047619048018</v>
      </c>
      <c r="O169" s="6">
        <f t="shared" ca="1" si="29"/>
        <v>72.26190476190304</v>
      </c>
      <c r="P169">
        <f t="shared" ca="1" si="30"/>
        <v>72.26190476190304</v>
      </c>
      <c r="Q169" s="10">
        <f t="shared" ca="1" si="31"/>
        <v>72.26190476190304</v>
      </c>
      <c r="R169" s="10">
        <f t="shared" ca="1" si="32"/>
        <v>116.4285714285711</v>
      </c>
      <c r="S169" s="10">
        <f t="shared" ca="1" si="33"/>
        <v>-44.166666666668064</v>
      </c>
      <c r="T169" s="10">
        <f t="shared" ca="1" si="34"/>
        <v>350</v>
      </c>
      <c r="U169" s="10">
        <f t="shared" ca="1" si="35"/>
        <v>350</v>
      </c>
      <c r="V169">
        <f t="shared" si="36"/>
        <v>6</v>
      </c>
    </row>
    <row r="170" spans="1:22" x14ac:dyDescent="0.25">
      <c r="A170">
        <v>19</v>
      </c>
      <c r="B170">
        <v>7</v>
      </c>
      <c r="C170">
        <v>70</v>
      </c>
      <c r="D170">
        <v>1</v>
      </c>
      <c r="E170">
        <v>1</v>
      </c>
      <c r="F170">
        <v>0</v>
      </c>
      <c r="G170">
        <v>1</v>
      </c>
      <c r="H170">
        <v>450</v>
      </c>
      <c r="I170">
        <f t="shared" si="37"/>
        <v>162</v>
      </c>
      <c r="J170" s="6">
        <f t="array" aca="1" ref="J170:N170" ca="1">TRANSPOSE(ols(OFFSET($C$2:$C$10,I170,0),OFFSET($D$2:$H$10,I170,0)))</f>
        <v>123.45238095237983</v>
      </c>
      <c r="K170" s="6">
        <f ca="1"/>
        <v>-8.9285714285711038</v>
      </c>
      <c r="L170" s="6">
        <f ca="1"/>
        <v>-24.047619047618355</v>
      </c>
      <c r="M170" s="6">
        <f ca="1"/>
        <v>17.023809523809632</v>
      </c>
      <c r="N170" s="6">
        <f ca="1"/>
        <v>-0.12619047619048018</v>
      </c>
      <c r="O170" s="6">
        <f t="shared" ca="1" si="29"/>
        <v>74.761904761902272</v>
      </c>
      <c r="P170" t="str">
        <f t="shared" si="30"/>
        <v>NA</v>
      </c>
      <c r="Q170" s="10">
        <f t="shared" ca="1" si="31"/>
        <v>72.26190476190304</v>
      </c>
      <c r="R170" s="10">
        <f t="shared" ca="1" si="32"/>
        <v>131.54761904761835</v>
      </c>
      <c r="S170" s="10">
        <f t="shared" ca="1" si="33"/>
        <v>-59.285714285715315</v>
      </c>
      <c r="T170" s="10">
        <f t="shared" ca="1" si="34"/>
        <v>469.81132075471027</v>
      </c>
      <c r="U170" s="10">
        <f t="shared" ca="1" si="35"/>
        <v>469.81132075471027</v>
      </c>
      <c r="V170">
        <f t="shared" si="36"/>
        <v>5</v>
      </c>
    </row>
    <row r="171" spans="1:22" x14ac:dyDescent="0.25">
      <c r="A171">
        <v>19</v>
      </c>
      <c r="B171">
        <v>8</v>
      </c>
      <c r="C171">
        <v>65</v>
      </c>
      <c r="D171">
        <v>1</v>
      </c>
      <c r="E171">
        <v>1</v>
      </c>
      <c r="F171">
        <v>0</v>
      </c>
      <c r="G171">
        <v>1</v>
      </c>
      <c r="H171">
        <v>550</v>
      </c>
      <c r="I171">
        <f t="shared" si="37"/>
        <v>162</v>
      </c>
      <c r="J171" s="6">
        <f t="array" aca="1" ref="J171:N171" ca="1">TRANSPOSE(ols(OFFSET($C$2:$C$10,I171,0),OFFSET($D$2:$H$10,I171,0)))</f>
        <v>123.45238095237983</v>
      </c>
      <c r="K171" s="6">
        <f ca="1"/>
        <v>-8.9285714285711038</v>
      </c>
      <c r="L171" s="6">
        <f ca="1"/>
        <v>-24.047619047618355</v>
      </c>
      <c r="M171" s="6">
        <f ca="1"/>
        <v>17.023809523809632</v>
      </c>
      <c r="N171" s="6">
        <f ca="1"/>
        <v>-0.12619047619048018</v>
      </c>
      <c r="O171" s="6">
        <f t="shared" ca="1" si="29"/>
        <v>62.142857142854254</v>
      </c>
      <c r="P171" t="str">
        <f t="shared" si="30"/>
        <v>NA</v>
      </c>
      <c r="Q171" s="10">
        <f t="shared" ca="1" si="31"/>
        <v>72.26190476190304</v>
      </c>
      <c r="R171" s="10">
        <f t="shared" ca="1" si="32"/>
        <v>131.54761904761835</v>
      </c>
      <c r="S171" s="10">
        <f t="shared" ca="1" si="33"/>
        <v>-59.285714285715315</v>
      </c>
      <c r="T171" s="10">
        <f t="shared" ca="1" si="34"/>
        <v>469.81132075471027</v>
      </c>
      <c r="U171" s="10">
        <f t="shared" ca="1" si="35"/>
        <v>469.81132075471027</v>
      </c>
      <c r="V171">
        <f t="shared" si="36"/>
        <v>5</v>
      </c>
    </row>
    <row r="172" spans="1:22" x14ac:dyDescent="0.25">
      <c r="A172">
        <v>19</v>
      </c>
      <c r="B172">
        <v>9</v>
      </c>
      <c r="C172">
        <v>57.5</v>
      </c>
      <c r="D172">
        <v>1</v>
      </c>
      <c r="E172">
        <v>0</v>
      </c>
      <c r="F172">
        <v>0</v>
      </c>
      <c r="G172">
        <v>1</v>
      </c>
      <c r="H172">
        <v>650</v>
      </c>
      <c r="I172">
        <f t="shared" si="37"/>
        <v>162</v>
      </c>
      <c r="J172" s="6">
        <f t="array" aca="1" ref="J172:N172" ca="1">TRANSPOSE(ols(OFFSET($C$2:$C$10,I172,0),OFFSET($D$2:$H$10,I172,0)))</f>
        <v>123.45238095237983</v>
      </c>
      <c r="K172" s="6">
        <f ca="1"/>
        <v>-8.9285714285711038</v>
      </c>
      <c r="L172" s="6">
        <f ca="1"/>
        <v>-24.047619047618355</v>
      </c>
      <c r="M172" s="6">
        <f ca="1"/>
        <v>17.023809523809632</v>
      </c>
      <c r="N172" s="6">
        <f ca="1"/>
        <v>-0.12619047619048018</v>
      </c>
      <c r="O172" s="6">
        <f t="shared" ca="1" si="29"/>
        <v>58.452380952377339</v>
      </c>
      <c r="P172" t="str">
        <f t="shared" si="30"/>
        <v>NA</v>
      </c>
      <c r="Q172" s="10">
        <f t="shared" ca="1" si="31"/>
        <v>72.26190476190304</v>
      </c>
      <c r="R172" s="10">
        <f t="shared" ca="1" si="32"/>
        <v>140.47619047618946</v>
      </c>
      <c r="S172" s="10">
        <f t="shared" ca="1" si="33"/>
        <v>-68.214285714286419</v>
      </c>
      <c r="T172" s="10">
        <f t="shared" ca="1" si="34"/>
        <v>540.56603773583754</v>
      </c>
      <c r="U172" s="10">
        <f t="shared" ca="1" si="35"/>
        <v>540.56603773583754</v>
      </c>
      <c r="V172">
        <f t="shared" si="36"/>
        <v>4</v>
      </c>
    </row>
    <row r="173" spans="1:22" x14ac:dyDescent="0.25">
      <c r="A173">
        <v>20</v>
      </c>
      <c r="B173">
        <v>1</v>
      </c>
      <c r="C173">
        <v>10</v>
      </c>
      <c r="D173">
        <v>1</v>
      </c>
      <c r="E173">
        <v>0</v>
      </c>
      <c r="F173">
        <v>1</v>
      </c>
      <c r="G173">
        <v>0</v>
      </c>
      <c r="H173">
        <v>250</v>
      </c>
      <c r="I173">
        <f t="shared" si="37"/>
        <v>171</v>
      </c>
      <c r="J173" s="6">
        <f t="array" aca="1" ref="J173:N173" ca="1">TRANSPOSE(ols(OFFSET($C$2:$C$10,I173,0),OFFSET($D$2:$H$10,I173,0)))</f>
        <v>93.928571428570649</v>
      </c>
      <c r="K173" s="6">
        <f ca="1"/>
        <v>-25.89285714285711</v>
      </c>
      <c r="L173" s="6">
        <f ca="1"/>
        <v>-11.071428571428442</v>
      </c>
      <c r="M173" s="6">
        <f ca="1"/>
        <v>11.785714285714334</v>
      </c>
      <c r="N173" s="6">
        <f ca="1"/>
        <v>-0.11428571428571477</v>
      </c>
      <c r="O173" s="6">
        <f t="shared" ca="1" si="29"/>
        <v>54.285714285713517</v>
      </c>
      <c r="P173" t="str">
        <f t="shared" si="30"/>
        <v>NA</v>
      </c>
      <c r="Q173" s="10">
        <f t="shared" ca="1" si="31"/>
        <v>54.642857142856371</v>
      </c>
      <c r="R173" s="10">
        <f t="shared" ca="1" si="32"/>
        <v>82.857142857142208</v>
      </c>
      <c r="S173" s="10">
        <f t="shared" ca="1" si="33"/>
        <v>-28.214285714285836</v>
      </c>
      <c r="T173" s="10">
        <f t="shared" ca="1" si="34"/>
        <v>246.87500000000003</v>
      </c>
      <c r="U173" s="10" t="str">
        <f t="shared" ca="1" si="35"/>
        <v>OR</v>
      </c>
      <c r="V173">
        <f t="shared" si="36"/>
        <v>3</v>
      </c>
    </row>
    <row r="174" spans="1:22" x14ac:dyDescent="0.25">
      <c r="A174">
        <v>20</v>
      </c>
      <c r="B174">
        <v>2</v>
      </c>
      <c r="C174">
        <v>20</v>
      </c>
      <c r="D174">
        <v>1</v>
      </c>
      <c r="E174">
        <v>1</v>
      </c>
      <c r="F174">
        <v>0</v>
      </c>
      <c r="G174">
        <v>0</v>
      </c>
      <c r="H174">
        <v>350</v>
      </c>
      <c r="I174">
        <f t="shared" si="37"/>
        <v>171</v>
      </c>
      <c r="J174" s="6">
        <f t="array" aca="1" ref="J174:N174" ca="1">TRANSPOSE(ols(OFFSET($C$2:$C$10,I174,0),OFFSET($D$2:$H$10,I174,0)))</f>
        <v>93.928571428570649</v>
      </c>
      <c r="K174" s="6">
        <f ca="1"/>
        <v>-25.89285714285711</v>
      </c>
      <c r="L174" s="6">
        <f ca="1"/>
        <v>-11.071428571428442</v>
      </c>
      <c r="M174" s="6">
        <f ca="1"/>
        <v>11.785714285714334</v>
      </c>
      <c r="N174" s="6">
        <f ca="1"/>
        <v>-0.11428571428571477</v>
      </c>
      <c r="O174" s="6">
        <f t="shared" ca="1" si="29"/>
        <v>28.035714285713368</v>
      </c>
      <c r="P174" t="str">
        <f t="shared" si="30"/>
        <v>NA</v>
      </c>
      <c r="Q174" s="10">
        <f t="shared" ca="1" si="31"/>
        <v>54.642857142856371</v>
      </c>
      <c r="R174" s="10">
        <f t="shared" ca="1" si="32"/>
        <v>68.035714285713539</v>
      </c>
      <c r="S174" s="10">
        <f t="shared" ca="1" si="33"/>
        <v>-13.392857142857167</v>
      </c>
      <c r="T174" s="10">
        <f t="shared" ca="1" si="34"/>
        <v>117.18749999999972</v>
      </c>
      <c r="U174" s="10" t="str">
        <f t="shared" ca="1" si="35"/>
        <v>OR</v>
      </c>
      <c r="V174">
        <f t="shared" si="36"/>
        <v>2</v>
      </c>
    </row>
    <row r="175" spans="1:22" x14ac:dyDescent="0.25">
      <c r="A175">
        <v>20</v>
      </c>
      <c r="B175">
        <v>3</v>
      </c>
      <c r="C175">
        <v>45</v>
      </c>
      <c r="D175">
        <v>1</v>
      </c>
      <c r="E175">
        <v>1</v>
      </c>
      <c r="F175">
        <v>0</v>
      </c>
      <c r="G175">
        <v>0</v>
      </c>
      <c r="H175">
        <v>450</v>
      </c>
      <c r="I175">
        <f t="shared" si="37"/>
        <v>171</v>
      </c>
      <c r="J175" s="6">
        <f t="array" aca="1" ref="J175:N175" ca="1">TRANSPOSE(ols(OFFSET($C$2:$C$10,I175,0),OFFSET($D$2:$H$10,I175,0)))</f>
        <v>93.928571428570649</v>
      </c>
      <c r="K175" s="6">
        <f ca="1"/>
        <v>-25.89285714285711</v>
      </c>
      <c r="L175" s="6">
        <f ca="1"/>
        <v>-11.071428571428442</v>
      </c>
      <c r="M175" s="6">
        <f ca="1"/>
        <v>11.785714285714334</v>
      </c>
      <c r="N175" s="6">
        <f ca="1"/>
        <v>-0.11428571428571477</v>
      </c>
      <c r="O175" s="6">
        <f t="shared" ca="1" si="29"/>
        <v>16.607142857141895</v>
      </c>
      <c r="P175" t="str">
        <f t="shared" si="30"/>
        <v>NA</v>
      </c>
      <c r="Q175" s="10">
        <f t="shared" ca="1" si="31"/>
        <v>54.642857142856371</v>
      </c>
      <c r="R175" s="10">
        <f t="shared" ca="1" si="32"/>
        <v>68.035714285713539</v>
      </c>
      <c r="S175" s="10">
        <f t="shared" ca="1" si="33"/>
        <v>-13.392857142857167</v>
      </c>
      <c r="T175" s="10">
        <f t="shared" ca="1" si="34"/>
        <v>117.18749999999972</v>
      </c>
      <c r="U175" s="10" t="str">
        <f t="shared" ca="1" si="35"/>
        <v>OR</v>
      </c>
      <c r="V175">
        <f t="shared" si="36"/>
        <v>2</v>
      </c>
    </row>
    <row r="176" spans="1:22" x14ac:dyDescent="0.25">
      <c r="A176">
        <v>20</v>
      </c>
      <c r="B176">
        <v>4</v>
      </c>
      <c r="C176">
        <v>55</v>
      </c>
      <c r="D176">
        <v>1</v>
      </c>
      <c r="E176">
        <v>0</v>
      </c>
      <c r="F176">
        <v>0</v>
      </c>
      <c r="G176">
        <v>0</v>
      </c>
      <c r="H176">
        <v>550</v>
      </c>
      <c r="I176">
        <f t="shared" si="37"/>
        <v>171</v>
      </c>
      <c r="J176" s="6">
        <f t="array" aca="1" ref="J176:N176" ca="1">TRANSPOSE(ols(OFFSET($C$2:$C$10,I176,0),OFFSET($D$2:$H$10,I176,0)))</f>
        <v>93.928571428570649</v>
      </c>
      <c r="K176" s="6">
        <f ca="1"/>
        <v>-25.89285714285711</v>
      </c>
      <c r="L176" s="6">
        <f ca="1"/>
        <v>-11.071428571428442</v>
      </c>
      <c r="M176" s="6">
        <f ca="1"/>
        <v>11.785714285714334</v>
      </c>
      <c r="N176" s="6">
        <f ca="1"/>
        <v>-0.11428571428571477</v>
      </c>
      <c r="O176" s="6">
        <f t="shared" ca="1" si="29"/>
        <v>31.071428571427525</v>
      </c>
      <c r="P176" t="str">
        <f t="shared" si="30"/>
        <v>NA</v>
      </c>
      <c r="Q176" s="10">
        <f t="shared" ca="1" si="31"/>
        <v>54.642857142856371</v>
      </c>
      <c r="R176" s="10">
        <f t="shared" ca="1" si="32"/>
        <v>93.928571428570649</v>
      </c>
      <c r="S176" s="10">
        <f t="shared" ca="1" si="33"/>
        <v>-39.285714285714278</v>
      </c>
      <c r="T176" s="10">
        <f t="shared" ca="1" si="34"/>
        <v>343.74999999999847</v>
      </c>
      <c r="U176" s="10">
        <f t="shared" ca="1" si="35"/>
        <v>343.74999999999847</v>
      </c>
      <c r="V176">
        <f t="shared" si="36"/>
        <v>1</v>
      </c>
    </row>
    <row r="177" spans="1:22" x14ac:dyDescent="0.25">
      <c r="A177">
        <v>20</v>
      </c>
      <c r="B177">
        <v>5</v>
      </c>
      <c r="C177">
        <v>90</v>
      </c>
      <c r="D177">
        <v>1</v>
      </c>
      <c r="E177">
        <v>0</v>
      </c>
      <c r="F177">
        <v>1</v>
      </c>
      <c r="G177">
        <v>1</v>
      </c>
      <c r="H177">
        <v>250</v>
      </c>
      <c r="I177">
        <f t="shared" si="37"/>
        <v>171</v>
      </c>
      <c r="J177" s="6">
        <f t="array" aca="1" ref="J177:N177" ca="1">TRANSPOSE(ols(OFFSET($C$2:$C$10,I177,0),OFFSET($D$2:$H$10,I177,0)))</f>
        <v>93.928571428570649</v>
      </c>
      <c r="K177" s="6">
        <f ca="1"/>
        <v>-25.89285714285711</v>
      </c>
      <c r="L177" s="6">
        <f ca="1"/>
        <v>-11.071428571428442</v>
      </c>
      <c r="M177" s="6">
        <f ca="1"/>
        <v>11.785714285714334</v>
      </c>
      <c r="N177" s="6">
        <f ca="1"/>
        <v>-0.11428571428571477</v>
      </c>
      <c r="O177" s="6">
        <f t="shared" ca="1" si="29"/>
        <v>66.071428571427845</v>
      </c>
      <c r="P177" t="str">
        <f t="shared" si="30"/>
        <v>NA</v>
      </c>
      <c r="Q177" s="10">
        <f t="shared" ca="1" si="31"/>
        <v>54.642857142856371</v>
      </c>
      <c r="R177" s="10">
        <f t="shared" ca="1" si="32"/>
        <v>94.642857142856542</v>
      </c>
      <c r="S177" s="10">
        <f t="shared" ca="1" si="33"/>
        <v>-40.000000000000171</v>
      </c>
      <c r="T177" s="10">
        <f t="shared" ca="1" si="34"/>
        <v>350</v>
      </c>
      <c r="U177" s="10">
        <f t="shared" ca="1" si="35"/>
        <v>350</v>
      </c>
      <c r="V177">
        <f t="shared" si="36"/>
        <v>6</v>
      </c>
    </row>
    <row r="178" spans="1:22" x14ac:dyDescent="0.25">
      <c r="A178">
        <v>20</v>
      </c>
      <c r="B178">
        <v>6</v>
      </c>
      <c r="C178">
        <v>75</v>
      </c>
      <c r="D178">
        <v>1</v>
      </c>
      <c r="E178">
        <v>0</v>
      </c>
      <c r="F178">
        <v>1</v>
      </c>
      <c r="G178">
        <v>1</v>
      </c>
      <c r="H178">
        <v>350</v>
      </c>
      <c r="I178">
        <f t="shared" si="37"/>
        <v>171</v>
      </c>
      <c r="J178" s="6">
        <f t="array" aca="1" ref="J178:N178" ca="1">TRANSPOSE(ols(OFFSET($C$2:$C$10,I178,0),OFFSET($D$2:$H$10,I178,0)))</f>
        <v>93.928571428570649</v>
      </c>
      <c r="K178" s="6">
        <f ca="1"/>
        <v>-25.89285714285711</v>
      </c>
      <c r="L178" s="6">
        <f ca="1"/>
        <v>-11.071428571428442</v>
      </c>
      <c r="M178" s="6">
        <f ca="1"/>
        <v>11.785714285714334</v>
      </c>
      <c r="N178" s="6">
        <f ca="1"/>
        <v>-0.11428571428571477</v>
      </c>
      <c r="O178" s="6">
        <f t="shared" ca="1" si="29"/>
        <v>54.642857142856371</v>
      </c>
      <c r="P178">
        <f t="shared" ca="1" si="30"/>
        <v>54.642857142856371</v>
      </c>
      <c r="Q178" s="10">
        <f t="shared" ca="1" si="31"/>
        <v>54.642857142856371</v>
      </c>
      <c r="R178" s="10">
        <f t="shared" ca="1" si="32"/>
        <v>94.642857142856542</v>
      </c>
      <c r="S178" s="10">
        <f t="shared" ca="1" si="33"/>
        <v>-40.000000000000171</v>
      </c>
      <c r="T178" s="10">
        <f t="shared" ca="1" si="34"/>
        <v>350</v>
      </c>
      <c r="U178" s="10">
        <f t="shared" ca="1" si="35"/>
        <v>350</v>
      </c>
      <c r="V178">
        <f t="shared" si="36"/>
        <v>6</v>
      </c>
    </row>
    <row r="179" spans="1:22" x14ac:dyDescent="0.25">
      <c r="A179">
        <v>20</v>
      </c>
      <c r="B179">
        <v>7</v>
      </c>
      <c r="C179">
        <v>12.5</v>
      </c>
      <c r="D179">
        <v>1</v>
      </c>
      <c r="E179">
        <v>1</v>
      </c>
      <c r="F179">
        <v>0</v>
      </c>
      <c r="G179">
        <v>1</v>
      </c>
      <c r="H179">
        <v>450</v>
      </c>
      <c r="I179">
        <f t="shared" si="37"/>
        <v>171</v>
      </c>
      <c r="J179" s="6">
        <f t="array" aca="1" ref="J179:N179" ca="1">TRANSPOSE(ols(OFFSET($C$2:$C$10,I179,0),OFFSET($D$2:$H$10,I179,0)))</f>
        <v>93.928571428570649</v>
      </c>
      <c r="K179" s="6">
        <f ca="1"/>
        <v>-25.89285714285711</v>
      </c>
      <c r="L179" s="6">
        <f ca="1"/>
        <v>-11.071428571428442</v>
      </c>
      <c r="M179" s="6">
        <f ca="1"/>
        <v>11.785714285714334</v>
      </c>
      <c r="N179" s="6">
        <f ca="1"/>
        <v>-0.11428571428571477</v>
      </c>
      <c r="O179" s="6">
        <f t="shared" ca="1" si="29"/>
        <v>28.392857142856229</v>
      </c>
      <c r="P179" t="str">
        <f t="shared" si="30"/>
        <v>NA</v>
      </c>
      <c r="Q179" s="10">
        <f t="shared" ca="1" si="31"/>
        <v>54.642857142856371</v>
      </c>
      <c r="R179" s="10">
        <f t="shared" ca="1" si="32"/>
        <v>79.821428571427873</v>
      </c>
      <c r="S179" s="10">
        <f t="shared" ca="1" si="33"/>
        <v>-25.178571428571502</v>
      </c>
      <c r="T179" s="10">
        <f t="shared" ca="1" si="34"/>
        <v>220.31249999999972</v>
      </c>
      <c r="U179" s="10" t="str">
        <f t="shared" ca="1" si="35"/>
        <v>OR</v>
      </c>
      <c r="V179">
        <f t="shared" si="36"/>
        <v>5</v>
      </c>
    </row>
    <row r="180" spans="1:22" x14ac:dyDescent="0.25">
      <c r="A180">
        <v>20</v>
      </c>
      <c r="B180">
        <v>8</v>
      </c>
      <c r="C180">
        <v>12.5</v>
      </c>
      <c r="D180">
        <v>1</v>
      </c>
      <c r="E180">
        <v>1</v>
      </c>
      <c r="F180">
        <v>0</v>
      </c>
      <c r="G180">
        <v>1</v>
      </c>
      <c r="H180">
        <v>550</v>
      </c>
      <c r="I180">
        <f t="shared" si="37"/>
        <v>171</v>
      </c>
      <c r="J180" s="6">
        <f t="array" aca="1" ref="J180:N180" ca="1">TRANSPOSE(ols(OFFSET($C$2:$C$10,I180,0),OFFSET($D$2:$H$10,I180,0)))</f>
        <v>93.928571428570649</v>
      </c>
      <c r="K180" s="6">
        <f ca="1"/>
        <v>-25.89285714285711</v>
      </c>
      <c r="L180" s="6">
        <f ca="1"/>
        <v>-11.071428571428442</v>
      </c>
      <c r="M180" s="6">
        <f ca="1"/>
        <v>11.785714285714334</v>
      </c>
      <c r="N180" s="6">
        <f ca="1"/>
        <v>-0.11428571428571477</v>
      </c>
      <c r="O180" s="6">
        <f t="shared" ca="1" si="29"/>
        <v>16.964285714284749</v>
      </c>
      <c r="P180" t="str">
        <f t="shared" si="30"/>
        <v>NA</v>
      </c>
      <c r="Q180" s="10">
        <f t="shared" ca="1" si="31"/>
        <v>54.642857142856371</v>
      </c>
      <c r="R180" s="10">
        <f t="shared" ca="1" si="32"/>
        <v>79.821428571427873</v>
      </c>
      <c r="S180" s="10">
        <f t="shared" ca="1" si="33"/>
        <v>-25.178571428571502</v>
      </c>
      <c r="T180" s="10">
        <f t="shared" ca="1" si="34"/>
        <v>220.31249999999972</v>
      </c>
      <c r="U180" s="10" t="str">
        <f t="shared" ca="1" si="35"/>
        <v>OR</v>
      </c>
      <c r="V180">
        <f t="shared" si="36"/>
        <v>5</v>
      </c>
    </row>
    <row r="181" spans="1:22" x14ac:dyDescent="0.25">
      <c r="A181">
        <v>20</v>
      </c>
      <c r="B181">
        <v>9</v>
      </c>
      <c r="C181">
        <v>7.5</v>
      </c>
      <c r="D181">
        <v>1</v>
      </c>
      <c r="E181">
        <v>0</v>
      </c>
      <c r="F181">
        <v>0</v>
      </c>
      <c r="G181">
        <v>1</v>
      </c>
      <c r="H181">
        <v>650</v>
      </c>
      <c r="I181">
        <f t="shared" si="37"/>
        <v>171</v>
      </c>
      <c r="J181" s="6">
        <f t="array" aca="1" ref="J181:N181" ca="1">TRANSPOSE(ols(OFFSET($C$2:$C$10,I181,0),OFFSET($D$2:$H$10,I181,0)))</f>
        <v>93.928571428570649</v>
      </c>
      <c r="K181" s="6">
        <f ca="1"/>
        <v>-25.89285714285711</v>
      </c>
      <c r="L181" s="6">
        <f ca="1"/>
        <v>-11.071428571428442</v>
      </c>
      <c r="M181" s="6">
        <f ca="1"/>
        <v>11.785714285714334</v>
      </c>
      <c r="N181" s="6">
        <f ca="1"/>
        <v>-0.11428571428571477</v>
      </c>
      <c r="O181" s="6">
        <f t="shared" ca="1" si="29"/>
        <v>31.428571428570379</v>
      </c>
      <c r="P181" t="str">
        <f t="shared" si="30"/>
        <v>NA</v>
      </c>
      <c r="Q181" s="10">
        <f t="shared" ca="1" si="31"/>
        <v>54.642857142856371</v>
      </c>
      <c r="R181" s="10">
        <f t="shared" ca="1" si="32"/>
        <v>105.71428571428498</v>
      </c>
      <c r="S181" s="10">
        <f t="shared" ca="1" si="33"/>
        <v>-51.071428571428612</v>
      </c>
      <c r="T181" s="10">
        <f t="shared" ca="1" si="34"/>
        <v>446.87499999999847</v>
      </c>
      <c r="U181" s="10">
        <f t="shared" ca="1" si="35"/>
        <v>446.87499999999847</v>
      </c>
      <c r="V181">
        <f t="shared" si="36"/>
        <v>4</v>
      </c>
    </row>
    <row r="182" spans="1:22" x14ac:dyDescent="0.25">
      <c r="A182">
        <v>21</v>
      </c>
      <c r="B182">
        <v>1</v>
      </c>
      <c r="C182">
        <v>75</v>
      </c>
      <c r="D182">
        <v>1</v>
      </c>
      <c r="E182">
        <v>0</v>
      </c>
      <c r="F182">
        <v>1</v>
      </c>
      <c r="G182">
        <v>0</v>
      </c>
      <c r="H182">
        <v>250</v>
      </c>
      <c r="I182">
        <f t="shared" si="37"/>
        <v>180</v>
      </c>
      <c r="J182" s="6">
        <f t="array" aca="1" ref="J182:N182" ca="1">TRANSPOSE(ols(OFFSET($C$2:$C$10,I182,0),OFFSET($D$2:$H$10,I182,0)))</f>
        <v>211.07142857142571</v>
      </c>
      <c r="K182" s="6">
        <f ca="1"/>
        <v>-17.857142857142208</v>
      </c>
      <c r="L182" s="6">
        <f ca="1"/>
        <v>-46.428571428570649</v>
      </c>
      <c r="M182" s="6">
        <f ca="1"/>
        <v>10.714285714285666</v>
      </c>
      <c r="N182" s="6">
        <f ca="1"/>
        <v>-0.33571428571428363</v>
      </c>
      <c r="O182" s="6">
        <f t="shared" ca="1" si="29"/>
        <v>80.714285714284159</v>
      </c>
      <c r="P182" t="str">
        <f t="shared" si="30"/>
        <v>NA</v>
      </c>
      <c r="Q182" s="10">
        <f t="shared" ca="1" si="31"/>
        <v>57.857142857141454</v>
      </c>
      <c r="R182" s="10">
        <f t="shared" ca="1" si="32"/>
        <v>164.64285714285506</v>
      </c>
      <c r="S182" s="10">
        <f t="shared" ca="1" si="33"/>
        <v>-106.78571428571361</v>
      </c>
      <c r="T182" s="10">
        <f t="shared" ca="1" si="34"/>
        <v>318.08510638297867</v>
      </c>
      <c r="U182" s="10">
        <f t="shared" ca="1" si="35"/>
        <v>318.08510638297867</v>
      </c>
      <c r="V182">
        <f t="shared" si="36"/>
        <v>3</v>
      </c>
    </row>
    <row r="183" spans="1:22" x14ac:dyDescent="0.25">
      <c r="A183">
        <v>21</v>
      </c>
      <c r="B183">
        <v>2</v>
      </c>
      <c r="C183">
        <v>95</v>
      </c>
      <c r="D183">
        <v>1</v>
      </c>
      <c r="E183">
        <v>1</v>
      </c>
      <c r="F183">
        <v>0</v>
      </c>
      <c r="G183">
        <v>0</v>
      </c>
      <c r="H183">
        <v>350</v>
      </c>
      <c r="I183">
        <f t="shared" si="37"/>
        <v>180</v>
      </c>
      <c r="J183" s="6">
        <f t="array" aca="1" ref="J183:N183" ca="1">TRANSPOSE(ols(OFFSET($C$2:$C$10,I183,0),OFFSET($D$2:$H$10,I183,0)))</f>
        <v>211.07142857142571</v>
      </c>
      <c r="K183" s="6">
        <f ca="1"/>
        <v>-17.857142857142208</v>
      </c>
      <c r="L183" s="6">
        <f ca="1"/>
        <v>-46.428571428570649</v>
      </c>
      <c r="M183" s="6">
        <f ca="1"/>
        <v>10.714285714285666</v>
      </c>
      <c r="N183" s="6">
        <f ca="1"/>
        <v>-0.33571428571428363</v>
      </c>
      <c r="O183" s="6">
        <f t="shared" ca="1" si="29"/>
        <v>75.71428571428423</v>
      </c>
      <c r="P183" t="str">
        <f t="shared" si="30"/>
        <v>NA</v>
      </c>
      <c r="Q183" s="10">
        <f t="shared" ca="1" si="31"/>
        <v>57.857142857141454</v>
      </c>
      <c r="R183" s="10">
        <f t="shared" ca="1" si="32"/>
        <v>193.21428571428351</v>
      </c>
      <c r="S183" s="10">
        <f t="shared" ca="1" si="33"/>
        <v>-135.35714285714204</v>
      </c>
      <c r="T183" s="10">
        <f t="shared" ca="1" si="34"/>
        <v>403.19148936170217</v>
      </c>
      <c r="U183" s="10">
        <f t="shared" ca="1" si="35"/>
        <v>403.19148936170217</v>
      </c>
      <c r="V183">
        <f t="shared" si="36"/>
        <v>2</v>
      </c>
    </row>
    <row r="184" spans="1:22" x14ac:dyDescent="0.25">
      <c r="A184">
        <v>21</v>
      </c>
      <c r="B184">
        <v>3</v>
      </c>
      <c r="C184">
        <v>40</v>
      </c>
      <c r="D184">
        <v>1</v>
      </c>
      <c r="E184">
        <v>1</v>
      </c>
      <c r="F184">
        <v>0</v>
      </c>
      <c r="G184">
        <v>0</v>
      </c>
      <c r="H184">
        <v>450</v>
      </c>
      <c r="I184">
        <f t="shared" si="37"/>
        <v>180</v>
      </c>
      <c r="J184" s="6">
        <f t="array" aca="1" ref="J184:N184" ca="1">TRANSPOSE(ols(OFFSET($C$2:$C$10,I184,0),OFFSET($D$2:$H$10,I184,0)))</f>
        <v>211.07142857142571</v>
      </c>
      <c r="K184" s="6">
        <f ca="1"/>
        <v>-17.857142857142208</v>
      </c>
      <c r="L184" s="6">
        <f ca="1"/>
        <v>-46.428571428570649</v>
      </c>
      <c r="M184" s="6">
        <f ca="1"/>
        <v>10.714285714285666</v>
      </c>
      <c r="N184" s="6">
        <f ca="1"/>
        <v>-0.33571428571428363</v>
      </c>
      <c r="O184" s="6">
        <f t="shared" ca="1" si="29"/>
        <v>42.14285714285586</v>
      </c>
      <c r="P184" t="str">
        <f t="shared" si="30"/>
        <v>NA</v>
      </c>
      <c r="Q184" s="10">
        <f t="shared" ca="1" si="31"/>
        <v>57.857142857141454</v>
      </c>
      <c r="R184" s="10">
        <f t="shared" ca="1" si="32"/>
        <v>193.21428571428351</v>
      </c>
      <c r="S184" s="10">
        <f t="shared" ca="1" si="33"/>
        <v>-135.35714285714204</v>
      </c>
      <c r="T184" s="10">
        <f t="shared" ca="1" si="34"/>
        <v>403.19148936170217</v>
      </c>
      <c r="U184" s="10">
        <f t="shared" ca="1" si="35"/>
        <v>403.19148936170217</v>
      </c>
      <c r="V184">
        <f t="shared" si="36"/>
        <v>2</v>
      </c>
    </row>
    <row r="185" spans="1:22" x14ac:dyDescent="0.25">
      <c r="A185">
        <v>21</v>
      </c>
      <c r="B185">
        <v>4</v>
      </c>
      <c r="C185">
        <v>15</v>
      </c>
      <c r="D185">
        <v>1</v>
      </c>
      <c r="E185">
        <v>0</v>
      </c>
      <c r="F185">
        <v>0</v>
      </c>
      <c r="G185">
        <v>0</v>
      </c>
      <c r="H185">
        <v>550</v>
      </c>
      <c r="I185">
        <f t="shared" si="37"/>
        <v>180</v>
      </c>
      <c r="J185" s="6">
        <f t="array" aca="1" ref="J185:N185" ca="1">TRANSPOSE(ols(OFFSET($C$2:$C$10,I185,0),OFFSET($D$2:$H$10,I185,0)))</f>
        <v>211.07142857142571</v>
      </c>
      <c r="K185" s="6">
        <f ca="1"/>
        <v>-17.857142857142208</v>
      </c>
      <c r="L185" s="6">
        <f ca="1"/>
        <v>-46.428571428570649</v>
      </c>
      <c r="M185" s="6">
        <f ca="1"/>
        <v>10.714285714285666</v>
      </c>
      <c r="N185" s="6">
        <f ca="1"/>
        <v>-0.33571428571428363</v>
      </c>
      <c r="O185" s="6">
        <f t="shared" ca="1" si="29"/>
        <v>26.428571428569711</v>
      </c>
      <c r="P185" t="str">
        <f t="shared" si="30"/>
        <v>NA</v>
      </c>
      <c r="Q185" s="10">
        <f t="shared" ca="1" si="31"/>
        <v>57.857142857141454</v>
      </c>
      <c r="R185" s="10">
        <f t="shared" ca="1" si="32"/>
        <v>211.07142857142571</v>
      </c>
      <c r="S185" s="10">
        <f t="shared" ca="1" si="33"/>
        <v>-153.21428571428424</v>
      </c>
      <c r="T185" s="10">
        <f t="shared" ca="1" si="34"/>
        <v>456.38297872340269</v>
      </c>
      <c r="U185" s="10">
        <f t="shared" ca="1" si="35"/>
        <v>456.38297872340269</v>
      </c>
      <c r="V185">
        <f t="shared" si="36"/>
        <v>1</v>
      </c>
    </row>
    <row r="186" spans="1:22" x14ac:dyDescent="0.25">
      <c r="A186">
        <v>21</v>
      </c>
      <c r="B186">
        <v>5</v>
      </c>
      <c r="C186">
        <v>90</v>
      </c>
      <c r="D186">
        <v>1</v>
      </c>
      <c r="E186">
        <v>0</v>
      </c>
      <c r="F186">
        <v>1</v>
      </c>
      <c r="G186">
        <v>1</v>
      </c>
      <c r="H186">
        <v>250</v>
      </c>
      <c r="I186">
        <f t="shared" si="37"/>
        <v>180</v>
      </c>
      <c r="J186" s="6">
        <f t="array" aca="1" ref="J186:N186" ca="1">TRANSPOSE(ols(OFFSET($C$2:$C$10,I186,0),OFFSET($D$2:$H$10,I186,0)))</f>
        <v>211.07142857142571</v>
      </c>
      <c r="K186" s="6">
        <f ca="1"/>
        <v>-17.857142857142208</v>
      </c>
      <c r="L186" s="6">
        <f ca="1"/>
        <v>-46.428571428570649</v>
      </c>
      <c r="M186" s="6">
        <f ca="1"/>
        <v>10.714285714285666</v>
      </c>
      <c r="N186" s="6">
        <f ca="1"/>
        <v>-0.33571428571428363</v>
      </c>
      <c r="O186" s="6">
        <f t="shared" ca="1" si="29"/>
        <v>91.428571428569825</v>
      </c>
      <c r="P186" t="str">
        <f t="shared" si="30"/>
        <v>NA</v>
      </c>
      <c r="Q186" s="10">
        <f t="shared" ca="1" si="31"/>
        <v>57.857142857141454</v>
      </c>
      <c r="R186" s="10">
        <f t="shared" ca="1" si="32"/>
        <v>175.35714285714073</v>
      </c>
      <c r="S186" s="10">
        <f t="shared" ca="1" si="33"/>
        <v>-117.49999999999928</v>
      </c>
      <c r="T186" s="10">
        <f t="shared" ca="1" si="34"/>
        <v>350</v>
      </c>
      <c r="U186" s="10">
        <f t="shared" ca="1" si="35"/>
        <v>350</v>
      </c>
      <c r="V186">
        <f t="shared" si="36"/>
        <v>6</v>
      </c>
    </row>
    <row r="187" spans="1:22" x14ac:dyDescent="0.25">
      <c r="A187">
        <v>21</v>
      </c>
      <c r="B187">
        <v>6</v>
      </c>
      <c r="C187">
        <v>65</v>
      </c>
      <c r="D187">
        <v>1</v>
      </c>
      <c r="E187">
        <v>0</v>
      </c>
      <c r="F187">
        <v>1</v>
      </c>
      <c r="G187">
        <v>1</v>
      </c>
      <c r="H187">
        <v>350</v>
      </c>
      <c r="I187">
        <f t="shared" si="37"/>
        <v>180</v>
      </c>
      <c r="J187" s="6">
        <f t="array" aca="1" ref="J187:N187" ca="1">TRANSPOSE(ols(OFFSET($C$2:$C$10,I187,0),OFFSET($D$2:$H$10,I187,0)))</f>
        <v>211.07142857142571</v>
      </c>
      <c r="K187" s="6">
        <f ca="1"/>
        <v>-17.857142857142208</v>
      </c>
      <c r="L187" s="6">
        <f ca="1"/>
        <v>-46.428571428570649</v>
      </c>
      <c r="M187" s="6">
        <f ca="1"/>
        <v>10.714285714285666</v>
      </c>
      <c r="N187" s="6">
        <f ca="1"/>
        <v>-0.33571428571428363</v>
      </c>
      <c r="O187" s="6">
        <f t="shared" ca="1" si="29"/>
        <v>57.857142857141454</v>
      </c>
      <c r="P187">
        <f t="shared" ca="1" si="30"/>
        <v>57.857142857141454</v>
      </c>
      <c r="Q187" s="10">
        <f t="shared" ca="1" si="31"/>
        <v>57.857142857141454</v>
      </c>
      <c r="R187" s="10">
        <f t="shared" ca="1" si="32"/>
        <v>175.35714285714073</v>
      </c>
      <c r="S187" s="10">
        <f t="shared" ca="1" si="33"/>
        <v>-117.49999999999928</v>
      </c>
      <c r="T187" s="10">
        <f t="shared" ca="1" si="34"/>
        <v>350</v>
      </c>
      <c r="U187" s="10">
        <f t="shared" ca="1" si="35"/>
        <v>350</v>
      </c>
      <c r="V187">
        <f t="shared" si="36"/>
        <v>6</v>
      </c>
    </row>
    <row r="188" spans="1:22" x14ac:dyDescent="0.25">
      <c r="A188">
        <v>21</v>
      </c>
      <c r="B188">
        <v>7</v>
      </c>
      <c r="C188">
        <v>35</v>
      </c>
      <c r="D188">
        <v>1</v>
      </c>
      <c r="E188">
        <v>1</v>
      </c>
      <c r="F188">
        <v>0</v>
      </c>
      <c r="G188">
        <v>1</v>
      </c>
      <c r="H188">
        <v>450</v>
      </c>
      <c r="I188">
        <f t="shared" si="37"/>
        <v>180</v>
      </c>
      <c r="J188" s="6">
        <f t="array" aca="1" ref="J188:N188" ca="1">TRANSPOSE(ols(OFFSET($C$2:$C$10,I188,0),OFFSET($D$2:$H$10,I188,0)))</f>
        <v>211.07142857142571</v>
      </c>
      <c r="K188" s="6">
        <f ca="1"/>
        <v>-17.857142857142208</v>
      </c>
      <c r="L188" s="6">
        <f ca="1"/>
        <v>-46.428571428570649</v>
      </c>
      <c r="M188" s="6">
        <f ca="1"/>
        <v>10.714285714285666</v>
      </c>
      <c r="N188" s="6">
        <f ca="1"/>
        <v>-0.33571428571428363</v>
      </c>
      <c r="O188" s="6">
        <f t="shared" ca="1" si="29"/>
        <v>52.857142857141525</v>
      </c>
      <c r="P188" t="str">
        <f t="shared" si="30"/>
        <v>NA</v>
      </c>
      <c r="Q188" s="10">
        <f t="shared" ca="1" si="31"/>
        <v>57.857142857141454</v>
      </c>
      <c r="R188" s="10">
        <f t="shared" ca="1" si="32"/>
        <v>203.92857142856917</v>
      </c>
      <c r="S188" s="10">
        <f t="shared" ca="1" si="33"/>
        <v>-146.0714285714277</v>
      </c>
      <c r="T188" s="10">
        <f t="shared" ca="1" si="34"/>
        <v>435.1063829787235</v>
      </c>
      <c r="U188" s="10">
        <f t="shared" ca="1" si="35"/>
        <v>435.1063829787235</v>
      </c>
      <c r="V188">
        <f t="shared" si="36"/>
        <v>5</v>
      </c>
    </row>
    <row r="189" spans="1:22" x14ac:dyDescent="0.25">
      <c r="A189">
        <v>21</v>
      </c>
      <c r="B189">
        <v>8</v>
      </c>
      <c r="C189">
        <v>20</v>
      </c>
      <c r="D189">
        <v>1</v>
      </c>
      <c r="E189">
        <v>1</v>
      </c>
      <c r="F189">
        <v>0</v>
      </c>
      <c r="G189">
        <v>1</v>
      </c>
      <c r="H189">
        <v>550</v>
      </c>
      <c r="I189">
        <f t="shared" si="37"/>
        <v>180</v>
      </c>
      <c r="J189" s="6">
        <f t="array" aca="1" ref="J189:N189" ca="1">TRANSPOSE(ols(OFFSET($C$2:$C$10,I189,0),OFFSET($D$2:$H$10,I189,0)))</f>
        <v>211.07142857142571</v>
      </c>
      <c r="K189" s="6">
        <f ca="1"/>
        <v>-17.857142857142208</v>
      </c>
      <c r="L189" s="6">
        <f ca="1"/>
        <v>-46.428571428570649</v>
      </c>
      <c r="M189" s="6">
        <f ca="1"/>
        <v>10.714285714285666</v>
      </c>
      <c r="N189" s="6">
        <f ca="1"/>
        <v>-0.33571428571428363</v>
      </c>
      <c r="O189" s="6">
        <f t="shared" ca="1" si="29"/>
        <v>19.285714285713169</v>
      </c>
      <c r="P189" t="str">
        <f t="shared" si="30"/>
        <v>NA</v>
      </c>
      <c r="Q189" s="10">
        <f t="shared" ca="1" si="31"/>
        <v>57.857142857141454</v>
      </c>
      <c r="R189" s="10">
        <f t="shared" ca="1" si="32"/>
        <v>203.92857142856917</v>
      </c>
      <c r="S189" s="10">
        <f t="shared" ca="1" si="33"/>
        <v>-146.0714285714277</v>
      </c>
      <c r="T189" s="10">
        <f t="shared" ca="1" si="34"/>
        <v>435.1063829787235</v>
      </c>
      <c r="U189" s="10">
        <f t="shared" ca="1" si="35"/>
        <v>435.1063829787235</v>
      </c>
      <c r="V189">
        <f t="shared" si="36"/>
        <v>5</v>
      </c>
    </row>
    <row r="190" spans="1:22" x14ac:dyDescent="0.25">
      <c r="A190">
        <v>21</v>
      </c>
      <c r="B190">
        <v>9</v>
      </c>
      <c r="C190">
        <v>15</v>
      </c>
      <c r="D190">
        <v>1</v>
      </c>
      <c r="E190">
        <v>0</v>
      </c>
      <c r="F190">
        <v>0</v>
      </c>
      <c r="G190">
        <v>1</v>
      </c>
      <c r="H190">
        <v>650</v>
      </c>
      <c r="I190">
        <f t="shared" si="37"/>
        <v>180</v>
      </c>
      <c r="J190" s="6">
        <f t="array" aca="1" ref="J190:N190" ca="1">TRANSPOSE(ols(OFFSET($C$2:$C$10,I190,0),OFFSET($D$2:$H$10,I190,0)))</f>
        <v>211.07142857142571</v>
      </c>
      <c r="K190" s="6">
        <f ca="1"/>
        <v>-17.857142857142208</v>
      </c>
      <c r="L190" s="6">
        <f ca="1"/>
        <v>-46.428571428570649</v>
      </c>
      <c r="M190" s="6">
        <f ca="1"/>
        <v>10.714285714285666</v>
      </c>
      <c r="N190" s="6">
        <f ca="1"/>
        <v>-0.33571428571428363</v>
      </c>
      <c r="O190" s="6">
        <f t="shared" ca="1" si="29"/>
        <v>3.5714285714270204</v>
      </c>
      <c r="P190" t="str">
        <f t="shared" si="30"/>
        <v>NA</v>
      </c>
      <c r="Q190" s="10">
        <f t="shared" ca="1" si="31"/>
        <v>57.857142857141454</v>
      </c>
      <c r="R190" s="10">
        <f t="shared" ca="1" si="32"/>
        <v>221.78571428571138</v>
      </c>
      <c r="S190" s="10">
        <f t="shared" ca="1" si="33"/>
        <v>-163.92857142856991</v>
      </c>
      <c r="T190" s="10">
        <f t="shared" ca="1" si="34"/>
        <v>488.29787234042402</v>
      </c>
      <c r="U190" s="10">
        <f t="shared" ca="1" si="35"/>
        <v>488.29787234042402</v>
      </c>
      <c r="V190">
        <f t="shared" si="36"/>
        <v>4</v>
      </c>
    </row>
    <row r="191" spans="1:22" x14ac:dyDescent="0.25">
      <c r="A191">
        <v>22</v>
      </c>
      <c r="B191">
        <v>1</v>
      </c>
      <c r="C191">
        <v>55</v>
      </c>
      <c r="D191">
        <v>1</v>
      </c>
      <c r="E191">
        <v>0</v>
      </c>
      <c r="F191">
        <v>1</v>
      </c>
      <c r="G191">
        <v>0</v>
      </c>
      <c r="H191">
        <v>250</v>
      </c>
      <c r="I191">
        <f t="shared" si="37"/>
        <v>189</v>
      </c>
      <c r="J191" s="6">
        <f t="array" aca="1" ref="J191:N191" ca="1">TRANSPOSE(ols(OFFSET($C$2:$C$10,I191,0),OFFSET($D$2:$H$10,I191,0)))</f>
        <v>224.17261904761563</v>
      </c>
      <c r="K191" s="6">
        <f ca="1"/>
        <v>-25.571428571427987</v>
      </c>
      <c r="L191" s="6">
        <f ca="1"/>
        <v>-75.452380952379372</v>
      </c>
      <c r="M191" s="6">
        <f ca="1"/>
        <v>7.2261904761903679</v>
      </c>
      <c r="N191" s="6">
        <f ca="1"/>
        <v>-0.37130952380951943</v>
      </c>
      <c r="O191" s="6">
        <f t="shared" ca="1" si="29"/>
        <v>55.8928571428564</v>
      </c>
      <c r="P191" t="str">
        <f t="shared" si="30"/>
        <v>NA</v>
      </c>
      <c r="Q191" s="10">
        <f t="shared" ca="1" si="31"/>
        <v>25.988095238094814</v>
      </c>
      <c r="R191" s="10">
        <f t="shared" ca="1" si="32"/>
        <v>148.72023809523625</v>
      </c>
      <c r="S191" s="10">
        <f t="shared" ca="1" si="33"/>
        <v>-122.73214285714144</v>
      </c>
      <c r="T191" s="10">
        <f t="shared" ca="1" si="34"/>
        <v>330.53863417762113</v>
      </c>
      <c r="U191" s="10">
        <f t="shared" ca="1" si="35"/>
        <v>330.53863417762113</v>
      </c>
      <c r="V191">
        <f t="shared" si="36"/>
        <v>3</v>
      </c>
    </row>
    <row r="192" spans="1:22" x14ac:dyDescent="0.25">
      <c r="A192">
        <v>22</v>
      </c>
      <c r="B192">
        <v>2</v>
      </c>
      <c r="C192">
        <v>100</v>
      </c>
      <c r="D192">
        <v>1</v>
      </c>
      <c r="E192">
        <v>1</v>
      </c>
      <c r="F192">
        <v>0</v>
      </c>
      <c r="G192">
        <v>0</v>
      </c>
      <c r="H192">
        <v>350</v>
      </c>
      <c r="I192">
        <f t="shared" si="37"/>
        <v>189</v>
      </c>
      <c r="J192" s="6">
        <f t="array" aca="1" ref="J192:N192" ca="1">TRANSPOSE(ols(OFFSET($C$2:$C$10,I192,0),OFFSET($D$2:$H$10,I192,0)))</f>
        <v>224.17261904761563</v>
      </c>
      <c r="K192" s="6">
        <f ca="1"/>
        <v>-25.571428571427987</v>
      </c>
      <c r="L192" s="6">
        <f ca="1"/>
        <v>-75.452380952379372</v>
      </c>
      <c r="M192" s="6">
        <f ca="1"/>
        <v>7.2261904761903679</v>
      </c>
      <c r="N192" s="6">
        <f ca="1"/>
        <v>-0.37130952380951943</v>
      </c>
      <c r="O192" s="6">
        <f t="shared" ca="1" si="29"/>
        <v>68.642857142855831</v>
      </c>
      <c r="P192" t="str">
        <f t="shared" si="30"/>
        <v>NA</v>
      </c>
      <c r="Q192" s="10">
        <f t="shared" ca="1" si="31"/>
        <v>25.988095238094814</v>
      </c>
      <c r="R192" s="10">
        <f t="shared" ca="1" si="32"/>
        <v>198.60119047618764</v>
      </c>
      <c r="S192" s="10">
        <f t="shared" ca="1" si="33"/>
        <v>-172.61309523809282</v>
      </c>
      <c r="T192" s="10">
        <f t="shared" ca="1" si="34"/>
        <v>464.87656300096086</v>
      </c>
      <c r="U192" s="10">
        <f t="shared" ca="1" si="35"/>
        <v>464.87656300096086</v>
      </c>
      <c r="V192">
        <f t="shared" si="36"/>
        <v>2</v>
      </c>
    </row>
    <row r="193" spans="1:22" x14ac:dyDescent="0.25">
      <c r="A193">
        <v>22</v>
      </c>
      <c r="B193">
        <v>3</v>
      </c>
      <c r="C193">
        <v>15.5</v>
      </c>
      <c r="D193">
        <v>1</v>
      </c>
      <c r="E193">
        <v>1</v>
      </c>
      <c r="F193">
        <v>0</v>
      </c>
      <c r="G193">
        <v>0</v>
      </c>
      <c r="H193">
        <v>450</v>
      </c>
      <c r="I193">
        <f t="shared" si="37"/>
        <v>189</v>
      </c>
      <c r="J193" s="6">
        <f t="array" aca="1" ref="J193:N193" ca="1">TRANSPOSE(ols(OFFSET($C$2:$C$10,I193,0),OFFSET($D$2:$H$10,I193,0)))</f>
        <v>224.17261904761563</v>
      </c>
      <c r="K193" s="6">
        <f ca="1"/>
        <v>-25.571428571427987</v>
      </c>
      <c r="L193" s="6">
        <f ca="1"/>
        <v>-75.452380952379372</v>
      </c>
      <c r="M193" s="6">
        <f ca="1"/>
        <v>7.2261904761903679</v>
      </c>
      <c r="N193" s="6">
        <f ca="1"/>
        <v>-0.37130952380951943</v>
      </c>
      <c r="O193" s="6">
        <f t="shared" ca="1" si="29"/>
        <v>31.511904761903907</v>
      </c>
      <c r="P193" t="str">
        <f t="shared" si="30"/>
        <v>NA</v>
      </c>
      <c r="Q193" s="10">
        <f t="shared" ca="1" si="31"/>
        <v>25.988095238094814</v>
      </c>
      <c r="R193" s="10">
        <f t="shared" ca="1" si="32"/>
        <v>198.60119047618764</v>
      </c>
      <c r="S193" s="10">
        <f t="shared" ca="1" si="33"/>
        <v>-172.61309523809282</v>
      </c>
      <c r="T193" s="10">
        <f t="shared" ca="1" si="34"/>
        <v>464.87656300096086</v>
      </c>
      <c r="U193" s="10">
        <f t="shared" ca="1" si="35"/>
        <v>464.87656300096086</v>
      </c>
      <c r="V193">
        <f t="shared" si="36"/>
        <v>2</v>
      </c>
    </row>
    <row r="194" spans="1:22" x14ac:dyDescent="0.25">
      <c r="A194">
        <v>22</v>
      </c>
      <c r="B194">
        <v>4</v>
      </c>
      <c r="C194">
        <v>5.5</v>
      </c>
      <c r="D194">
        <v>1</v>
      </c>
      <c r="E194">
        <v>0</v>
      </c>
      <c r="F194">
        <v>0</v>
      </c>
      <c r="G194">
        <v>0</v>
      </c>
      <c r="H194">
        <v>550</v>
      </c>
      <c r="I194">
        <f t="shared" si="37"/>
        <v>189</v>
      </c>
      <c r="J194" s="6">
        <f t="array" aca="1" ref="J194:N194" ca="1">TRANSPOSE(ols(OFFSET($C$2:$C$10,I194,0),OFFSET($D$2:$H$10,I194,0)))</f>
        <v>224.17261904761563</v>
      </c>
      <c r="K194" s="6">
        <f ca="1"/>
        <v>-25.571428571427987</v>
      </c>
      <c r="L194" s="6">
        <f ca="1"/>
        <v>-75.452380952379372</v>
      </c>
      <c r="M194" s="6">
        <f ca="1"/>
        <v>7.2261904761903679</v>
      </c>
      <c r="N194" s="6">
        <f ca="1"/>
        <v>-0.37130952380951943</v>
      </c>
      <c r="O194" s="6">
        <f t="shared" ca="1" si="29"/>
        <v>19.95238095237994</v>
      </c>
      <c r="P194" t="str">
        <f t="shared" si="30"/>
        <v>NA</v>
      </c>
      <c r="Q194" s="10">
        <f t="shared" ca="1" si="31"/>
        <v>25.988095238094814</v>
      </c>
      <c r="R194" s="10">
        <f t="shared" ca="1" si="32"/>
        <v>224.17261904761563</v>
      </c>
      <c r="S194" s="10">
        <f t="shared" ca="1" si="33"/>
        <v>-198.18452380952081</v>
      </c>
      <c r="T194" s="10">
        <f t="shared" ca="1" si="34"/>
        <v>533.74478999679206</v>
      </c>
      <c r="U194" s="10">
        <f t="shared" ca="1" si="35"/>
        <v>533.74478999679206</v>
      </c>
      <c r="V194">
        <f t="shared" si="36"/>
        <v>1</v>
      </c>
    </row>
    <row r="195" spans="1:22" x14ac:dyDescent="0.25">
      <c r="A195">
        <v>22</v>
      </c>
      <c r="B195">
        <v>5</v>
      </c>
      <c r="C195">
        <v>55</v>
      </c>
      <c r="D195">
        <v>1</v>
      </c>
      <c r="E195">
        <v>0</v>
      </c>
      <c r="F195">
        <v>1</v>
      </c>
      <c r="G195">
        <v>1</v>
      </c>
      <c r="H195">
        <v>250</v>
      </c>
      <c r="I195">
        <f t="shared" si="37"/>
        <v>189</v>
      </c>
      <c r="J195" s="6">
        <f t="array" aca="1" ref="J195:N195" ca="1">TRANSPOSE(ols(OFFSET($C$2:$C$10,I195,0),OFFSET($D$2:$H$10,I195,0)))</f>
        <v>224.17261904761563</v>
      </c>
      <c r="K195" s="6">
        <f ca="1"/>
        <v>-25.571428571427987</v>
      </c>
      <c r="L195" s="6">
        <f ca="1"/>
        <v>-75.452380952379372</v>
      </c>
      <c r="M195" s="6">
        <f ca="1"/>
        <v>7.2261904761903679</v>
      </c>
      <c r="N195" s="6">
        <f ca="1"/>
        <v>-0.37130952380951943</v>
      </c>
      <c r="O195" s="6">
        <f t="shared" ref="O195:O258" ca="1" si="38">SUMPRODUCT(J195:N195,D195:H195)</f>
        <v>63.119047619046768</v>
      </c>
      <c r="P195" t="str">
        <f t="shared" ref="P195:P258" si="39">IF(AND(F195=1,G195=1,H195=350),O195,"NA")</f>
        <v>NA</v>
      </c>
      <c r="Q195" s="10">
        <f t="shared" ref="Q195:Q258" ca="1" si="40">AVERAGEIF($A$2:$A$5383,A195,$P$2:$P$5383)</f>
        <v>25.988095238094814</v>
      </c>
      <c r="R195" s="10">
        <f t="shared" ref="R195:R258" ca="1" si="41">O195-N195*H195</f>
        <v>155.94642857142662</v>
      </c>
      <c r="S195" s="10">
        <f t="shared" ref="S195:S258" ca="1" si="42">Q195-R195</f>
        <v>-129.95833333333181</v>
      </c>
      <c r="T195" s="10">
        <f t="shared" ref="T195:T258" ca="1" si="43">S195/N195</f>
        <v>350</v>
      </c>
      <c r="U195" s="10">
        <f t="shared" ref="U195:U258" ca="1" si="44">IF(OR(T195&lt;250,T195&gt;650),"OR",T195)</f>
        <v>350</v>
      </c>
      <c r="V195">
        <f t="shared" ref="V195:V258" si="45">IF(AND(E195=1,G195=0),2,IF(AND(F195=1,G195=0),3,IF(AND(E195=1,G195=1),5,IF(AND(F195=1,G195=1),6,IF(G195=0,1,IF(G195=1,4))))))</f>
        <v>6</v>
      </c>
    </row>
    <row r="196" spans="1:22" x14ac:dyDescent="0.25">
      <c r="A196">
        <v>22</v>
      </c>
      <c r="B196">
        <v>6</v>
      </c>
      <c r="C196">
        <v>35</v>
      </c>
      <c r="D196">
        <v>1</v>
      </c>
      <c r="E196">
        <v>0</v>
      </c>
      <c r="F196">
        <v>1</v>
      </c>
      <c r="G196">
        <v>1</v>
      </c>
      <c r="H196">
        <v>350</v>
      </c>
      <c r="I196">
        <f t="shared" si="37"/>
        <v>189</v>
      </c>
      <c r="J196" s="6">
        <f t="array" aca="1" ref="J196:N196" ca="1">TRANSPOSE(ols(OFFSET($C$2:$C$10,I196,0),OFFSET($D$2:$H$10,I196,0)))</f>
        <v>224.17261904761563</v>
      </c>
      <c r="K196" s="6">
        <f ca="1"/>
        <v>-25.571428571427987</v>
      </c>
      <c r="L196" s="6">
        <f ca="1"/>
        <v>-75.452380952379372</v>
      </c>
      <c r="M196" s="6">
        <f ca="1"/>
        <v>7.2261904761903679</v>
      </c>
      <c r="N196" s="6">
        <f ca="1"/>
        <v>-0.37130952380951943</v>
      </c>
      <c r="O196" s="6">
        <f t="shared" ca="1" si="38"/>
        <v>25.988095238094814</v>
      </c>
      <c r="P196">
        <f t="shared" ca="1" si="39"/>
        <v>25.988095238094814</v>
      </c>
      <c r="Q196" s="10">
        <f t="shared" ca="1" si="40"/>
        <v>25.988095238094814</v>
      </c>
      <c r="R196" s="10">
        <f t="shared" ca="1" si="41"/>
        <v>155.94642857142662</v>
      </c>
      <c r="S196" s="10">
        <f t="shared" ca="1" si="42"/>
        <v>-129.95833333333181</v>
      </c>
      <c r="T196" s="10">
        <f t="shared" ca="1" si="43"/>
        <v>350</v>
      </c>
      <c r="U196" s="10">
        <f t="shared" ca="1" si="44"/>
        <v>350</v>
      </c>
      <c r="V196">
        <f t="shared" si="45"/>
        <v>6</v>
      </c>
    </row>
    <row r="197" spans="1:22" x14ac:dyDescent="0.25">
      <c r="A197">
        <v>22</v>
      </c>
      <c r="B197">
        <v>7</v>
      </c>
      <c r="C197">
        <v>15.5</v>
      </c>
      <c r="D197">
        <v>1</v>
      </c>
      <c r="E197">
        <v>1</v>
      </c>
      <c r="F197">
        <v>0</v>
      </c>
      <c r="G197">
        <v>1</v>
      </c>
      <c r="H197">
        <v>450</v>
      </c>
      <c r="I197">
        <f t="shared" si="37"/>
        <v>189</v>
      </c>
      <c r="J197" s="6">
        <f t="array" aca="1" ref="J197:N197" ca="1">TRANSPOSE(ols(OFFSET($C$2:$C$10,I197,0),OFFSET($D$2:$H$10,I197,0)))</f>
        <v>224.17261904761563</v>
      </c>
      <c r="K197" s="6">
        <f ca="1"/>
        <v>-25.571428571427987</v>
      </c>
      <c r="L197" s="6">
        <f ca="1"/>
        <v>-75.452380952379372</v>
      </c>
      <c r="M197" s="6">
        <f ca="1"/>
        <v>7.2261904761903679</v>
      </c>
      <c r="N197" s="6">
        <f ca="1"/>
        <v>-0.37130952380951943</v>
      </c>
      <c r="O197" s="6">
        <f t="shared" ca="1" si="38"/>
        <v>38.738095238094274</v>
      </c>
      <c r="P197" t="str">
        <f t="shared" si="39"/>
        <v>NA</v>
      </c>
      <c r="Q197" s="10">
        <f t="shared" ca="1" si="40"/>
        <v>25.988095238094814</v>
      </c>
      <c r="R197" s="10">
        <f t="shared" ca="1" si="41"/>
        <v>205.82738095237801</v>
      </c>
      <c r="S197" s="10">
        <f t="shared" ca="1" si="42"/>
        <v>-179.83928571428319</v>
      </c>
      <c r="T197" s="10">
        <f t="shared" ca="1" si="43"/>
        <v>484.33792882333972</v>
      </c>
      <c r="U197" s="10">
        <f t="shared" ca="1" si="44"/>
        <v>484.33792882333972</v>
      </c>
      <c r="V197">
        <f t="shared" si="45"/>
        <v>5</v>
      </c>
    </row>
    <row r="198" spans="1:22" x14ac:dyDescent="0.25">
      <c r="A198">
        <v>22</v>
      </c>
      <c r="B198">
        <v>8</v>
      </c>
      <c r="C198">
        <v>9.5</v>
      </c>
      <c r="D198">
        <v>1</v>
      </c>
      <c r="E198">
        <v>1</v>
      </c>
      <c r="F198">
        <v>0</v>
      </c>
      <c r="G198">
        <v>1</v>
      </c>
      <c r="H198">
        <v>550</v>
      </c>
      <c r="I198">
        <f t="shared" si="37"/>
        <v>189</v>
      </c>
      <c r="J198" s="6">
        <f t="array" aca="1" ref="J198:N198" ca="1">TRANSPOSE(ols(OFFSET($C$2:$C$10,I198,0),OFFSET($D$2:$H$10,I198,0)))</f>
        <v>224.17261904761563</v>
      </c>
      <c r="K198" s="6">
        <f ca="1"/>
        <v>-25.571428571427987</v>
      </c>
      <c r="L198" s="6">
        <f ca="1"/>
        <v>-75.452380952379372</v>
      </c>
      <c r="M198" s="6">
        <f ca="1"/>
        <v>7.2261904761903679</v>
      </c>
      <c r="N198" s="6">
        <f ca="1"/>
        <v>-0.37130952380951943</v>
      </c>
      <c r="O198" s="6">
        <f t="shared" ca="1" si="38"/>
        <v>1.6071428571423212</v>
      </c>
      <c r="P198" t="str">
        <f t="shared" si="39"/>
        <v>NA</v>
      </c>
      <c r="Q198" s="10">
        <f t="shared" ca="1" si="40"/>
        <v>25.988095238094814</v>
      </c>
      <c r="R198" s="10">
        <f t="shared" ca="1" si="41"/>
        <v>205.82738095237801</v>
      </c>
      <c r="S198" s="10">
        <f t="shared" ca="1" si="42"/>
        <v>-179.83928571428319</v>
      </c>
      <c r="T198" s="10">
        <f t="shared" ca="1" si="43"/>
        <v>484.33792882333972</v>
      </c>
      <c r="U198" s="10">
        <f t="shared" ca="1" si="44"/>
        <v>484.33792882333972</v>
      </c>
      <c r="V198">
        <f t="shared" si="45"/>
        <v>5</v>
      </c>
    </row>
    <row r="199" spans="1:22" x14ac:dyDescent="0.25">
      <c r="A199">
        <v>22</v>
      </c>
      <c r="B199">
        <v>9</v>
      </c>
      <c r="C199">
        <v>4.5</v>
      </c>
      <c r="D199">
        <v>1</v>
      </c>
      <c r="E199">
        <v>0</v>
      </c>
      <c r="F199">
        <v>0</v>
      </c>
      <c r="G199">
        <v>1</v>
      </c>
      <c r="H199">
        <v>650</v>
      </c>
      <c r="I199">
        <f t="shared" si="37"/>
        <v>189</v>
      </c>
      <c r="J199" s="6">
        <f t="array" aca="1" ref="J199:N199" ca="1">TRANSPOSE(ols(OFFSET($C$2:$C$10,I199,0),OFFSET($D$2:$H$10,I199,0)))</f>
        <v>224.17261904761563</v>
      </c>
      <c r="K199" s="6">
        <f ca="1"/>
        <v>-25.571428571427987</v>
      </c>
      <c r="L199" s="6">
        <f ca="1"/>
        <v>-75.452380952379372</v>
      </c>
      <c r="M199" s="6">
        <f ca="1"/>
        <v>7.2261904761903679</v>
      </c>
      <c r="N199" s="6">
        <f ca="1"/>
        <v>-0.37130952380951943</v>
      </c>
      <c r="O199" s="6">
        <f t="shared" ca="1" si="38"/>
        <v>-9.9523809523816453</v>
      </c>
      <c r="P199" t="str">
        <f t="shared" si="39"/>
        <v>NA</v>
      </c>
      <c r="Q199" s="10">
        <f t="shared" ca="1" si="40"/>
        <v>25.988095238094814</v>
      </c>
      <c r="R199" s="10">
        <f t="shared" ca="1" si="41"/>
        <v>231.39880952380599</v>
      </c>
      <c r="S199" s="10">
        <f t="shared" ca="1" si="42"/>
        <v>-205.41071428571118</v>
      </c>
      <c r="T199" s="10">
        <f t="shared" ca="1" si="43"/>
        <v>553.20615581917093</v>
      </c>
      <c r="U199" s="10">
        <f t="shared" ca="1" si="44"/>
        <v>553.20615581917093</v>
      </c>
      <c r="V199">
        <f t="shared" si="45"/>
        <v>4</v>
      </c>
    </row>
    <row r="200" spans="1:22" x14ac:dyDescent="0.25">
      <c r="A200">
        <v>23</v>
      </c>
      <c r="B200">
        <v>1</v>
      </c>
      <c r="C200">
        <v>0</v>
      </c>
      <c r="D200">
        <v>1</v>
      </c>
      <c r="E200">
        <v>0</v>
      </c>
      <c r="F200">
        <v>1</v>
      </c>
      <c r="G200">
        <v>0</v>
      </c>
      <c r="H200">
        <v>250</v>
      </c>
      <c r="I200">
        <f t="shared" si="37"/>
        <v>198</v>
      </c>
      <c r="J200" s="6">
        <f t="array" aca="1" ref="J200:N200" ca="1">TRANSPOSE(ols(OFFSET($C$2:$C$10,I200,0),OFFSET($D$2:$H$10,I200,0)))</f>
        <v>84.523809523809177</v>
      </c>
      <c r="K200" s="6">
        <f ca="1"/>
        <v>5.7142857142855519</v>
      </c>
      <c r="L200" s="6">
        <f ca="1"/>
        <v>-70.476190476190823</v>
      </c>
      <c r="M200" s="6">
        <f ca="1"/>
        <v>5.238095238095525</v>
      </c>
      <c r="N200" s="6">
        <f ca="1"/>
        <v>-6.1904761904765238E-2</v>
      </c>
      <c r="O200" s="6">
        <f t="shared" ca="1" si="38"/>
        <v>-1.4285714285729547</v>
      </c>
      <c r="P200" t="str">
        <f t="shared" si="39"/>
        <v>NA</v>
      </c>
      <c r="Q200" s="10">
        <f t="shared" ca="1" si="40"/>
        <v>-2.3809523809539535</v>
      </c>
      <c r="R200" s="10">
        <f t="shared" ca="1" si="41"/>
        <v>14.047619047618355</v>
      </c>
      <c r="S200" s="10">
        <f t="shared" ca="1" si="42"/>
        <v>-16.428571428572308</v>
      </c>
      <c r="T200" s="10">
        <f t="shared" ca="1" si="43"/>
        <v>265.3846153846153</v>
      </c>
      <c r="U200" s="10">
        <f t="shared" ca="1" si="44"/>
        <v>265.3846153846153</v>
      </c>
      <c r="V200">
        <f t="shared" si="45"/>
        <v>3</v>
      </c>
    </row>
    <row r="201" spans="1:22" x14ac:dyDescent="0.25">
      <c r="A201">
        <v>23</v>
      </c>
      <c r="B201">
        <v>2</v>
      </c>
      <c r="C201">
        <v>70</v>
      </c>
      <c r="D201">
        <v>1</v>
      </c>
      <c r="E201">
        <v>1</v>
      </c>
      <c r="F201">
        <v>0</v>
      </c>
      <c r="G201">
        <v>0</v>
      </c>
      <c r="H201">
        <v>350</v>
      </c>
      <c r="I201">
        <f t="shared" si="37"/>
        <v>198</v>
      </c>
      <c r="J201" s="6">
        <f t="array" aca="1" ref="J201:N201" ca="1">TRANSPOSE(ols(OFFSET($C$2:$C$10,I201,0),OFFSET($D$2:$H$10,I201,0)))</f>
        <v>84.523809523809177</v>
      </c>
      <c r="K201" s="6">
        <f ca="1"/>
        <v>5.7142857142855519</v>
      </c>
      <c r="L201" s="6">
        <f ca="1"/>
        <v>-70.476190476190823</v>
      </c>
      <c r="M201" s="6">
        <f ca="1"/>
        <v>5.238095238095525</v>
      </c>
      <c r="N201" s="6">
        <f ca="1"/>
        <v>-6.1904761904765238E-2</v>
      </c>
      <c r="O201" s="6">
        <f t="shared" ca="1" si="38"/>
        <v>68.571428571426893</v>
      </c>
      <c r="P201" t="str">
        <f t="shared" si="39"/>
        <v>NA</v>
      </c>
      <c r="Q201" s="10">
        <f t="shared" ca="1" si="40"/>
        <v>-2.3809523809539535</v>
      </c>
      <c r="R201" s="10">
        <f t="shared" ca="1" si="41"/>
        <v>90.238095238094729</v>
      </c>
      <c r="S201" s="10">
        <f t="shared" ca="1" si="42"/>
        <v>-92.619047619048686</v>
      </c>
      <c r="T201" s="10">
        <f t="shared" ca="1" si="43"/>
        <v>1496.1538461537828</v>
      </c>
      <c r="U201" s="10" t="str">
        <f t="shared" ca="1" si="44"/>
        <v>OR</v>
      </c>
      <c r="V201">
        <f t="shared" si="45"/>
        <v>2</v>
      </c>
    </row>
    <row r="202" spans="1:22" x14ac:dyDescent="0.25">
      <c r="A202">
        <v>23</v>
      </c>
      <c r="B202">
        <v>3</v>
      </c>
      <c r="C202">
        <v>60</v>
      </c>
      <c r="D202">
        <v>1</v>
      </c>
      <c r="E202">
        <v>1</v>
      </c>
      <c r="F202">
        <v>0</v>
      </c>
      <c r="G202">
        <v>0</v>
      </c>
      <c r="H202">
        <v>450</v>
      </c>
      <c r="I202">
        <f t="shared" si="37"/>
        <v>198</v>
      </c>
      <c r="J202" s="6">
        <f t="array" aca="1" ref="J202:N202" ca="1">TRANSPOSE(ols(OFFSET($C$2:$C$10,I202,0),OFFSET($D$2:$H$10,I202,0)))</f>
        <v>84.523809523809177</v>
      </c>
      <c r="K202" s="6">
        <f ca="1"/>
        <v>5.7142857142855519</v>
      </c>
      <c r="L202" s="6">
        <f ca="1"/>
        <v>-70.476190476190823</v>
      </c>
      <c r="M202" s="6">
        <f ca="1"/>
        <v>5.238095238095525</v>
      </c>
      <c r="N202" s="6">
        <f ca="1"/>
        <v>-6.1904761904765238E-2</v>
      </c>
      <c r="O202" s="6">
        <f t="shared" ca="1" si="38"/>
        <v>62.380952380950376</v>
      </c>
      <c r="P202" t="str">
        <f t="shared" si="39"/>
        <v>NA</v>
      </c>
      <c r="Q202" s="10">
        <f t="shared" ca="1" si="40"/>
        <v>-2.3809523809539535</v>
      </c>
      <c r="R202" s="10">
        <f t="shared" ca="1" si="41"/>
        <v>90.238095238094729</v>
      </c>
      <c r="S202" s="10">
        <f t="shared" ca="1" si="42"/>
        <v>-92.619047619048686</v>
      </c>
      <c r="T202" s="10">
        <f t="shared" ca="1" si="43"/>
        <v>1496.1538461537828</v>
      </c>
      <c r="U202" s="10" t="str">
        <f t="shared" ca="1" si="44"/>
        <v>OR</v>
      </c>
      <c r="V202">
        <f t="shared" si="45"/>
        <v>2</v>
      </c>
    </row>
    <row r="203" spans="1:22" x14ac:dyDescent="0.25">
      <c r="A203">
        <v>23</v>
      </c>
      <c r="B203">
        <v>4</v>
      </c>
      <c r="C203">
        <v>50</v>
      </c>
      <c r="D203">
        <v>1</v>
      </c>
      <c r="E203">
        <v>0</v>
      </c>
      <c r="F203">
        <v>0</v>
      </c>
      <c r="G203">
        <v>0</v>
      </c>
      <c r="H203">
        <v>550</v>
      </c>
      <c r="I203">
        <f t="shared" si="37"/>
        <v>198</v>
      </c>
      <c r="J203" s="6">
        <f t="array" aca="1" ref="J203:N203" ca="1">TRANSPOSE(ols(OFFSET($C$2:$C$10,I203,0),OFFSET($D$2:$H$10,I203,0)))</f>
        <v>84.523809523809177</v>
      </c>
      <c r="K203" s="6">
        <f ca="1"/>
        <v>5.7142857142855519</v>
      </c>
      <c r="L203" s="6">
        <f ca="1"/>
        <v>-70.476190476190823</v>
      </c>
      <c r="M203" s="6">
        <f ca="1"/>
        <v>5.238095238095525</v>
      </c>
      <c r="N203" s="6">
        <f ca="1"/>
        <v>-6.1904761904765238E-2</v>
      </c>
      <c r="O203" s="6">
        <f t="shared" ca="1" si="38"/>
        <v>50.476190476188293</v>
      </c>
      <c r="P203" t="str">
        <f t="shared" si="39"/>
        <v>NA</v>
      </c>
      <c r="Q203" s="10">
        <f t="shared" ca="1" si="40"/>
        <v>-2.3809523809539535</v>
      </c>
      <c r="R203" s="10">
        <f t="shared" ca="1" si="41"/>
        <v>84.523809523809177</v>
      </c>
      <c r="S203" s="10">
        <f t="shared" ca="1" si="42"/>
        <v>-86.904761904763134</v>
      </c>
      <c r="T203" s="10">
        <f t="shared" ca="1" si="43"/>
        <v>1403.8461538460981</v>
      </c>
      <c r="U203" s="10" t="str">
        <f t="shared" ca="1" si="44"/>
        <v>OR</v>
      </c>
      <c r="V203">
        <f t="shared" si="45"/>
        <v>1</v>
      </c>
    </row>
    <row r="204" spans="1:22" x14ac:dyDescent="0.25">
      <c r="A204">
        <v>23</v>
      </c>
      <c r="B204">
        <v>5</v>
      </c>
      <c r="C204">
        <v>0</v>
      </c>
      <c r="D204">
        <v>1</v>
      </c>
      <c r="E204">
        <v>0</v>
      </c>
      <c r="F204">
        <v>1</v>
      </c>
      <c r="G204">
        <v>1</v>
      </c>
      <c r="H204">
        <v>250</v>
      </c>
      <c r="I204">
        <f t="shared" ref="I204:I267" si="46">IF(A204&gt;A203,I203+9,I203)</f>
        <v>198</v>
      </c>
      <c r="J204" s="6">
        <f t="array" aca="1" ref="J204:N204" ca="1">TRANSPOSE(ols(OFFSET($C$2:$C$10,I204,0),OFFSET($D$2:$H$10,I204,0)))</f>
        <v>84.523809523809177</v>
      </c>
      <c r="K204" s="6">
        <f ca="1"/>
        <v>5.7142857142855519</v>
      </c>
      <c r="L204" s="6">
        <f ca="1"/>
        <v>-70.476190476190823</v>
      </c>
      <c r="M204" s="6">
        <f ca="1"/>
        <v>5.238095238095525</v>
      </c>
      <c r="N204" s="6">
        <f ca="1"/>
        <v>-6.1904761904765238E-2</v>
      </c>
      <c r="O204" s="6">
        <f t="shared" ca="1" si="38"/>
        <v>3.8095238095225703</v>
      </c>
      <c r="P204" t="str">
        <f t="shared" si="39"/>
        <v>NA</v>
      </c>
      <c r="Q204" s="10">
        <f t="shared" ca="1" si="40"/>
        <v>-2.3809523809539535</v>
      </c>
      <c r="R204" s="10">
        <f t="shared" ca="1" si="41"/>
        <v>19.28571428571388</v>
      </c>
      <c r="S204" s="10">
        <f t="shared" ca="1" si="42"/>
        <v>-21.666666666667833</v>
      </c>
      <c r="T204" s="10">
        <f t="shared" ca="1" si="43"/>
        <v>350</v>
      </c>
      <c r="U204" s="10">
        <f t="shared" ca="1" si="44"/>
        <v>350</v>
      </c>
      <c r="V204">
        <f t="shared" si="45"/>
        <v>6</v>
      </c>
    </row>
    <row r="205" spans="1:22" x14ac:dyDescent="0.25">
      <c r="A205">
        <v>23</v>
      </c>
      <c r="B205">
        <v>6</v>
      </c>
      <c r="C205">
        <v>0</v>
      </c>
      <c r="D205">
        <v>1</v>
      </c>
      <c r="E205">
        <v>0</v>
      </c>
      <c r="F205">
        <v>1</v>
      </c>
      <c r="G205">
        <v>1</v>
      </c>
      <c r="H205">
        <v>350</v>
      </c>
      <c r="I205">
        <f t="shared" si="46"/>
        <v>198</v>
      </c>
      <c r="J205" s="6">
        <f t="array" aca="1" ref="J205:N205" ca="1">TRANSPOSE(ols(OFFSET($C$2:$C$10,I205,0),OFFSET($D$2:$H$10,I205,0)))</f>
        <v>84.523809523809177</v>
      </c>
      <c r="K205" s="6">
        <f ca="1"/>
        <v>5.7142857142855519</v>
      </c>
      <c r="L205" s="6">
        <f ca="1"/>
        <v>-70.476190476190823</v>
      </c>
      <c r="M205" s="6">
        <f ca="1"/>
        <v>5.238095238095525</v>
      </c>
      <c r="N205" s="6">
        <f ca="1"/>
        <v>-6.1904761904765238E-2</v>
      </c>
      <c r="O205" s="6">
        <f t="shared" ca="1" si="38"/>
        <v>-2.3809523809539535</v>
      </c>
      <c r="P205">
        <f t="shared" ca="1" si="39"/>
        <v>-2.3809523809539535</v>
      </c>
      <c r="Q205" s="10">
        <f t="shared" ca="1" si="40"/>
        <v>-2.3809523809539535</v>
      </c>
      <c r="R205" s="10">
        <f t="shared" ca="1" si="41"/>
        <v>19.28571428571388</v>
      </c>
      <c r="S205" s="10">
        <f t="shared" ca="1" si="42"/>
        <v>-21.666666666667833</v>
      </c>
      <c r="T205" s="10">
        <f t="shared" ca="1" si="43"/>
        <v>350</v>
      </c>
      <c r="U205" s="10">
        <f t="shared" ca="1" si="44"/>
        <v>350</v>
      </c>
      <c r="V205">
        <f t="shared" si="45"/>
        <v>6</v>
      </c>
    </row>
    <row r="206" spans="1:22" x14ac:dyDescent="0.25">
      <c r="A206">
        <v>23</v>
      </c>
      <c r="B206">
        <v>7</v>
      </c>
      <c r="C206">
        <v>70</v>
      </c>
      <c r="D206">
        <v>1</v>
      </c>
      <c r="E206">
        <v>1</v>
      </c>
      <c r="F206">
        <v>0</v>
      </c>
      <c r="G206">
        <v>1</v>
      </c>
      <c r="H206">
        <v>450</v>
      </c>
      <c r="I206">
        <f t="shared" si="46"/>
        <v>198</v>
      </c>
      <c r="J206" s="6">
        <f t="array" aca="1" ref="J206:N206" ca="1">TRANSPOSE(ols(OFFSET($C$2:$C$10,I206,0),OFFSET($D$2:$H$10,I206,0)))</f>
        <v>84.523809523809177</v>
      </c>
      <c r="K206" s="6">
        <f ca="1"/>
        <v>5.7142857142855519</v>
      </c>
      <c r="L206" s="6">
        <f ca="1"/>
        <v>-70.476190476190823</v>
      </c>
      <c r="M206" s="6">
        <f ca="1"/>
        <v>5.238095238095525</v>
      </c>
      <c r="N206" s="6">
        <f ca="1"/>
        <v>-6.1904761904765238E-2</v>
      </c>
      <c r="O206" s="6">
        <f t="shared" ca="1" si="38"/>
        <v>67.619047619045901</v>
      </c>
      <c r="P206" t="str">
        <f t="shared" si="39"/>
        <v>NA</v>
      </c>
      <c r="Q206" s="10">
        <f t="shared" ca="1" si="40"/>
        <v>-2.3809523809539535</v>
      </c>
      <c r="R206" s="10">
        <f t="shared" ca="1" si="41"/>
        <v>95.476190476190254</v>
      </c>
      <c r="S206" s="10">
        <f t="shared" ca="1" si="42"/>
        <v>-97.857142857144211</v>
      </c>
      <c r="T206" s="10">
        <f t="shared" ca="1" si="43"/>
        <v>1580.7692307691675</v>
      </c>
      <c r="U206" s="10" t="str">
        <f t="shared" ca="1" si="44"/>
        <v>OR</v>
      </c>
      <c r="V206">
        <f t="shared" si="45"/>
        <v>5</v>
      </c>
    </row>
    <row r="207" spans="1:22" x14ac:dyDescent="0.25">
      <c r="A207">
        <v>23</v>
      </c>
      <c r="B207">
        <v>8</v>
      </c>
      <c r="C207">
        <v>60</v>
      </c>
      <c r="D207">
        <v>1</v>
      </c>
      <c r="E207">
        <v>1</v>
      </c>
      <c r="F207">
        <v>0</v>
      </c>
      <c r="G207">
        <v>1</v>
      </c>
      <c r="H207">
        <v>550</v>
      </c>
      <c r="I207">
        <f t="shared" si="46"/>
        <v>198</v>
      </c>
      <c r="J207" s="6">
        <f t="array" aca="1" ref="J207:N207" ca="1">TRANSPOSE(ols(OFFSET($C$2:$C$10,I207,0),OFFSET($D$2:$H$10,I207,0)))</f>
        <v>84.523809523809177</v>
      </c>
      <c r="K207" s="6">
        <f ca="1"/>
        <v>5.7142857142855519</v>
      </c>
      <c r="L207" s="6">
        <f ca="1"/>
        <v>-70.476190476190823</v>
      </c>
      <c r="M207" s="6">
        <f ca="1"/>
        <v>5.238095238095525</v>
      </c>
      <c r="N207" s="6">
        <f ca="1"/>
        <v>-6.1904761904765238E-2</v>
      </c>
      <c r="O207" s="6">
        <f t="shared" ca="1" si="38"/>
        <v>61.42857142856937</v>
      </c>
      <c r="P207" t="str">
        <f t="shared" si="39"/>
        <v>NA</v>
      </c>
      <c r="Q207" s="10">
        <f t="shared" ca="1" si="40"/>
        <v>-2.3809523809539535</v>
      </c>
      <c r="R207" s="10">
        <f t="shared" ca="1" si="41"/>
        <v>95.476190476190254</v>
      </c>
      <c r="S207" s="10">
        <f t="shared" ca="1" si="42"/>
        <v>-97.857142857144211</v>
      </c>
      <c r="T207" s="10">
        <f t="shared" ca="1" si="43"/>
        <v>1580.7692307691675</v>
      </c>
      <c r="U207" s="10" t="str">
        <f t="shared" ca="1" si="44"/>
        <v>OR</v>
      </c>
      <c r="V207">
        <f t="shared" si="45"/>
        <v>5</v>
      </c>
    </row>
    <row r="208" spans="1:22" x14ac:dyDescent="0.25">
      <c r="A208">
        <v>23</v>
      </c>
      <c r="B208">
        <v>9</v>
      </c>
      <c r="C208">
        <v>50</v>
      </c>
      <c r="D208">
        <v>1</v>
      </c>
      <c r="E208">
        <v>0</v>
      </c>
      <c r="F208">
        <v>0</v>
      </c>
      <c r="G208">
        <v>1</v>
      </c>
      <c r="H208">
        <v>650</v>
      </c>
      <c r="I208">
        <f t="shared" si="46"/>
        <v>198</v>
      </c>
      <c r="J208" s="6">
        <f t="array" aca="1" ref="J208:N208" ca="1">TRANSPOSE(ols(OFFSET($C$2:$C$10,I208,0),OFFSET($D$2:$H$10,I208,0)))</f>
        <v>84.523809523809177</v>
      </c>
      <c r="K208" s="6">
        <f ca="1"/>
        <v>5.7142857142855519</v>
      </c>
      <c r="L208" s="6">
        <f ca="1"/>
        <v>-70.476190476190823</v>
      </c>
      <c r="M208" s="6">
        <f ca="1"/>
        <v>5.238095238095525</v>
      </c>
      <c r="N208" s="6">
        <f ca="1"/>
        <v>-6.1904761904765238E-2</v>
      </c>
      <c r="O208" s="6">
        <f t="shared" ca="1" si="38"/>
        <v>49.523809523807302</v>
      </c>
      <c r="P208" t="str">
        <f t="shared" si="39"/>
        <v>NA</v>
      </c>
      <c r="Q208" s="10">
        <f t="shared" ca="1" si="40"/>
        <v>-2.3809523809539535</v>
      </c>
      <c r="R208" s="10">
        <f t="shared" ca="1" si="41"/>
        <v>89.761904761904702</v>
      </c>
      <c r="S208" s="10">
        <f t="shared" ca="1" si="42"/>
        <v>-92.142857142858659</v>
      </c>
      <c r="T208" s="10">
        <f t="shared" ca="1" si="43"/>
        <v>1488.4615384614829</v>
      </c>
      <c r="U208" s="10" t="str">
        <f t="shared" ca="1" si="44"/>
        <v>OR</v>
      </c>
      <c r="V208">
        <f t="shared" si="45"/>
        <v>4</v>
      </c>
    </row>
    <row r="209" spans="1:22" x14ac:dyDescent="0.25">
      <c r="A209">
        <v>24</v>
      </c>
      <c r="B209">
        <v>1</v>
      </c>
      <c r="C209">
        <v>0</v>
      </c>
      <c r="D209">
        <v>1</v>
      </c>
      <c r="E209">
        <v>0</v>
      </c>
      <c r="F209">
        <v>1</v>
      </c>
      <c r="G209">
        <v>0</v>
      </c>
      <c r="H209">
        <v>250</v>
      </c>
      <c r="I209">
        <f t="shared" si="46"/>
        <v>207</v>
      </c>
      <c r="J209" s="6">
        <f t="array" aca="1" ref="J209:N209" ca="1">TRANSPOSE(ols(OFFSET($C$2:$C$10,I209,0),OFFSET($D$2:$H$10,I209,0)))</f>
        <v>69.523809523809177</v>
      </c>
      <c r="K209" s="6">
        <f ca="1"/>
        <v>8.2142857142855519</v>
      </c>
      <c r="L209" s="6">
        <f ca="1"/>
        <v>-45.476190476190368</v>
      </c>
      <c r="M209" s="6">
        <f ca="1"/>
        <v>-4.7619047619045887</v>
      </c>
      <c r="N209" s="6">
        <f ca="1"/>
        <v>-6.1904761904763461E-2</v>
      </c>
      <c r="O209" s="6">
        <f t="shared" ca="1" si="38"/>
        <v>8.5714285714279441</v>
      </c>
      <c r="P209" t="str">
        <f t="shared" si="39"/>
        <v>NA</v>
      </c>
      <c r="Q209" s="10">
        <f t="shared" ca="1" si="40"/>
        <v>-2.3809523809529907</v>
      </c>
      <c r="R209" s="10">
        <f t="shared" ca="1" si="41"/>
        <v>24.047619047618809</v>
      </c>
      <c r="S209" s="10">
        <f t="shared" ca="1" si="42"/>
        <v>-26.4285714285718</v>
      </c>
      <c r="T209" s="10">
        <f t="shared" ca="1" si="43"/>
        <v>426.92307692307219</v>
      </c>
      <c r="U209" s="10">
        <f t="shared" ca="1" si="44"/>
        <v>426.92307692307219</v>
      </c>
      <c r="V209">
        <f t="shared" si="45"/>
        <v>3</v>
      </c>
    </row>
    <row r="210" spans="1:22" x14ac:dyDescent="0.25">
      <c r="A210">
        <v>24</v>
      </c>
      <c r="B210">
        <v>2</v>
      </c>
      <c r="C210">
        <v>50</v>
      </c>
      <c r="D210">
        <v>1</v>
      </c>
      <c r="E210">
        <v>1</v>
      </c>
      <c r="F210">
        <v>0</v>
      </c>
      <c r="G210">
        <v>0</v>
      </c>
      <c r="H210">
        <v>350</v>
      </c>
      <c r="I210">
        <f t="shared" si="46"/>
        <v>207</v>
      </c>
      <c r="J210" s="6">
        <f t="array" aca="1" ref="J210:N210" ca="1">TRANSPOSE(ols(OFFSET($C$2:$C$10,I210,0),OFFSET($D$2:$H$10,I210,0)))</f>
        <v>69.523809523809177</v>
      </c>
      <c r="K210" s="6">
        <f ca="1"/>
        <v>8.2142857142855519</v>
      </c>
      <c r="L210" s="6">
        <f ca="1"/>
        <v>-45.476190476190368</v>
      </c>
      <c r="M210" s="6">
        <f ca="1"/>
        <v>-4.7619047619045887</v>
      </c>
      <c r="N210" s="6">
        <f ca="1"/>
        <v>-6.1904761904763461E-2</v>
      </c>
      <c r="O210" s="6">
        <f t="shared" ca="1" si="38"/>
        <v>56.071428571427518</v>
      </c>
      <c r="P210" t="str">
        <f t="shared" si="39"/>
        <v>NA</v>
      </c>
      <c r="Q210" s="10">
        <f t="shared" ca="1" si="40"/>
        <v>-2.3809523809529907</v>
      </c>
      <c r="R210" s="10">
        <f t="shared" ca="1" si="41"/>
        <v>77.738095238094729</v>
      </c>
      <c r="S210" s="10">
        <f t="shared" ca="1" si="42"/>
        <v>-80.11904761904772</v>
      </c>
      <c r="T210" s="10">
        <f t="shared" ca="1" si="43"/>
        <v>1294.2307692307384</v>
      </c>
      <c r="U210" s="10" t="str">
        <f t="shared" ca="1" si="44"/>
        <v>OR</v>
      </c>
      <c r="V210">
        <f t="shared" si="45"/>
        <v>2</v>
      </c>
    </row>
    <row r="211" spans="1:22" x14ac:dyDescent="0.25">
      <c r="A211">
        <v>24</v>
      </c>
      <c r="B211">
        <v>3</v>
      </c>
      <c r="C211">
        <v>50</v>
      </c>
      <c r="D211">
        <v>1</v>
      </c>
      <c r="E211">
        <v>1</v>
      </c>
      <c r="F211">
        <v>0</v>
      </c>
      <c r="G211">
        <v>0</v>
      </c>
      <c r="H211">
        <v>450</v>
      </c>
      <c r="I211">
        <f t="shared" si="46"/>
        <v>207</v>
      </c>
      <c r="J211" s="6">
        <f t="array" aca="1" ref="J211:N211" ca="1">TRANSPOSE(ols(OFFSET($C$2:$C$10,I211,0),OFFSET($D$2:$H$10,I211,0)))</f>
        <v>69.523809523809177</v>
      </c>
      <c r="K211" s="6">
        <f ca="1"/>
        <v>8.2142857142855519</v>
      </c>
      <c r="L211" s="6">
        <f ca="1"/>
        <v>-45.476190476190368</v>
      </c>
      <c r="M211" s="6">
        <f ca="1"/>
        <v>-4.7619047619045887</v>
      </c>
      <c r="N211" s="6">
        <f ca="1"/>
        <v>-6.1904761904763461E-2</v>
      </c>
      <c r="O211" s="6">
        <f t="shared" ca="1" si="38"/>
        <v>49.880952380951172</v>
      </c>
      <c r="P211" t="str">
        <f t="shared" si="39"/>
        <v>NA</v>
      </c>
      <c r="Q211" s="10">
        <f t="shared" ca="1" si="40"/>
        <v>-2.3809523809529907</v>
      </c>
      <c r="R211" s="10">
        <f t="shared" ca="1" si="41"/>
        <v>77.738095238094729</v>
      </c>
      <c r="S211" s="10">
        <f t="shared" ca="1" si="42"/>
        <v>-80.11904761904772</v>
      </c>
      <c r="T211" s="10">
        <f t="shared" ca="1" si="43"/>
        <v>1294.2307692307384</v>
      </c>
      <c r="U211" s="10" t="str">
        <f t="shared" ca="1" si="44"/>
        <v>OR</v>
      </c>
      <c r="V211">
        <f t="shared" si="45"/>
        <v>2</v>
      </c>
    </row>
    <row r="212" spans="1:22" x14ac:dyDescent="0.25">
      <c r="A212">
        <v>24</v>
      </c>
      <c r="B212">
        <v>4</v>
      </c>
      <c r="C212">
        <v>50</v>
      </c>
      <c r="D212">
        <v>1</v>
      </c>
      <c r="E212">
        <v>0</v>
      </c>
      <c r="F212">
        <v>0</v>
      </c>
      <c r="G212">
        <v>0</v>
      </c>
      <c r="H212">
        <v>550</v>
      </c>
      <c r="I212">
        <f t="shared" si="46"/>
        <v>207</v>
      </c>
      <c r="J212" s="6">
        <f t="array" aca="1" ref="J212:N212" ca="1">TRANSPOSE(ols(OFFSET($C$2:$C$10,I212,0),OFFSET($D$2:$H$10,I212,0)))</f>
        <v>69.523809523809177</v>
      </c>
      <c r="K212" s="6">
        <f ca="1"/>
        <v>8.2142857142855519</v>
      </c>
      <c r="L212" s="6">
        <f ca="1"/>
        <v>-45.476190476190368</v>
      </c>
      <c r="M212" s="6">
        <f ca="1"/>
        <v>-4.7619047619045887</v>
      </c>
      <c r="N212" s="6">
        <f ca="1"/>
        <v>-6.1904761904763461E-2</v>
      </c>
      <c r="O212" s="6">
        <f t="shared" ca="1" si="38"/>
        <v>35.476190476189274</v>
      </c>
      <c r="P212" t="str">
        <f t="shared" si="39"/>
        <v>NA</v>
      </c>
      <c r="Q212" s="10">
        <f t="shared" ca="1" si="40"/>
        <v>-2.3809523809529907</v>
      </c>
      <c r="R212" s="10">
        <f t="shared" ca="1" si="41"/>
        <v>69.523809523809177</v>
      </c>
      <c r="S212" s="10">
        <f t="shared" ca="1" si="42"/>
        <v>-71.904761904762168</v>
      </c>
      <c r="T212" s="10">
        <f t="shared" ca="1" si="43"/>
        <v>1161.5384615384366</v>
      </c>
      <c r="U212" s="10" t="str">
        <f t="shared" ca="1" si="44"/>
        <v>OR</v>
      </c>
      <c r="V212">
        <f t="shared" si="45"/>
        <v>1</v>
      </c>
    </row>
    <row r="213" spans="1:22" x14ac:dyDescent="0.25">
      <c r="A213">
        <v>24</v>
      </c>
      <c r="B213">
        <v>5</v>
      </c>
      <c r="C213">
        <v>5</v>
      </c>
      <c r="D213">
        <v>1</v>
      </c>
      <c r="E213">
        <v>0</v>
      </c>
      <c r="F213">
        <v>1</v>
      </c>
      <c r="G213">
        <v>1</v>
      </c>
      <c r="H213">
        <v>250</v>
      </c>
      <c r="I213">
        <f t="shared" si="46"/>
        <v>207</v>
      </c>
      <c r="J213" s="6">
        <f t="array" aca="1" ref="J213:N213" ca="1">TRANSPOSE(ols(OFFSET($C$2:$C$10,I213,0),OFFSET($D$2:$H$10,I213,0)))</f>
        <v>69.523809523809177</v>
      </c>
      <c r="K213" s="6">
        <f ca="1"/>
        <v>8.2142857142855519</v>
      </c>
      <c r="L213" s="6">
        <f ca="1"/>
        <v>-45.476190476190368</v>
      </c>
      <c r="M213" s="6">
        <f ca="1"/>
        <v>-4.7619047619045887</v>
      </c>
      <c r="N213" s="6">
        <f ca="1"/>
        <v>-6.1904761904763461E-2</v>
      </c>
      <c r="O213" s="6">
        <f t="shared" ca="1" si="38"/>
        <v>3.8095238095233555</v>
      </c>
      <c r="P213" t="str">
        <f t="shared" si="39"/>
        <v>NA</v>
      </c>
      <c r="Q213" s="10">
        <f t="shared" ca="1" si="40"/>
        <v>-2.3809523809529907</v>
      </c>
      <c r="R213" s="10">
        <f t="shared" ca="1" si="41"/>
        <v>19.285714285714221</v>
      </c>
      <c r="S213" s="10">
        <f t="shared" ca="1" si="42"/>
        <v>-21.666666666667211</v>
      </c>
      <c r="T213" s="10">
        <f t="shared" ca="1" si="43"/>
        <v>350</v>
      </c>
      <c r="U213" s="10">
        <f t="shared" ca="1" si="44"/>
        <v>350</v>
      </c>
      <c r="V213">
        <f t="shared" si="45"/>
        <v>6</v>
      </c>
    </row>
    <row r="214" spans="1:22" x14ac:dyDescent="0.25">
      <c r="A214">
        <v>24</v>
      </c>
      <c r="B214">
        <v>6</v>
      </c>
      <c r="C214">
        <v>5</v>
      </c>
      <c r="D214">
        <v>1</v>
      </c>
      <c r="E214">
        <v>0</v>
      </c>
      <c r="F214">
        <v>1</v>
      </c>
      <c r="G214">
        <v>1</v>
      </c>
      <c r="H214">
        <v>350</v>
      </c>
      <c r="I214">
        <f t="shared" si="46"/>
        <v>207</v>
      </c>
      <c r="J214" s="6">
        <f t="array" aca="1" ref="J214:N214" ca="1">TRANSPOSE(ols(OFFSET($C$2:$C$10,I214,0),OFFSET($D$2:$H$10,I214,0)))</f>
        <v>69.523809523809177</v>
      </c>
      <c r="K214" s="6">
        <f ca="1"/>
        <v>8.2142857142855519</v>
      </c>
      <c r="L214" s="6">
        <f ca="1"/>
        <v>-45.476190476190368</v>
      </c>
      <c r="M214" s="6">
        <f ca="1"/>
        <v>-4.7619047619045887</v>
      </c>
      <c r="N214" s="6">
        <f ca="1"/>
        <v>-6.1904761904763461E-2</v>
      </c>
      <c r="O214" s="6">
        <f t="shared" ca="1" si="38"/>
        <v>-2.3809523809529907</v>
      </c>
      <c r="P214">
        <f t="shared" ca="1" si="39"/>
        <v>-2.3809523809529907</v>
      </c>
      <c r="Q214" s="10">
        <f t="shared" ca="1" si="40"/>
        <v>-2.3809523809529907</v>
      </c>
      <c r="R214" s="10">
        <f t="shared" ca="1" si="41"/>
        <v>19.285714285714221</v>
      </c>
      <c r="S214" s="10">
        <f t="shared" ca="1" si="42"/>
        <v>-21.666666666667211</v>
      </c>
      <c r="T214" s="10">
        <f t="shared" ca="1" si="43"/>
        <v>350</v>
      </c>
      <c r="U214" s="10">
        <f t="shared" ca="1" si="44"/>
        <v>350</v>
      </c>
      <c r="V214">
        <f t="shared" si="45"/>
        <v>6</v>
      </c>
    </row>
    <row r="215" spans="1:22" x14ac:dyDescent="0.25">
      <c r="A215">
        <v>24</v>
      </c>
      <c r="B215">
        <v>7</v>
      </c>
      <c r="C215">
        <v>50</v>
      </c>
      <c r="D215">
        <v>1</v>
      </c>
      <c r="E215">
        <v>1</v>
      </c>
      <c r="F215">
        <v>0</v>
      </c>
      <c r="G215">
        <v>1</v>
      </c>
      <c r="H215">
        <v>450</v>
      </c>
      <c r="I215">
        <f t="shared" si="46"/>
        <v>207</v>
      </c>
      <c r="J215" s="6">
        <f t="array" aca="1" ref="J215:N215" ca="1">TRANSPOSE(ols(OFFSET($C$2:$C$10,I215,0),OFFSET($D$2:$H$10,I215,0)))</f>
        <v>69.523809523809177</v>
      </c>
      <c r="K215" s="6">
        <f ca="1"/>
        <v>8.2142857142855519</v>
      </c>
      <c r="L215" s="6">
        <f ca="1"/>
        <v>-45.476190476190368</v>
      </c>
      <c r="M215" s="6">
        <f ca="1"/>
        <v>-4.7619047619045887</v>
      </c>
      <c r="N215" s="6">
        <f ca="1"/>
        <v>-6.1904761904763461E-2</v>
      </c>
      <c r="O215" s="6">
        <f t="shared" ca="1" si="38"/>
        <v>45.119047619046583</v>
      </c>
      <c r="P215" t="str">
        <f t="shared" si="39"/>
        <v>NA</v>
      </c>
      <c r="Q215" s="10">
        <f t="shared" ca="1" si="40"/>
        <v>-2.3809523809529907</v>
      </c>
      <c r="R215" s="10">
        <f t="shared" ca="1" si="41"/>
        <v>72.976190476190141</v>
      </c>
      <c r="S215" s="10">
        <f t="shared" ca="1" si="42"/>
        <v>-75.357142857143131</v>
      </c>
      <c r="T215" s="10">
        <f t="shared" ca="1" si="43"/>
        <v>1217.3076923076662</v>
      </c>
      <c r="U215" s="10" t="str">
        <f t="shared" ca="1" si="44"/>
        <v>OR</v>
      </c>
      <c r="V215">
        <f t="shared" si="45"/>
        <v>5</v>
      </c>
    </row>
    <row r="216" spans="1:22" x14ac:dyDescent="0.25">
      <c r="A216">
        <v>24</v>
      </c>
      <c r="B216">
        <v>8</v>
      </c>
      <c r="C216">
        <v>40</v>
      </c>
      <c r="D216">
        <v>1</v>
      </c>
      <c r="E216">
        <v>1</v>
      </c>
      <c r="F216">
        <v>0</v>
      </c>
      <c r="G216">
        <v>1</v>
      </c>
      <c r="H216">
        <v>550</v>
      </c>
      <c r="I216">
        <f t="shared" si="46"/>
        <v>207</v>
      </c>
      <c r="J216" s="6">
        <f t="array" aca="1" ref="J216:N216" ca="1">TRANSPOSE(ols(OFFSET($C$2:$C$10,I216,0),OFFSET($D$2:$H$10,I216,0)))</f>
        <v>69.523809523809177</v>
      </c>
      <c r="K216" s="6">
        <f ca="1"/>
        <v>8.2142857142855519</v>
      </c>
      <c r="L216" s="6">
        <f ca="1"/>
        <v>-45.476190476190368</v>
      </c>
      <c r="M216" s="6">
        <f ca="1"/>
        <v>-4.7619047619045887</v>
      </c>
      <c r="N216" s="6">
        <f ca="1"/>
        <v>-6.1904761904763461E-2</v>
      </c>
      <c r="O216" s="6">
        <f t="shared" ca="1" si="38"/>
        <v>38.928571428570237</v>
      </c>
      <c r="P216" t="str">
        <f t="shared" si="39"/>
        <v>NA</v>
      </c>
      <c r="Q216" s="10">
        <f t="shared" ca="1" si="40"/>
        <v>-2.3809523809529907</v>
      </c>
      <c r="R216" s="10">
        <f t="shared" ca="1" si="41"/>
        <v>72.976190476190141</v>
      </c>
      <c r="S216" s="10">
        <f t="shared" ca="1" si="42"/>
        <v>-75.357142857143131</v>
      </c>
      <c r="T216" s="10">
        <f t="shared" ca="1" si="43"/>
        <v>1217.3076923076662</v>
      </c>
      <c r="U216" s="10" t="str">
        <f t="shared" ca="1" si="44"/>
        <v>OR</v>
      </c>
      <c r="V216">
        <f t="shared" si="45"/>
        <v>5</v>
      </c>
    </row>
    <row r="217" spans="1:22" x14ac:dyDescent="0.25">
      <c r="A217">
        <v>24</v>
      </c>
      <c r="B217">
        <v>9</v>
      </c>
      <c r="C217">
        <v>10</v>
      </c>
      <c r="D217">
        <v>1</v>
      </c>
      <c r="E217">
        <v>0</v>
      </c>
      <c r="F217">
        <v>0</v>
      </c>
      <c r="G217">
        <v>1</v>
      </c>
      <c r="H217">
        <v>650</v>
      </c>
      <c r="I217">
        <f t="shared" si="46"/>
        <v>207</v>
      </c>
      <c r="J217" s="6">
        <f t="array" aca="1" ref="J217:N217" ca="1">TRANSPOSE(ols(OFFSET($C$2:$C$10,I217,0),OFFSET($D$2:$H$10,I217,0)))</f>
        <v>69.523809523809177</v>
      </c>
      <c r="K217" s="6">
        <f ca="1"/>
        <v>8.2142857142855519</v>
      </c>
      <c r="L217" s="6">
        <f ca="1"/>
        <v>-45.476190476190368</v>
      </c>
      <c r="M217" s="6">
        <f ca="1"/>
        <v>-4.7619047619045887</v>
      </c>
      <c r="N217" s="6">
        <f ca="1"/>
        <v>-6.1904761904763461E-2</v>
      </c>
      <c r="O217" s="6">
        <f t="shared" ca="1" si="38"/>
        <v>24.523809523808339</v>
      </c>
      <c r="P217" t="str">
        <f t="shared" si="39"/>
        <v>NA</v>
      </c>
      <c r="Q217" s="10">
        <f t="shared" ca="1" si="40"/>
        <v>-2.3809523809529907</v>
      </c>
      <c r="R217" s="10">
        <f t="shared" ca="1" si="41"/>
        <v>64.761904761904589</v>
      </c>
      <c r="S217" s="10">
        <f t="shared" ca="1" si="42"/>
        <v>-67.142857142857579</v>
      </c>
      <c r="T217" s="10">
        <f t="shared" ca="1" si="43"/>
        <v>1084.6153846153643</v>
      </c>
      <c r="U217" s="10" t="str">
        <f t="shared" ca="1" si="44"/>
        <v>OR</v>
      </c>
      <c r="V217">
        <f t="shared" si="45"/>
        <v>4</v>
      </c>
    </row>
    <row r="218" spans="1:22" x14ac:dyDescent="0.25">
      <c r="A218">
        <v>25</v>
      </c>
      <c r="B218">
        <v>1</v>
      </c>
      <c r="C218">
        <v>45</v>
      </c>
      <c r="D218">
        <v>1</v>
      </c>
      <c r="E218">
        <v>0</v>
      </c>
      <c r="F218">
        <v>1</v>
      </c>
      <c r="G218">
        <v>0</v>
      </c>
      <c r="H218">
        <v>250</v>
      </c>
      <c r="I218">
        <f t="shared" si="46"/>
        <v>216</v>
      </c>
      <c r="J218" s="6">
        <f t="array" aca="1" ref="J218:N218" ca="1">TRANSPOSE(ols(OFFSET($C$2:$C$10,I218,0),OFFSET($D$2:$H$10,I218,0)))</f>
        <v>103.09523809523671</v>
      </c>
      <c r="K218" s="6">
        <f ca="1"/>
        <v>-14.642857142857338</v>
      </c>
      <c r="L218" s="6">
        <f ca="1"/>
        <v>-51.904761904761472</v>
      </c>
      <c r="M218" s="6">
        <f ca="1"/>
        <v>5.952380952381418</v>
      </c>
      <c r="N218" s="6">
        <f ca="1"/>
        <v>-4.7619047619051003E-2</v>
      </c>
      <c r="O218" s="6">
        <f t="shared" ca="1" si="38"/>
        <v>39.285714285712487</v>
      </c>
      <c r="P218" t="str">
        <f t="shared" si="39"/>
        <v>NA</v>
      </c>
      <c r="Q218" s="10">
        <f t="shared" ca="1" si="40"/>
        <v>40.476190476188805</v>
      </c>
      <c r="R218" s="10">
        <f t="shared" ca="1" si="41"/>
        <v>51.190476190475238</v>
      </c>
      <c r="S218" s="10">
        <f t="shared" ca="1" si="42"/>
        <v>-10.714285714286433</v>
      </c>
      <c r="T218" s="10">
        <f t="shared" ca="1" si="43"/>
        <v>224.99999999999909</v>
      </c>
      <c r="U218" s="10" t="str">
        <f t="shared" ca="1" si="44"/>
        <v>OR</v>
      </c>
      <c r="V218">
        <f t="shared" si="45"/>
        <v>3</v>
      </c>
    </row>
    <row r="219" spans="1:22" x14ac:dyDescent="0.25">
      <c r="A219">
        <v>25</v>
      </c>
      <c r="B219">
        <v>2</v>
      </c>
      <c r="C219">
        <v>70</v>
      </c>
      <c r="D219">
        <v>1</v>
      </c>
      <c r="E219">
        <v>1</v>
      </c>
      <c r="F219">
        <v>0</v>
      </c>
      <c r="G219">
        <v>0</v>
      </c>
      <c r="H219">
        <v>350</v>
      </c>
      <c r="I219">
        <f t="shared" si="46"/>
        <v>216</v>
      </c>
      <c r="J219" s="6">
        <f t="array" aca="1" ref="J219:N219" ca="1">TRANSPOSE(ols(OFFSET($C$2:$C$10,I219,0),OFFSET($D$2:$H$10,I219,0)))</f>
        <v>103.09523809523671</v>
      </c>
      <c r="K219" s="6">
        <f ca="1"/>
        <v>-14.642857142857338</v>
      </c>
      <c r="L219" s="6">
        <f ca="1"/>
        <v>-51.904761904761472</v>
      </c>
      <c r="M219" s="6">
        <f ca="1"/>
        <v>5.952380952381418</v>
      </c>
      <c r="N219" s="6">
        <f ca="1"/>
        <v>-4.7619047619051003E-2</v>
      </c>
      <c r="O219" s="6">
        <f t="shared" ca="1" si="38"/>
        <v>71.785714285711521</v>
      </c>
      <c r="P219" t="str">
        <f t="shared" si="39"/>
        <v>NA</v>
      </c>
      <c r="Q219" s="10">
        <f t="shared" ca="1" si="40"/>
        <v>40.476190476188805</v>
      </c>
      <c r="R219" s="10">
        <f t="shared" ca="1" si="41"/>
        <v>88.452380952379372</v>
      </c>
      <c r="S219" s="10">
        <f t="shared" ca="1" si="42"/>
        <v>-47.976190476190567</v>
      </c>
      <c r="T219" s="10">
        <f t="shared" ca="1" si="43"/>
        <v>1007.4999999999303</v>
      </c>
      <c r="U219" s="10" t="str">
        <f t="shared" ca="1" si="44"/>
        <v>OR</v>
      </c>
      <c r="V219">
        <f t="shared" si="45"/>
        <v>2</v>
      </c>
    </row>
    <row r="220" spans="1:22" x14ac:dyDescent="0.25">
      <c r="A220">
        <v>25</v>
      </c>
      <c r="B220">
        <v>3</v>
      </c>
      <c r="C220">
        <v>65</v>
      </c>
      <c r="D220">
        <v>1</v>
      </c>
      <c r="E220">
        <v>1</v>
      </c>
      <c r="F220">
        <v>0</v>
      </c>
      <c r="G220">
        <v>0</v>
      </c>
      <c r="H220">
        <v>450</v>
      </c>
      <c r="I220">
        <f t="shared" si="46"/>
        <v>216</v>
      </c>
      <c r="J220" s="6">
        <f t="array" aca="1" ref="J220:N220" ca="1">TRANSPOSE(ols(OFFSET($C$2:$C$10,I220,0),OFFSET($D$2:$H$10,I220,0)))</f>
        <v>103.09523809523671</v>
      </c>
      <c r="K220" s="6">
        <f ca="1"/>
        <v>-14.642857142857338</v>
      </c>
      <c r="L220" s="6">
        <f ca="1"/>
        <v>-51.904761904761472</v>
      </c>
      <c r="M220" s="6">
        <f ca="1"/>
        <v>5.952380952381418</v>
      </c>
      <c r="N220" s="6">
        <f ca="1"/>
        <v>-4.7619047619051003E-2</v>
      </c>
      <c r="O220" s="6">
        <f t="shared" ca="1" si="38"/>
        <v>67.02380952380642</v>
      </c>
      <c r="P220" t="str">
        <f t="shared" si="39"/>
        <v>NA</v>
      </c>
      <c r="Q220" s="10">
        <f t="shared" ca="1" si="40"/>
        <v>40.476190476188805</v>
      </c>
      <c r="R220" s="10">
        <f t="shared" ca="1" si="41"/>
        <v>88.452380952379372</v>
      </c>
      <c r="S220" s="10">
        <f t="shared" ca="1" si="42"/>
        <v>-47.976190476190567</v>
      </c>
      <c r="T220" s="10">
        <f t="shared" ca="1" si="43"/>
        <v>1007.4999999999303</v>
      </c>
      <c r="U220" s="10" t="str">
        <f t="shared" ca="1" si="44"/>
        <v>OR</v>
      </c>
      <c r="V220">
        <f t="shared" si="45"/>
        <v>2</v>
      </c>
    </row>
    <row r="221" spans="1:22" x14ac:dyDescent="0.25">
      <c r="A221">
        <v>25</v>
      </c>
      <c r="B221">
        <v>4</v>
      </c>
      <c r="C221">
        <v>75</v>
      </c>
      <c r="D221">
        <v>1</v>
      </c>
      <c r="E221">
        <v>0</v>
      </c>
      <c r="F221">
        <v>0</v>
      </c>
      <c r="G221">
        <v>0</v>
      </c>
      <c r="H221">
        <v>550</v>
      </c>
      <c r="I221">
        <f t="shared" si="46"/>
        <v>216</v>
      </c>
      <c r="J221" s="6">
        <f t="array" aca="1" ref="J221:N221" ca="1">TRANSPOSE(ols(OFFSET($C$2:$C$10,I221,0),OFFSET($D$2:$H$10,I221,0)))</f>
        <v>103.09523809523671</v>
      </c>
      <c r="K221" s="6">
        <f ca="1"/>
        <v>-14.642857142857338</v>
      </c>
      <c r="L221" s="6">
        <f ca="1"/>
        <v>-51.904761904761472</v>
      </c>
      <c r="M221" s="6">
        <f ca="1"/>
        <v>5.952380952381418</v>
      </c>
      <c r="N221" s="6">
        <f ca="1"/>
        <v>-4.7619047619051003E-2</v>
      </c>
      <c r="O221" s="6">
        <f t="shared" ca="1" si="38"/>
        <v>76.904761904758658</v>
      </c>
      <c r="P221" t="str">
        <f t="shared" si="39"/>
        <v>NA</v>
      </c>
      <c r="Q221" s="10">
        <f t="shared" ca="1" si="40"/>
        <v>40.476190476188805</v>
      </c>
      <c r="R221" s="10">
        <f t="shared" ca="1" si="41"/>
        <v>103.09523809523671</v>
      </c>
      <c r="S221" s="10">
        <f t="shared" ca="1" si="42"/>
        <v>-62.619047619047905</v>
      </c>
      <c r="T221" s="10">
        <f t="shared" ca="1" si="43"/>
        <v>1314.9999999999125</v>
      </c>
      <c r="U221" s="10" t="str">
        <f t="shared" ca="1" si="44"/>
        <v>OR</v>
      </c>
      <c r="V221">
        <f t="shared" si="45"/>
        <v>1</v>
      </c>
    </row>
    <row r="222" spans="1:22" x14ac:dyDescent="0.25">
      <c r="A222">
        <v>25</v>
      </c>
      <c r="B222">
        <v>5</v>
      </c>
      <c r="C222">
        <v>45</v>
      </c>
      <c r="D222">
        <v>1</v>
      </c>
      <c r="E222">
        <v>0</v>
      </c>
      <c r="F222">
        <v>1</v>
      </c>
      <c r="G222">
        <v>1</v>
      </c>
      <c r="H222">
        <v>250</v>
      </c>
      <c r="I222">
        <f t="shared" si="46"/>
        <v>216</v>
      </c>
      <c r="J222" s="6">
        <f t="array" aca="1" ref="J222:N222" ca="1">TRANSPOSE(ols(OFFSET($C$2:$C$10,I222,0),OFFSET($D$2:$H$10,I222,0)))</f>
        <v>103.09523809523671</v>
      </c>
      <c r="K222" s="6">
        <f ca="1"/>
        <v>-14.642857142857338</v>
      </c>
      <c r="L222" s="6">
        <f ca="1"/>
        <v>-51.904761904761472</v>
      </c>
      <c r="M222" s="6">
        <f ca="1"/>
        <v>5.952380952381418</v>
      </c>
      <c r="N222" s="6">
        <f ca="1"/>
        <v>-4.7619047619051003E-2</v>
      </c>
      <c r="O222" s="6">
        <f t="shared" ca="1" si="38"/>
        <v>45.238095238093905</v>
      </c>
      <c r="P222" t="str">
        <f t="shared" si="39"/>
        <v>NA</v>
      </c>
      <c r="Q222" s="10">
        <f t="shared" ca="1" si="40"/>
        <v>40.476190476188805</v>
      </c>
      <c r="R222" s="10">
        <f t="shared" ca="1" si="41"/>
        <v>57.142857142856656</v>
      </c>
      <c r="S222" s="10">
        <f t="shared" ca="1" si="42"/>
        <v>-16.666666666667851</v>
      </c>
      <c r="T222" s="10">
        <f t="shared" ca="1" si="43"/>
        <v>350</v>
      </c>
      <c r="U222" s="10">
        <f t="shared" ca="1" si="44"/>
        <v>350</v>
      </c>
      <c r="V222">
        <f t="shared" si="45"/>
        <v>6</v>
      </c>
    </row>
    <row r="223" spans="1:22" x14ac:dyDescent="0.25">
      <c r="A223">
        <v>25</v>
      </c>
      <c r="B223">
        <v>6</v>
      </c>
      <c r="C223">
        <v>35</v>
      </c>
      <c r="D223">
        <v>1</v>
      </c>
      <c r="E223">
        <v>0</v>
      </c>
      <c r="F223">
        <v>1</v>
      </c>
      <c r="G223">
        <v>1</v>
      </c>
      <c r="H223">
        <v>350</v>
      </c>
      <c r="I223">
        <f t="shared" si="46"/>
        <v>216</v>
      </c>
      <c r="J223" s="6">
        <f t="array" aca="1" ref="J223:N223" ca="1">TRANSPOSE(ols(OFFSET($C$2:$C$10,I223,0),OFFSET($D$2:$H$10,I223,0)))</f>
        <v>103.09523809523671</v>
      </c>
      <c r="K223" s="6">
        <f ca="1"/>
        <v>-14.642857142857338</v>
      </c>
      <c r="L223" s="6">
        <f ca="1"/>
        <v>-51.904761904761472</v>
      </c>
      <c r="M223" s="6">
        <f ca="1"/>
        <v>5.952380952381418</v>
      </c>
      <c r="N223" s="6">
        <f ca="1"/>
        <v>-4.7619047619051003E-2</v>
      </c>
      <c r="O223" s="6">
        <f t="shared" ca="1" si="38"/>
        <v>40.476190476188805</v>
      </c>
      <c r="P223">
        <f t="shared" ca="1" si="39"/>
        <v>40.476190476188805</v>
      </c>
      <c r="Q223" s="10">
        <f t="shared" ca="1" si="40"/>
        <v>40.476190476188805</v>
      </c>
      <c r="R223" s="10">
        <f t="shared" ca="1" si="41"/>
        <v>57.142857142856656</v>
      </c>
      <c r="S223" s="10">
        <f t="shared" ca="1" si="42"/>
        <v>-16.666666666667851</v>
      </c>
      <c r="T223" s="10">
        <f t="shared" ca="1" si="43"/>
        <v>350</v>
      </c>
      <c r="U223" s="10">
        <f t="shared" ca="1" si="44"/>
        <v>350</v>
      </c>
      <c r="V223">
        <f t="shared" si="45"/>
        <v>6</v>
      </c>
    </row>
    <row r="224" spans="1:22" x14ac:dyDescent="0.25">
      <c r="A224">
        <v>25</v>
      </c>
      <c r="B224">
        <v>7</v>
      </c>
      <c r="C224">
        <v>75</v>
      </c>
      <c r="D224">
        <v>1</v>
      </c>
      <c r="E224">
        <v>1</v>
      </c>
      <c r="F224">
        <v>0</v>
      </c>
      <c r="G224">
        <v>1</v>
      </c>
      <c r="H224">
        <v>450</v>
      </c>
      <c r="I224">
        <f t="shared" si="46"/>
        <v>216</v>
      </c>
      <c r="J224" s="6">
        <f t="array" aca="1" ref="J224:N224" ca="1">TRANSPOSE(ols(OFFSET($C$2:$C$10,I224,0),OFFSET($D$2:$H$10,I224,0)))</f>
        <v>103.09523809523671</v>
      </c>
      <c r="K224" s="6">
        <f ca="1"/>
        <v>-14.642857142857338</v>
      </c>
      <c r="L224" s="6">
        <f ca="1"/>
        <v>-51.904761904761472</v>
      </c>
      <c r="M224" s="6">
        <f ca="1"/>
        <v>5.952380952381418</v>
      </c>
      <c r="N224" s="6">
        <f ca="1"/>
        <v>-4.7619047619051003E-2</v>
      </c>
      <c r="O224" s="6">
        <f t="shared" ca="1" si="38"/>
        <v>72.976190476187838</v>
      </c>
      <c r="P224" t="str">
        <f t="shared" si="39"/>
        <v>NA</v>
      </c>
      <c r="Q224" s="10">
        <f t="shared" ca="1" si="40"/>
        <v>40.476190476188805</v>
      </c>
      <c r="R224" s="10">
        <f t="shared" ca="1" si="41"/>
        <v>94.40476190476079</v>
      </c>
      <c r="S224" s="10">
        <f t="shared" ca="1" si="42"/>
        <v>-53.928571428571985</v>
      </c>
      <c r="T224" s="10">
        <f t="shared" ca="1" si="43"/>
        <v>1132.4999999999311</v>
      </c>
      <c r="U224" s="10" t="str">
        <f t="shared" ca="1" si="44"/>
        <v>OR</v>
      </c>
      <c r="V224">
        <f t="shared" si="45"/>
        <v>5</v>
      </c>
    </row>
    <row r="225" spans="1:22" x14ac:dyDescent="0.25">
      <c r="A225">
        <v>25</v>
      </c>
      <c r="B225">
        <v>8</v>
      </c>
      <c r="C225">
        <v>70</v>
      </c>
      <c r="D225">
        <v>1</v>
      </c>
      <c r="E225">
        <v>1</v>
      </c>
      <c r="F225">
        <v>0</v>
      </c>
      <c r="G225">
        <v>1</v>
      </c>
      <c r="H225">
        <v>550</v>
      </c>
      <c r="I225">
        <f t="shared" si="46"/>
        <v>216</v>
      </c>
      <c r="J225" s="6">
        <f t="array" aca="1" ref="J225:N225" ca="1">TRANSPOSE(ols(OFFSET($C$2:$C$10,I225,0),OFFSET($D$2:$H$10,I225,0)))</f>
        <v>103.09523809523671</v>
      </c>
      <c r="K225" s="6">
        <f ca="1"/>
        <v>-14.642857142857338</v>
      </c>
      <c r="L225" s="6">
        <f ca="1"/>
        <v>-51.904761904761472</v>
      </c>
      <c r="M225" s="6">
        <f ca="1"/>
        <v>5.952380952381418</v>
      </c>
      <c r="N225" s="6">
        <f ca="1"/>
        <v>-4.7619047619051003E-2</v>
      </c>
      <c r="O225" s="6">
        <f t="shared" ca="1" si="38"/>
        <v>68.214285714282738</v>
      </c>
      <c r="P225" t="str">
        <f t="shared" si="39"/>
        <v>NA</v>
      </c>
      <c r="Q225" s="10">
        <f t="shared" ca="1" si="40"/>
        <v>40.476190476188805</v>
      </c>
      <c r="R225" s="10">
        <f t="shared" ca="1" si="41"/>
        <v>94.40476190476079</v>
      </c>
      <c r="S225" s="10">
        <f t="shared" ca="1" si="42"/>
        <v>-53.928571428571985</v>
      </c>
      <c r="T225" s="10">
        <f t="shared" ca="1" si="43"/>
        <v>1132.4999999999311</v>
      </c>
      <c r="U225" s="10" t="str">
        <f t="shared" ca="1" si="44"/>
        <v>OR</v>
      </c>
      <c r="V225">
        <f t="shared" si="45"/>
        <v>5</v>
      </c>
    </row>
    <row r="226" spans="1:22" x14ac:dyDescent="0.25">
      <c r="A226">
        <v>25</v>
      </c>
      <c r="B226">
        <v>9</v>
      </c>
      <c r="C226">
        <v>80</v>
      </c>
      <c r="D226">
        <v>1</v>
      </c>
      <c r="E226">
        <v>0</v>
      </c>
      <c r="F226">
        <v>0</v>
      </c>
      <c r="G226">
        <v>1</v>
      </c>
      <c r="H226">
        <v>650</v>
      </c>
      <c r="I226">
        <f t="shared" si="46"/>
        <v>216</v>
      </c>
      <c r="J226" s="6">
        <f t="array" aca="1" ref="J226:N226" ca="1">TRANSPOSE(ols(OFFSET($C$2:$C$10,I226,0),OFFSET($D$2:$H$10,I226,0)))</f>
        <v>103.09523809523671</v>
      </c>
      <c r="K226" s="6">
        <f ca="1"/>
        <v>-14.642857142857338</v>
      </c>
      <c r="L226" s="6">
        <f ca="1"/>
        <v>-51.904761904761472</v>
      </c>
      <c r="M226" s="6">
        <f ca="1"/>
        <v>5.952380952381418</v>
      </c>
      <c r="N226" s="6">
        <f ca="1"/>
        <v>-4.7619047619051003E-2</v>
      </c>
      <c r="O226" s="6">
        <f t="shared" ca="1" si="38"/>
        <v>78.095238095234976</v>
      </c>
      <c r="P226" t="str">
        <f t="shared" si="39"/>
        <v>NA</v>
      </c>
      <c r="Q226" s="10">
        <f t="shared" ca="1" si="40"/>
        <v>40.476190476188805</v>
      </c>
      <c r="R226" s="10">
        <f t="shared" ca="1" si="41"/>
        <v>109.04761904761813</v>
      </c>
      <c r="S226" s="10">
        <f t="shared" ca="1" si="42"/>
        <v>-68.571428571429323</v>
      </c>
      <c r="T226" s="10">
        <f t="shared" ca="1" si="43"/>
        <v>1439.9999999999134</v>
      </c>
      <c r="U226" s="10" t="str">
        <f t="shared" ca="1" si="44"/>
        <v>OR</v>
      </c>
      <c r="V226">
        <f t="shared" si="45"/>
        <v>4</v>
      </c>
    </row>
    <row r="227" spans="1:22" x14ac:dyDescent="0.25">
      <c r="A227">
        <v>26</v>
      </c>
      <c r="B227">
        <v>1</v>
      </c>
      <c r="C227">
        <v>50</v>
      </c>
      <c r="D227">
        <v>1</v>
      </c>
      <c r="E227">
        <v>0</v>
      </c>
      <c r="F227">
        <v>1</v>
      </c>
      <c r="G227">
        <v>0</v>
      </c>
      <c r="H227">
        <v>250</v>
      </c>
      <c r="I227">
        <f t="shared" si="46"/>
        <v>225</v>
      </c>
      <c r="J227" s="6">
        <f t="array" aca="1" ref="J227:N227" ca="1">TRANSPOSE(ols(OFFSET($C$2:$C$10,I227,0),OFFSET($D$2:$H$10,I227,0)))</f>
        <v>146.36904761904589</v>
      </c>
      <c r="K227" s="6">
        <f ca="1"/>
        <v>-16.428571428571104</v>
      </c>
      <c r="L227" s="6">
        <f ca="1"/>
        <v>-54.880952380952294</v>
      </c>
      <c r="M227" s="6">
        <f ca="1"/>
        <v>16.190476190476602</v>
      </c>
      <c r="N227" s="6">
        <f ca="1"/>
        <v>-0.1345238095238166</v>
      </c>
      <c r="O227" s="6">
        <f t="shared" ca="1" si="38"/>
        <v>57.857142857139443</v>
      </c>
      <c r="P227" t="str">
        <f t="shared" si="39"/>
        <v>NA</v>
      </c>
      <c r="Q227" s="10">
        <f t="shared" ca="1" si="40"/>
        <v>60.595238095234386</v>
      </c>
      <c r="R227" s="10">
        <f t="shared" ca="1" si="41"/>
        <v>91.488095238093592</v>
      </c>
      <c r="S227" s="10">
        <f t="shared" ca="1" si="42"/>
        <v>-30.892857142859206</v>
      </c>
      <c r="T227" s="10">
        <f t="shared" ca="1" si="43"/>
        <v>229.64601769911832</v>
      </c>
      <c r="U227" s="10" t="str">
        <f t="shared" ca="1" si="44"/>
        <v>OR</v>
      </c>
      <c r="V227">
        <f t="shared" si="45"/>
        <v>3</v>
      </c>
    </row>
    <row r="228" spans="1:22" x14ac:dyDescent="0.25">
      <c r="A228">
        <v>26</v>
      </c>
      <c r="B228">
        <v>2</v>
      </c>
      <c r="C228">
        <v>85</v>
      </c>
      <c r="D228">
        <v>1</v>
      </c>
      <c r="E228">
        <v>1</v>
      </c>
      <c r="F228">
        <v>0</v>
      </c>
      <c r="G228">
        <v>0</v>
      </c>
      <c r="H228">
        <v>350</v>
      </c>
      <c r="I228">
        <f t="shared" si="46"/>
        <v>225</v>
      </c>
      <c r="J228" s="6">
        <f t="array" aca="1" ref="J228:N228" ca="1">TRANSPOSE(ols(OFFSET($C$2:$C$10,I228,0),OFFSET($D$2:$H$10,I228,0)))</f>
        <v>146.36904761904589</v>
      </c>
      <c r="K228" s="6">
        <f ca="1"/>
        <v>-16.428571428571104</v>
      </c>
      <c r="L228" s="6">
        <f ca="1"/>
        <v>-54.880952380952294</v>
      </c>
      <c r="M228" s="6">
        <f ca="1"/>
        <v>16.190476190476602</v>
      </c>
      <c r="N228" s="6">
        <f ca="1"/>
        <v>-0.1345238095238166</v>
      </c>
      <c r="O228" s="6">
        <f t="shared" ca="1" si="38"/>
        <v>82.857142857138967</v>
      </c>
      <c r="P228" t="str">
        <f t="shared" si="39"/>
        <v>NA</v>
      </c>
      <c r="Q228" s="10">
        <f t="shared" ca="1" si="40"/>
        <v>60.595238095234386</v>
      </c>
      <c r="R228" s="10">
        <f t="shared" ca="1" si="41"/>
        <v>129.94047619047478</v>
      </c>
      <c r="S228" s="10">
        <f t="shared" ca="1" si="42"/>
        <v>-69.345238095240404</v>
      </c>
      <c r="T228" s="10">
        <f t="shared" ca="1" si="43"/>
        <v>515.48672566370692</v>
      </c>
      <c r="U228" s="10">
        <f t="shared" ca="1" si="44"/>
        <v>515.48672566370692</v>
      </c>
      <c r="V228">
        <f t="shared" si="45"/>
        <v>2</v>
      </c>
    </row>
    <row r="229" spans="1:22" x14ac:dyDescent="0.25">
      <c r="A229">
        <v>26</v>
      </c>
      <c r="B229">
        <v>3</v>
      </c>
      <c r="C229">
        <v>77.5</v>
      </c>
      <c r="D229">
        <v>1</v>
      </c>
      <c r="E229">
        <v>1</v>
      </c>
      <c r="F229">
        <v>0</v>
      </c>
      <c r="G229">
        <v>0</v>
      </c>
      <c r="H229">
        <v>450</v>
      </c>
      <c r="I229">
        <f t="shared" si="46"/>
        <v>225</v>
      </c>
      <c r="J229" s="6">
        <f t="array" aca="1" ref="J229:N229" ca="1">TRANSPOSE(ols(OFFSET($C$2:$C$10,I229,0),OFFSET($D$2:$H$10,I229,0)))</f>
        <v>146.36904761904589</v>
      </c>
      <c r="K229" s="6">
        <f ca="1"/>
        <v>-16.428571428571104</v>
      </c>
      <c r="L229" s="6">
        <f ca="1"/>
        <v>-54.880952380952294</v>
      </c>
      <c r="M229" s="6">
        <f ca="1"/>
        <v>16.190476190476602</v>
      </c>
      <c r="N229" s="6">
        <f ca="1"/>
        <v>-0.1345238095238166</v>
      </c>
      <c r="O229" s="6">
        <f t="shared" ca="1" si="38"/>
        <v>69.404761904757322</v>
      </c>
      <c r="P229" t="str">
        <f t="shared" si="39"/>
        <v>NA</v>
      </c>
      <c r="Q229" s="10">
        <f t="shared" ca="1" si="40"/>
        <v>60.595238095234386</v>
      </c>
      <c r="R229" s="10">
        <f t="shared" ca="1" si="41"/>
        <v>129.94047619047478</v>
      </c>
      <c r="S229" s="10">
        <f t="shared" ca="1" si="42"/>
        <v>-69.345238095240404</v>
      </c>
      <c r="T229" s="10">
        <f t="shared" ca="1" si="43"/>
        <v>515.48672566370692</v>
      </c>
      <c r="U229" s="10">
        <f t="shared" ca="1" si="44"/>
        <v>515.48672566370692</v>
      </c>
      <c r="V229">
        <f t="shared" si="45"/>
        <v>2</v>
      </c>
    </row>
    <row r="230" spans="1:22" x14ac:dyDescent="0.25">
      <c r="A230">
        <v>26</v>
      </c>
      <c r="B230">
        <v>4</v>
      </c>
      <c r="C230">
        <v>70</v>
      </c>
      <c r="D230">
        <v>1</v>
      </c>
      <c r="E230">
        <v>0</v>
      </c>
      <c r="F230">
        <v>0</v>
      </c>
      <c r="G230">
        <v>0</v>
      </c>
      <c r="H230">
        <v>550</v>
      </c>
      <c r="I230">
        <f t="shared" si="46"/>
        <v>225</v>
      </c>
      <c r="J230" s="6">
        <f t="array" aca="1" ref="J230:N230" ca="1">TRANSPOSE(ols(OFFSET($C$2:$C$10,I230,0),OFFSET($D$2:$H$10,I230,0)))</f>
        <v>146.36904761904589</v>
      </c>
      <c r="K230" s="6">
        <f ca="1"/>
        <v>-16.428571428571104</v>
      </c>
      <c r="L230" s="6">
        <f ca="1"/>
        <v>-54.880952380952294</v>
      </c>
      <c r="M230" s="6">
        <f ca="1"/>
        <v>16.190476190476602</v>
      </c>
      <c r="N230" s="6">
        <f ca="1"/>
        <v>-0.1345238095238166</v>
      </c>
      <c r="O230" s="6">
        <f t="shared" ca="1" si="38"/>
        <v>72.380952380946752</v>
      </c>
      <c r="P230" t="str">
        <f t="shared" si="39"/>
        <v>NA</v>
      </c>
      <c r="Q230" s="10">
        <f t="shared" ca="1" si="40"/>
        <v>60.595238095234386</v>
      </c>
      <c r="R230" s="10">
        <f t="shared" ca="1" si="41"/>
        <v>146.36904761904589</v>
      </c>
      <c r="S230" s="10">
        <f t="shared" ca="1" si="42"/>
        <v>-85.773809523811508</v>
      </c>
      <c r="T230" s="10">
        <f t="shared" ca="1" si="43"/>
        <v>637.61061946900782</v>
      </c>
      <c r="U230" s="10">
        <f t="shared" ca="1" si="44"/>
        <v>637.61061946900782</v>
      </c>
      <c r="V230">
        <f t="shared" si="45"/>
        <v>1</v>
      </c>
    </row>
    <row r="231" spans="1:22" x14ac:dyDescent="0.25">
      <c r="A231">
        <v>26</v>
      </c>
      <c r="B231">
        <v>5</v>
      </c>
      <c r="C231">
        <v>75</v>
      </c>
      <c r="D231">
        <v>1</v>
      </c>
      <c r="E231">
        <v>0</v>
      </c>
      <c r="F231">
        <v>1</v>
      </c>
      <c r="G231">
        <v>1</v>
      </c>
      <c r="H231">
        <v>250</v>
      </c>
      <c r="I231">
        <f t="shared" si="46"/>
        <v>225</v>
      </c>
      <c r="J231" s="6">
        <f t="array" aca="1" ref="J231:N231" ca="1">TRANSPOSE(ols(OFFSET($C$2:$C$10,I231,0),OFFSET($D$2:$H$10,I231,0)))</f>
        <v>146.36904761904589</v>
      </c>
      <c r="K231" s="6">
        <f ca="1"/>
        <v>-16.428571428571104</v>
      </c>
      <c r="L231" s="6">
        <f ca="1"/>
        <v>-54.880952380952294</v>
      </c>
      <c r="M231" s="6">
        <f ca="1"/>
        <v>16.190476190476602</v>
      </c>
      <c r="N231" s="6">
        <f ca="1"/>
        <v>-0.1345238095238166</v>
      </c>
      <c r="O231" s="6">
        <f t="shared" ca="1" si="38"/>
        <v>74.047619047616053</v>
      </c>
      <c r="P231" t="str">
        <f t="shared" si="39"/>
        <v>NA</v>
      </c>
      <c r="Q231" s="10">
        <f t="shared" ca="1" si="40"/>
        <v>60.595238095234386</v>
      </c>
      <c r="R231" s="10">
        <f t="shared" ca="1" si="41"/>
        <v>107.67857142857019</v>
      </c>
      <c r="S231" s="10">
        <f t="shared" ca="1" si="42"/>
        <v>-47.083333333335808</v>
      </c>
      <c r="T231" s="10">
        <f t="shared" ca="1" si="43"/>
        <v>350</v>
      </c>
      <c r="U231" s="10">
        <f t="shared" ca="1" si="44"/>
        <v>350</v>
      </c>
      <c r="V231">
        <f t="shared" si="45"/>
        <v>6</v>
      </c>
    </row>
    <row r="232" spans="1:22" x14ac:dyDescent="0.25">
      <c r="A232">
        <v>26</v>
      </c>
      <c r="B232">
        <v>6</v>
      </c>
      <c r="C232">
        <v>67.5</v>
      </c>
      <c r="D232">
        <v>1</v>
      </c>
      <c r="E232">
        <v>0</v>
      </c>
      <c r="F232">
        <v>1</v>
      </c>
      <c r="G232">
        <v>1</v>
      </c>
      <c r="H232">
        <v>350</v>
      </c>
      <c r="I232">
        <f t="shared" si="46"/>
        <v>225</v>
      </c>
      <c r="J232" s="6">
        <f t="array" aca="1" ref="J232:N232" ca="1">TRANSPOSE(ols(OFFSET($C$2:$C$10,I232,0),OFFSET($D$2:$H$10,I232,0)))</f>
        <v>146.36904761904589</v>
      </c>
      <c r="K232" s="6">
        <f ca="1"/>
        <v>-16.428571428571104</v>
      </c>
      <c r="L232" s="6">
        <f ca="1"/>
        <v>-54.880952380952294</v>
      </c>
      <c r="M232" s="6">
        <f ca="1"/>
        <v>16.190476190476602</v>
      </c>
      <c r="N232" s="6">
        <f ca="1"/>
        <v>-0.1345238095238166</v>
      </c>
      <c r="O232" s="6">
        <f t="shared" ca="1" si="38"/>
        <v>60.595238095234386</v>
      </c>
      <c r="P232">
        <f t="shared" ca="1" si="39"/>
        <v>60.595238095234386</v>
      </c>
      <c r="Q232" s="10">
        <f t="shared" ca="1" si="40"/>
        <v>60.595238095234386</v>
      </c>
      <c r="R232" s="10">
        <f t="shared" ca="1" si="41"/>
        <v>107.67857142857019</v>
      </c>
      <c r="S232" s="10">
        <f t="shared" ca="1" si="42"/>
        <v>-47.083333333335808</v>
      </c>
      <c r="T232" s="10">
        <f t="shared" ca="1" si="43"/>
        <v>350</v>
      </c>
      <c r="U232" s="10">
        <f t="shared" ca="1" si="44"/>
        <v>350</v>
      </c>
      <c r="V232">
        <f t="shared" si="45"/>
        <v>6</v>
      </c>
    </row>
    <row r="233" spans="1:22" x14ac:dyDescent="0.25">
      <c r="A233">
        <v>26</v>
      </c>
      <c r="B233">
        <v>7</v>
      </c>
      <c r="C233">
        <v>82.5</v>
      </c>
      <c r="D233">
        <v>1</v>
      </c>
      <c r="E233">
        <v>1</v>
      </c>
      <c r="F233">
        <v>0</v>
      </c>
      <c r="G233">
        <v>1</v>
      </c>
      <c r="H233">
        <v>450</v>
      </c>
      <c r="I233">
        <f t="shared" si="46"/>
        <v>225</v>
      </c>
      <c r="J233" s="6">
        <f t="array" aca="1" ref="J233:N233" ca="1">TRANSPOSE(ols(OFFSET($C$2:$C$10,I233,0),OFFSET($D$2:$H$10,I233,0)))</f>
        <v>146.36904761904589</v>
      </c>
      <c r="K233" s="6">
        <f ca="1"/>
        <v>-16.428571428571104</v>
      </c>
      <c r="L233" s="6">
        <f ca="1"/>
        <v>-54.880952380952294</v>
      </c>
      <c r="M233" s="6">
        <f ca="1"/>
        <v>16.190476190476602</v>
      </c>
      <c r="N233" s="6">
        <f ca="1"/>
        <v>-0.1345238095238166</v>
      </c>
      <c r="O233" s="6">
        <f t="shared" ca="1" si="38"/>
        <v>85.595238095233924</v>
      </c>
      <c r="P233" t="str">
        <f t="shared" si="39"/>
        <v>NA</v>
      </c>
      <c r="Q233" s="10">
        <f t="shared" ca="1" si="40"/>
        <v>60.595238095234386</v>
      </c>
      <c r="R233" s="10">
        <f t="shared" ca="1" si="41"/>
        <v>146.13095238095138</v>
      </c>
      <c r="S233" s="10">
        <f t="shared" ca="1" si="42"/>
        <v>-85.535714285717006</v>
      </c>
      <c r="T233" s="10">
        <f t="shared" ca="1" si="43"/>
        <v>635.84070796458855</v>
      </c>
      <c r="U233" s="10">
        <f t="shared" ca="1" si="44"/>
        <v>635.84070796458855</v>
      </c>
      <c r="V233">
        <f t="shared" si="45"/>
        <v>5</v>
      </c>
    </row>
    <row r="234" spans="1:22" x14ac:dyDescent="0.25">
      <c r="A234">
        <v>26</v>
      </c>
      <c r="B234">
        <v>8</v>
      </c>
      <c r="C234">
        <v>65</v>
      </c>
      <c r="D234">
        <v>1</v>
      </c>
      <c r="E234">
        <v>1</v>
      </c>
      <c r="F234">
        <v>0</v>
      </c>
      <c r="G234">
        <v>1</v>
      </c>
      <c r="H234">
        <v>550</v>
      </c>
      <c r="I234">
        <f t="shared" si="46"/>
        <v>225</v>
      </c>
      <c r="J234" s="6">
        <f t="array" aca="1" ref="J234:N234" ca="1">TRANSPOSE(ols(OFFSET($C$2:$C$10,I234,0),OFFSET($D$2:$H$10,I234,0)))</f>
        <v>146.36904761904589</v>
      </c>
      <c r="K234" s="6">
        <f ca="1"/>
        <v>-16.428571428571104</v>
      </c>
      <c r="L234" s="6">
        <f ca="1"/>
        <v>-54.880952380952294</v>
      </c>
      <c r="M234" s="6">
        <f ca="1"/>
        <v>16.190476190476602</v>
      </c>
      <c r="N234" s="6">
        <f ca="1"/>
        <v>-0.1345238095238166</v>
      </c>
      <c r="O234" s="6">
        <f t="shared" ca="1" si="38"/>
        <v>72.14285714285225</v>
      </c>
      <c r="P234" t="str">
        <f t="shared" si="39"/>
        <v>NA</v>
      </c>
      <c r="Q234" s="10">
        <f t="shared" ca="1" si="40"/>
        <v>60.595238095234386</v>
      </c>
      <c r="R234" s="10">
        <f t="shared" ca="1" si="41"/>
        <v>146.13095238095138</v>
      </c>
      <c r="S234" s="10">
        <f t="shared" ca="1" si="42"/>
        <v>-85.535714285717006</v>
      </c>
      <c r="T234" s="10">
        <f t="shared" ca="1" si="43"/>
        <v>635.84070796458855</v>
      </c>
      <c r="U234" s="10">
        <f t="shared" ca="1" si="44"/>
        <v>635.84070796458855</v>
      </c>
      <c r="V234">
        <f t="shared" si="45"/>
        <v>5</v>
      </c>
    </row>
    <row r="235" spans="1:22" x14ac:dyDescent="0.25">
      <c r="A235">
        <v>26</v>
      </c>
      <c r="B235">
        <v>9</v>
      </c>
      <c r="C235">
        <v>77.5</v>
      </c>
      <c r="D235">
        <v>1</v>
      </c>
      <c r="E235">
        <v>0</v>
      </c>
      <c r="F235">
        <v>0</v>
      </c>
      <c r="G235">
        <v>1</v>
      </c>
      <c r="H235">
        <v>650</v>
      </c>
      <c r="I235">
        <f t="shared" si="46"/>
        <v>225</v>
      </c>
      <c r="J235" s="6">
        <f t="array" aca="1" ref="J235:N235" ca="1">TRANSPOSE(ols(OFFSET($C$2:$C$10,I235,0),OFFSET($D$2:$H$10,I235,0)))</f>
        <v>146.36904761904589</v>
      </c>
      <c r="K235" s="6">
        <f ca="1"/>
        <v>-16.428571428571104</v>
      </c>
      <c r="L235" s="6">
        <f ca="1"/>
        <v>-54.880952380952294</v>
      </c>
      <c r="M235" s="6">
        <f ca="1"/>
        <v>16.190476190476602</v>
      </c>
      <c r="N235" s="6">
        <f ca="1"/>
        <v>-0.1345238095238166</v>
      </c>
      <c r="O235" s="6">
        <f t="shared" ca="1" si="38"/>
        <v>75.119047619041709</v>
      </c>
      <c r="P235" t="str">
        <f t="shared" si="39"/>
        <v>NA</v>
      </c>
      <c r="Q235" s="10">
        <f t="shared" ca="1" si="40"/>
        <v>60.595238095234386</v>
      </c>
      <c r="R235" s="10">
        <f t="shared" ca="1" si="41"/>
        <v>162.55952380952249</v>
      </c>
      <c r="S235" s="10">
        <f t="shared" ca="1" si="42"/>
        <v>-101.96428571428811</v>
      </c>
      <c r="T235" s="10">
        <f t="shared" ca="1" si="43"/>
        <v>757.96460176988944</v>
      </c>
      <c r="U235" s="10" t="str">
        <f t="shared" ca="1" si="44"/>
        <v>OR</v>
      </c>
      <c r="V235">
        <f t="shared" si="45"/>
        <v>4</v>
      </c>
    </row>
    <row r="236" spans="1:22" x14ac:dyDescent="0.25">
      <c r="A236">
        <v>27</v>
      </c>
      <c r="B236">
        <v>1</v>
      </c>
      <c r="C236">
        <v>75</v>
      </c>
      <c r="D236">
        <v>1</v>
      </c>
      <c r="E236">
        <v>0</v>
      </c>
      <c r="F236">
        <v>1</v>
      </c>
      <c r="G236">
        <v>0</v>
      </c>
      <c r="H236">
        <v>250</v>
      </c>
      <c r="I236">
        <f t="shared" si="46"/>
        <v>234</v>
      </c>
      <c r="J236" s="6">
        <f t="array" aca="1" ref="J236:N236" ca="1">TRANSPOSE(ols(OFFSET($C$2:$C$10,I236,0),OFFSET($D$2:$H$10,I236,0)))</f>
        <v>130.94642857142662</v>
      </c>
      <c r="K236" s="6">
        <f ca="1"/>
        <v>-3.8571428571424349</v>
      </c>
      <c r="L236" s="6">
        <f ca="1"/>
        <v>-10.428571428570649</v>
      </c>
      <c r="M236" s="6">
        <f ca="1"/>
        <v>5.9642857142856656</v>
      </c>
      <c r="N236" s="6">
        <f ca="1"/>
        <v>-0.19821428571428434</v>
      </c>
      <c r="O236" s="6">
        <f t="shared" ca="1" si="38"/>
        <v>70.964285714284884</v>
      </c>
      <c r="P236" t="str">
        <f t="shared" si="39"/>
        <v>NA</v>
      </c>
      <c r="Q236" s="10">
        <f t="shared" ca="1" si="40"/>
        <v>57.107142857142122</v>
      </c>
      <c r="R236" s="10">
        <f t="shared" ca="1" si="41"/>
        <v>120.51785714285597</v>
      </c>
      <c r="S236" s="10">
        <f t="shared" ca="1" si="42"/>
        <v>-63.410714285713851</v>
      </c>
      <c r="T236" s="10">
        <f t="shared" ca="1" si="43"/>
        <v>319.90990990990991</v>
      </c>
      <c r="U236" s="10">
        <f t="shared" ca="1" si="44"/>
        <v>319.90990990990991</v>
      </c>
      <c r="V236">
        <f t="shared" si="45"/>
        <v>3</v>
      </c>
    </row>
    <row r="237" spans="1:22" x14ac:dyDescent="0.25">
      <c r="A237">
        <v>27</v>
      </c>
      <c r="B237">
        <v>2</v>
      </c>
      <c r="C237">
        <v>63.5</v>
      </c>
      <c r="D237">
        <v>1</v>
      </c>
      <c r="E237">
        <v>1</v>
      </c>
      <c r="F237">
        <v>0</v>
      </c>
      <c r="G237">
        <v>0</v>
      </c>
      <c r="H237">
        <v>350</v>
      </c>
      <c r="I237">
        <f t="shared" si="46"/>
        <v>234</v>
      </c>
      <c r="J237" s="6">
        <f t="array" aca="1" ref="J237:N237" ca="1">TRANSPOSE(ols(OFFSET($C$2:$C$10,I237,0),OFFSET($D$2:$H$10,I237,0)))</f>
        <v>130.94642857142662</v>
      </c>
      <c r="K237" s="6">
        <f ca="1"/>
        <v>-3.8571428571424349</v>
      </c>
      <c r="L237" s="6">
        <f ca="1"/>
        <v>-10.428571428570649</v>
      </c>
      <c r="M237" s="6">
        <f ca="1"/>
        <v>5.9642857142856656</v>
      </c>
      <c r="N237" s="6">
        <f ca="1"/>
        <v>-0.19821428571428434</v>
      </c>
      <c r="O237" s="6">
        <f t="shared" ca="1" si="38"/>
        <v>57.714285714284671</v>
      </c>
      <c r="P237" t="str">
        <f t="shared" si="39"/>
        <v>NA</v>
      </c>
      <c r="Q237" s="10">
        <f t="shared" ca="1" si="40"/>
        <v>57.107142857142122</v>
      </c>
      <c r="R237" s="10">
        <f t="shared" ca="1" si="41"/>
        <v>127.08928571428419</v>
      </c>
      <c r="S237" s="10">
        <f t="shared" ca="1" si="42"/>
        <v>-69.982142857142065</v>
      </c>
      <c r="T237" s="10">
        <f t="shared" ca="1" si="43"/>
        <v>353.06306306306152</v>
      </c>
      <c r="U237" s="10">
        <f t="shared" ca="1" si="44"/>
        <v>353.06306306306152</v>
      </c>
      <c r="V237">
        <f t="shared" si="45"/>
        <v>2</v>
      </c>
    </row>
    <row r="238" spans="1:22" x14ac:dyDescent="0.25">
      <c r="A238">
        <v>27</v>
      </c>
      <c r="B238">
        <v>3</v>
      </c>
      <c r="C238">
        <v>35</v>
      </c>
      <c r="D238">
        <v>1</v>
      </c>
      <c r="E238">
        <v>1</v>
      </c>
      <c r="F238">
        <v>0</v>
      </c>
      <c r="G238">
        <v>0</v>
      </c>
      <c r="H238">
        <v>450</v>
      </c>
      <c r="I238">
        <f t="shared" si="46"/>
        <v>234</v>
      </c>
      <c r="J238" s="6">
        <f t="array" aca="1" ref="J238:N238" ca="1">TRANSPOSE(ols(OFFSET($C$2:$C$10,I238,0),OFFSET($D$2:$H$10,I238,0)))</f>
        <v>130.94642857142662</v>
      </c>
      <c r="K238" s="6">
        <f ca="1"/>
        <v>-3.8571428571424349</v>
      </c>
      <c r="L238" s="6">
        <f ca="1"/>
        <v>-10.428571428570649</v>
      </c>
      <c r="M238" s="6">
        <f ca="1"/>
        <v>5.9642857142856656</v>
      </c>
      <c r="N238" s="6">
        <f ca="1"/>
        <v>-0.19821428571428434</v>
      </c>
      <c r="O238" s="6">
        <f t="shared" ca="1" si="38"/>
        <v>37.892857142856229</v>
      </c>
      <c r="P238" t="str">
        <f t="shared" si="39"/>
        <v>NA</v>
      </c>
      <c r="Q238" s="10">
        <f t="shared" ca="1" si="40"/>
        <v>57.107142857142122</v>
      </c>
      <c r="R238" s="10">
        <f t="shared" ca="1" si="41"/>
        <v>127.08928571428419</v>
      </c>
      <c r="S238" s="10">
        <f t="shared" ca="1" si="42"/>
        <v>-69.982142857142065</v>
      </c>
      <c r="T238" s="10">
        <f t="shared" ca="1" si="43"/>
        <v>353.06306306306152</v>
      </c>
      <c r="U238" s="10">
        <f t="shared" ca="1" si="44"/>
        <v>353.06306306306152</v>
      </c>
      <c r="V238">
        <f t="shared" si="45"/>
        <v>2</v>
      </c>
    </row>
    <row r="239" spans="1:22" x14ac:dyDescent="0.25">
      <c r="A239">
        <v>27</v>
      </c>
      <c r="B239">
        <v>4</v>
      </c>
      <c r="C239">
        <v>15</v>
      </c>
      <c r="D239">
        <v>1</v>
      </c>
      <c r="E239">
        <v>0</v>
      </c>
      <c r="F239">
        <v>0</v>
      </c>
      <c r="G239">
        <v>0</v>
      </c>
      <c r="H239">
        <v>550</v>
      </c>
      <c r="I239">
        <f t="shared" si="46"/>
        <v>234</v>
      </c>
      <c r="J239" s="6">
        <f t="array" aca="1" ref="J239:N239" ca="1">TRANSPOSE(ols(OFFSET($C$2:$C$10,I239,0),OFFSET($D$2:$H$10,I239,0)))</f>
        <v>130.94642857142662</v>
      </c>
      <c r="K239" s="6">
        <f ca="1"/>
        <v>-3.8571428571424349</v>
      </c>
      <c r="L239" s="6">
        <f ca="1"/>
        <v>-10.428571428570649</v>
      </c>
      <c r="M239" s="6">
        <f ca="1"/>
        <v>5.9642857142856656</v>
      </c>
      <c r="N239" s="6">
        <f ca="1"/>
        <v>-0.19821428571428434</v>
      </c>
      <c r="O239" s="6">
        <f t="shared" ca="1" si="38"/>
        <v>21.928571428570237</v>
      </c>
      <c r="P239" t="str">
        <f t="shared" si="39"/>
        <v>NA</v>
      </c>
      <c r="Q239" s="10">
        <f t="shared" ca="1" si="40"/>
        <v>57.107142857142122</v>
      </c>
      <c r="R239" s="10">
        <f t="shared" ca="1" si="41"/>
        <v>130.94642857142662</v>
      </c>
      <c r="S239" s="10">
        <f t="shared" ca="1" si="42"/>
        <v>-73.8392857142845</v>
      </c>
      <c r="T239" s="10">
        <f t="shared" ca="1" si="43"/>
        <v>372.52252252251895</v>
      </c>
      <c r="U239" s="10">
        <f t="shared" ca="1" si="44"/>
        <v>372.52252252251895</v>
      </c>
      <c r="V239">
        <f t="shared" si="45"/>
        <v>1</v>
      </c>
    </row>
    <row r="240" spans="1:22" x14ac:dyDescent="0.25">
      <c r="A240">
        <v>27</v>
      </c>
      <c r="B240">
        <v>5</v>
      </c>
      <c r="C240">
        <v>75</v>
      </c>
      <c r="D240">
        <v>1</v>
      </c>
      <c r="E240">
        <v>0</v>
      </c>
      <c r="F240">
        <v>1</v>
      </c>
      <c r="G240">
        <v>1</v>
      </c>
      <c r="H240">
        <v>250</v>
      </c>
      <c r="I240">
        <f t="shared" si="46"/>
        <v>234</v>
      </c>
      <c r="J240" s="6">
        <f t="array" aca="1" ref="J240:N240" ca="1">TRANSPOSE(ols(OFFSET($C$2:$C$10,I240,0),OFFSET($D$2:$H$10,I240,0)))</f>
        <v>130.94642857142662</v>
      </c>
      <c r="K240" s="6">
        <f ca="1"/>
        <v>-3.8571428571424349</v>
      </c>
      <c r="L240" s="6">
        <f ca="1"/>
        <v>-10.428571428570649</v>
      </c>
      <c r="M240" s="6">
        <f ca="1"/>
        <v>5.9642857142856656</v>
      </c>
      <c r="N240" s="6">
        <f ca="1"/>
        <v>-0.19821428571428434</v>
      </c>
      <c r="O240" s="6">
        <f t="shared" ca="1" si="38"/>
        <v>76.92857142857055</v>
      </c>
      <c r="P240" t="str">
        <f t="shared" si="39"/>
        <v>NA</v>
      </c>
      <c r="Q240" s="10">
        <f t="shared" ca="1" si="40"/>
        <v>57.107142857142122</v>
      </c>
      <c r="R240" s="10">
        <f t="shared" ca="1" si="41"/>
        <v>126.48214285714164</v>
      </c>
      <c r="S240" s="10">
        <f t="shared" ca="1" si="42"/>
        <v>-69.374999999999517</v>
      </c>
      <c r="T240" s="10">
        <f t="shared" ca="1" si="43"/>
        <v>350</v>
      </c>
      <c r="U240" s="10">
        <f t="shared" ca="1" si="44"/>
        <v>350</v>
      </c>
      <c r="V240">
        <f t="shared" si="45"/>
        <v>6</v>
      </c>
    </row>
    <row r="241" spans="1:22" x14ac:dyDescent="0.25">
      <c r="A241">
        <v>27</v>
      </c>
      <c r="B241">
        <v>6</v>
      </c>
      <c r="C241">
        <v>55</v>
      </c>
      <c r="D241">
        <v>1</v>
      </c>
      <c r="E241">
        <v>0</v>
      </c>
      <c r="F241">
        <v>1</v>
      </c>
      <c r="G241">
        <v>1</v>
      </c>
      <c r="H241">
        <v>350</v>
      </c>
      <c r="I241">
        <f t="shared" si="46"/>
        <v>234</v>
      </c>
      <c r="J241" s="6">
        <f t="array" aca="1" ref="J241:N241" ca="1">TRANSPOSE(ols(OFFSET($C$2:$C$10,I241,0),OFFSET($D$2:$H$10,I241,0)))</f>
        <v>130.94642857142662</v>
      </c>
      <c r="K241" s="6">
        <f ca="1"/>
        <v>-3.8571428571424349</v>
      </c>
      <c r="L241" s="6">
        <f ca="1"/>
        <v>-10.428571428570649</v>
      </c>
      <c r="M241" s="6">
        <f ca="1"/>
        <v>5.9642857142856656</v>
      </c>
      <c r="N241" s="6">
        <f ca="1"/>
        <v>-0.19821428571428434</v>
      </c>
      <c r="O241" s="6">
        <f t="shared" ca="1" si="38"/>
        <v>57.107142857142122</v>
      </c>
      <c r="P241">
        <f t="shared" ca="1" si="39"/>
        <v>57.107142857142122</v>
      </c>
      <c r="Q241" s="10">
        <f t="shared" ca="1" si="40"/>
        <v>57.107142857142122</v>
      </c>
      <c r="R241" s="10">
        <f t="shared" ca="1" si="41"/>
        <v>126.48214285714164</v>
      </c>
      <c r="S241" s="10">
        <f t="shared" ca="1" si="42"/>
        <v>-69.374999999999517</v>
      </c>
      <c r="T241" s="10">
        <f t="shared" ca="1" si="43"/>
        <v>350</v>
      </c>
      <c r="U241" s="10">
        <f t="shared" ca="1" si="44"/>
        <v>350</v>
      </c>
      <c r="V241">
        <f t="shared" si="45"/>
        <v>6</v>
      </c>
    </row>
    <row r="242" spans="1:22" x14ac:dyDescent="0.25">
      <c r="A242">
        <v>27</v>
      </c>
      <c r="B242">
        <v>7</v>
      </c>
      <c r="C242">
        <v>40</v>
      </c>
      <c r="D242">
        <v>1</v>
      </c>
      <c r="E242">
        <v>1</v>
      </c>
      <c r="F242">
        <v>0</v>
      </c>
      <c r="G242">
        <v>1</v>
      </c>
      <c r="H242">
        <v>450</v>
      </c>
      <c r="I242">
        <f t="shared" si="46"/>
        <v>234</v>
      </c>
      <c r="J242" s="6">
        <f t="array" aca="1" ref="J242:N242" ca="1">TRANSPOSE(ols(OFFSET($C$2:$C$10,I242,0),OFFSET($D$2:$H$10,I242,0)))</f>
        <v>130.94642857142662</v>
      </c>
      <c r="K242" s="6">
        <f ca="1"/>
        <v>-3.8571428571424349</v>
      </c>
      <c r="L242" s="6">
        <f ca="1"/>
        <v>-10.428571428570649</v>
      </c>
      <c r="M242" s="6">
        <f ca="1"/>
        <v>5.9642857142856656</v>
      </c>
      <c r="N242" s="6">
        <f ca="1"/>
        <v>-0.19821428571428434</v>
      </c>
      <c r="O242" s="6">
        <f t="shared" ca="1" si="38"/>
        <v>43.857142857141895</v>
      </c>
      <c r="P242" t="str">
        <f t="shared" si="39"/>
        <v>NA</v>
      </c>
      <c r="Q242" s="10">
        <f t="shared" ca="1" si="40"/>
        <v>57.107142857142122</v>
      </c>
      <c r="R242" s="10">
        <f t="shared" ca="1" si="41"/>
        <v>133.05357142856985</v>
      </c>
      <c r="S242" s="10">
        <f t="shared" ca="1" si="42"/>
        <v>-75.946428571427731</v>
      </c>
      <c r="T242" s="10">
        <f t="shared" ca="1" si="43"/>
        <v>383.15315315315155</v>
      </c>
      <c r="U242" s="10">
        <f t="shared" ca="1" si="44"/>
        <v>383.15315315315155</v>
      </c>
      <c r="V242">
        <f t="shared" si="45"/>
        <v>5</v>
      </c>
    </row>
    <row r="243" spans="1:22" x14ac:dyDescent="0.25">
      <c r="A243">
        <v>27</v>
      </c>
      <c r="B243">
        <v>8</v>
      </c>
      <c r="C243">
        <v>25</v>
      </c>
      <c r="D243">
        <v>1</v>
      </c>
      <c r="E243">
        <v>1</v>
      </c>
      <c r="F243">
        <v>0</v>
      </c>
      <c r="G243">
        <v>1</v>
      </c>
      <c r="H243">
        <v>550</v>
      </c>
      <c r="I243">
        <f t="shared" si="46"/>
        <v>234</v>
      </c>
      <c r="J243" s="6">
        <f t="array" aca="1" ref="J243:N243" ca="1">TRANSPOSE(ols(OFFSET($C$2:$C$10,I243,0),OFFSET($D$2:$H$10,I243,0)))</f>
        <v>130.94642857142662</v>
      </c>
      <c r="K243" s="6">
        <f ca="1"/>
        <v>-3.8571428571424349</v>
      </c>
      <c r="L243" s="6">
        <f ca="1"/>
        <v>-10.428571428570649</v>
      </c>
      <c r="M243" s="6">
        <f ca="1"/>
        <v>5.9642857142856656</v>
      </c>
      <c r="N243" s="6">
        <f ca="1"/>
        <v>-0.19821428571428434</v>
      </c>
      <c r="O243" s="6">
        <f t="shared" ca="1" si="38"/>
        <v>24.035714285713468</v>
      </c>
      <c r="P243" t="str">
        <f t="shared" si="39"/>
        <v>NA</v>
      </c>
      <c r="Q243" s="10">
        <f t="shared" ca="1" si="40"/>
        <v>57.107142857142122</v>
      </c>
      <c r="R243" s="10">
        <f t="shared" ca="1" si="41"/>
        <v>133.05357142856985</v>
      </c>
      <c r="S243" s="10">
        <f t="shared" ca="1" si="42"/>
        <v>-75.946428571427731</v>
      </c>
      <c r="T243" s="10">
        <f t="shared" ca="1" si="43"/>
        <v>383.15315315315155</v>
      </c>
      <c r="U243" s="10">
        <f t="shared" ca="1" si="44"/>
        <v>383.15315315315155</v>
      </c>
      <c r="V243">
        <f t="shared" si="45"/>
        <v>5</v>
      </c>
    </row>
    <row r="244" spans="1:22" x14ac:dyDescent="0.25">
      <c r="A244">
        <v>27</v>
      </c>
      <c r="B244">
        <v>9</v>
      </c>
      <c r="C244">
        <v>15</v>
      </c>
      <c r="D244">
        <v>1</v>
      </c>
      <c r="E244">
        <v>0</v>
      </c>
      <c r="F244">
        <v>0</v>
      </c>
      <c r="G244">
        <v>1</v>
      </c>
      <c r="H244">
        <v>650</v>
      </c>
      <c r="I244">
        <f t="shared" si="46"/>
        <v>234</v>
      </c>
      <c r="J244" s="6">
        <f t="array" aca="1" ref="J244:N244" ca="1">TRANSPOSE(ols(OFFSET($C$2:$C$10,I244,0),OFFSET($D$2:$H$10,I244,0)))</f>
        <v>130.94642857142662</v>
      </c>
      <c r="K244" s="6">
        <f ca="1"/>
        <v>-3.8571428571424349</v>
      </c>
      <c r="L244" s="6">
        <f ca="1"/>
        <v>-10.428571428570649</v>
      </c>
      <c r="M244" s="6">
        <f ca="1"/>
        <v>5.9642857142856656</v>
      </c>
      <c r="N244" s="6">
        <f ca="1"/>
        <v>-0.19821428571428434</v>
      </c>
      <c r="O244" s="6">
        <f t="shared" ca="1" si="38"/>
        <v>8.0714285714274752</v>
      </c>
      <c r="P244" t="str">
        <f t="shared" si="39"/>
        <v>NA</v>
      </c>
      <c r="Q244" s="10">
        <f t="shared" ca="1" si="40"/>
        <v>57.107142857142122</v>
      </c>
      <c r="R244" s="10">
        <f t="shared" ca="1" si="41"/>
        <v>136.91071428571229</v>
      </c>
      <c r="S244" s="10">
        <f t="shared" ca="1" si="42"/>
        <v>-79.803571428570166</v>
      </c>
      <c r="T244" s="10">
        <f t="shared" ca="1" si="43"/>
        <v>402.61261261260904</v>
      </c>
      <c r="U244" s="10">
        <f t="shared" ca="1" si="44"/>
        <v>402.61261261260904</v>
      </c>
      <c r="V244">
        <f t="shared" si="45"/>
        <v>4</v>
      </c>
    </row>
    <row r="245" spans="1:22" x14ac:dyDescent="0.25">
      <c r="A245">
        <v>28</v>
      </c>
      <c r="B245">
        <v>1</v>
      </c>
      <c r="C245">
        <v>65</v>
      </c>
      <c r="D245">
        <v>1</v>
      </c>
      <c r="E245">
        <v>0</v>
      </c>
      <c r="F245">
        <v>1</v>
      </c>
      <c r="G245">
        <v>0</v>
      </c>
      <c r="H245">
        <v>250</v>
      </c>
      <c r="I245">
        <f t="shared" si="46"/>
        <v>243</v>
      </c>
      <c r="J245" s="6">
        <f t="array" aca="1" ref="J245:N245" ca="1">TRANSPOSE(ols(OFFSET($C$2:$C$10,I245,0),OFFSET($D$2:$H$10,I245,0)))</f>
        <v>256.48809523809177</v>
      </c>
      <c r="K245" s="6">
        <f ca="1"/>
        <v>-34.607142857142208</v>
      </c>
      <c r="L245" s="6">
        <f ca="1"/>
        <v>-108.76190476190231</v>
      </c>
      <c r="M245" s="6">
        <f ca="1"/>
        <v>19.380952380952067</v>
      </c>
      <c r="N245" s="6">
        <f ca="1"/>
        <v>-0.40404761904761521</v>
      </c>
      <c r="O245" s="6">
        <f t="shared" ca="1" si="38"/>
        <v>46.714285714285651</v>
      </c>
      <c r="P245" t="str">
        <f t="shared" si="39"/>
        <v>NA</v>
      </c>
      <c r="Q245" s="10">
        <f t="shared" ca="1" si="40"/>
        <v>25.690476190476204</v>
      </c>
      <c r="R245" s="10">
        <f t="shared" ca="1" si="41"/>
        <v>147.72619047618946</v>
      </c>
      <c r="S245" s="10">
        <f t="shared" ca="1" si="42"/>
        <v>-122.03571428571325</v>
      </c>
      <c r="T245" s="10">
        <f t="shared" ca="1" si="43"/>
        <v>302.0329994107251</v>
      </c>
      <c r="U245" s="10">
        <f t="shared" ca="1" si="44"/>
        <v>302.0329994107251</v>
      </c>
      <c r="V245">
        <f t="shared" si="45"/>
        <v>3</v>
      </c>
    </row>
    <row r="246" spans="1:22" x14ac:dyDescent="0.25">
      <c r="A246">
        <v>28</v>
      </c>
      <c r="B246">
        <v>2</v>
      </c>
      <c r="C246">
        <v>77.5</v>
      </c>
      <c r="D246">
        <v>1</v>
      </c>
      <c r="E246">
        <v>1</v>
      </c>
      <c r="F246">
        <v>0</v>
      </c>
      <c r="G246">
        <v>0</v>
      </c>
      <c r="H246">
        <v>350</v>
      </c>
      <c r="I246">
        <f t="shared" si="46"/>
        <v>243</v>
      </c>
      <c r="J246" s="6">
        <f t="array" aca="1" ref="J246:N246" ca="1">TRANSPOSE(ols(OFFSET($C$2:$C$10,I246,0),OFFSET($D$2:$H$10,I246,0)))</f>
        <v>256.48809523809177</v>
      </c>
      <c r="K246" s="6">
        <f ca="1"/>
        <v>-34.607142857142208</v>
      </c>
      <c r="L246" s="6">
        <f ca="1"/>
        <v>-108.76190476190231</v>
      </c>
      <c r="M246" s="6">
        <f ca="1"/>
        <v>19.380952380952067</v>
      </c>
      <c r="N246" s="6">
        <f ca="1"/>
        <v>-0.40404761904761521</v>
      </c>
      <c r="O246" s="6">
        <f t="shared" ca="1" si="38"/>
        <v>80.464285714284244</v>
      </c>
      <c r="P246" t="str">
        <f t="shared" si="39"/>
        <v>NA</v>
      </c>
      <c r="Q246" s="10">
        <f t="shared" ca="1" si="40"/>
        <v>25.690476190476204</v>
      </c>
      <c r="R246" s="10">
        <f t="shared" ca="1" si="41"/>
        <v>221.88095238094957</v>
      </c>
      <c r="S246" s="10">
        <f t="shared" ca="1" si="42"/>
        <v>-196.19047619047336</v>
      </c>
      <c r="T246" s="10">
        <f t="shared" ca="1" si="43"/>
        <v>485.56275780789389</v>
      </c>
      <c r="U246" s="10">
        <f t="shared" ca="1" si="44"/>
        <v>485.56275780789389</v>
      </c>
      <c r="V246">
        <f t="shared" si="45"/>
        <v>2</v>
      </c>
    </row>
    <row r="247" spans="1:22" x14ac:dyDescent="0.25">
      <c r="A247">
        <v>28</v>
      </c>
      <c r="B247">
        <v>3</v>
      </c>
      <c r="C247">
        <v>31.5</v>
      </c>
      <c r="D247">
        <v>1</v>
      </c>
      <c r="E247">
        <v>1</v>
      </c>
      <c r="F247">
        <v>0</v>
      </c>
      <c r="G247">
        <v>0</v>
      </c>
      <c r="H247">
        <v>450</v>
      </c>
      <c r="I247">
        <f t="shared" si="46"/>
        <v>243</v>
      </c>
      <c r="J247" s="6">
        <f t="array" aca="1" ref="J247:N247" ca="1">TRANSPOSE(ols(OFFSET($C$2:$C$10,I247,0),OFFSET($D$2:$H$10,I247,0)))</f>
        <v>256.48809523809177</v>
      </c>
      <c r="K247" s="6">
        <f ca="1"/>
        <v>-34.607142857142208</v>
      </c>
      <c r="L247" s="6">
        <f ca="1"/>
        <v>-108.76190476190231</v>
      </c>
      <c r="M247" s="6">
        <f ca="1"/>
        <v>19.380952380952067</v>
      </c>
      <c r="N247" s="6">
        <f ca="1"/>
        <v>-0.40404761904761521</v>
      </c>
      <c r="O247" s="6">
        <f t="shared" ca="1" si="38"/>
        <v>40.059523809522716</v>
      </c>
      <c r="P247" t="str">
        <f t="shared" si="39"/>
        <v>NA</v>
      </c>
      <c r="Q247" s="10">
        <f t="shared" ca="1" si="40"/>
        <v>25.690476190476204</v>
      </c>
      <c r="R247" s="10">
        <f t="shared" ca="1" si="41"/>
        <v>221.88095238094957</v>
      </c>
      <c r="S247" s="10">
        <f t="shared" ca="1" si="42"/>
        <v>-196.19047619047336</v>
      </c>
      <c r="T247" s="10">
        <f t="shared" ca="1" si="43"/>
        <v>485.56275780789389</v>
      </c>
      <c r="U247" s="10">
        <f t="shared" ca="1" si="44"/>
        <v>485.56275780789389</v>
      </c>
      <c r="V247">
        <f t="shared" si="45"/>
        <v>2</v>
      </c>
    </row>
    <row r="248" spans="1:22" x14ac:dyDescent="0.25">
      <c r="A248">
        <v>28</v>
      </c>
      <c r="B248">
        <v>4</v>
      </c>
      <c r="C248">
        <v>27.5</v>
      </c>
      <c r="D248">
        <v>1</v>
      </c>
      <c r="E248">
        <v>0</v>
      </c>
      <c r="F248">
        <v>0</v>
      </c>
      <c r="G248">
        <v>0</v>
      </c>
      <c r="H248">
        <v>550</v>
      </c>
      <c r="I248">
        <f t="shared" si="46"/>
        <v>243</v>
      </c>
      <c r="J248" s="6">
        <f t="array" aca="1" ref="J248:N248" ca="1">TRANSPOSE(ols(OFFSET($C$2:$C$10,I248,0),OFFSET($D$2:$H$10,I248,0)))</f>
        <v>256.48809523809177</v>
      </c>
      <c r="K248" s="6">
        <f ca="1"/>
        <v>-34.607142857142208</v>
      </c>
      <c r="L248" s="6">
        <f ca="1"/>
        <v>-108.76190476190231</v>
      </c>
      <c r="M248" s="6">
        <f ca="1"/>
        <v>19.380952380952067</v>
      </c>
      <c r="N248" s="6">
        <f ca="1"/>
        <v>-0.40404761904761521</v>
      </c>
      <c r="O248" s="6">
        <f t="shared" ca="1" si="38"/>
        <v>34.261904761903395</v>
      </c>
      <c r="P248" t="str">
        <f t="shared" si="39"/>
        <v>NA</v>
      </c>
      <c r="Q248" s="10">
        <f t="shared" ca="1" si="40"/>
        <v>25.690476190476204</v>
      </c>
      <c r="R248" s="10">
        <f t="shared" ca="1" si="41"/>
        <v>256.48809523809177</v>
      </c>
      <c r="S248" s="10">
        <f t="shared" ca="1" si="42"/>
        <v>-230.79761904761557</v>
      </c>
      <c r="T248" s="10">
        <f t="shared" ca="1" si="43"/>
        <v>571.21390689451653</v>
      </c>
      <c r="U248" s="10">
        <f t="shared" ca="1" si="44"/>
        <v>571.21390689451653</v>
      </c>
      <c r="V248">
        <f t="shared" si="45"/>
        <v>1</v>
      </c>
    </row>
    <row r="249" spans="1:22" x14ac:dyDescent="0.25">
      <c r="A249">
        <v>28</v>
      </c>
      <c r="B249">
        <v>5</v>
      </c>
      <c r="C249">
        <v>56</v>
      </c>
      <c r="D249">
        <v>1</v>
      </c>
      <c r="E249">
        <v>0</v>
      </c>
      <c r="F249">
        <v>1</v>
      </c>
      <c r="G249">
        <v>1</v>
      </c>
      <c r="H249">
        <v>250</v>
      </c>
      <c r="I249">
        <f t="shared" si="46"/>
        <v>243</v>
      </c>
      <c r="J249" s="6">
        <f t="array" aca="1" ref="J249:N249" ca="1">TRANSPOSE(ols(OFFSET($C$2:$C$10,I249,0),OFFSET($D$2:$H$10,I249,0)))</f>
        <v>256.48809523809177</v>
      </c>
      <c r="K249" s="6">
        <f ca="1"/>
        <v>-34.607142857142208</v>
      </c>
      <c r="L249" s="6">
        <f ca="1"/>
        <v>-108.76190476190231</v>
      </c>
      <c r="M249" s="6">
        <f ca="1"/>
        <v>19.380952380952067</v>
      </c>
      <c r="N249" s="6">
        <f ca="1"/>
        <v>-0.40404761904761521</v>
      </c>
      <c r="O249" s="6">
        <f t="shared" ca="1" si="38"/>
        <v>66.095238095237718</v>
      </c>
      <c r="P249" t="str">
        <f t="shared" si="39"/>
        <v>NA</v>
      </c>
      <c r="Q249" s="10">
        <f t="shared" ca="1" si="40"/>
        <v>25.690476190476204</v>
      </c>
      <c r="R249" s="10">
        <f t="shared" ca="1" si="41"/>
        <v>167.10714285714153</v>
      </c>
      <c r="S249" s="10">
        <f t="shared" ca="1" si="42"/>
        <v>-141.41666666666532</v>
      </c>
      <c r="T249" s="10">
        <f t="shared" ca="1" si="43"/>
        <v>350</v>
      </c>
      <c r="U249" s="10">
        <f t="shared" ca="1" si="44"/>
        <v>350</v>
      </c>
      <c r="V249">
        <f t="shared" si="45"/>
        <v>6</v>
      </c>
    </row>
    <row r="250" spans="1:22" x14ac:dyDescent="0.25">
      <c r="A250">
        <v>28</v>
      </c>
      <c r="B250">
        <v>6</v>
      </c>
      <c r="C250">
        <v>17.5</v>
      </c>
      <c r="D250">
        <v>1</v>
      </c>
      <c r="E250">
        <v>0</v>
      </c>
      <c r="F250">
        <v>1</v>
      </c>
      <c r="G250">
        <v>1</v>
      </c>
      <c r="H250">
        <v>350</v>
      </c>
      <c r="I250">
        <f t="shared" si="46"/>
        <v>243</v>
      </c>
      <c r="J250" s="6">
        <f t="array" aca="1" ref="J250:N250" ca="1">TRANSPOSE(ols(OFFSET($C$2:$C$10,I250,0),OFFSET($D$2:$H$10,I250,0)))</f>
        <v>256.48809523809177</v>
      </c>
      <c r="K250" s="6">
        <f ca="1"/>
        <v>-34.607142857142208</v>
      </c>
      <c r="L250" s="6">
        <f ca="1"/>
        <v>-108.76190476190231</v>
      </c>
      <c r="M250" s="6">
        <f ca="1"/>
        <v>19.380952380952067</v>
      </c>
      <c r="N250" s="6">
        <f ca="1"/>
        <v>-0.40404761904761521</v>
      </c>
      <c r="O250" s="6">
        <f t="shared" ca="1" si="38"/>
        <v>25.690476190476204</v>
      </c>
      <c r="P250">
        <f t="shared" ca="1" si="39"/>
        <v>25.690476190476204</v>
      </c>
      <c r="Q250" s="10">
        <f t="shared" ca="1" si="40"/>
        <v>25.690476190476204</v>
      </c>
      <c r="R250" s="10">
        <f t="shared" ca="1" si="41"/>
        <v>167.10714285714153</v>
      </c>
      <c r="S250" s="10">
        <f t="shared" ca="1" si="42"/>
        <v>-141.41666666666532</v>
      </c>
      <c r="T250" s="10">
        <f t="shared" ca="1" si="43"/>
        <v>350</v>
      </c>
      <c r="U250" s="10">
        <f t="shared" ca="1" si="44"/>
        <v>350</v>
      </c>
      <c r="V250">
        <f t="shared" si="45"/>
        <v>6</v>
      </c>
    </row>
    <row r="251" spans="1:22" x14ac:dyDescent="0.25">
      <c r="A251">
        <v>28</v>
      </c>
      <c r="B251">
        <v>7</v>
      </c>
      <c r="C251">
        <v>72.5</v>
      </c>
      <c r="D251">
        <v>1</v>
      </c>
      <c r="E251">
        <v>1</v>
      </c>
      <c r="F251">
        <v>0</v>
      </c>
      <c r="G251">
        <v>1</v>
      </c>
      <c r="H251">
        <v>450</v>
      </c>
      <c r="I251">
        <f t="shared" si="46"/>
        <v>243</v>
      </c>
      <c r="J251" s="6">
        <f t="array" aca="1" ref="J251:N251" ca="1">TRANSPOSE(ols(OFFSET($C$2:$C$10,I251,0),OFFSET($D$2:$H$10,I251,0)))</f>
        <v>256.48809523809177</v>
      </c>
      <c r="K251" s="6">
        <f ca="1"/>
        <v>-34.607142857142208</v>
      </c>
      <c r="L251" s="6">
        <f ca="1"/>
        <v>-108.76190476190231</v>
      </c>
      <c r="M251" s="6">
        <f ca="1"/>
        <v>19.380952380952067</v>
      </c>
      <c r="N251" s="6">
        <f ca="1"/>
        <v>-0.40404761904761521</v>
      </c>
      <c r="O251" s="6">
        <f t="shared" ca="1" si="38"/>
        <v>59.440476190474783</v>
      </c>
      <c r="P251" t="str">
        <f t="shared" si="39"/>
        <v>NA</v>
      </c>
      <c r="Q251" s="10">
        <f t="shared" ca="1" si="40"/>
        <v>25.690476190476204</v>
      </c>
      <c r="R251" s="10">
        <f t="shared" ca="1" si="41"/>
        <v>241.26190476190163</v>
      </c>
      <c r="S251" s="10">
        <f t="shared" ca="1" si="42"/>
        <v>-215.57142857142543</v>
      </c>
      <c r="T251" s="10">
        <f t="shared" ca="1" si="43"/>
        <v>533.52975839716873</v>
      </c>
      <c r="U251" s="10">
        <f t="shared" ca="1" si="44"/>
        <v>533.52975839716873</v>
      </c>
      <c r="V251">
        <f t="shared" si="45"/>
        <v>5</v>
      </c>
    </row>
    <row r="252" spans="1:22" x14ac:dyDescent="0.25">
      <c r="A252">
        <v>28</v>
      </c>
      <c r="B252">
        <v>8</v>
      </c>
      <c r="C252">
        <v>17.5</v>
      </c>
      <c r="D252">
        <v>1</v>
      </c>
      <c r="E252">
        <v>1</v>
      </c>
      <c r="F252">
        <v>0</v>
      </c>
      <c r="G252">
        <v>1</v>
      </c>
      <c r="H252">
        <v>550</v>
      </c>
      <c r="I252">
        <f t="shared" si="46"/>
        <v>243</v>
      </c>
      <c r="J252" s="6">
        <f t="array" aca="1" ref="J252:N252" ca="1">TRANSPOSE(ols(OFFSET($C$2:$C$10,I252,0),OFFSET($D$2:$H$10,I252,0)))</f>
        <v>256.48809523809177</v>
      </c>
      <c r="K252" s="6">
        <f ca="1"/>
        <v>-34.607142857142208</v>
      </c>
      <c r="L252" s="6">
        <f ca="1"/>
        <v>-108.76190476190231</v>
      </c>
      <c r="M252" s="6">
        <f ca="1"/>
        <v>19.380952380952067</v>
      </c>
      <c r="N252" s="6">
        <f ca="1"/>
        <v>-0.40404761904761521</v>
      </c>
      <c r="O252" s="6">
        <f t="shared" ca="1" si="38"/>
        <v>19.035714285713254</v>
      </c>
      <c r="P252" t="str">
        <f t="shared" si="39"/>
        <v>NA</v>
      </c>
      <c r="Q252" s="10">
        <f t="shared" ca="1" si="40"/>
        <v>25.690476190476204</v>
      </c>
      <c r="R252" s="10">
        <f t="shared" ca="1" si="41"/>
        <v>241.26190476190163</v>
      </c>
      <c r="S252" s="10">
        <f t="shared" ca="1" si="42"/>
        <v>-215.57142857142543</v>
      </c>
      <c r="T252" s="10">
        <f t="shared" ca="1" si="43"/>
        <v>533.52975839716873</v>
      </c>
      <c r="U252" s="10">
        <f t="shared" ca="1" si="44"/>
        <v>533.52975839716873</v>
      </c>
      <c r="V252">
        <f t="shared" si="45"/>
        <v>5</v>
      </c>
    </row>
    <row r="253" spans="1:22" x14ac:dyDescent="0.25">
      <c r="A253">
        <v>28</v>
      </c>
      <c r="B253">
        <v>9</v>
      </c>
      <c r="C253">
        <v>20</v>
      </c>
      <c r="D253">
        <v>1</v>
      </c>
      <c r="E253">
        <v>0</v>
      </c>
      <c r="F253">
        <v>0</v>
      </c>
      <c r="G253">
        <v>1</v>
      </c>
      <c r="H253">
        <v>650</v>
      </c>
      <c r="I253">
        <f t="shared" si="46"/>
        <v>243</v>
      </c>
      <c r="J253" s="6">
        <f t="array" aca="1" ref="J253:N253" ca="1">TRANSPOSE(ols(OFFSET($C$2:$C$10,I253,0),OFFSET($D$2:$H$10,I253,0)))</f>
        <v>256.48809523809177</v>
      </c>
      <c r="K253" s="6">
        <f ca="1"/>
        <v>-34.607142857142208</v>
      </c>
      <c r="L253" s="6">
        <f ca="1"/>
        <v>-108.76190476190231</v>
      </c>
      <c r="M253" s="6">
        <f ca="1"/>
        <v>19.380952380952067</v>
      </c>
      <c r="N253" s="6">
        <f ca="1"/>
        <v>-0.40404761904761521</v>
      </c>
      <c r="O253" s="6">
        <f t="shared" ca="1" si="38"/>
        <v>13.238095238093933</v>
      </c>
      <c r="P253" t="str">
        <f t="shared" si="39"/>
        <v>NA</v>
      </c>
      <c r="Q253" s="10">
        <f t="shared" ca="1" si="40"/>
        <v>25.690476190476204</v>
      </c>
      <c r="R253" s="10">
        <f t="shared" ca="1" si="41"/>
        <v>275.86904761904384</v>
      </c>
      <c r="S253" s="10">
        <f t="shared" ca="1" si="42"/>
        <v>-250.17857142856764</v>
      </c>
      <c r="T253" s="10">
        <f t="shared" ca="1" si="43"/>
        <v>619.18090748379143</v>
      </c>
      <c r="U253" s="10">
        <f t="shared" ca="1" si="44"/>
        <v>619.18090748379143</v>
      </c>
      <c r="V253">
        <f t="shared" si="45"/>
        <v>4</v>
      </c>
    </row>
    <row r="254" spans="1:22" x14ac:dyDescent="0.25">
      <c r="A254">
        <v>29</v>
      </c>
      <c r="B254">
        <v>1</v>
      </c>
      <c r="C254">
        <v>75</v>
      </c>
      <c r="D254">
        <v>1</v>
      </c>
      <c r="E254">
        <v>0</v>
      </c>
      <c r="F254">
        <v>1</v>
      </c>
      <c r="G254">
        <v>0</v>
      </c>
      <c r="H254">
        <v>250</v>
      </c>
      <c r="I254">
        <f t="shared" si="46"/>
        <v>252</v>
      </c>
      <c r="J254" s="6">
        <f t="array" aca="1" ref="J254:N254" ca="1">TRANSPOSE(ols(OFFSET($C$2:$C$10,I254,0),OFFSET($D$2:$H$10,I254,0)))</f>
        <v>157.94642857142753</v>
      </c>
      <c r="K254" s="6">
        <f ca="1"/>
        <v>-7.8571428571424349</v>
      </c>
      <c r="L254" s="6">
        <f ca="1"/>
        <v>-21.428571428571104</v>
      </c>
      <c r="M254" s="6">
        <f ca="1"/>
        <v>21.964285714285779</v>
      </c>
      <c r="N254" s="6">
        <f ca="1"/>
        <v>-0.24821428571428328</v>
      </c>
      <c r="O254" s="6">
        <f t="shared" ca="1" si="38"/>
        <v>74.464285714285609</v>
      </c>
      <c r="P254" t="str">
        <f t="shared" si="39"/>
        <v>NA</v>
      </c>
      <c r="Q254" s="10">
        <f t="shared" ca="1" si="40"/>
        <v>71.60714285714306</v>
      </c>
      <c r="R254" s="10">
        <f t="shared" ca="1" si="41"/>
        <v>136.51785714285643</v>
      </c>
      <c r="S254" s="10">
        <f t="shared" ca="1" si="42"/>
        <v>-64.910714285713368</v>
      </c>
      <c r="T254" s="10">
        <f t="shared" ca="1" si="43"/>
        <v>261.51079136690532</v>
      </c>
      <c r="U254" s="10">
        <f t="shared" ca="1" si="44"/>
        <v>261.51079136690532</v>
      </c>
      <c r="V254">
        <f t="shared" si="45"/>
        <v>3</v>
      </c>
    </row>
    <row r="255" spans="1:22" x14ac:dyDescent="0.25">
      <c r="A255">
        <v>29</v>
      </c>
      <c r="B255">
        <v>2</v>
      </c>
      <c r="C255">
        <v>62.5</v>
      </c>
      <c r="D255">
        <v>1</v>
      </c>
      <c r="E255">
        <v>1</v>
      </c>
      <c r="F255">
        <v>0</v>
      </c>
      <c r="G255">
        <v>0</v>
      </c>
      <c r="H255">
        <v>350</v>
      </c>
      <c r="I255">
        <f t="shared" si="46"/>
        <v>252</v>
      </c>
      <c r="J255" s="6">
        <f t="array" aca="1" ref="J255:N255" ca="1">TRANSPOSE(ols(OFFSET($C$2:$C$10,I255,0),OFFSET($D$2:$H$10,I255,0)))</f>
        <v>157.94642857142753</v>
      </c>
      <c r="K255" s="6">
        <f ca="1"/>
        <v>-7.8571428571424349</v>
      </c>
      <c r="L255" s="6">
        <f ca="1"/>
        <v>-21.428571428571104</v>
      </c>
      <c r="M255" s="6">
        <f ca="1"/>
        <v>21.964285714285779</v>
      </c>
      <c r="N255" s="6">
        <f ca="1"/>
        <v>-0.24821428571428328</v>
      </c>
      <c r="O255" s="6">
        <f t="shared" ca="1" si="38"/>
        <v>63.21428571428595</v>
      </c>
      <c r="P255" t="str">
        <f t="shared" si="39"/>
        <v>NA</v>
      </c>
      <c r="Q255" s="10">
        <f t="shared" ca="1" si="40"/>
        <v>71.60714285714306</v>
      </c>
      <c r="R255" s="10">
        <f t="shared" ca="1" si="41"/>
        <v>150.0892857142851</v>
      </c>
      <c r="S255" s="10">
        <f t="shared" ca="1" si="42"/>
        <v>-78.482142857142037</v>
      </c>
      <c r="T255" s="10">
        <f t="shared" ca="1" si="43"/>
        <v>316.18705035971203</v>
      </c>
      <c r="U255" s="10">
        <f t="shared" ca="1" si="44"/>
        <v>316.18705035971203</v>
      </c>
      <c r="V255">
        <f t="shared" si="45"/>
        <v>2</v>
      </c>
    </row>
    <row r="256" spans="1:22" x14ac:dyDescent="0.25">
      <c r="A256">
        <v>29</v>
      </c>
      <c r="B256">
        <v>3</v>
      </c>
      <c r="C256">
        <v>40</v>
      </c>
      <c r="D256">
        <v>1</v>
      </c>
      <c r="E256">
        <v>1</v>
      </c>
      <c r="F256">
        <v>0</v>
      </c>
      <c r="G256">
        <v>0</v>
      </c>
      <c r="H256">
        <v>450</v>
      </c>
      <c r="I256">
        <f t="shared" si="46"/>
        <v>252</v>
      </c>
      <c r="J256" s="6">
        <f t="array" aca="1" ref="J256:N256" ca="1">TRANSPOSE(ols(OFFSET($C$2:$C$10,I256,0),OFFSET($D$2:$H$10,I256,0)))</f>
        <v>157.94642857142753</v>
      </c>
      <c r="K256" s="6">
        <f ca="1"/>
        <v>-7.8571428571424349</v>
      </c>
      <c r="L256" s="6">
        <f ca="1"/>
        <v>-21.428571428571104</v>
      </c>
      <c r="M256" s="6">
        <f ca="1"/>
        <v>21.964285714285779</v>
      </c>
      <c r="N256" s="6">
        <f ca="1"/>
        <v>-0.24821428571428328</v>
      </c>
      <c r="O256" s="6">
        <f t="shared" ca="1" si="38"/>
        <v>38.392857142857622</v>
      </c>
      <c r="P256" t="str">
        <f t="shared" si="39"/>
        <v>NA</v>
      </c>
      <c r="Q256" s="10">
        <f t="shared" ca="1" si="40"/>
        <v>71.60714285714306</v>
      </c>
      <c r="R256" s="10">
        <f t="shared" ca="1" si="41"/>
        <v>150.0892857142851</v>
      </c>
      <c r="S256" s="10">
        <f t="shared" ca="1" si="42"/>
        <v>-78.482142857142037</v>
      </c>
      <c r="T256" s="10">
        <f t="shared" ca="1" si="43"/>
        <v>316.18705035971203</v>
      </c>
      <c r="U256" s="10">
        <f t="shared" ca="1" si="44"/>
        <v>316.18705035971203</v>
      </c>
      <c r="V256">
        <f t="shared" si="45"/>
        <v>2</v>
      </c>
    </row>
    <row r="257" spans="1:22" x14ac:dyDescent="0.25">
      <c r="A257">
        <v>29</v>
      </c>
      <c r="B257">
        <v>4</v>
      </c>
      <c r="C257">
        <v>20</v>
      </c>
      <c r="D257">
        <v>1</v>
      </c>
      <c r="E257">
        <v>0</v>
      </c>
      <c r="F257">
        <v>0</v>
      </c>
      <c r="G257">
        <v>0</v>
      </c>
      <c r="H257">
        <v>550</v>
      </c>
      <c r="I257">
        <f t="shared" si="46"/>
        <v>252</v>
      </c>
      <c r="J257" s="6">
        <f t="array" aca="1" ref="J257:N257" ca="1">TRANSPOSE(ols(OFFSET($C$2:$C$10,I257,0),OFFSET($D$2:$H$10,I257,0)))</f>
        <v>157.94642857142753</v>
      </c>
      <c r="K257" s="6">
        <f ca="1"/>
        <v>-7.8571428571424349</v>
      </c>
      <c r="L257" s="6">
        <f ca="1"/>
        <v>-21.428571428571104</v>
      </c>
      <c r="M257" s="6">
        <f ca="1"/>
        <v>21.964285714285779</v>
      </c>
      <c r="N257" s="6">
        <f ca="1"/>
        <v>-0.24821428571428328</v>
      </c>
      <c r="O257" s="6">
        <f t="shared" ca="1" si="38"/>
        <v>21.428571428571729</v>
      </c>
      <c r="P257" t="str">
        <f t="shared" si="39"/>
        <v>NA</v>
      </c>
      <c r="Q257" s="10">
        <f t="shared" ca="1" si="40"/>
        <v>71.60714285714306</v>
      </c>
      <c r="R257" s="10">
        <f t="shared" ca="1" si="41"/>
        <v>157.94642857142753</v>
      </c>
      <c r="S257" s="10">
        <f t="shared" ca="1" si="42"/>
        <v>-86.339285714284472</v>
      </c>
      <c r="T257" s="10">
        <f t="shared" ca="1" si="43"/>
        <v>347.84172661870343</v>
      </c>
      <c r="U257" s="10">
        <f t="shared" ca="1" si="44"/>
        <v>347.84172661870343</v>
      </c>
      <c r="V257">
        <f t="shared" si="45"/>
        <v>1</v>
      </c>
    </row>
    <row r="258" spans="1:22" x14ac:dyDescent="0.25">
      <c r="A258">
        <v>29</v>
      </c>
      <c r="B258">
        <v>5</v>
      </c>
      <c r="C258">
        <v>100</v>
      </c>
      <c r="D258">
        <v>1</v>
      </c>
      <c r="E258">
        <v>0</v>
      </c>
      <c r="F258">
        <v>1</v>
      </c>
      <c r="G258">
        <v>1</v>
      </c>
      <c r="H258">
        <v>250</v>
      </c>
      <c r="I258">
        <f t="shared" si="46"/>
        <v>252</v>
      </c>
      <c r="J258" s="6">
        <f t="array" aca="1" ref="J258:N258" ca="1">TRANSPOSE(ols(OFFSET($C$2:$C$10,I258,0),OFFSET($D$2:$H$10,I258,0)))</f>
        <v>157.94642857142753</v>
      </c>
      <c r="K258" s="6">
        <f ca="1"/>
        <v>-7.8571428571424349</v>
      </c>
      <c r="L258" s="6">
        <f ca="1"/>
        <v>-21.428571428571104</v>
      </c>
      <c r="M258" s="6">
        <f ca="1"/>
        <v>21.964285714285779</v>
      </c>
      <c r="N258" s="6">
        <f ca="1"/>
        <v>-0.24821428571428328</v>
      </c>
      <c r="O258" s="6">
        <f t="shared" ca="1" si="38"/>
        <v>96.428571428571388</v>
      </c>
      <c r="P258" t="str">
        <f t="shared" si="39"/>
        <v>NA</v>
      </c>
      <c r="Q258" s="10">
        <f t="shared" ca="1" si="40"/>
        <v>71.60714285714306</v>
      </c>
      <c r="R258" s="10">
        <f t="shared" ca="1" si="41"/>
        <v>158.48214285714221</v>
      </c>
      <c r="S258" s="10">
        <f t="shared" ca="1" si="42"/>
        <v>-86.874999999999147</v>
      </c>
      <c r="T258" s="10">
        <f t="shared" ca="1" si="43"/>
        <v>350</v>
      </c>
      <c r="U258" s="10">
        <f t="shared" ca="1" si="44"/>
        <v>350</v>
      </c>
      <c r="V258">
        <f t="shared" si="45"/>
        <v>6</v>
      </c>
    </row>
    <row r="259" spans="1:22" x14ac:dyDescent="0.25">
      <c r="A259">
        <v>29</v>
      </c>
      <c r="B259">
        <v>6</v>
      </c>
      <c r="C259">
        <v>67.5</v>
      </c>
      <c r="D259">
        <v>1</v>
      </c>
      <c r="E259">
        <v>0</v>
      </c>
      <c r="F259">
        <v>1</v>
      </c>
      <c r="G259">
        <v>1</v>
      </c>
      <c r="H259">
        <v>350</v>
      </c>
      <c r="I259">
        <f t="shared" si="46"/>
        <v>252</v>
      </c>
      <c r="J259" s="6">
        <f t="array" aca="1" ref="J259:N259" ca="1">TRANSPOSE(ols(OFFSET($C$2:$C$10,I259,0),OFFSET($D$2:$H$10,I259,0)))</f>
        <v>157.94642857142753</v>
      </c>
      <c r="K259" s="6">
        <f ca="1"/>
        <v>-7.8571428571424349</v>
      </c>
      <c r="L259" s="6">
        <f ca="1"/>
        <v>-21.428571428571104</v>
      </c>
      <c r="M259" s="6">
        <f ca="1"/>
        <v>21.964285714285779</v>
      </c>
      <c r="N259" s="6">
        <f ca="1"/>
        <v>-0.24821428571428328</v>
      </c>
      <c r="O259" s="6">
        <f t="shared" ref="O259:O322" ca="1" si="47">SUMPRODUCT(J259:N259,D259:H259)</f>
        <v>71.60714285714306</v>
      </c>
      <c r="P259">
        <f t="shared" ref="P259:P322" ca="1" si="48">IF(AND(F259=1,G259=1,H259=350),O259,"NA")</f>
        <v>71.60714285714306</v>
      </c>
      <c r="Q259" s="10">
        <f t="shared" ref="Q259:Q322" ca="1" si="49">AVERAGEIF($A$2:$A$5383,A259,$P$2:$P$5383)</f>
        <v>71.60714285714306</v>
      </c>
      <c r="R259" s="10">
        <f t="shared" ref="R259:R322" ca="1" si="50">O259-N259*H259</f>
        <v>158.48214285714221</v>
      </c>
      <c r="S259" s="10">
        <f t="shared" ref="S259:S322" ca="1" si="51">Q259-R259</f>
        <v>-86.874999999999147</v>
      </c>
      <c r="T259" s="10">
        <f t="shared" ref="T259:T322" ca="1" si="52">S259/N259</f>
        <v>350</v>
      </c>
      <c r="U259" s="10">
        <f t="shared" ref="U259:U322" ca="1" si="53">IF(OR(T259&lt;250,T259&gt;650),"OR",T259)</f>
        <v>350</v>
      </c>
      <c r="V259">
        <f t="shared" ref="V259:V322" si="54">IF(AND(E259=1,G259=0),2,IF(AND(F259=1,G259=0),3,IF(AND(E259=1,G259=1),5,IF(AND(F259=1,G259=1),6,IF(G259=0,1,IF(G259=1,4))))))</f>
        <v>6</v>
      </c>
    </row>
    <row r="260" spans="1:22" x14ac:dyDescent="0.25">
      <c r="A260">
        <v>29</v>
      </c>
      <c r="B260">
        <v>7</v>
      </c>
      <c r="C260">
        <v>57.5</v>
      </c>
      <c r="D260">
        <v>1</v>
      </c>
      <c r="E260">
        <v>1</v>
      </c>
      <c r="F260">
        <v>0</v>
      </c>
      <c r="G260">
        <v>1</v>
      </c>
      <c r="H260">
        <v>450</v>
      </c>
      <c r="I260">
        <f t="shared" si="46"/>
        <v>252</v>
      </c>
      <c r="J260" s="6">
        <f t="array" aca="1" ref="J260:N260" ca="1">TRANSPOSE(ols(OFFSET($C$2:$C$10,I260,0),OFFSET($D$2:$H$10,I260,0)))</f>
        <v>157.94642857142753</v>
      </c>
      <c r="K260" s="6">
        <f ca="1"/>
        <v>-7.8571428571424349</v>
      </c>
      <c r="L260" s="6">
        <f ca="1"/>
        <v>-21.428571428571104</v>
      </c>
      <c r="M260" s="6">
        <f ca="1"/>
        <v>21.964285714285779</v>
      </c>
      <c r="N260" s="6">
        <f ca="1"/>
        <v>-0.24821428571428328</v>
      </c>
      <c r="O260" s="6">
        <f t="shared" ca="1" si="47"/>
        <v>60.357142857143401</v>
      </c>
      <c r="P260" t="str">
        <f t="shared" si="48"/>
        <v>NA</v>
      </c>
      <c r="Q260" s="10">
        <f t="shared" ca="1" si="49"/>
        <v>71.60714285714306</v>
      </c>
      <c r="R260" s="10">
        <f t="shared" ca="1" si="50"/>
        <v>172.05357142857088</v>
      </c>
      <c r="S260" s="10">
        <f t="shared" ca="1" si="51"/>
        <v>-100.44642857142782</v>
      </c>
      <c r="T260" s="10">
        <f t="shared" ca="1" si="52"/>
        <v>404.67625899280671</v>
      </c>
      <c r="U260" s="10">
        <f t="shared" ca="1" si="53"/>
        <v>404.67625899280671</v>
      </c>
      <c r="V260">
        <f t="shared" si="54"/>
        <v>5</v>
      </c>
    </row>
    <row r="261" spans="1:22" x14ac:dyDescent="0.25">
      <c r="A261">
        <v>29</v>
      </c>
      <c r="B261">
        <v>8</v>
      </c>
      <c r="C261">
        <v>37.5</v>
      </c>
      <c r="D261">
        <v>1</v>
      </c>
      <c r="E261">
        <v>1</v>
      </c>
      <c r="F261">
        <v>0</v>
      </c>
      <c r="G261">
        <v>1</v>
      </c>
      <c r="H261">
        <v>550</v>
      </c>
      <c r="I261">
        <f t="shared" si="46"/>
        <v>252</v>
      </c>
      <c r="J261" s="6">
        <f t="array" aca="1" ref="J261:N261" ca="1">TRANSPOSE(ols(OFFSET($C$2:$C$10,I261,0),OFFSET($D$2:$H$10,I261,0)))</f>
        <v>157.94642857142753</v>
      </c>
      <c r="K261" s="6">
        <f ca="1"/>
        <v>-7.8571428571424349</v>
      </c>
      <c r="L261" s="6">
        <f ca="1"/>
        <v>-21.428571428571104</v>
      </c>
      <c r="M261" s="6">
        <f ca="1"/>
        <v>21.964285714285779</v>
      </c>
      <c r="N261" s="6">
        <f ca="1"/>
        <v>-0.24821428571428328</v>
      </c>
      <c r="O261" s="6">
        <f t="shared" ca="1" si="47"/>
        <v>35.535714285715073</v>
      </c>
      <c r="P261" t="str">
        <f t="shared" si="48"/>
        <v>NA</v>
      </c>
      <c r="Q261" s="10">
        <f t="shared" ca="1" si="49"/>
        <v>71.60714285714306</v>
      </c>
      <c r="R261" s="10">
        <f t="shared" ca="1" si="50"/>
        <v>172.05357142857088</v>
      </c>
      <c r="S261" s="10">
        <f t="shared" ca="1" si="51"/>
        <v>-100.44642857142782</v>
      </c>
      <c r="T261" s="10">
        <f t="shared" ca="1" si="52"/>
        <v>404.67625899280671</v>
      </c>
      <c r="U261" s="10">
        <f t="shared" ca="1" si="53"/>
        <v>404.67625899280671</v>
      </c>
      <c r="V261">
        <f t="shared" si="54"/>
        <v>5</v>
      </c>
    </row>
    <row r="262" spans="1:22" x14ac:dyDescent="0.25">
      <c r="A262">
        <v>29</v>
      </c>
      <c r="B262">
        <v>9</v>
      </c>
      <c r="C262">
        <v>20</v>
      </c>
      <c r="D262">
        <v>1</v>
      </c>
      <c r="E262">
        <v>0</v>
      </c>
      <c r="F262">
        <v>0</v>
      </c>
      <c r="G262">
        <v>1</v>
      </c>
      <c r="H262">
        <v>650</v>
      </c>
      <c r="I262">
        <f t="shared" si="46"/>
        <v>252</v>
      </c>
      <c r="J262" s="6">
        <f t="array" aca="1" ref="J262:N262" ca="1">TRANSPOSE(ols(OFFSET($C$2:$C$10,I262,0),OFFSET($D$2:$H$10,I262,0)))</f>
        <v>157.94642857142753</v>
      </c>
      <c r="K262" s="6">
        <f ca="1"/>
        <v>-7.8571428571424349</v>
      </c>
      <c r="L262" s="6">
        <f ca="1"/>
        <v>-21.428571428571104</v>
      </c>
      <c r="M262" s="6">
        <f ca="1"/>
        <v>21.964285714285779</v>
      </c>
      <c r="N262" s="6">
        <f ca="1"/>
        <v>-0.24821428571428328</v>
      </c>
      <c r="O262" s="6">
        <f t="shared" ca="1" si="47"/>
        <v>18.57142857142918</v>
      </c>
      <c r="P262" t="str">
        <f t="shared" si="48"/>
        <v>NA</v>
      </c>
      <c r="Q262" s="10">
        <f t="shared" ca="1" si="49"/>
        <v>71.60714285714306</v>
      </c>
      <c r="R262" s="10">
        <f t="shared" ca="1" si="50"/>
        <v>179.91071428571331</v>
      </c>
      <c r="S262" s="10">
        <f t="shared" ca="1" si="51"/>
        <v>-108.30357142857025</v>
      </c>
      <c r="T262" s="10">
        <f t="shared" ca="1" si="52"/>
        <v>436.33093525179811</v>
      </c>
      <c r="U262" s="10">
        <f t="shared" ca="1" si="53"/>
        <v>436.33093525179811</v>
      </c>
      <c r="V262">
        <f t="shared" si="54"/>
        <v>4</v>
      </c>
    </row>
    <row r="263" spans="1:22" x14ac:dyDescent="0.25">
      <c r="A263">
        <v>30</v>
      </c>
      <c r="B263">
        <v>1</v>
      </c>
      <c r="C263">
        <v>45</v>
      </c>
      <c r="D263">
        <v>1</v>
      </c>
      <c r="E263">
        <v>0</v>
      </c>
      <c r="F263">
        <v>1</v>
      </c>
      <c r="G263">
        <v>0</v>
      </c>
      <c r="H263">
        <v>250</v>
      </c>
      <c r="I263">
        <f t="shared" si="46"/>
        <v>261</v>
      </c>
      <c r="J263" s="6">
        <f t="array" aca="1" ref="J263:N263" ca="1">TRANSPOSE(ols(OFFSET($C$2:$C$10,I263,0),OFFSET($D$2:$H$10,I263,0)))</f>
        <v>82.976190476189004</v>
      </c>
      <c r="K263" s="6">
        <f ca="1"/>
        <v>-0.7142857142853245</v>
      </c>
      <c r="L263" s="6">
        <f ca="1"/>
        <v>-9.5238095238091773</v>
      </c>
      <c r="M263" s="6">
        <f ca="1"/>
        <v>-0.23809523809495658</v>
      </c>
      <c r="N263" s="6">
        <f ca="1"/>
        <v>-8.8095238095240447E-2</v>
      </c>
      <c r="O263" s="6">
        <f t="shared" ca="1" si="47"/>
        <v>51.428571428569711</v>
      </c>
      <c r="P263" t="str">
        <f t="shared" si="48"/>
        <v>NA</v>
      </c>
      <c r="Q263" s="10">
        <f t="shared" ca="1" si="49"/>
        <v>42.380952380950717</v>
      </c>
      <c r="R263" s="10">
        <f t="shared" ca="1" si="50"/>
        <v>73.452380952379826</v>
      </c>
      <c r="S263" s="10">
        <f t="shared" ca="1" si="51"/>
        <v>-31.071428571429109</v>
      </c>
      <c r="T263" s="10">
        <f t="shared" ca="1" si="52"/>
        <v>352.70270270269941</v>
      </c>
      <c r="U263" s="10">
        <f t="shared" ca="1" si="53"/>
        <v>352.70270270269941</v>
      </c>
      <c r="V263">
        <f t="shared" si="54"/>
        <v>3</v>
      </c>
    </row>
    <row r="264" spans="1:22" x14ac:dyDescent="0.25">
      <c r="A264">
        <v>30</v>
      </c>
      <c r="B264">
        <v>2</v>
      </c>
      <c r="C264">
        <v>55</v>
      </c>
      <c r="D264">
        <v>1</v>
      </c>
      <c r="E264">
        <v>1</v>
      </c>
      <c r="F264">
        <v>0</v>
      </c>
      <c r="G264">
        <v>0</v>
      </c>
      <c r="H264">
        <v>350</v>
      </c>
      <c r="I264">
        <f t="shared" si="46"/>
        <v>261</v>
      </c>
      <c r="J264" s="6">
        <f t="array" aca="1" ref="J264:N264" ca="1">TRANSPOSE(ols(OFFSET($C$2:$C$10,I264,0),OFFSET($D$2:$H$10,I264,0)))</f>
        <v>82.976190476189004</v>
      </c>
      <c r="K264" s="6">
        <f ca="1"/>
        <v>-0.7142857142853245</v>
      </c>
      <c r="L264" s="6">
        <f ca="1"/>
        <v>-9.5238095238091773</v>
      </c>
      <c r="M264" s="6">
        <f ca="1"/>
        <v>-0.23809523809495658</v>
      </c>
      <c r="N264" s="6">
        <f ca="1"/>
        <v>-8.8095238095240447E-2</v>
      </c>
      <c r="O264" s="6">
        <f t="shared" ca="1" si="47"/>
        <v>51.428571428569526</v>
      </c>
      <c r="P264" t="str">
        <f t="shared" si="48"/>
        <v>NA</v>
      </c>
      <c r="Q264" s="10">
        <f t="shared" ca="1" si="49"/>
        <v>42.380952380950717</v>
      </c>
      <c r="R264" s="10">
        <f t="shared" ca="1" si="50"/>
        <v>82.261904761903679</v>
      </c>
      <c r="S264" s="10">
        <f t="shared" ca="1" si="51"/>
        <v>-39.880952380952962</v>
      </c>
      <c r="T264" s="10">
        <f t="shared" ca="1" si="52"/>
        <v>452.7027027026972</v>
      </c>
      <c r="U264" s="10">
        <f t="shared" ca="1" si="53"/>
        <v>452.7027027026972</v>
      </c>
      <c r="V264">
        <f t="shared" si="54"/>
        <v>2</v>
      </c>
    </row>
    <row r="265" spans="1:22" x14ac:dyDescent="0.25">
      <c r="A265">
        <v>30</v>
      </c>
      <c r="B265">
        <v>3</v>
      </c>
      <c r="C265">
        <v>45</v>
      </c>
      <c r="D265">
        <v>1</v>
      </c>
      <c r="E265">
        <v>1</v>
      </c>
      <c r="F265">
        <v>0</v>
      </c>
      <c r="G265">
        <v>0</v>
      </c>
      <c r="H265">
        <v>450</v>
      </c>
      <c r="I265">
        <f t="shared" si="46"/>
        <v>261</v>
      </c>
      <c r="J265" s="6">
        <f t="array" aca="1" ref="J265:N265" ca="1">TRANSPOSE(ols(OFFSET($C$2:$C$10,I265,0),OFFSET($D$2:$H$10,I265,0)))</f>
        <v>82.976190476189004</v>
      </c>
      <c r="K265" s="6">
        <f ca="1"/>
        <v>-0.7142857142853245</v>
      </c>
      <c r="L265" s="6">
        <f ca="1"/>
        <v>-9.5238095238091773</v>
      </c>
      <c r="M265" s="6">
        <f ca="1"/>
        <v>-0.23809523809495658</v>
      </c>
      <c r="N265" s="6">
        <f ca="1"/>
        <v>-8.8095238095240447E-2</v>
      </c>
      <c r="O265" s="6">
        <f t="shared" ca="1" si="47"/>
        <v>42.619047619045475</v>
      </c>
      <c r="P265" t="str">
        <f t="shared" si="48"/>
        <v>NA</v>
      </c>
      <c r="Q265" s="10">
        <f t="shared" ca="1" si="49"/>
        <v>42.380952380950717</v>
      </c>
      <c r="R265" s="10">
        <f t="shared" ca="1" si="50"/>
        <v>82.261904761903679</v>
      </c>
      <c r="S265" s="10">
        <f t="shared" ca="1" si="51"/>
        <v>-39.880952380952962</v>
      </c>
      <c r="T265" s="10">
        <f t="shared" ca="1" si="52"/>
        <v>452.7027027026972</v>
      </c>
      <c r="U265" s="10">
        <f t="shared" ca="1" si="53"/>
        <v>452.7027027026972</v>
      </c>
      <c r="V265">
        <f t="shared" si="54"/>
        <v>2</v>
      </c>
    </row>
    <row r="266" spans="1:22" x14ac:dyDescent="0.25">
      <c r="A266">
        <v>30</v>
      </c>
      <c r="B266">
        <v>4</v>
      </c>
      <c r="C266">
        <v>35</v>
      </c>
      <c r="D266">
        <v>1</v>
      </c>
      <c r="E266">
        <v>0</v>
      </c>
      <c r="F266">
        <v>0</v>
      </c>
      <c r="G266">
        <v>0</v>
      </c>
      <c r="H266">
        <v>550</v>
      </c>
      <c r="I266">
        <f t="shared" si="46"/>
        <v>261</v>
      </c>
      <c r="J266" s="6">
        <f t="array" aca="1" ref="J266:N266" ca="1">TRANSPOSE(ols(OFFSET($C$2:$C$10,I266,0),OFFSET($D$2:$H$10,I266,0)))</f>
        <v>82.976190476189004</v>
      </c>
      <c r="K266" s="6">
        <f ca="1"/>
        <v>-0.7142857142853245</v>
      </c>
      <c r="L266" s="6">
        <f ca="1"/>
        <v>-9.5238095238091773</v>
      </c>
      <c r="M266" s="6">
        <f ca="1"/>
        <v>-0.23809523809495658</v>
      </c>
      <c r="N266" s="6">
        <f ca="1"/>
        <v>-8.8095238095240447E-2</v>
      </c>
      <c r="O266" s="6">
        <f t="shared" ca="1" si="47"/>
        <v>34.523809523806761</v>
      </c>
      <c r="P266" t="str">
        <f t="shared" si="48"/>
        <v>NA</v>
      </c>
      <c r="Q266" s="10">
        <f t="shared" ca="1" si="49"/>
        <v>42.380952380950717</v>
      </c>
      <c r="R266" s="10">
        <f t="shared" ca="1" si="50"/>
        <v>82.976190476189004</v>
      </c>
      <c r="S266" s="10">
        <f t="shared" ca="1" si="51"/>
        <v>-40.595238095238287</v>
      </c>
      <c r="T266" s="10">
        <f t="shared" ca="1" si="52"/>
        <v>460.81081081080066</v>
      </c>
      <c r="U266" s="10">
        <f t="shared" ca="1" si="53"/>
        <v>460.81081081080066</v>
      </c>
      <c r="V266">
        <f t="shared" si="54"/>
        <v>1</v>
      </c>
    </row>
    <row r="267" spans="1:22" x14ac:dyDescent="0.25">
      <c r="A267">
        <v>30</v>
      </c>
      <c r="B267">
        <v>5</v>
      </c>
      <c r="C267">
        <v>50</v>
      </c>
      <c r="D267">
        <v>1</v>
      </c>
      <c r="E267">
        <v>0</v>
      </c>
      <c r="F267">
        <v>1</v>
      </c>
      <c r="G267">
        <v>1</v>
      </c>
      <c r="H267">
        <v>250</v>
      </c>
      <c r="I267">
        <f t="shared" si="46"/>
        <v>261</v>
      </c>
      <c r="J267" s="6">
        <f t="array" aca="1" ref="J267:N267" ca="1">TRANSPOSE(ols(OFFSET($C$2:$C$10,I267,0),OFFSET($D$2:$H$10,I267,0)))</f>
        <v>82.976190476189004</v>
      </c>
      <c r="K267" s="6">
        <f ca="1"/>
        <v>-0.7142857142853245</v>
      </c>
      <c r="L267" s="6">
        <f ca="1"/>
        <v>-9.5238095238091773</v>
      </c>
      <c r="M267" s="6">
        <f ca="1"/>
        <v>-0.23809523809495658</v>
      </c>
      <c r="N267" s="6">
        <f ca="1"/>
        <v>-8.8095238095240447E-2</v>
      </c>
      <c r="O267" s="6">
        <f t="shared" ca="1" si="47"/>
        <v>51.190476190474755</v>
      </c>
      <c r="P267" t="str">
        <f t="shared" si="48"/>
        <v>NA</v>
      </c>
      <c r="Q267" s="10">
        <f t="shared" ca="1" si="49"/>
        <v>42.380952380950717</v>
      </c>
      <c r="R267" s="10">
        <f t="shared" ca="1" si="50"/>
        <v>73.21428571428487</v>
      </c>
      <c r="S267" s="10">
        <f t="shared" ca="1" si="51"/>
        <v>-30.833333333334153</v>
      </c>
      <c r="T267" s="10">
        <f t="shared" ca="1" si="52"/>
        <v>349.99999999999994</v>
      </c>
      <c r="U267" s="10">
        <f t="shared" ca="1" si="53"/>
        <v>349.99999999999994</v>
      </c>
      <c r="V267">
        <f t="shared" si="54"/>
        <v>6</v>
      </c>
    </row>
    <row r="268" spans="1:22" x14ac:dyDescent="0.25">
      <c r="A268">
        <v>30</v>
      </c>
      <c r="B268">
        <v>6</v>
      </c>
      <c r="C268">
        <v>50</v>
      </c>
      <c r="D268">
        <v>1</v>
      </c>
      <c r="E268">
        <v>0</v>
      </c>
      <c r="F268">
        <v>1</v>
      </c>
      <c r="G268">
        <v>1</v>
      </c>
      <c r="H268">
        <v>350</v>
      </c>
      <c r="I268">
        <f t="shared" ref="I268:I331" si="55">IF(A268&gt;A267,I267+9,I267)</f>
        <v>261</v>
      </c>
      <c r="J268" s="6">
        <f t="array" aca="1" ref="J268:N268" ca="1">TRANSPOSE(ols(OFFSET($C$2:$C$10,I268,0),OFFSET($D$2:$H$10,I268,0)))</f>
        <v>82.976190476189004</v>
      </c>
      <c r="K268" s="6">
        <f ca="1"/>
        <v>-0.7142857142853245</v>
      </c>
      <c r="L268" s="6">
        <f ca="1"/>
        <v>-9.5238095238091773</v>
      </c>
      <c r="M268" s="6">
        <f ca="1"/>
        <v>-0.23809523809495658</v>
      </c>
      <c r="N268" s="6">
        <f ca="1"/>
        <v>-8.8095238095240447E-2</v>
      </c>
      <c r="O268" s="6">
        <f t="shared" ca="1" si="47"/>
        <v>42.380952380950717</v>
      </c>
      <c r="P268">
        <f t="shared" ca="1" si="48"/>
        <v>42.380952380950717</v>
      </c>
      <c r="Q268" s="10">
        <f t="shared" ca="1" si="49"/>
        <v>42.380952380950717</v>
      </c>
      <c r="R268" s="10">
        <f t="shared" ca="1" si="50"/>
        <v>73.21428571428487</v>
      </c>
      <c r="S268" s="10">
        <f t="shared" ca="1" si="51"/>
        <v>-30.833333333334153</v>
      </c>
      <c r="T268" s="10">
        <f t="shared" ca="1" si="52"/>
        <v>349.99999999999994</v>
      </c>
      <c r="U268" s="10">
        <f t="shared" ca="1" si="53"/>
        <v>349.99999999999994</v>
      </c>
      <c r="V268">
        <f t="shared" si="54"/>
        <v>6</v>
      </c>
    </row>
    <row r="269" spans="1:22" x14ac:dyDescent="0.25">
      <c r="A269">
        <v>30</v>
      </c>
      <c r="B269">
        <v>7</v>
      </c>
      <c r="C269">
        <v>40</v>
      </c>
      <c r="D269">
        <v>1</v>
      </c>
      <c r="E269">
        <v>1</v>
      </c>
      <c r="F269">
        <v>0</v>
      </c>
      <c r="G269">
        <v>1</v>
      </c>
      <c r="H269">
        <v>450</v>
      </c>
      <c r="I269">
        <f t="shared" si="55"/>
        <v>261</v>
      </c>
      <c r="J269" s="6">
        <f t="array" aca="1" ref="J269:N269" ca="1">TRANSPOSE(ols(OFFSET($C$2:$C$10,I269,0),OFFSET($D$2:$H$10,I269,0)))</f>
        <v>82.976190476189004</v>
      </c>
      <c r="K269" s="6">
        <f ca="1"/>
        <v>-0.7142857142853245</v>
      </c>
      <c r="L269" s="6">
        <f ca="1"/>
        <v>-9.5238095238091773</v>
      </c>
      <c r="M269" s="6">
        <f ca="1"/>
        <v>-0.23809523809495658</v>
      </c>
      <c r="N269" s="6">
        <f ca="1"/>
        <v>-8.8095238095240447E-2</v>
      </c>
      <c r="O269" s="6">
        <f t="shared" ca="1" si="47"/>
        <v>42.380952380950518</v>
      </c>
      <c r="P269" t="str">
        <f t="shared" si="48"/>
        <v>NA</v>
      </c>
      <c r="Q269" s="10">
        <f t="shared" ca="1" si="49"/>
        <v>42.380952380950717</v>
      </c>
      <c r="R269" s="10">
        <f t="shared" ca="1" si="50"/>
        <v>82.023809523808723</v>
      </c>
      <c r="S269" s="10">
        <f t="shared" ca="1" si="51"/>
        <v>-39.642857142858006</v>
      </c>
      <c r="T269" s="10">
        <f t="shared" ca="1" si="52"/>
        <v>449.99999999999778</v>
      </c>
      <c r="U269" s="10">
        <f t="shared" ca="1" si="53"/>
        <v>449.99999999999778</v>
      </c>
      <c r="V269">
        <f t="shared" si="54"/>
        <v>5</v>
      </c>
    </row>
    <row r="270" spans="1:22" x14ac:dyDescent="0.25">
      <c r="A270">
        <v>30</v>
      </c>
      <c r="B270">
        <v>8</v>
      </c>
      <c r="C270">
        <v>30</v>
      </c>
      <c r="D270">
        <v>1</v>
      </c>
      <c r="E270">
        <v>1</v>
      </c>
      <c r="F270">
        <v>0</v>
      </c>
      <c r="G270">
        <v>1</v>
      </c>
      <c r="H270">
        <v>550</v>
      </c>
      <c r="I270">
        <f t="shared" si="55"/>
        <v>261</v>
      </c>
      <c r="J270" s="6">
        <f t="array" aca="1" ref="J270:N270" ca="1">TRANSPOSE(ols(OFFSET($C$2:$C$10,I270,0),OFFSET($D$2:$H$10,I270,0)))</f>
        <v>82.976190476189004</v>
      </c>
      <c r="K270" s="6">
        <f ca="1"/>
        <v>-0.7142857142853245</v>
      </c>
      <c r="L270" s="6">
        <f ca="1"/>
        <v>-9.5238095238091773</v>
      </c>
      <c r="M270" s="6">
        <f ca="1"/>
        <v>-0.23809523809495658</v>
      </c>
      <c r="N270" s="6">
        <f ca="1"/>
        <v>-8.8095238095240447E-2</v>
      </c>
      <c r="O270" s="6">
        <f t="shared" ca="1" si="47"/>
        <v>33.57142857142648</v>
      </c>
      <c r="P270" t="str">
        <f t="shared" si="48"/>
        <v>NA</v>
      </c>
      <c r="Q270" s="10">
        <f t="shared" ca="1" si="49"/>
        <v>42.380952380950717</v>
      </c>
      <c r="R270" s="10">
        <f t="shared" ca="1" si="50"/>
        <v>82.023809523808723</v>
      </c>
      <c r="S270" s="10">
        <f t="shared" ca="1" si="51"/>
        <v>-39.642857142858006</v>
      </c>
      <c r="T270" s="10">
        <f t="shared" ca="1" si="52"/>
        <v>449.99999999999778</v>
      </c>
      <c r="U270" s="10">
        <f t="shared" ca="1" si="53"/>
        <v>449.99999999999778</v>
      </c>
      <c r="V270">
        <f t="shared" si="54"/>
        <v>5</v>
      </c>
    </row>
    <row r="271" spans="1:22" x14ac:dyDescent="0.25">
      <c r="A271">
        <v>30</v>
      </c>
      <c r="B271">
        <v>9</v>
      </c>
      <c r="C271">
        <v>25</v>
      </c>
      <c r="D271">
        <v>1</v>
      </c>
      <c r="E271">
        <v>0</v>
      </c>
      <c r="F271">
        <v>0</v>
      </c>
      <c r="G271">
        <v>1</v>
      </c>
      <c r="H271">
        <v>650</v>
      </c>
      <c r="I271">
        <f t="shared" si="55"/>
        <v>261</v>
      </c>
      <c r="J271" s="6">
        <f t="array" aca="1" ref="J271:N271" ca="1">TRANSPOSE(ols(OFFSET($C$2:$C$10,I271,0),OFFSET($D$2:$H$10,I271,0)))</f>
        <v>82.976190476189004</v>
      </c>
      <c r="K271" s="6">
        <f ca="1"/>
        <v>-0.7142857142853245</v>
      </c>
      <c r="L271" s="6">
        <f ca="1"/>
        <v>-9.5238095238091773</v>
      </c>
      <c r="M271" s="6">
        <f ca="1"/>
        <v>-0.23809523809495658</v>
      </c>
      <c r="N271" s="6">
        <f ca="1"/>
        <v>-8.8095238095240447E-2</v>
      </c>
      <c r="O271" s="6">
        <f t="shared" ca="1" si="47"/>
        <v>25.476190476187753</v>
      </c>
      <c r="P271" t="str">
        <f t="shared" si="48"/>
        <v>NA</v>
      </c>
      <c r="Q271" s="10">
        <f t="shared" ca="1" si="49"/>
        <v>42.380952380950717</v>
      </c>
      <c r="R271" s="10">
        <f t="shared" ca="1" si="50"/>
        <v>82.738095238094047</v>
      </c>
      <c r="S271" s="10">
        <f t="shared" ca="1" si="51"/>
        <v>-40.35714285714333</v>
      </c>
      <c r="T271" s="10">
        <f t="shared" ca="1" si="52"/>
        <v>458.10810810810125</v>
      </c>
      <c r="U271" s="10">
        <f t="shared" ca="1" si="53"/>
        <v>458.10810810810125</v>
      </c>
      <c r="V271">
        <f t="shared" si="54"/>
        <v>4</v>
      </c>
    </row>
    <row r="272" spans="1:22" x14ac:dyDescent="0.25">
      <c r="A272">
        <v>31</v>
      </c>
      <c r="B272">
        <v>1</v>
      </c>
      <c r="C272">
        <v>95</v>
      </c>
      <c r="D272">
        <v>1</v>
      </c>
      <c r="E272">
        <v>0</v>
      </c>
      <c r="F272">
        <v>1</v>
      </c>
      <c r="G272">
        <v>0</v>
      </c>
      <c r="H272">
        <v>250</v>
      </c>
      <c r="I272">
        <f t="shared" si="55"/>
        <v>270</v>
      </c>
      <c r="J272" s="6">
        <f t="array" aca="1" ref="J272:N272" ca="1">TRANSPOSE(ols(OFFSET($C$2:$C$10,I272,0),OFFSET($D$2:$H$10,I272,0)))</f>
        <v>134.28571428571195</v>
      </c>
      <c r="K272" s="6">
        <f ca="1"/>
        <v>-6.4285714285715585</v>
      </c>
      <c r="L272" s="6">
        <f ca="1"/>
        <v>-3.2142857142871435</v>
      </c>
      <c r="M272" s="6">
        <f ca="1"/>
        <v>2.8571428571433444</v>
      </c>
      <c r="N272" s="6">
        <f ca="1"/>
        <v>-0.14285714285714413</v>
      </c>
      <c r="O272" s="6">
        <f t="shared" ca="1" si="47"/>
        <v>95.357142857138768</v>
      </c>
      <c r="P272" t="str">
        <f t="shared" si="48"/>
        <v>NA</v>
      </c>
      <c r="Q272" s="10">
        <f t="shared" ca="1" si="49"/>
        <v>83.928571428567707</v>
      </c>
      <c r="R272" s="10">
        <f t="shared" ca="1" si="50"/>
        <v>131.0714285714248</v>
      </c>
      <c r="S272" s="10">
        <f t="shared" ca="1" si="51"/>
        <v>-47.142857142857096</v>
      </c>
      <c r="T272" s="10">
        <f t="shared" ca="1" si="52"/>
        <v>329.99999999999676</v>
      </c>
      <c r="U272" s="10">
        <f t="shared" ca="1" si="53"/>
        <v>329.99999999999676</v>
      </c>
      <c r="V272">
        <f t="shared" si="54"/>
        <v>3</v>
      </c>
    </row>
    <row r="273" spans="1:22" x14ac:dyDescent="0.25">
      <c r="A273">
        <v>31</v>
      </c>
      <c r="B273">
        <v>2</v>
      </c>
      <c r="C273">
        <v>87.5</v>
      </c>
      <c r="D273">
        <v>1</v>
      </c>
      <c r="E273">
        <v>1</v>
      </c>
      <c r="F273">
        <v>0</v>
      </c>
      <c r="G273">
        <v>0</v>
      </c>
      <c r="H273">
        <v>350</v>
      </c>
      <c r="I273">
        <f t="shared" si="55"/>
        <v>270</v>
      </c>
      <c r="J273" s="6">
        <f t="array" aca="1" ref="J273:N273" ca="1">TRANSPOSE(ols(OFFSET($C$2:$C$10,I273,0),OFFSET($D$2:$H$10,I273,0)))</f>
        <v>134.28571428571195</v>
      </c>
      <c r="K273" s="6">
        <f ca="1"/>
        <v>-6.4285714285715585</v>
      </c>
      <c r="L273" s="6">
        <f ca="1"/>
        <v>-3.2142857142871435</v>
      </c>
      <c r="M273" s="6">
        <f ca="1"/>
        <v>2.8571428571433444</v>
      </c>
      <c r="N273" s="6">
        <f ca="1"/>
        <v>-0.14285714285714413</v>
      </c>
      <c r="O273" s="6">
        <f t="shared" ca="1" si="47"/>
        <v>77.857142857139948</v>
      </c>
      <c r="P273" t="str">
        <f t="shared" si="48"/>
        <v>NA</v>
      </c>
      <c r="Q273" s="10">
        <f t="shared" ca="1" si="49"/>
        <v>83.928571428567707</v>
      </c>
      <c r="R273" s="10">
        <f t="shared" ca="1" si="50"/>
        <v>127.85714285714039</v>
      </c>
      <c r="S273" s="10">
        <f t="shared" ca="1" si="51"/>
        <v>-43.928571428572681</v>
      </c>
      <c r="T273" s="10">
        <f t="shared" ca="1" si="52"/>
        <v>307.50000000000603</v>
      </c>
      <c r="U273" s="10">
        <f t="shared" ca="1" si="53"/>
        <v>307.50000000000603</v>
      </c>
      <c r="V273">
        <f t="shared" si="54"/>
        <v>2</v>
      </c>
    </row>
    <row r="274" spans="1:22" x14ac:dyDescent="0.25">
      <c r="A274">
        <v>31</v>
      </c>
      <c r="B274">
        <v>3</v>
      </c>
      <c r="C274">
        <v>60</v>
      </c>
      <c r="D274">
        <v>1</v>
      </c>
      <c r="E274">
        <v>1</v>
      </c>
      <c r="F274">
        <v>0</v>
      </c>
      <c r="G274">
        <v>0</v>
      </c>
      <c r="H274">
        <v>450</v>
      </c>
      <c r="I274">
        <f t="shared" si="55"/>
        <v>270</v>
      </c>
      <c r="J274" s="6">
        <f t="array" aca="1" ref="J274:N274" ca="1">TRANSPOSE(ols(OFFSET($C$2:$C$10,I274,0),OFFSET($D$2:$H$10,I274,0)))</f>
        <v>134.28571428571195</v>
      </c>
      <c r="K274" s="6">
        <f ca="1"/>
        <v>-6.4285714285715585</v>
      </c>
      <c r="L274" s="6">
        <f ca="1"/>
        <v>-3.2142857142871435</v>
      </c>
      <c r="M274" s="6">
        <f ca="1"/>
        <v>2.8571428571433444</v>
      </c>
      <c r="N274" s="6">
        <f ca="1"/>
        <v>-0.14285714285714413</v>
      </c>
      <c r="O274" s="6">
        <f t="shared" ca="1" si="47"/>
        <v>63.571428571425528</v>
      </c>
      <c r="P274" t="str">
        <f t="shared" si="48"/>
        <v>NA</v>
      </c>
      <c r="Q274" s="10">
        <f t="shared" ca="1" si="49"/>
        <v>83.928571428567707</v>
      </c>
      <c r="R274" s="10">
        <f t="shared" ca="1" si="50"/>
        <v>127.85714285714039</v>
      </c>
      <c r="S274" s="10">
        <f t="shared" ca="1" si="51"/>
        <v>-43.928571428572681</v>
      </c>
      <c r="T274" s="10">
        <f t="shared" ca="1" si="52"/>
        <v>307.50000000000603</v>
      </c>
      <c r="U274" s="10">
        <f t="shared" ca="1" si="53"/>
        <v>307.50000000000603</v>
      </c>
      <c r="V274">
        <f t="shared" si="54"/>
        <v>2</v>
      </c>
    </row>
    <row r="275" spans="1:22" x14ac:dyDescent="0.25">
      <c r="A275">
        <v>31</v>
      </c>
      <c r="B275">
        <v>4</v>
      </c>
      <c r="C275">
        <v>50</v>
      </c>
      <c r="D275">
        <v>1</v>
      </c>
      <c r="E275">
        <v>0</v>
      </c>
      <c r="F275">
        <v>0</v>
      </c>
      <c r="G275">
        <v>0</v>
      </c>
      <c r="H275">
        <v>550</v>
      </c>
      <c r="I275">
        <f t="shared" si="55"/>
        <v>270</v>
      </c>
      <c r="J275" s="6">
        <f t="array" aca="1" ref="J275:N275" ca="1">TRANSPOSE(ols(OFFSET($C$2:$C$10,I275,0),OFFSET($D$2:$H$10,I275,0)))</f>
        <v>134.28571428571195</v>
      </c>
      <c r="K275" s="6">
        <f ca="1"/>
        <v>-6.4285714285715585</v>
      </c>
      <c r="L275" s="6">
        <f ca="1"/>
        <v>-3.2142857142871435</v>
      </c>
      <c r="M275" s="6">
        <f ca="1"/>
        <v>2.8571428571433444</v>
      </c>
      <c r="N275" s="6">
        <f ca="1"/>
        <v>-0.14285714285714413</v>
      </c>
      <c r="O275" s="6">
        <f t="shared" ca="1" si="47"/>
        <v>55.714285714282681</v>
      </c>
      <c r="P275" t="str">
        <f t="shared" si="48"/>
        <v>NA</v>
      </c>
      <c r="Q275" s="10">
        <f t="shared" ca="1" si="49"/>
        <v>83.928571428567707</v>
      </c>
      <c r="R275" s="10">
        <f t="shared" ca="1" si="50"/>
        <v>134.28571428571195</v>
      </c>
      <c r="S275" s="10">
        <f t="shared" ca="1" si="51"/>
        <v>-50.35714285714424</v>
      </c>
      <c r="T275" s="10">
        <f t="shared" ca="1" si="52"/>
        <v>352.50000000000654</v>
      </c>
      <c r="U275" s="10">
        <f t="shared" ca="1" si="53"/>
        <v>352.50000000000654</v>
      </c>
      <c r="V275">
        <f t="shared" si="54"/>
        <v>1</v>
      </c>
    </row>
    <row r="276" spans="1:22" x14ac:dyDescent="0.25">
      <c r="A276">
        <v>31</v>
      </c>
      <c r="B276">
        <v>5</v>
      </c>
      <c r="C276">
        <v>95</v>
      </c>
      <c r="D276">
        <v>1</v>
      </c>
      <c r="E276">
        <v>0</v>
      </c>
      <c r="F276">
        <v>1</v>
      </c>
      <c r="G276">
        <v>1</v>
      </c>
      <c r="H276">
        <v>250</v>
      </c>
      <c r="I276">
        <f t="shared" si="55"/>
        <v>270</v>
      </c>
      <c r="J276" s="6">
        <f t="array" aca="1" ref="J276:N276" ca="1">TRANSPOSE(ols(OFFSET($C$2:$C$10,I276,0),OFFSET($D$2:$H$10,I276,0)))</f>
        <v>134.28571428571195</v>
      </c>
      <c r="K276" s="6">
        <f ca="1"/>
        <v>-6.4285714285715585</v>
      </c>
      <c r="L276" s="6">
        <f ca="1"/>
        <v>-3.2142857142871435</v>
      </c>
      <c r="M276" s="6">
        <f ca="1"/>
        <v>2.8571428571433444</v>
      </c>
      <c r="N276" s="6">
        <f ca="1"/>
        <v>-0.14285714285714413</v>
      </c>
      <c r="O276" s="6">
        <f t="shared" ca="1" si="47"/>
        <v>98.214285714282113</v>
      </c>
      <c r="P276" t="str">
        <f t="shared" si="48"/>
        <v>NA</v>
      </c>
      <c r="Q276" s="10">
        <f t="shared" ca="1" si="49"/>
        <v>83.928571428567707</v>
      </c>
      <c r="R276" s="10">
        <f t="shared" ca="1" si="50"/>
        <v>133.92857142856815</v>
      </c>
      <c r="S276" s="10">
        <f t="shared" ca="1" si="51"/>
        <v>-50.000000000000441</v>
      </c>
      <c r="T276" s="10">
        <f t="shared" ca="1" si="52"/>
        <v>350</v>
      </c>
      <c r="U276" s="10">
        <f t="shared" ca="1" si="53"/>
        <v>350</v>
      </c>
      <c r="V276">
        <f t="shared" si="54"/>
        <v>6</v>
      </c>
    </row>
    <row r="277" spans="1:22" x14ac:dyDescent="0.25">
      <c r="A277">
        <v>31</v>
      </c>
      <c r="B277">
        <v>6</v>
      </c>
      <c r="C277">
        <v>87.5</v>
      </c>
      <c r="D277">
        <v>1</v>
      </c>
      <c r="E277">
        <v>0</v>
      </c>
      <c r="F277">
        <v>1</v>
      </c>
      <c r="G277">
        <v>1</v>
      </c>
      <c r="H277">
        <v>350</v>
      </c>
      <c r="I277">
        <f t="shared" si="55"/>
        <v>270</v>
      </c>
      <c r="J277" s="6">
        <f t="array" aca="1" ref="J277:N277" ca="1">TRANSPOSE(ols(OFFSET($C$2:$C$10,I277,0),OFFSET($D$2:$H$10,I277,0)))</f>
        <v>134.28571428571195</v>
      </c>
      <c r="K277" s="6">
        <f ca="1"/>
        <v>-6.4285714285715585</v>
      </c>
      <c r="L277" s="6">
        <f ca="1"/>
        <v>-3.2142857142871435</v>
      </c>
      <c r="M277" s="6">
        <f ca="1"/>
        <v>2.8571428571433444</v>
      </c>
      <c r="N277" s="6">
        <f ca="1"/>
        <v>-0.14285714285714413</v>
      </c>
      <c r="O277" s="6">
        <f t="shared" ca="1" si="47"/>
        <v>83.928571428567707</v>
      </c>
      <c r="P277">
        <f t="shared" ca="1" si="48"/>
        <v>83.928571428567707</v>
      </c>
      <c r="Q277" s="10">
        <f t="shared" ca="1" si="49"/>
        <v>83.928571428567707</v>
      </c>
      <c r="R277" s="10">
        <f t="shared" ca="1" si="50"/>
        <v>133.92857142856815</v>
      </c>
      <c r="S277" s="10">
        <f t="shared" ca="1" si="51"/>
        <v>-50.000000000000441</v>
      </c>
      <c r="T277" s="10">
        <f t="shared" ca="1" si="52"/>
        <v>350</v>
      </c>
      <c r="U277" s="10">
        <f t="shared" ca="1" si="53"/>
        <v>350</v>
      </c>
      <c r="V277">
        <f t="shared" si="54"/>
        <v>6</v>
      </c>
    </row>
    <row r="278" spans="1:22" x14ac:dyDescent="0.25">
      <c r="A278">
        <v>31</v>
      </c>
      <c r="B278">
        <v>7</v>
      </c>
      <c r="C278">
        <v>60</v>
      </c>
      <c r="D278">
        <v>1</v>
      </c>
      <c r="E278">
        <v>1</v>
      </c>
      <c r="F278">
        <v>0</v>
      </c>
      <c r="G278">
        <v>1</v>
      </c>
      <c r="H278">
        <v>450</v>
      </c>
      <c r="I278">
        <f t="shared" si="55"/>
        <v>270</v>
      </c>
      <c r="J278" s="6">
        <f t="array" aca="1" ref="J278:N278" ca="1">TRANSPOSE(ols(OFFSET($C$2:$C$10,I278,0),OFFSET($D$2:$H$10,I278,0)))</f>
        <v>134.28571428571195</v>
      </c>
      <c r="K278" s="6">
        <f ca="1"/>
        <v>-6.4285714285715585</v>
      </c>
      <c r="L278" s="6">
        <f ca="1"/>
        <v>-3.2142857142871435</v>
      </c>
      <c r="M278" s="6">
        <f ca="1"/>
        <v>2.8571428571433444</v>
      </c>
      <c r="N278" s="6">
        <f ca="1"/>
        <v>-0.14285714285714413</v>
      </c>
      <c r="O278" s="6">
        <f t="shared" ca="1" si="47"/>
        <v>66.428571428568873</v>
      </c>
      <c r="P278" t="str">
        <f t="shared" si="48"/>
        <v>NA</v>
      </c>
      <c r="Q278" s="10">
        <f t="shared" ca="1" si="49"/>
        <v>83.928571428567707</v>
      </c>
      <c r="R278" s="10">
        <f t="shared" ca="1" si="50"/>
        <v>130.71428571428373</v>
      </c>
      <c r="S278" s="10">
        <f t="shared" ca="1" si="51"/>
        <v>-46.785714285716026</v>
      </c>
      <c r="T278" s="10">
        <f t="shared" ca="1" si="52"/>
        <v>327.50000000000927</v>
      </c>
      <c r="U278" s="10">
        <f t="shared" ca="1" si="53"/>
        <v>327.50000000000927</v>
      </c>
      <c r="V278">
        <f t="shared" si="54"/>
        <v>5</v>
      </c>
    </row>
    <row r="279" spans="1:22" x14ac:dyDescent="0.25">
      <c r="A279">
        <v>31</v>
      </c>
      <c r="B279">
        <v>8</v>
      </c>
      <c r="C279">
        <v>52.5</v>
      </c>
      <c r="D279">
        <v>1</v>
      </c>
      <c r="E279">
        <v>1</v>
      </c>
      <c r="F279">
        <v>0</v>
      </c>
      <c r="G279">
        <v>1</v>
      </c>
      <c r="H279">
        <v>550</v>
      </c>
      <c r="I279">
        <f t="shared" si="55"/>
        <v>270</v>
      </c>
      <c r="J279" s="6">
        <f t="array" aca="1" ref="J279:N279" ca="1">TRANSPOSE(ols(OFFSET($C$2:$C$10,I279,0),OFFSET($D$2:$H$10,I279,0)))</f>
        <v>134.28571428571195</v>
      </c>
      <c r="K279" s="6">
        <f ca="1"/>
        <v>-6.4285714285715585</v>
      </c>
      <c r="L279" s="6">
        <f ca="1"/>
        <v>-3.2142857142871435</v>
      </c>
      <c r="M279" s="6">
        <f ca="1"/>
        <v>2.8571428571433444</v>
      </c>
      <c r="N279" s="6">
        <f ca="1"/>
        <v>-0.14285714285714413</v>
      </c>
      <c r="O279" s="6">
        <f t="shared" ca="1" si="47"/>
        <v>52.142857142854467</v>
      </c>
      <c r="P279" t="str">
        <f t="shared" si="48"/>
        <v>NA</v>
      </c>
      <c r="Q279" s="10">
        <f t="shared" ca="1" si="49"/>
        <v>83.928571428567707</v>
      </c>
      <c r="R279" s="10">
        <f t="shared" ca="1" si="50"/>
        <v>130.71428571428373</v>
      </c>
      <c r="S279" s="10">
        <f t="shared" ca="1" si="51"/>
        <v>-46.785714285716026</v>
      </c>
      <c r="T279" s="10">
        <f t="shared" ca="1" si="52"/>
        <v>327.50000000000927</v>
      </c>
      <c r="U279" s="10">
        <f t="shared" ca="1" si="53"/>
        <v>327.50000000000927</v>
      </c>
      <c r="V279">
        <f t="shared" si="54"/>
        <v>5</v>
      </c>
    </row>
    <row r="280" spans="1:22" x14ac:dyDescent="0.25">
      <c r="A280">
        <v>31</v>
      </c>
      <c r="B280">
        <v>9</v>
      </c>
      <c r="C280">
        <v>50</v>
      </c>
      <c r="D280">
        <v>1</v>
      </c>
      <c r="E280">
        <v>0</v>
      </c>
      <c r="F280">
        <v>0</v>
      </c>
      <c r="G280">
        <v>1</v>
      </c>
      <c r="H280">
        <v>650</v>
      </c>
      <c r="I280">
        <f t="shared" si="55"/>
        <v>270</v>
      </c>
      <c r="J280" s="6">
        <f t="array" aca="1" ref="J280:N280" ca="1">TRANSPOSE(ols(OFFSET($C$2:$C$10,I280,0),OFFSET($D$2:$H$10,I280,0)))</f>
        <v>134.28571428571195</v>
      </c>
      <c r="K280" s="6">
        <f ca="1"/>
        <v>-6.4285714285715585</v>
      </c>
      <c r="L280" s="6">
        <f ca="1"/>
        <v>-3.2142857142871435</v>
      </c>
      <c r="M280" s="6">
        <f ca="1"/>
        <v>2.8571428571433444</v>
      </c>
      <c r="N280" s="6">
        <f ca="1"/>
        <v>-0.14285714285714413</v>
      </c>
      <c r="O280" s="6">
        <f t="shared" ca="1" si="47"/>
        <v>44.285714285711606</v>
      </c>
      <c r="P280" t="str">
        <f t="shared" si="48"/>
        <v>NA</v>
      </c>
      <c r="Q280" s="10">
        <f t="shared" ca="1" si="49"/>
        <v>83.928571428567707</v>
      </c>
      <c r="R280" s="10">
        <f t="shared" ca="1" si="50"/>
        <v>137.14285714285529</v>
      </c>
      <c r="S280" s="10">
        <f t="shared" ca="1" si="51"/>
        <v>-53.214285714287584</v>
      </c>
      <c r="T280" s="10">
        <f t="shared" ca="1" si="52"/>
        <v>372.50000000000978</v>
      </c>
      <c r="U280" s="10">
        <f t="shared" ca="1" si="53"/>
        <v>372.50000000000978</v>
      </c>
      <c r="V280">
        <f t="shared" si="54"/>
        <v>4</v>
      </c>
    </row>
    <row r="281" spans="1:22" x14ac:dyDescent="0.25">
      <c r="A281">
        <v>32</v>
      </c>
      <c r="B281">
        <v>1</v>
      </c>
      <c r="C281">
        <v>65</v>
      </c>
      <c r="D281">
        <v>1</v>
      </c>
      <c r="E281">
        <v>0</v>
      </c>
      <c r="F281">
        <v>1</v>
      </c>
      <c r="G281">
        <v>0</v>
      </c>
      <c r="H281">
        <v>250</v>
      </c>
      <c r="I281">
        <f t="shared" si="55"/>
        <v>279</v>
      </c>
      <c r="J281" s="6">
        <f t="array" aca="1" ref="J281:N281" ca="1">TRANSPOSE(ols(OFFSET($C$2:$C$10,I281,0),OFFSET($D$2:$H$10,I281,0)))</f>
        <v>122.23214285714221</v>
      </c>
      <c r="K281" s="6">
        <f ca="1"/>
        <v>-1.7857142857139934</v>
      </c>
      <c r="L281" s="6">
        <f ca="1"/>
        <v>-9.6428571428564283</v>
      </c>
      <c r="M281" s="6">
        <f ca="1"/>
        <v>4.8214285714286689</v>
      </c>
      <c r="N281" s="6">
        <f ca="1"/>
        <v>-0.19107142857142723</v>
      </c>
      <c r="O281" s="6">
        <f t="shared" ca="1" si="47"/>
        <v>64.821428571428982</v>
      </c>
      <c r="P281" t="str">
        <f t="shared" si="48"/>
        <v>NA</v>
      </c>
      <c r="Q281" s="10">
        <f t="shared" ca="1" si="49"/>
        <v>50.535714285714917</v>
      </c>
      <c r="R281" s="10">
        <f t="shared" ca="1" si="50"/>
        <v>112.58928571428578</v>
      </c>
      <c r="S281" s="10">
        <f t="shared" ca="1" si="51"/>
        <v>-62.053571428570862</v>
      </c>
      <c r="T281" s="10">
        <f t="shared" ca="1" si="52"/>
        <v>324.76635514018625</v>
      </c>
      <c r="U281" s="10">
        <f t="shared" ca="1" si="53"/>
        <v>324.76635514018625</v>
      </c>
      <c r="V281">
        <f t="shared" si="54"/>
        <v>3</v>
      </c>
    </row>
    <row r="282" spans="1:22" x14ac:dyDescent="0.25">
      <c r="A282">
        <v>32</v>
      </c>
      <c r="B282">
        <v>2</v>
      </c>
      <c r="C282">
        <v>55</v>
      </c>
      <c r="D282">
        <v>1</v>
      </c>
      <c r="E282">
        <v>1</v>
      </c>
      <c r="F282">
        <v>0</v>
      </c>
      <c r="G282">
        <v>0</v>
      </c>
      <c r="H282">
        <v>350</v>
      </c>
      <c r="I282">
        <f t="shared" si="55"/>
        <v>279</v>
      </c>
      <c r="J282" s="6">
        <f t="array" aca="1" ref="J282:N282" ca="1">TRANSPOSE(ols(OFFSET($C$2:$C$10,I282,0),OFFSET($D$2:$H$10,I282,0)))</f>
        <v>122.23214285714221</v>
      </c>
      <c r="K282" s="6">
        <f ca="1"/>
        <v>-1.7857142857139934</v>
      </c>
      <c r="L282" s="6">
        <f ca="1"/>
        <v>-9.6428571428564283</v>
      </c>
      <c r="M282" s="6">
        <f ca="1"/>
        <v>4.8214285714286689</v>
      </c>
      <c r="N282" s="6">
        <f ca="1"/>
        <v>-0.19107142857142723</v>
      </c>
      <c r="O282" s="6">
        <f t="shared" ca="1" si="47"/>
        <v>53.571428571428683</v>
      </c>
      <c r="P282" t="str">
        <f t="shared" si="48"/>
        <v>NA</v>
      </c>
      <c r="Q282" s="10">
        <f t="shared" ca="1" si="49"/>
        <v>50.535714285714917</v>
      </c>
      <c r="R282" s="10">
        <f t="shared" ca="1" si="50"/>
        <v>120.44642857142821</v>
      </c>
      <c r="S282" s="10">
        <f t="shared" ca="1" si="51"/>
        <v>-69.910714285713297</v>
      </c>
      <c r="T282" s="10">
        <f t="shared" ca="1" si="52"/>
        <v>365.88785046728714</v>
      </c>
      <c r="U282" s="10">
        <f t="shared" ca="1" si="53"/>
        <v>365.88785046728714</v>
      </c>
      <c r="V282">
        <f t="shared" si="54"/>
        <v>2</v>
      </c>
    </row>
    <row r="283" spans="1:22" x14ac:dyDescent="0.25">
      <c r="A283">
        <v>32</v>
      </c>
      <c r="B283">
        <v>3</v>
      </c>
      <c r="C283">
        <v>40</v>
      </c>
      <c r="D283">
        <v>1</v>
      </c>
      <c r="E283">
        <v>1</v>
      </c>
      <c r="F283">
        <v>0</v>
      </c>
      <c r="G283">
        <v>0</v>
      </c>
      <c r="H283">
        <v>450</v>
      </c>
      <c r="I283">
        <f t="shared" si="55"/>
        <v>279</v>
      </c>
      <c r="J283" s="6">
        <f t="array" aca="1" ref="J283:N283" ca="1">TRANSPOSE(ols(OFFSET($C$2:$C$10,I283,0),OFFSET($D$2:$H$10,I283,0)))</f>
        <v>122.23214285714221</v>
      </c>
      <c r="K283" s="6">
        <f ca="1"/>
        <v>-1.7857142857139934</v>
      </c>
      <c r="L283" s="6">
        <f ca="1"/>
        <v>-9.6428571428564283</v>
      </c>
      <c r="M283" s="6">
        <f ca="1"/>
        <v>4.8214285714286689</v>
      </c>
      <c r="N283" s="6">
        <f ca="1"/>
        <v>-0.19107142857142723</v>
      </c>
      <c r="O283" s="6">
        <f t="shared" ca="1" si="47"/>
        <v>34.464285714285964</v>
      </c>
      <c r="P283" t="str">
        <f t="shared" si="48"/>
        <v>NA</v>
      </c>
      <c r="Q283" s="10">
        <f t="shared" ca="1" si="49"/>
        <v>50.535714285714917</v>
      </c>
      <c r="R283" s="10">
        <f t="shared" ca="1" si="50"/>
        <v>120.44642857142821</v>
      </c>
      <c r="S283" s="10">
        <f t="shared" ca="1" si="51"/>
        <v>-69.910714285713297</v>
      </c>
      <c r="T283" s="10">
        <f t="shared" ca="1" si="52"/>
        <v>365.88785046728714</v>
      </c>
      <c r="U283" s="10">
        <f t="shared" ca="1" si="53"/>
        <v>365.88785046728714</v>
      </c>
      <c r="V283">
        <f t="shared" si="54"/>
        <v>2</v>
      </c>
    </row>
    <row r="284" spans="1:22" x14ac:dyDescent="0.25">
      <c r="A284">
        <v>32</v>
      </c>
      <c r="B284">
        <v>4</v>
      </c>
      <c r="C284">
        <v>10</v>
      </c>
      <c r="D284">
        <v>1</v>
      </c>
      <c r="E284">
        <v>0</v>
      </c>
      <c r="F284">
        <v>0</v>
      </c>
      <c r="G284">
        <v>0</v>
      </c>
      <c r="H284">
        <v>550</v>
      </c>
      <c r="I284">
        <f t="shared" si="55"/>
        <v>279</v>
      </c>
      <c r="J284" s="6">
        <f t="array" aca="1" ref="J284:N284" ca="1">TRANSPOSE(ols(OFFSET($C$2:$C$10,I284,0),OFFSET($D$2:$H$10,I284,0)))</f>
        <v>122.23214285714221</v>
      </c>
      <c r="K284" s="6">
        <f ca="1"/>
        <v>-1.7857142857139934</v>
      </c>
      <c r="L284" s="6">
        <f ca="1"/>
        <v>-9.6428571428564283</v>
      </c>
      <c r="M284" s="6">
        <f ca="1"/>
        <v>4.8214285714286689</v>
      </c>
      <c r="N284" s="6">
        <f ca="1"/>
        <v>-0.19107142857142723</v>
      </c>
      <c r="O284" s="6">
        <f t="shared" ca="1" si="47"/>
        <v>17.142857142857238</v>
      </c>
      <c r="P284" t="str">
        <f t="shared" si="48"/>
        <v>NA</v>
      </c>
      <c r="Q284" s="10">
        <f t="shared" ca="1" si="49"/>
        <v>50.535714285714917</v>
      </c>
      <c r="R284" s="10">
        <f t="shared" ca="1" si="50"/>
        <v>122.23214285714221</v>
      </c>
      <c r="S284" s="10">
        <f t="shared" ca="1" si="51"/>
        <v>-71.69642857142729</v>
      </c>
      <c r="T284" s="10">
        <f t="shared" ca="1" si="52"/>
        <v>375.23364485980903</v>
      </c>
      <c r="U284" s="10">
        <f t="shared" ca="1" si="53"/>
        <v>375.23364485980903</v>
      </c>
      <c r="V284">
        <f t="shared" si="54"/>
        <v>1</v>
      </c>
    </row>
    <row r="285" spans="1:22" x14ac:dyDescent="0.25">
      <c r="A285">
        <v>32</v>
      </c>
      <c r="B285">
        <v>5</v>
      </c>
      <c r="C285">
        <v>67.5</v>
      </c>
      <c r="D285">
        <v>1</v>
      </c>
      <c r="E285">
        <v>0</v>
      </c>
      <c r="F285">
        <v>1</v>
      </c>
      <c r="G285">
        <v>1</v>
      </c>
      <c r="H285">
        <v>250</v>
      </c>
      <c r="I285">
        <f t="shared" si="55"/>
        <v>279</v>
      </c>
      <c r="J285" s="6">
        <f t="array" aca="1" ref="J285:N285" ca="1">TRANSPOSE(ols(OFFSET($C$2:$C$10,I285,0),OFFSET($D$2:$H$10,I285,0)))</f>
        <v>122.23214285714221</v>
      </c>
      <c r="K285" s="6">
        <f ca="1"/>
        <v>-1.7857142857139934</v>
      </c>
      <c r="L285" s="6">
        <f ca="1"/>
        <v>-9.6428571428564283</v>
      </c>
      <c r="M285" s="6">
        <f ca="1"/>
        <v>4.8214285714286689</v>
      </c>
      <c r="N285" s="6">
        <f ca="1"/>
        <v>-0.19107142857142723</v>
      </c>
      <c r="O285" s="6">
        <f t="shared" ca="1" si="47"/>
        <v>69.64285714285765</v>
      </c>
      <c r="P285" t="str">
        <f t="shared" si="48"/>
        <v>NA</v>
      </c>
      <c r="Q285" s="10">
        <f t="shared" ca="1" si="49"/>
        <v>50.535714285714917</v>
      </c>
      <c r="R285" s="10">
        <f t="shared" ca="1" si="50"/>
        <v>117.41071428571445</v>
      </c>
      <c r="S285" s="10">
        <f t="shared" ca="1" si="51"/>
        <v>-66.874999999999531</v>
      </c>
      <c r="T285" s="10">
        <f t="shared" ca="1" si="52"/>
        <v>350</v>
      </c>
      <c r="U285" s="10">
        <f t="shared" ca="1" si="53"/>
        <v>350</v>
      </c>
      <c r="V285">
        <f t="shared" si="54"/>
        <v>6</v>
      </c>
    </row>
    <row r="286" spans="1:22" x14ac:dyDescent="0.25">
      <c r="A286">
        <v>32</v>
      </c>
      <c r="B286">
        <v>6</v>
      </c>
      <c r="C286">
        <v>52.5</v>
      </c>
      <c r="D286">
        <v>1</v>
      </c>
      <c r="E286">
        <v>0</v>
      </c>
      <c r="F286">
        <v>1</v>
      </c>
      <c r="G286">
        <v>1</v>
      </c>
      <c r="H286">
        <v>350</v>
      </c>
      <c r="I286">
        <f t="shared" si="55"/>
        <v>279</v>
      </c>
      <c r="J286" s="6">
        <f t="array" aca="1" ref="J286:N286" ca="1">TRANSPOSE(ols(OFFSET($C$2:$C$10,I286,0),OFFSET($D$2:$H$10,I286,0)))</f>
        <v>122.23214285714221</v>
      </c>
      <c r="K286" s="6">
        <f ca="1"/>
        <v>-1.7857142857139934</v>
      </c>
      <c r="L286" s="6">
        <f ca="1"/>
        <v>-9.6428571428564283</v>
      </c>
      <c r="M286" s="6">
        <f ca="1"/>
        <v>4.8214285714286689</v>
      </c>
      <c r="N286" s="6">
        <f ca="1"/>
        <v>-0.19107142857142723</v>
      </c>
      <c r="O286" s="6">
        <f t="shared" ca="1" si="47"/>
        <v>50.535714285714917</v>
      </c>
      <c r="P286">
        <f t="shared" ca="1" si="48"/>
        <v>50.535714285714917</v>
      </c>
      <c r="Q286" s="10">
        <f t="shared" ca="1" si="49"/>
        <v>50.535714285714917</v>
      </c>
      <c r="R286" s="10">
        <f t="shared" ca="1" si="50"/>
        <v>117.41071428571445</v>
      </c>
      <c r="S286" s="10">
        <f t="shared" ca="1" si="51"/>
        <v>-66.874999999999531</v>
      </c>
      <c r="T286" s="10">
        <f t="shared" ca="1" si="52"/>
        <v>350</v>
      </c>
      <c r="U286" s="10">
        <f t="shared" ca="1" si="53"/>
        <v>350</v>
      </c>
      <c r="V286">
        <f t="shared" si="54"/>
        <v>6</v>
      </c>
    </row>
    <row r="287" spans="1:22" x14ac:dyDescent="0.25">
      <c r="A287">
        <v>32</v>
      </c>
      <c r="B287">
        <v>7</v>
      </c>
      <c r="C287">
        <v>40</v>
      </c>
      <c r="D287">
        <v>1</v>
      </c>
      <c r="E287">
        <v>1</v>
      </c>
      <c r="F287">
        <v>0</v>
      </c>
      <c r="G287">
        <v>1</v>
      </c>
      <c r="H287">
        <v>450</v>
      </c>
      <c r="I287">
        <f t="shared" si="55"/>
        <v>279</v>
      </c>
      <c r="J287" s="6">
        <f t="array" aca="1" ref="J287:N287" ca="1">TRANSPOSE(ols(OFFSET($C$2:$C$10,I287,0),OFFSET($D$2:$H$10,I287,0)))</f>
        <v>122.23214285714221</v>
      </c>
      <c r="K287" s="6">
        <f ca="1"/>
        <v>-1.7857142857139934</v>
      </c>
      <c r="L287" s="6">
        <f ca="1"/>
        <v>-9.6428571428564283</v>
      </c>
      <c r="M287" s="6">
        <f ca="1"/>
        <v>4.8214285714286689</v>
      </c>
      <c r="N287" s="6">
        <f ca="1"/>
        <v>-0.19107142857142723</v>
      </c>
      <c r="O287" s="6">
        <f t="shared" ca="1" si="47"/>
        <v>39.285714285714633</v>
      </c>
      <c r="P287" t="str">
        <f t="shared" si="48"/>
        <v>NA</v>
      </c>
      <c r="Q287" s="10">
        <f t="shared" ca="1" si="49"/>
        <v>50.535714285714917</v>
      </c>
      <c r="R287" s="10">
        <f t="shared" ca="1" si="50"/>
        <v>125.26785714285688</v>
      </c>
      <c r="S287" s="10">
        <f t="shared" ca="1" si="51"/>
        <v>-74.732142857141966</v>
      </c>
      <c r="T287" s="10">
        <f t="shared" ca="1" si="52"/>
        <v>391.12149532710089</v>
      </c>
      <c r="U287" s="10">
        <f t="shared" ca="1" si="53"/>
        <v>391.12149532710089</v>
      </c>
      <c r="V287">
        <f t="shared" si="54"/>
        <v>5</v>
      </c>
    </row>
    <row r="288" spans="1:22" x14ac:dyDescent="0.25">
      <c r="A288">
        <v>32</v>
      </c>
      <c r="B288">
        <v>8</v>
      </c>
      <c r="C288">
        <v>12.5</v>
      </c>
      <c r="D288">
        <v>1</v>
      </c>
      <c r="E288">
        <v>1</v>
      </c>
      <c r="F288">
        <v>0</v>
      </c>
      <c r="G288">
        <v>1</v>
      </c>
      <c r="H288">
        <v>550</v>
      </c>
      <c r="I288">
        <f t="shared" si="55"/>
        <v>279</v>
      </c>
      <c r="J288" s="6">
        <f t="array" aca="1" ref="J288:N288" ca="1">TRANSPOSE(ols(OFFSET($C$2:$C$10,I288,0),OFFSET($D$2:$H$10,I288,0)))</f>
        <v>122.23214285714221</v>
      </c>
      <c r="K288" s="6">
        <f ca="1"/>
        <v>-1.7857142857139934</v>
      </c>
      <c r="L288" s="6">
        <f ca="1"/>
        <v>-9.6428571428564283</v>
      </c>
      <c r="M288" s="6">
        <f ca="1"/>
        <v>4.8214285714286689</v>
      </c>
      <c r="N288" s="6">
        <f ca="1"/>
        <v>-0.19107142857142723</v>
      </c>
      <c r="O288" s="6">
        <f t="shared" ca="1" si="47"/>
        <v>20.178571428571914</v>
      </c>
      <c r="P288" t="str">
        <f t="shared" si="48"/>
        <v>NA</v>
      </c>
      <c r="Q288" s="10">
        <f t="shared" ca="1" si="49"/>
        <v>50.535714285714917</v>
      </c>
      <c r="R288" s="10">
        <f t="shared" ca="1" si="50"/>
        <v>125.26785714285688</v>
      </c>
      <c r="S288" s="10">
        <f t="shared" ca="1" si="51"/>
        <v>-74.732142857141966</v>
      </c>
      <c r="T288" s="10">
        <f t="shared" ca="1" si="52"/>
        <v>391.12149532710089</v>
      </c>
      <c r="U288" s="10">
        <f t="shared" ca="1" si="53"/>
        <v>391.12149532710089</v>
      </c>
      <c r="V288">
        <f t="shared" si="54"/>
        <v>5</v>
      </c>
    </row>
    <row r="289" spans="1:22" x14ac:dyDescent="0.25">
      <c r="A289">
        <v>32</v>
      </c>
      <c r="B289">
        <v>9</v>
      </c>
      <c r="C289">
        <v>10</v>
      </c>
      <c r="D289">
        <v>1</v>
      </c>
      <c r="E289">
        <v>0</v>
      </c>
      <c r="F289">
        <v>0</v>
      </c>
      <c r="G289">
        <v>1</v>
      </c>
      <c r="H289">
        <v>650</v>
      </c>
      <c r="I289">
        <f t="shared" si="55"/>
        <v>279</v>
      </c>
      <c r="J289" s="6">
        <f t="array" aca="1" ref="J289:N289" ca="1">TRANSPOSE(ols(OFFSET($C$2:$C$10,I289,0),OFFSET($D$2:$H$10,I289,0)))</f>
        <v>122.23214285714221</v>
      </c>
      <c r="K289" s="6">
        <f ca="1"/>
        <v>-1.7857142857139934</v>
      </c>
      <c r="L289" s="6">
        <f ca="1"/>
        <v>-9.6428571428564283</v>
      </c>
      <c r="M289" s="6">
        <f ca="1"/>
        <v>4.8214285714286689</v>
      </c>
      <c r="N289" s="6">
        <f ca="1"/>
        <v>-0.19107142857142723</v>
      </c>
      <c r="O289" s="6">
        <f t="shared" ca="1" si="47"/>
        <v>2.8571428571431738</v>
      </c>
      <c r="P289" t="str">
        <f t="shared" si="48"/>
        <v>NA</v>
      </c>
      <c r="Q289" s="10">
        <f t="shared" ca="1" si="49"/>
        <v>50.535714285714917</v>
      </c>
      <c r="R289" s="10">
        <f t="shared" ca="1" si="50"/>
        <v>127.05357142857088</v>
      </c>
      <c r="S289" s="10">
        <f t="shared" ca="1" si="51"/>
        <v>-76.517857142855959</v>
      </c>
      <c r="T289" s="10">
        <f t="shared" ca="1" si="52"/>
        <v>400.46728971962278</v>
      </c>
      <c r="U289" s="10">
        <f t="shared" ca="1" si="53"/>
        <v>400.46728971962278</v>
      </c>
      <c r="V289">
        <f t="shared" si="54"/>
        <v>4</v>
      </c>
    </row>
    <row r="290" spans="1:22" x14ac:dyDescent="0.25">
      <c r="A290">
        <v>33</v>
      </c>
      <c r="B290">
        <v>1</v>
      </c>
      <c r="C290">
        <v>30</v>
      </c>
      <c r="D290">
        <v>1</v>
      </c>
      <c r="E290">
        <v>0</v>
      </c>
      <c r="F290">
        <v>1</v>
      </c>
      <c r="G290">
        <v>0</v>
      </c>
      <c r="H290">
        <v>250</v>
      </c>
      <c r="I290">
        <f t="shared" si="55"/>
        <v>288</v>
      </c>
      <c r="J290" s="6">
        <f t="array" aca="1" ref="J290:N290" ca="1">TRANSPOSE(ols(OFFSET($C$2:$C$10,I290,0),OFFSET($D$2:$H$10,I290,0)))</f>
        <v>88.333333333332121</v>
      </c>
      <c r="K290" s="6">
        <f ca="1"/>
        <v>-12.499999999999659</v>
      </c>
      <c r="L290" s="6">
        <f ca="1"/>
        <v>-11.666666666665833</v>
      </c>
      <c r="M290" s="6">
        <f ca="1"/>
        <v>28.333333333333428</v>
      </c>
      <c r="N290" s="6">
        <f ca="1"/>
        <v>-0.16666666666666519</v>
      </c>
      <c r="O290" s="6">
        <f t="shared" ca="1" si="47"/>
        <v>34.999999999999993</v>
      </c>
      <c r="P290" t="str">
        <f t="shared" si="48"/>
        <v>NA</v>
      </c>
      <c r="Q290" s="10">
        <f t="shared" ca="1" si="49"/>
        <v>46.666666666666899</v>
      </c>
      <c r="R290" s="10">
        <f t="shared" ca="1" si="50"/>
        <v>76.666666666666288</v>
      </c>
      <c r="S290" s="10">
        <f t="shared" ca="1" si="51"/>
        <v>-29.999999999999389</v>
      </c>
      <c r="T290" s="10">
        <f t="shared" ca="1" si="52"/>
        <v>179.99999999999793</v>
      </c>
      <c r="U290" s="10" t="str">
        <f t="shared" ca="1" si="53"/>
        <v>OR</v>
      </c>
      <c r="V290">
        <f t="shared" si="54"/>
        <v>3</v>
      </c>
    </row>
    <row r="291" spans="1:22" x14ac:dyDescent="0.25">
      <c r="A291">
        <v>33</v>
      </c>
      <c r="B291">
        <v>2</v>
      </c>
      <c r="C291">
        <v>15</v>
      </c>
      <c r="D291">
        <v>1</v>
      </c>
      <c r="E291">
        <v>1</v>
      </c>
      <c r="F291">
        <v>0</v>
      </c>
      <c r="G291">
        <v>0</v>
      </c>
      <c r="H291">
        <v>350</v>
      </c>
      <c r="I291">
        <f t="shared" si="55"/>
        <v>288</v>
      </c>
      <c r="J291" s="6">
        <f t="array" aca="1" ref="J291:N291" ca="1">TRANSPOSE(ols(OFFSET($C$2:$C$10,I291,0),OFFSET($D$2:$H$10,I291,0)))</f>
        <v>88.333333333332121</v>
      </c>
      <c r="K291" s="6">
        <f ca="1"/>
        <v>-12.499999999999659</v>
      </c>
      <c r="L291" s="6">
        <f ca="1"/>
        <v>-11.666666666665833</v>
      </c>
      <c r="M291" s="6">
        <f ca="1"/>
        <v>28.333333333333428</v>
      </c>
      <c r="N291" s="6">
        <f ca="1"/>
        <v>-0.16666666666666519</v>
      </c>
      <c r="O291" s="6">
        <f t="shared" ca="1" si="47"/>
        <v>17.499999999999645</v>
      </c>
      <c r="P291" t="str">
        <f t="shared" si="48"/>
        <v>NA</v>
      </c>
      <c r="Q291" s="10">
        <f t="shared" ca="1" si="49"/>
        <v>46.666666666666899</v>
      </c>
      <c r="R291" s="10">
        <f t="shared" ca="1" si="50"/>
        <v>75.833333333332462</v>
      </c>
      <c r="S291" s="10">
        <f t="shared" ca="1" si="51"/>
        <v>-29.166666666665563</v>
      </c>
      <c r="T291" s="10">
        <f t="shared" ca="1" si="52"/>
        <v>174.99999999999494</v>
      </c>
      <c r="U291" s="10" t="str">
        <f t="shared" ca="1" si="53"/>
        <v>OR</v>
      </c>
      <c r="V291">
        <f t="shared" si="54"/>
        <v>2</v>
      </c>
    </row>
    <row r="292" spans="1:22" x14ac:dyDescent="0.25">
      <c r="A292">
        <v>33</v>
      </c>
      <c r="B292">
        <v>3</v>
      </c>
      <c r="C292">
        <v>5</v>
      </c>
      <c r="D292">
        <v>1</v>
      </c>
      <c r="E292">
        <v>1</v>
      </c>
      <c r="F292">
        <v>0</v>
      </c>
      <c r="G292">
        <v>0</v>
      </c>
      <c r="H292">
        <v>450</v>
      </c>
      <c r="I292">
        <f t="shared" si="55"/>
        <v>288</v>
      </c>
      <c r="J292" s="6">
        <f t="array" aca="1" ref="J292:N292" ca="1">TRANSPOSE(ols(OFFSET($C$2:$C$10,I292,0),OFFSET($D$2:$H$10,I292,0)))</f>
        <v>88.333333333332121</v>
      </c>
      <c r="K292" s="6">
        <f ca="1"/>
        <v>-12.499999999999659</v>
      </c>
      <c r="L292" s="6">
        <f ca="1"/>
        <v>-11.666666666665833</v>
      </c>
      <c r="M292" s="6">
        <f ca="1"/>
        <v>28.333333333333428</v>
      </c>
      <c r="N292" s="6">
        <f ca="1"/>
        <v>-0.16666666666666519</v>
      </c>
      <c r="O292" s="6">
        <f t="shared" ca="1" si="47"/>
        <v>0.83333333333312964</v>
      </c>
      <c r="P292" t="str">
        <f t="shared" si="48"/>
        <v>NA</v>
      </c>
      <c r="Q292" s="10">
        <f t="shared" ca="1" si="49"/>
        <v>46.666666666666899</v>
      </c>
      <c r="R292" s="10">
        <f t="shared" ca="1" si="50"/>
        <v>75.833333333332462</v>
      </c>
      <c r="S292" s="10">
        <f t="shared" ca="1" si="51"/>
        <v>-29.166666666665563</v>
      </c>
      <c r="T292" s="10">
        <f t="shared" ca="1" si="52"/>
        <v>174.99999999999494</v>
      </c>
      <c r="U292" s="10" t="str">
        <f t="shared" ca="1" si="53"/>
        <v>OR</v>
      </c>
      <c r="V292">
        <f t="shared" si="54"/>
        <v>2</v>
      </c>
    </row>
    <row r="293" spans="1:22" x14ac:dyDescent="0.25">
      <c r="A293">
        <v>33</v>
      </c>
      <c r="B293">
        <v>4</v>
      </c>
      <c r="C293">
        <v>0</v>
      </c>
      <c r="D293">
        <v>1</v>
      </c>
      <c r="E293">
        <v>0</v>
      </c>
      <c r="F293">
        <v>0</v>
      </c>
      <c r="G293">
        <v>0</v>
      </c>
      <c r="H293">
        <v>550</v>
      </c>
      <c r="I293">
        <f t="shared" si="55"/>
        <v>288</v>
      </c>
      <c r="J293" s="6">
        <f t="array" aca="1" ref="J293:N293" ca="1">TRANSPOSE(ols(OFFSET($C$2:$C$10,I293,0),OFFSET($D$2:$H$10,I293,0)))</f>
        <v>88.333333333332121</v>
      </c>
      <c r="K293" s="6">
        <f ca="1"/>
        <v>-12.499999999999659</v>
      </c>
      <c r="L293" s="6">
        <f ca="1"/>
        <v>-11.666666666665833</v>
      </c>
      <c r="M293" s="6">
        <f ca="1"/>
        <v>28.333333333333428</v>
      </c>
      <c r="N293" s="6">
        <f ca="1"/>
        <v>-0.16666666666666519</v>
      </c>
      <c r="O293" s="6">
        <f t="shared" ca="1" si="47"/>
        <v>-3.3333333333337265</v>
      </c>
      <c r="P293" t="str">
        <f t="shared" si="48"/>
        <v>NA</v>
      </c>
      <c r="Q293" s="10">
        <f t="shared" ca="1" si="49"/>
        <v>46.666666666666899</v>
      </c>
      <c r="R293" s="10">
        <f t="shared" ca="1" si="50"/>
        <v>88.333333333332121</v>
      </c>
      <c r="S293" s="10">
        <f t="shared" ca="1" si="51"/>
        <v>-41.666666666665222</v>
      </c>
      <c r="T293" s="10">
        <f t="shared" ca="1" si="52"/>
        <v>249.99999999999355</v>
      </c>
      <c r="U293" s="10" t="str">
        <f t="shared" ca="1" si="53"/>
        <v>OR</v>
      </c>
      <c r="V293">
        <f t="shared" si="54"/>
        <v>1</v>
      </c>
    </row>
    <row r="294" spans="1:22" x14ac:dyDescent="0.25">
      <c r="A294">
        <v>33</v>
      </c>
      <c r="B294">
        <v>5</v>
      </c>
      <c r="C294">
        <v>70</v>
      </c>
      <c r="D294">
        <v>1</v>
      </c>
      <c r="E294">
        <v>0</v>
      </c>
      <c r="F294">
        <v>1</v>
      </c>
      <c r="G294">
        <v>1</v>
      </c>
      <c r="H294">
        <v>250</v>
      </c>
      <c r="I294">
        <f t="shared" si="55"/>
        <v>288</v>
      </c>
      <c r="J294" s="6">
        <f t="array" aca="1" ref="J294:N294" ca="1">TRANSPOSE(ols(OFFSET($C$2:$C$10,I294,0),OFFSET($D$2:$H$10,I294,0)))</f>
        <v>88.333333333332121</v>
      </c>
      <c r="K294" s="6">
        <f ca="1"/>
        <v>-12.499999999999659</v>
      </c>
      <c r="L294" s="6">
        <f ca="1"/>
        <v>-11.666666666665833</v>
      </c>
      <c r="M294" s="6">
        <f ca="1"/>
        <v>28.333333333333428</v>
      </c>
      <c r="N294" s="6">
        <f ca="1"/>
        <v>-0.16666666666666519</v>
      </c>
      <c r="O294" s="6">
        <f t="shared" ca="1" si="47"/>
        <v>63.333333333333421</v>
      </c>
      <c r="P294" t="str">
        <f t="shared" si="48"/>
        <v>NA</v>
      </c>
      <c r="Q294" s="10">
        <f t="shared" ca="1" si="49"/>
        <v>46.666666666666899</v>
      </c>
      <c r="R294" s="10">
        <f t="shared" ca="1" si="50"/>
        <v>104.99999999999972</v>
      </c>
      <c r="S294" s="10">
        <f t="shared" ca="1" si="51"/>
        <v>-58.333333333332817</v>
      </c>
      <c r="T294" s="10">
        <f t="shared" ca="1" si="52"/>
        <v>350</v>
      </c>
      <c r="U294" s="10">
        <f t="shared" ca="1" si="53"/>
        <v>350</v>
      </c>
      <c r="V294">
        <f t="shared" si="54"/>
        <v>6</v>
      </c>
    </row>
    <row r="295" spans="1:22" x14ac:dyDescent="0.25">
      <c r="A295">
        <v>33</v>
      </c>
      <c r="B295">
        <v>6</v>
      </c>
      <c r="C295">
        <v>45</v>
      </c>
      <c r="D295">
        <v>1</v>
      </c>
      <c r="E295">
        <v>0</v>
      </c>
      <c r="F295">
        <v>1</v>
      </c>
      <c r="G295">
        <v>1</v>
      </c>
      <c r="H295">
        <v>350</v>
      </c>
      <c r="I295">
        <f t="shared" si="55"/>
        <v>288</v>
      </c>
      <c r="J295" s="6">
        <f t="array" aca="1" ref="J295:N295" ca="1">TRANSPOSE(ols(OFFSET($C$2:$C$10,I295,0),OFFSET($D$2:$H$10,I295,0)))</f>
        <v>88.333333333332121</v>
      </c>
      <c r="K295" s="6">
        <f ca="1"/>
        <v>-12.499999999999659</v>
      </c>
      <c r="L295" s="6">
        <f ca="1"/>
        <v>-11.666666666665833</v>
      </c>
      <c r="M295" s="6">
        <f ca="1"/>
        <v>28.333333333333428</v>
      </c>
      <c r="N295" s="6">
        <f ca="1"/>
        <v>-0.16666666666666519</v>
      </c>
      <c r="O295" s="6">
        <f t="shared" ca="1" si="47"/>
        <v>46.666666666666899</v>
      </c>
      <c r="P295">
        <f t="shared" ca="1" si="48"/>
        <v>46.666666666666899</v>
      </c>
      <c r="Q295" s="10">
        <f t="shared" ca="1" si="49"/>
        <v>46.666666666666899</v>
      </c>
      <c r="R295" s="10">
        <f t="shared" ca="1" si="50"/>
        <v>104.99999999999972</v>
      </c>
      <c r="S295" s="10">
        <f t="shared" ca="1" si="51"/>
        <v>-58.333333333332817</v>
      </c>
      <c r="T295" s="10">
        <f t="shared" ca="1" si="52"/>
        <v>350</v>
      </c>
      <c r="U295" s="10">
        <f t="shared" ca="1" si="53"/>
        <v>350</v>
      </c>
      <c r="V295">
        <f t="shared" si="54"/>
        <v>6</v>
      </c>
    </row>
    <row r="296" spans="1:22" x14ac:dyDescent="0.25">
      <c r="A296">
        <v>33</v>
      </c>
      <c r="B296">
        <v>7</v>
      </c>
      <c r="C296">
        <v>25</v>
      </c>
      <c r="D296">
        <v>1</v>
      </c>
      <c r="E296">
        <v>1</v>
      </c>
      <c r="F296">
        <v>0</v>
      </c>
      <c r="G296">
        <v>1</v>
      </c>
      <c r="H296">
        <v>450</v>
      </c>
      <c r="I296">
        <f t="shared" si="55"/>
        <v>288</v>
      </c>
      <c r="J296" s="6">
        <f t="array" aca="1" ref="J296:N296" ca="1">TRANSPOSE(ols(OFFSET($C$2:$C$10,I296,0),OFFSET($D$2:$H$10,I296,0)))</f>
        <v>88.333333333332121</v>
      </c>
      <c r="K296" s="6">
        <f ca="1"/>
        <v>-12.499999999999659</v>
      </c>
      <c r="L296" s="6">
        <f ca="1"/>
        <v>-11.666666666665833</v>
      </c>
      <c r="M296" s="6">
        <f ca="1"/>
        <v>28.333333333333428</v>
      </c>
      <c r="N296" s="6">
        <f ca="1"/>
        <v>-0.16666666666666519</v>
      </c>
      <c r="O296" s="6">
        <f t="shared" ca="1" si="47"/>
        <v>29.166666666666558</v>
      </c>
      <c r="P296" t="str">
        <f t="shared" si="48"/>
        <v>NA</v>
      </c>
      <c r="Q296" s="10">
        <f t="shared" ca="1" si="49"/>
        <v>46.666666666666899</v>
      </c>
      <c r="R296" s="10">
        <f t="shared" ca="1" si="50"/>
        <v>104.16666666666589</v>
      </c>
      <c r="S296" s="10">
        <f t="shared" ca="1" si="51"/>
        <v>-57.499999999998991</v>
      </c>
      <c r="T296" s="10">
        <f t="shared" ca="1" si="52"/>
        <v>344.99999999999699</v>
      </c>
      <c r="U296" s="10">
        <f t="shared" ca="1" si="53"/>
        <v>344.99999999999699</v>
      </c>
      <c r="V296">
        <f t="shared" si="54"/>
        <v>5</v>
      </c>
    </row>
    <row r="297" spans="1:22" x14ac:dyDescent="0.25">
      <c r="A297">
        <v>33</v>
      </c>
      <c r="B297">
        <v>8</v>
      </c>
      <c r="C297">
        <v>15</v>
      </c>
      <c r="D297">
        <v>1</v>
      </c>
      <c r="E297">
        <v>1</v>
      </c>
      <c r="F297">
        <v>0</v>
      </c>
      <c r="G297">
        <v>1</v>
      </c>
      <c r="H297">
        <v>550</v>
      </c>
      <c r="I297">
        <f t="shared" si="55"/>
        <v>288</v>
      </c>
      <c r="J297" s="6">
        <f t="array" aca="1" ref="J297:N297" ca="1">TRANSPOSE(ols(OFFSET($C$2:$C$10,I297,0),OFFSET($D$2:$H$10,I297,0)))</f>
        <v>88.333333333332121</v>
      </c>
      <c r="K297" s="6">
        <f ca="1"/>
        <v>-12.499999999999659</v>
      </c>
      <c r="L297" s="6">
        <f ca="1"/>
        <v>-11.666666666665833</v>
      </c>
      <c r="M297" s="6">
        <f ca="1"/>
        <v>28.333333333333428</v>
      </c>
      <c r="N297" s="6">
        <f ca="1"/>
        <v>-0.16666666666666519</v>
      </c>
      <c r="O297" s="6">
        <f t="shared" ca="1" si="47"/>
        <v>12.500000000000043</v>
      </c>
      <c r="P297" t="str">
        <f t="shared" si="48"/>
        <v>NA</v>
      </c>
      <c r="Q297" s="10">
        <f t="shared" ca="1" si="49"/>
        <v>46.666666666666899</v>
      </c>
      <c r="R297" s="10">
        <f t="shared" ca="1" si="50"/>
        <v>104.16666666666589</v>
      </c>
      <c r="S297" s="10">
        <f t="shared" ca="1" si="51"/>
        <v>-57.499999999998991</v>
      </c>
      <c r="T297" s="10">
        <f t="shared" ca="1" si="52"/>
        <v>344.99999999999699</v>
      </c>
      <c r="U297" s="10">
        <f t="shared" ca="1" si="53"/>
        <v>344.99999999999699</v>
      </c>
      <c r="V297">
        <f t="shared" si="54"/>
        <v>5</v>
      </c>
    </row>
    <row r="298" spans="1:22" x14ac:dyDescent="0.25">
      <c r="A298">
        <v>33</v>
      </c>
      <c r="B298">
        <v>9</v>
      </c>
      <c r="C298">
        <v>5</v>
      </c>
      <c r="D298">
        <v>1</v>
      </c>
      <c r="E298">
        <v>0</v>
      </c>
      <c r="F298">
        <v>0</v>
      </c>
      <c r="G298">
        <v>1</v>
      </c>
      <c r="H298">
        <v>650</v>
      </c>
      <c r="I298">
        <f t="shared" si="55"/>
        <v>288</v>
      </c>
      <c r="J298" s="6">
        <f t="array" aca="1" ref="J298:N298" ca="1">TRANSPOSE(ols(OFFSET($C$2:$C$10,I298,0),OFFSET($D$2:$H$10,I298,0)))</f>
        <v>88.333333333332121</v>
      </c>
      <c r="K298" s="6">
        <f ca="1"/>
        <v>-12.499999999999659</v>
      </c>
      <c r="L298" s="6">
        <f ca="1"/>
        <v>-11.666666666665833</v>
      </c>
      <c r="M298" s="6">
        <f ca="1"/>
        <v>28.333333333333428</v>
      </c>
      <c r="N298" s="6">
        <f ca="1"/>
        <v>-0.16666666666666519</v>
      </c>
      <c r="O298" s="6">
        <f t="shared" ca="1" si="47"/>
        <v>8.3333333333331723</v>
      </c>
      <c r="P298" t="str">
        <f t="shared" si="48"/>
        <v>NA</v>
      </c>
      <c r="Q298" s="10">
        <f t="shared" ca="1" si="49"/>
        <v>46.666666666666899</v>
      </c>
      <c r="R298" s="10">
        <f t="shared" ca="1" si="50"/>
        <v>116.66666666666555</v>
      </c>
      <c r="S298" s="10">
        <f t="shared" ca="1" si="51"/>
        <v>-69.99999999999865</v>
      </c>
      <c r="T298" s="10">
        <f t="shared" ca="1" si="52"/>
        <v>419.99999999999562</v>
      </c>
      <c r="U298" s="10">
        <f t="shared" ca="1" si="53"/>
        <v>419.99999999999562</v>
      </c>
      <c r="V298">
        <f t="shared" si="54"/>
        <v>4</v>
      </c>
    </row>
    <row r="299" spans="1:22" x14ac:dyDescent="0.25">
      <c r="A299">
        <v>34</v>
      </c>
      <c r="B299">
        <v>1</v>
      </c>
      <c r="C299">
        <v>10</v>
      </c>
      <c r="D299">
        <v>1</v>
      </c>
      <c r="E299">
        <v>0</v>
      </c>
      <c r="F299">
        <v>1</v>
      </c>
      <c r="G299">
        <v>0</v>
      </c>
      <c r="H299">
        <v>250</v>
      </c>
      <c r="I299">
        <f t="shared" si="55"/>
        <v>297</v>
      </c>
      <c r="J299" s="6">
        <f t="array" aca="1" ref="J299:N299" ca="1">TRANSPOSE(ols(OFFSET($C$2:$C$10,I299,0),OFFSET($D$2:$H$10,I299,0)))</f>
        <v>42.440476190475692</v>
      </c>
      <c r="K299" s="6">
        <f ca="1"/>
        <v>-9.2857142857141071</v>
      </c>
      <c r="L299" s="6">
        <f ca="1"/>
        <v>-13.809523809523455</v>
      </c>
      <c r="M299" s="6">
        <f ca="1"/>
        <v>4.4047619047618838</v>
      </c>
      <c r="N299" s="6">
        <f ca="1"/>
        <v>-7.0238095238094544E-2</v>
      </c>
      <c r="O299" s="6">
        <f t="shared" ca="1" si="47"/>
        <v>11.071428571428601</v>
      </c>
      <c r="P299" t="str">
        <f t="shared" si="48"/>
        <v>NA</v>
      </c>
      <c r="Q299" s="10">
        <f t="shared" ca="1" si="49"/>
        <v>8.4523809523810307</v>
      </c>
      <c r="R299" s="10">
        <f t="shared" ca="1" si="50"/>
        <v>28.630952380952237</v>
      </c>
      <c r="S299" s="10">
        <f t="shared" ca="1" si="51"/>
        <v>-20.178571428571207</v>
      </c>
      <c r="T299" s="10">
        <f t="shared" ca="1" si="52"/>
        <v>287.28813559322003</v>
      </c>
      <c r="U299" s="10">
        <f t="shared" ca="1" si="53"/>
        <v>287.28813559322003</v>
      </c>
      <c r="V299">
        <f t="shared" si="54"/>
        <v>3</v>
      </c>
    </row>
    <row r="300" spans="1:22" x14ac:dyDescent="0.25">
      <c r="A300">
        <v>34</v>
      </c>
      <c r="B300">
        <v>2</v>
      </c>
      <c r="C300">
        <v>5</v>
      </c>
      <c r="D300">
        <v>1</v>
      </c>
      <c r="E300">
        <v>1</v>
      </c>
      <c r="F300">
        <v>0</v>
      </c>
      <c r="G300">
        <v>0</v>
      </c>
      <c r="H300">
        <v>350</v>
      </c>
      <c r="I300">
        <f t="shared" si="55"/>
        <v>297</v>
      </c>
      <c r="J300" s="6">
        <f t="array" aca="1" ref="J300:N300" ca="1">TRANSPOSE(ols(OFFSET($C$2:$C$10,I300,0),OFFSET($D$2:$H$10,I300,0)))</f>
        <v>42.440476190475692</v>
      </c>
      <c r="K300" s="6">
        <f ca="1"/>
        <v>-9.2857142857141071</v>
      </c>
      <c r="L300" s="6">
        <f ca="1"/>
        <v>-13.809523809523455</v>
      </c>
      <c r="M300" s="6">
        <f ca="1"/>
        <v>4.4047619047618838</v>
      </c>
      <c r="N300" s="6">
        <f ca="1"/>
        <v>-7.0238095238094544E-2</v>
      </c>
      <c r="O300" s="6">
        <f t="shared" ca="1" si="47"/>
        <v>8.5714285714284948</v>
      </c>
      <c r="P300" t="str">
        <f t="shared" si="48"/>
        <v>NA</v>
      </c>
      <c r="Q300" s="10">
        <f t="shared" ca="1" si="49"/>
        <v>8.4523809523810307</v>
      </c>
      <c r="R300" s="10">
        <f t="shared" ca="1" si="50"/>
        <v>33.154761904761585</v>
      </c>
      <c r="S300" s="10">
        <f t="shared" ca="1" si="51"/>
        <v>-24.702380952380555</v>
      </c>
      <c r="T300" s="10">
        <f t="shared" ca="1" si="52"/>
        <v>351.69491525423507</v>
      </c>
      <c r="U300" s="10">
        <f t="shared" ca="1" si="53"/>
        <v>351.69491525423507</v>
      </c>
      <c r="V300">
        <f t="shared" si="54"/>
        <v>2</v>
      </c>
    </row>
    <row r="301" spans="1:22" x14ac:dyDescent="0.25">
      <c r="A301">
        <v>34</v>
      </c>
      <c r="B301">
        <v>3</v>
      </c>
      <c r="C301">
        <v>5</v>
      </c>
      <c r="D301">
        <v>1</v>
      </c>
      <c r="E301">
        <v>1</v>
      </c>
      <c r="F301">
        <v>0</v>
      </c>
      <c r="G301">
        <v>0</v>
      </c>
      <c r="H301">
        <v>450</v>
      </c>
      <c r="I301">
        <f t="shared" si="55"/>
        <v>297</v>
      </c>
      <c r="J301" s="6">
        <f t="array" aca="1" ref="J301:N301" ca="1">TRANSPOSE(ols(OFFSET($C$2:$C$10,I301,0),OFFSET($D$2:$H$10,I301,0)))</f>
        <v>42.440476190475692</v>
      </c>
      <c r="K301" s="6">
        <f ca="1"/>
        <v>-9.2857142857141071</v>
      </c>
      <c r="L301" s="6">
        <f ca="1"/>
        <v>-13.809523809523455</v>
      </c>
      <c r="M301" s="6">
        <f ca="1"/>
        <v>4.4047619047618838</v>
      </c>
      <c r="N301" s="6">
        <f ca="1"/>
        <v>-7.0238095238094544E-2</v>
      </c>
      <c r="O301" s="6">
        <f t="shared" ca="1" si="47"/>
        <v>1.5476190476190403</v>
      </c>
      <c r="P301" t="str">
        <f t="shared" si="48"/>
        <v>NA</v>
      </c>
      <c r="Q301" s="10">
        <f t="shared" ca="1" si="49"/>
        <v>8.4523809523810307</v>
      </c>
      <c r="R301" s="10">
        <f t="shared" ca="1" si="50"/>
        <v>33.154761904761585</v>
      </c>
      <c r="S301" s="10">
        <f t="shared" ca="1" si="51"/>
        <v>-24.702380952380555</v>
      </c>
      <c r="T301" s="10">
        <f t="shared" ca="1" si="52"/>
        <v>351.69491525423507</v>
      </c>
      <c r="U301" s="10">
        <f t="shared" ca="1" si="53"/>
        <v>351.69491525423507</v>
      </c>
      <c r="V301">
        <f t="shared" si="54"/>
        <v>2</v>
      </c>
    </row>
    <row r="302" spans="1:22" x14ac:dyDescent="0.25">
      <c r="A302">
        <v>34</v>
      </c>
      <c r="B302">
        <v>4</v>
      </c>
      <c r="C302">
        <v>5</v>
      </c>
      <c r="D302">
        <v>1</v>
      </c>
      <c r="E302">
        <v>0</v>
      </c>
      <c r="F302">
        <v>0</v>
      </c>
      <c r="G302">
        <v>0</v>
      </c>
      <c r="H302">
        <v>550</v>
      </c>
      <c r="I302">
        <f t="shared" si="55"/>
        <v>297</v>
      </c>
      <c r="J302" s="6">
        <f t="array" aca="1" ref="J302:N302" ca="1">TRANSPOSE(ols(OFFSET($C$2:$C$10,I302,0),OFFSET($D$2:$H$10,I302,0)))</f>
        <v>42.440476190475692</v>
      </c>
      <c r="K302" s="6">
        <f ca="1"/>
        <v>-9.2857142857141071</v>
      </c>
      <c r="L302" s="6">
        <f ca="1"/>
        <v>-13.809523809523455</v>
      </c>
      <c r="M302" s="6">
        <f ca="1"/>
        <v>4.4047619047618838</v>
      </c>
      <c r="N302" s="6">
        <f ca="1"/>
        <v>-7.0238095238094544E-2</v>
      </c>
      <c r="O302" s="6">
        <f t="shared" ca="1" si="47"/>
        <v>3.8095238095236965</v>
      </c>
      <c r="P302" t="str">
        <f t="shared" si="48"/>
        <v>NA</v>
      </c>
      <c r="Q302" s="10">
        <f t="shared" ca="1" si="49"/>
        <v>8.4523809523810307</v>
      </c>
      <c r="R302" s="10">
        <f t="shared" ca="1" si="50"/>
        <v>42.440476190475692</v>
      </c>
      <c r="S302" s="10">
        <f t="shared" ca="1" si="51"/>
        <v>-33.988095238094658</v>
      </c>
      <c r="T302" s="10">
        <f t="shared" ca="1" si="52"/>
        <v>483.89830508474228</v>
      </c>
      <c r="U302" s="10">
        <f t="shared" ca="1" si="53"/>
        <v>483.89830508474228</v>
      </c>
      <c r="V302">
        <f t="shared" si="54"/>
        <v>1</v>
      </c>
    </row>
    <row r="303" spans="1:22" x14ac:dyDescent="0.25">
      <c r="A303">
        <v>34</v>
      </c>
      <c r="B303">
        <v>5</v>
      </c>
      <c r="C303">
        <v>20</v>
      </c>
      <c r="D303">
        <v>1</v>
      </c>
      <c r="E303">
        <v>0</v>
      </c>
      <c r="F303">
        <v>1</v>
      </c>
      <c r="G303">
        <v>1</v>
      </c>
      <c r="H303">
        <v>250</v>
      </c>
      <c r="I303">
        <f t="shared" si="55"/>
        <v>297</v>
      </c>
      <c r="J303" s="6">
        <f t="array" aca="1" ref="J303:N303" ca="1">TRANSPOSE(ols(OFFSET($C$2:$C$10,I303,0),OFFSET($D$2:$H$10,I303,0)))</f>
        <v>42.440476190475692</v>
      </c>
      <c r="K303" s="6">
        <f ca="1"/>
        <v>-9.2857142857141071</v>
      </c>
      <c r="L303" s="6">
        <f ca="1"/>
        <v>-13.809523809523455</v>
      </c>
      <c r="M303" s="6">
        <f ca="1"/>
        <v>4.4047619047618838</v>
      </c>
      <c r="N303" s="6">
        <f ca="1"/>
        <v>-7.0238095238094544E-2</v>
      </c>
      <c r="O303" s="6">
        <f t="shared" ca="1" si="47"/>
        <v>15.476190476190485</v>
      </c>
      <c r="P303" t="str">
        <f t="shared" si="48"/>
        <v>NA</v>
      </c>
      <c r="Q303" s="10">
        <f t="shared" ca="1" si="49"/>
        <v>8.4523809523810307</v>
      </c>
      <c r="R303" s="10">
        <f t="shared" ca="1" si="50"/>
        <v>33.035714285714121</v>
      </c>
      <c r="S303" s="10">
        <f t="shared" ca="1" si="51"/>
        <v>-24.583333333333091</v>
      </c>
      <c r="T303" s="10">
        <f t="shared" ca="1" si="52"/>
        <v>350</v>
      </c>
      <c r="U303" s="10">
        <f t="shared" ca="1" si="53"/>
        <v>350</v>
      </c>
      <c r="V303">
        <f t="shared" si="54"/>
        <v>6</v>
      </c>
    </row>
    <row r="304" spans="1:22" x14ac:dyDescent="0.25">
      <c r="A304">
        <v>34</v>
      </c>
      <c r="B304">
        <v>6</v>
      </c>
      <c r="C304">
        <v>5</v>
      </c>
      <c r="D304">
        <v>1</v>
      </c>
      <c r="E304">
        <v>0</v>
      </c>
      <c r="F304">
        <v>1</v>
      </c>
      <c r="G304">
        <v>1</v>
      </c>
      <c r="H304">
        <v>350</v>
      </c>
      <c r="I304">
        <f t="shared" si="55"/>
        <v>297</v>
      </c>
      <c r="J304" s="6">
        <f t="array" aca="1" ref="J304:N304" ca="1">TRANSPOSE(ols(OFFSET($C$2:$C$10,I304,0),OFFSET($D$2:$H$10,I304,0)))</f>
        <v>42.440476190475692</v>
      </c>
      <c r="K304" s="6">
        <f ca="1"/>
        <v>-9.2857142857141071</v>
      </c>
      <c r="L304" s="6">
        <f ca="1"/>
        <v>-13.809523809523455</v>
      </c>
      <c r="M304" s="6">
        <f ca="1"/>
        <v>4.4047619047618838</v>
      </c>
      <c r="N304" s="6">
        <f ca="1"/>
        <v>-7.0238095238094544E-2</v>
      </c>
      <c r="O304" s="6">
        <f t="shared" ca="1" si="47"/>
        <v>8.4523809523810307</v>
      </c>
      <c r="P304">
        <f t="shared" ca="1" si="48"/>
        <v>8.4523809523810307</v>
      </c>
      <c r="Q304" s="10">
        <f t="shared" ca="1" si="49"/>
        <v>8.4523809523810307</v>
      </c>
      <c r="R304" s="10">
        <f t="shared" ca="1" si="50"/>
        <v>33.035714285714121</v>
      </c>
      <c r="S304" s="10">
        <f t="shared" ca="1" si="51"/>
        <v>-24.583333333333091</v>
      </c>
      <c r="T304" s="10">
        <f t="shared" ca="1" si="52"/>
        <v>350</v>
      </c>
      <c r="U304" s="10">
        <f t="shared" ca="1" si="53"/>
        <v>350</v>
      </c>
      <c r="V304">
        <f t="shared" si="54"/>
        <v>6</v>
      </c>
    </row>
    <row r="305" spans="1:22" x14ac:dyDescent="0.25">
      <c r="A305">
        <v>34</v>
      </c>
      <c r="B305">
        <v>7</v>
      </c>
      <c r="C305">
        <v>5</v>
      </c>
      <c r="D305">
        <v>1</v>
      </c>
      <c r="E305">
        <v>1</v>
      </c>
      <c r="F305">
        <v>0</v>
      </c>
      <c r="G305">
        <v>1</v>
      </c>
      <c r="H305">
        <v>450</v>
      </c>
      <c r="I305">
        <f t="shared" si="55"/>
        <v>297</v>
      </c>
      <c r="J305" s="6">
        <f t="array" aca="1" ref="J305:N305" ca="1">TRANSPOSE(ols(OFFSET($C$2:$C$10,I305,0),OFFSET($D$2:$H$10,I305,0)))</f>
        <v>42.440476190475692</v>
      </c>
      <c r="K305" s="6">
        <f ca="1"/>
        <v>-9.2857142857141071</v>
      </c>
      <c r="L305" s="6">
        <f ca="1"/>
        <v>-13.809523809523455</v>
      </c>
      <c r="M305" s="6">
        <f ca="1"/>
        <v>4.4047619047618838</v>
      </c>
      <c r="N305" s="6">
        <f ca="1"/>
        <v>-7.0238095238094544E-2</v>
      </c>
      <c r="O305" s="6">
        <f t="shared" ca="1" si="47"/>
        <v>5.9523809523809241</v>
      </c>
      <c r="P305" t="str">
        <f t="shared" si="48"/>
        <v>NA</v>
      </c>
      <c r="Q305" s="10">
        <f t="shared" ca="1" si="49"/>
        <v>8.4523809523810307</v>
      </c>
      <c r="R305" s="10">
        <f t="shared" ca="1" si="50"/>
        <v>37.559523809523469</v>
      </c>
      <c r="S305" s="10">
        <f t="shared" ca="1" si="51"/>
        <v>-29.107142857142438</v>
      </c>
      <c r="T305" s="10">
        <f t="shared" ca="1" si="52"/>
        <v>414.40677966101509</v>
      </c>
      <c r="U305" s="10">
        <f t="shared" ca="1" si="53"/>
        <v>414.40677966101509</v>
      </c>
      <c r="V305">
        <f t="shared" si="54"/>
        <v>5</v>
      </c>
    </row>
    <row r="306" spans="1:22" x14ac:dyDescent="0.25">
      <c r="A306">
        <v>34</v>
      </c>
      <c r="B306">
        <v>8</v>
      </c>
      <c r="C306">
        <v>0</v>
      </c>
      <c r="D306">
        <v>1</v>
      </c>
      <c r="E306">
        <v>1</v>
      </c>
      <c r="F306">
        <v>0</v>
      </c>
      <c r="G306">
        <v>1</v>
      </c>
      <c r="H306">
        <v>550</v>
      </c>
      <c r="I306">
        <f t="shared" si="55"/>
        <v>297</v>
      </c>
      <c r="J306" s="6">
        <f t="array" aca="1" ref="J306:N306" ca="1">TRANSPOSE(ols(OFFSET($C$2:$C$10,I306,0),OFFSET($D$2:$H$10,I306,0)))</f>
        <v>42.440476190475692</v>
      </c>
      <c r="K306" s="6">
        <f ca="1"/>
        <v>-9.2857142857141071</v>
      </c>
      <c r="L306" s="6">
        <f ca="1"/>
        <v>-13.809523809523455</v>
      </c>
      <c r="M306" s="6">
        <f ca="1"/>
        <v>4.4047619047618838</v>
      </c>
      <c r="N306" s="6">
        <f ca="1"/>
        <v>-7.0238095238094544E-2</v>
      </c>
      <c r="O306" s="6">
        <f t="shared" ca="1" si="47"/>
        <v>-1.0714285714285268</v>
      </c>
      <c r="P306" t="str">
        <f t="shared" si="48"/>
        <v>NA</v>
      </c>
      <c r="Q306" s="10">
        <f t="shared" ca="1" si="49"/>
        <v>8.4523809523810307</v>
      </c>
      <c r="R306" s="10">
        <f t="shared" ca="1" si="50"/>
        <v>37.559523809523469</v>
      </c>
      <c r="S306" s="10">
        <f t="shared" ca="1" si="51"/>
        <v>-29.107142857142438</v>
      </c>
      <c r="T306" s="10">
        <f t="shared" ca="1" si="52"/>
        <v>414.40677966101509</v>
      </c>
      <c r="U306" s="10">
        <f t="shared" ca="1" si="53"/>
        <v>414.40677966101509</v>
      </c>
      <c r="V306">
        <f t="shared" si="54"/>
        <v>5</v>
      </c>
    </row>
    <row r="307" spans="1:22" x14ac:dyDescent="0.25">
      <c r="A307">
        <v>34</v>
      </c>
      <c r="B307">
        <v>9</v>
      </c>
      <c r="C307">
        <v>0</v>
      </c>
      <c r="D307">
        <v>1</v>
      </c>
      <c r="E307">
        <v>0</v>
      </c>
      <c r="F307">
        <v>0</v>
      </c>
      <c r="G307">
        <v>1</v>
      </c>
      <c r="H307">
        <v>650</v>
      </c>
      <c r="I307">
        <f t="shared" si="55"/>
        <v>297</v>
      </c>
      <c r="J307" s="6">
        <f t="array" aca="1" ref="J307:N307" ca="1">TRANSPOSE(ols(OFFSET($C$2:$C$10,I307,0),OFFSET($D$2:$H$10,I307,0)))</f>
        <v>42.440476190475692</v>
      </c>
      <c r="K307" s="6">
        <f ca="1"/>
        <v>-9.2857142857141071</v>
      </c>
      <c r="L307" s="6">
        <f ca="1"/>
        <v>-13.809523809523455</v>
      </c>
      <c r="M307" s="6">
        <f ca="1"/>
        <v>4.4047619047618838</v>
      </c>
      <c r="N307" s="6">
        <f ca="1"/>
        <v>-7.0238095238094544E-2</v>
      </c>
      <c r="O307" s="6">
        <f t="shared" ca="1" si="47"/>
        <v>1.1904761904761187</v>
      </c>
      <c r="P307" t="str">
        <f t="shared" si="48"/>
        <v>NA</v>
      </c>
      <c r="Q307" s="10">
        <f t="shared" ca="1" si="49"/>
        <v>8.4523809523810307</v>
      </c>
      <c r="R307" s="10">
        <f t="shared" ca="1" si="50"/>
        <v>46.845238095237576</v>
      </c>
      <c r="S307" s="10">
        <f t="shared" ca="1" si="51"/>
        <v>-38.392857142856542</v>
      </c>
      <c r="T307" s="10">
        <f t="shared" ca="1" si="52"/>
        <v>546.61016949152224</v>
      </c>
      <c r="U307" s="10">
        <f t="shared" ca="1" si="53"/>
        <v>546.61016949152224</v>
      </c>
      <c r="V307">
        <f t="shared" si="54"/>
        <v>4</v>
      </c>
    </row>
    <row r="308" spans="1:22" x14ac:dyDescent="0.25">
      <c r="A308">
        <v>35</v>
      </c>
      <c r="B308">
        <v>1</v>
      </c>
      <c r="C308">
        <v>90</v>
      </c>
      <c r="D308">
        <v>1</v>
      </c>
      <c r="E308">
        <v>0</v>
      </c>
      <c r="F308">
        <v>1</v>
      </c>
      <c r="G308">
        <v>0</v>
      </c>
      <c r="H308">
        <v>250</v>
      </c>
      <c r="I308">
        <f t="shared" si="55"/>
        <v>306</v>
      </c>
      <c r="J308" s="6">
        <f t="array" aca="1" ref="J308:N308" ca="1">TRANSPOSE(ols(OFFSET($C$2:$C$10,I308,0),OFFSET($D$2:$H$10,I308,0)))</f>
        <v>159.52380952380736</v>
      </c>
      <c r="K308" s="6">
        <f ca="1"/>
        <v>-6.7857142857139934</v>
      </c>
      <c r="L308" s="6">
        <f ca="1"/>
        <v>-5.4761904761894584</v>
      </c>
      <c r="M308" s="6">
        <f ca="1"/>
        <v>0.23809523809518396</v>
      </c>
      <c r="N308" s="6">
        <f ca="1"/>
        <v>-0.26190476190476009</v>
      </c>
      <c r="O308" s="6">
        <f t="shared" ca="1" si="47"/>
        <v>88.571428571427873</v>
      </c>
      <c r="P308" t="str">
        <f t="shared" si="48"/>
        <v>NA</v>
      </c>
      <c r="Q308" s="10">
        <f t="shared" ca="1" si="49"/>
        <v>62.619047619047052</v>
      </c>
      <c r="R308" s="10">
        <f t="shared" ca="1" si="50"/>
        <v>154.0476190476179</v>
      </c>
      <c r="S308" s="10">
        <f t="shared" ca="1" si="51"/>
        <v>-91.428571428570848</v>
      </c>
      <c r="T308" s="10">
        <f t="shared" ca="1" si="52"/>
        <v>349.09090909090929</v>
      </c>
      <c r="U308" s="10">
        <f t="shared" ca="1" si="53"/>
        <v>349.09090909090929</v>
      </c>
      <c r="V308">
        <f t="shared" si="54"/>
        <v>3</v>
      </c>
    </row>
    <row r="309" spans="1:22" x14ac:dyDescent="0.25">
      <c r="A309">
        <v>35</v>
      </c>
      <c r="B309">
        <v>2</v>
      </c>
      <c r="C309">
        <v>67.5</v>
      </c>
      <c r="D309">
        <v>1</v>
      </c>
      <c r="E309">
        <v>1</v>
      </c>
      <c r="F309">
        <v>0</v>
      </c>
      <c r="G309">
        <v>0</v>
      </c>
      <c r="H309">
        <v>350</v>
      </c>
      <c r="I309">
        <f t="shared" si="55"/>
        <v>306</v>
      </c>
      <c r="J309" s="6">
        <f t="array" aca="1" ref="J309:N309" ca="1">TRANSPOSE(ols(OFFSET($C$2:$C$10,I309,0),OFFSET($D$2:$H$10,I309,0)))</f>
        <v>159.52380952380736</v>
      </c>
      <c r="K309" s="6">
        <f ca="1"/>
        <v>-6.7857142857139934</v>
      </c>
      <c r="L309" s="6">
        <f ca="1"/>
        <v>-5.4761904761894584</v>
      </c>
      <c r="M309" s="6">
        <f ca="1"/>
        <v>0.23809523809518396</v>
      </c>
      <c r="N309" s="6">
        <f ca="1"/>
        <v>-0.26190476190476009</v>
      </c>
      <c r="O309" s="6">
        <f t="shared" ca="1" si="47"/>
        <v>61.071428571427333</v>
      </c>
      <c r="P309" t="str">
        <f t="shared" si="48"/>
        <v>NA</v>
      </c>
      <c r="Q309" s="10">
        <f t="shared" ca="1" si="49"/>
        <v>62.619047619047052</v>
      </c>
      <c r="R309" s="10">
        <f t="shared" ca="1" si="50"/>
        <v>152.73809523809336</v>
      </c>
      <c r="S309" s="10">
        <f t="shared" ca="1" si="51"/>
        <v>-90.119047619046313</v>
      </c>
      <c r="T309" s="10">
        <f t="shared" ca="1" si="52"/>
        <v>344.09090909090651</v>
      </c>
      <c r="U309" s="10">
        <f t="shared" ca="1" si="53"/>
        <v>344.09090909090651</v>
      </c>
      <c r="V309">
        <f t="shared" si="54"/>
        <v>2</v>
      </c>
    </row>
    <row r="310" spans="1:22" x14ac:dyDescent="0.25">
      <c r="A310">
        <v>35</v>
      </c>
      <c r="B310">
        <v>3</v>
      </c>
      <c r="C310">
        <v>37.5</v>
      </c>
      <c r="D310">
        <v>1</v>
      </c>
      <c r="E310">
        <v>1</v>
      </c>
      <c r="F310">
        <v>0</v>
      </c>
      <c r="G310">
        <v>0</v>
      </c>
      <c r="H310">
        <v>450</v>
      </c>
      <c r="I310">
        <f t="shared" si="55"/>
        <v>306</v>
      </c>
      <c r="J310" s="6">
        <f t="array" aca="1" ref="J310:N310" ca="1">TRANSPOSE(ols(OFFSET($C$2:$C$10,I310,0),OFFSET($D$2:$H$10,I310,0)))</f>
        <v>159.52380952380736</v>
      </c>
      <c r="K310" s="6">
        <f ca="1"/>
        <v>-6.7857142857139934</v>
      </c>
      <c r="L310" s="6">
        <f ca="1"/>
        <v>-5.4761904761894584</v>
      </c>
      <c r="M310" s="6">
        <f ca="1"/>
        <v>0.23809523809518396</v>
      </c>
      <c r="N310" s="6">
        <f ca="1"/>
        <v>-0.26190476190476009</v>
      </c>
      <c r="O310" s="6">
        <f t="shared" ca="1" si="47"/>
        <v>34.880952380951328</v>
      </c>
      <c r="P310" t="str">
        <f t="shared" si="48"/>
        <v>NA</v>
      </c>
      <c r="Q310" s="10">
        <f t="shared" ca="1" si="49"/>
        <v>62.619047619047052</v>
      </c>
      <c r="R310" s="10">
        <f t="shared" ca="1" si="50"/>
        <v>152.73809523809336</v>
      </c>
      <c r="S310" s="10">
        <f t="shared" ca="1" si="51"/>
        <v>-90.119047619046313</v>
      </c>
      <c r="T310" s="10">
        <f t="shared" ca="1" si="52"/>
        <v>344.09090909090651</v>
      </c>
      <c r="U310" s="10">
        <f t="shared" ca="1" si="53"/>
        <v>344.09090909090651</v>
      </c>
      <c r="V310">
        <f t="shared" si="54"/>
        <v>2</v>
      </c>
    </row>
    <row r="311" spans="1:22" x14ac:dyDescent="0.25">
      <c r="A311">
        <v>35</v>
      </c>
      <c r="B311">
        <v>4</v>
      </c>
      <c r="C311">
        <v>5</v>
      </c>
      <c r="D311">
        <v>1</v>
      </c>
      <c r="E311">
        <v>0</v>
      </c>
      <c r="F311">
        <v>0</v>
      </c>
      <c r="G311">
        <v>0</v>
      </c>
      <c r="H311">
        <v>550</v>
      </c>
      <c r="I311">
        <f t="shared" si="55"/>
        <v>306</v>
      </c>
      <c r="J311" s="6">
        <f t="array" aca="1" ref="J311:N311" ca="1">TRANSPOSE(ols(OFFSET($C$2:$C$10,I311,0),OFFSET($D$2:$H$10,I311,0)))</f>
        <v>159.52380952380736</v>
      </c>
      <c r="K311" s="6">
        <f ca="1"/>
        <v>-6.7857142857139934</v>
      </c>
      <c r="L311" s="6">
        <f ca="1"/>
        <v>-5.4761904761894584</v>
      </c>
      <c r="M311" s="6">
        <f ca="1"/>
        <v>0.23809523809518396</v>
      </c>
      <c r="N311" s="6">
        <f ca="1"/>
        <v>-0.26190476190476009</v>
      </c>
      <c r="O311" s="6">
        <f t="shared" ca="1" si="47"/>
        <v>15.476190476189316</v>
      </c>
      <c r="P311" t="str">
        <f t="shared" si="48"/>
        <v>NA</v>
      </c>
      <c r="Q311" s="10">
        <f t="shared" ca="1" si="49"/>
        <v>62.619047619047052</v>
      </c>
      <c r="R311" s="10">
        <f t="shared" ca="1" si="50"/>
        <v>159.52380952380736</v>
      </c>
      <c r="S311" s="10">
        <f t="shared" ca="1" si="51"/>
        <v>-96.904761904760306</v>
      </c>
      <c r="T311" s="10">
        <f t="shared" ca="1" si="52"/>
        <v>369.99999999999648</v>
      </c>
      <c r="U311" s="10">
        <f t="shared" ca="1" si="53"/>
        <v>369.99999999999648</v>
      </c>
      <c r="V311">
        <f t="shared" si="54"/>
        <v>1</v>
      </c>
    </row>
    <row r="312" spans="1:22" x14ac:dyDescent="0.25">
      <c r="A312">
        <v>35</v>
      </c>
      <c r="B312">
        <v>5</v>
      </c>
      <c r="C312">
        <v>87.5</v>
      </c>
      <c r="D312">
        <v>1</v>
      </c>
      <c r="E312">
        <v>0</v>
      </c>
      <c r="F312">
        <v>1</v>
      </c>
      <c r="G312">
        <v>1</v>
      </c>
      <c r="H312">
        <v>250</v>
      </c>
      <c r="I312">
        <f t="shared" si="55"/>
        <v>306</v>
      </c>
      <c r="J312" s="6">
        <f t="array" aca="1" ref="J312:N312" ca="1">TRANSPOSE(ols(OFFSET($C$2:$C$10,I312,0),OFFSET($D$2:$H$10,I312,0)))</f>
        <v>159.52380952380736</v>
      </c>
      <c r="K312" s="6">
        <f ca="1"/>
        <v>-6.7857142857139934</v>
      </c>
      <c r="L312" s="6">
        <f ca="1"/>
        <v>-5.4761904761894584</v>
      </c>
      <c r="M312" s="6">
        <f ca="1"/>
        <v>0.23809523809518396</v>
      </c>
      <c r="N312" s="6">
        <f ca="1"/>
        <v>-0.26190476190476009</v>
      </c>
      <c r="O312" s="6">
        <f t="shared" ca="1" si="47"/>
        <v>88.809523809523057</v>
      </c>
      <c r="P312" t="str">
        <f t="shared" si="48"/>
        <v>NA</v>
      </c>
      <c r="Q312" s="10">
        <f t="shared" ca="1" si="49"/>
        <v>62.619047619047052</v>
      </c>
      <c r="R312" s="10">
        <f t="shared" ca="1" si="50"/>
        <v>154.28571428571308</v>
      </c>
      <c r="S312" s="10">
        <f t="shared" ca="1" si="51"/>
        <v>-91.666666666666032</v>
      </c>
      <c r="T312" s="10">
        <f t="shared" ca="1" si="52"/>
        <v>350</v>
      </c>
      <c r="U312" s="10">
        <f t="shared" ca="1" si="53"/>
        <v>350</v>
      </c>
      <c r="V312">
        <f t="shared" si="54"/>
        <v>6</v>
      </c>
    </row>
    <row r="313" spans="1:22" x14ac:dyDescent="0.25">
      <c r="A313">
        <v>35</v>
      </c>
      <c r="B313">
        <v>6</v>
      </c>
      <c r="C313">
        <v>62.5</v>
      </c>
      <c r="D313">
        <v>1</v>
      </c>
      <c r="E313">
        <v>0</v>
      </c>
      <c r="F313">
        <v>1</v>
      </c>
      <c r="G313">
        <v>1</v>
      </c>
      <c r="H313">
        <v>350</v>
      </c>
      <c r="I313">
        <f t="shared" si="55"/>
        <v>306</v>
      </c>
      <c r="J313" s="6">
        <f t="array" aca="1" ref="J313:N313" ca="1">TRANSPOSE(ols(OFFSET($C$2:$C$10,I313,0),OFFSET($D$2:$H$10,I313,0)))</f>
        <v>159.52380952380736</v>
      </c>
      <c r="K313" s="6">
        <f ca="1"/>
        <v>-6.7857142857139934</v>
      </c>
      <c r="L313" s="6">
        <f ca="1"/>
        <v>-5.4761904761894584</v>
      </c>
      <c r="M313" s="6">
        <f ca="1"/>
        <v>0.23809523809518396</v>
      </c>
      <c r="N313" s="6">
        <f ca="1"/>
        <v>-0.26190476190476009</v>
      </c>
      <c r="O313" s="6">
        <f t="shared" ca="1" si="47"/>
        <v>62.619047619047052</v>
      </c>
      <c r="P313">
        <f t="shared" ca="1" si="48"/>
        <v>62.619047619047052</v>
      </c>
      <c r="Q313" s="10">
        <f t="shared" ca="1" si="49"/>
        <v>62.619047619047052</v>
      </c>
      <c r="R313" s="10">
        <f t="shared" ca="1" si="50"/>
        <v>154.28571428571308</v>
      </c>
      <c r="S313" s="10">
        <f t="shared" ca="1" si="51"/>
        <v>-91.666666666666032</v>
      </c>
      <c r="T313" s="10">
        <f t="shared" ca="1" si="52"/>
        <v>350</v>
      </c>
      <c r="U313" s="10">
        <f t="shared" ca="1" si="53"/>
        <v>350</v>
      </c>
      <c r="V313">
        <f t="shared" si="54"/>
        <v>6</v>
      </c>
    </row>
    <row r="314" spans="1:22" x14ac:dyDescent="0.25">
      <c r="A314">
        <v>35</v>
      </c>
      <c r="B314">
        <v>7</v>
      </c>
      <c r="C314">
        <v>30</v>
      </c>
      <c r="D314">
        <v>1</v>
      </c>
      <c r="E314">
        <v>1</v>
      </c>
      <c r="F314">
        <v>0</v>
      </c>
      <c r="G314">
        <v>1</v>
      </c>
      <c r="H314">
        <v>450</v>
      </c>
      <c r="I314">
        <f t="shared" si="55"/>
        <v>306</v>
      </c>
      <c r="J314" s="6">
        <f t="array" aca="1" ref="J314:N314" ca="1">TRANSPOSE(ols(OFFSET($C$2:$C$10,I314,0),OFFSET($D$2:$H$10,I314,0)))</f>
        <v>159.52380952380736</v>
      </c>
      <c r="K314" s="6">
        <f ca="1"/>
        <v>-6.7857142857139934</v>
      </c>
      <c r="L314" s="6">
        <f ca="1"/>
        <v>-5.4761904761894584</v>
      </c>
      <c r="M314" s="6">
        <f ca="1"/>
        <v>0.23809523809518396</v>
      </c>
      <c r="N314" s="6">
        <f ca="1"/>
        <v>-0.26190476190476009</v>
      </c>
      <c r="O314" s="6">
        <f t="shared" ca="1" si="47"/>
        <v>35.119047619046512</v>
      </c>
      <c r="P314" t="str">
        <f t="shared" si="48"/>
        <v>NA</v>
      </c>
      <c r="Q314" s="10">
        <f t="shared" ca="1" si="49"/>
        <v>62.619047619047052</v>
      </c>
      <c r="R314" s="10">
        <f t="shared" ca="1" si="50"/>
        <v>152.97619047618855</v>
      </c>
      <c r="S314" s="10">
        <f t="shared" ca="1" si="51"/>
        <v>-90.357142857141497</v>
      </c>
      <c r="T314" s="10">
        <f t="shared" ca="1" si="52"/>
        <v>344.99999999999721</v>
      </c>
      <c r="U314" s="10">
        <f t="shared" ca="1" si="53"/>
        <v>344.99999999999721</v>
      </c>
      <c r="V314">
        <f t="shared" si="54"/>
        <v>5</v>
      </c>
    </row>
    <row r="315" spans="1:22" x14ac:dyDescent="0.25">
      <c r="A315">
        <v>35</v>
      </c>
      <c r="B315">
        <v>8</v>
      </c>
      <c r="C315">
        <v>5</v>
      </c>
      <c r="D315">
        <v>1</v>
      </c>
      <c r="E315">
        <v>1</v>
      </c>
      <c r="F315">
        <v>0</v>
      </c>
      <c r="G315">
        <v>1</v>
      </c>
      <c r="H315">
        <v>550</v>
      </c>
      <c r="I315">
        <f t="shared" si="55"/>
        <v>306</v>
      </c>
      <c r="J315" s="6">
        <f t="array" aca="1" ref="J315:N315" ca="1">TRANSPOSE(ols(OFFSET($C$2:$C$10,I315,0),OFFSET($D$2:$H$10,I315,0)))</f>
        <v>159.52380952380736</v>
      </c>
      <c r="K315" s="6">
        <f ca="1"/>
        <v>-6.7857142857139934</v>
      </c>
      <c r="L315" s="6">
        <f ca="1"/>
        <v>-5.4761904761894584</v>
      </c>
      <c r="M315" s="6">
        <f ca="1"/>
        <v>0.23809523809518396</v>
      </c>
      <c r="N315" s="6">
        <f ca="1"/>
        <v>-0.26190476190476009</v>
      </c>
      <c r="O315" s="6">
        <f t="shared" ca="1" si="47"/>
        <v>8.9285714285705069</v>
      </c>
      <c r="P315" t="str">
        <f t="shared" si="48"/>
        <v>NA</v>
      </c>
      <c r="Q315" s="10">
        <f t="shared" ca="1" si="49"/>
        <v>62.619047619047052</v>
      </c>
      <c r="R315" s="10">
        <f t="shared" ca="1" si="50"/>
        <v>152.97619047618855</v>
      </c>
      <c r="S315" s="10">
        <f t="shared" ca="1" si="51"/>
        <v>-90.357142857141497</v>
      </c>
      <c r="T315" s="10">
        <f t="shared" ca="1" si="52"/>
        <v>344.99999999999721</v>
      </c>
      <c r="U315" s="10">
        <f t="shared" ca="1" si="53"/>
        <v>344.99999999999721</v>
      </c>
      <c r="V315">
        <f t="shared" si="54"/>
        <v>5</v>
      </c>
    </row>
    <row r="316" spans="1:22" x14ac:dyDescent="0.25">
      <c r="A316">
        <v>35</v>
      </c>
      <c r="B316">
        <v>9</v>
      </c>
      <c r="C316">
        <v>0</v>
      </c>
      <c r="D316">
        <v>1</v>
      </c>
      <c r="E316">
        <v>0</v>
      </c>
      <c r="F316">
        <v>0</v>
      </c>
      <c r="G316">
        <v>1</v>
      </c>
      <c r="H316">
        <v>650</v>
      </c>
      <c r="I316">
        <f t="shared" si="55"/>
        <v>306</v>
      </c>
      <c r="J316" s="6">
        <f t="array" aca="1" ref="J316:N316" ca="1">TRANSPOSE(ols(OFFSET($C$2:$C$10,I316,0),OFFSET($D$2:$H$10,I316,0)))</f>
        <v>159.52380952380736</v>
      </c>
      <c r="K316" s="6">
        <f ca="1"/>
        <v>-6.7857142857139934</v>
      </c>
      <c r="L316" s="6">
        <f ca="1"/>
        <v>-5.4761904761894584</v>
      </c>
      <c r="M316" s="6">
        <f ca="1"/>
        <v>0.23809523809518396</v>
      </c>
      <c r="N316" s="6">
        <f ca="1"/>
        <v>-0.26190476190476009</v>
      </c>
      <c r="O316" s="6">
        <f t="shared" ca="1" si="47"/>
        <v>-10.476190476191505</v>
      </c>
      <c r="P316" t="str">
        <f t="shared" si="48"/>
        <v>NA</v>
      </c>
      <c r="Q316" s="10">
        <f t="shared" ca="1" si="49"/>
        <v>62.619047619047052</v>
      </c>
      <c r="R316" s="10">
        <f t="shared" ca="1" si="50"/>
        <v>159.76190476190254</v>
      </c>
      <c r="S316" s="10">
        <f t="shared" ca="1" si="51"/>
        <v>-97.14285714285549</v>
      </c>
      <c r="T316" s="10">
        <f t="shared" ca="1" si="52"/>
        <v>370.90909090908718</v>
      </c>
      <c r="U316" s="10">
        <f t="shared" ca="1" si="53"/>
        <v>370.90909090908718</v>
      </c>
      <c r="V316">
        <f t="shared" si="54"/>
        <v>4</v>
      </c>
    </row>
    <row r="317" spans="1:22" x14ac:dyDescent="0.25">
      <c r="A317">
        <v>36</v>
      </c>
      <c r="B317">
        <v>1</v>
      </c>
      <c r="C317">
        <v>100</v>
      </c>
      <c r="D317">
        <v>1</v>
      </c>
      <c r="E317">
        <v>0</v>
      </c>
      <c r="F317">
        <v>1</v>
      </c>
      <c r="G317">
        <v>0</v>
      </c>
      <c r="H317">
        <v>250</v>
      </c>
      <c r="I317">
        <f t="shared" si="55"/>
        <v>315</v>
      </c>
      <c r="J317" s="6">
        <f t="array" aca="1" ref="J317:N317" ca="1">TRANSPOSE(ols(OFFSET($C$2:$C$10,I317,0),OFFSET($D$2:$H$10,I317,0)))</f>
        <v>173.45238095237892</v>
      </c>
      <c r="K317" s="6">
        <f ca="1"/>
        <v>-11.428571428571558</v>
      </c>
      <c r="L317" s="6">
        <f ca="1"/>
        <v>-9.0476190476192642</v>
      </c>
      <c r="M317" s="6">
        <f ca="1"/>
        <v>-0.47619047619014054</v>
      </c>
      <c r="N317" s="6">
        <f ca="1"/>
        <v>-0.22619047619047805</v>
      </c>
      <c r="O317" s="6">
        <f t="shared" ca="1" si="47"/>
        <v>107.85714285714013</v>
      </c>
      <c r="P317" t="str">
        <f t="shared" si="48"/>
        <v>NA</v>
      </c>
      <c r="Q317" s="10">
        <f t="shared" ca="1" si="49"/>
        <v>84.761904761902201</v>
      </c>
      <c r="R317" s="10">
        <f t="shared" ca="1" si="50"/>
        <v>164.40476190475965</v>
      </c>
      <c r="S317" s="10">
        <f t="shared" ca="1" si="51"/>
        <v>-79.642857142857451</v>
      </c>
      <c r="T317" s="10">
        <f t="shared" ca="1" si="52"/>
        <v>352.10526315789321</v>
      </c>
      <c r="U317" s="10">
        <f t="shared" ca="1" si="53"/>
        <v>352.10526315789321</v>
      </c>
      <c r="V317">
        <f t="shared" si="54"/>
        <v>3</v>
      </c>
    </row>
    <row r="318" spans="1:22" x14ac:dyDescent="0.25">
      <c r="A318">
        <v>36</v>
      </c>
      <c r="B318">
        <v>2</v>
      </c>
      <c r="C318">
        <v>100</v>
      </c>
      <c r="D318">
        <v>1</v>
      </c>
      <c r="E318">
        <v>1</v>
      </c>
      <c r="F318">
        <v>0</v>
      </c>
      <c r="G318">
        <v>0</v>
      </c>
      <c r="H318">
        <v>350</v>
      </c>
      <c r="I318">
        <f t="shared" si="55"/>
        <v>315</v>
      </c>
      <c r="J318" s="6">
        <f t="array" aca="1" ref="J318:N318" ca="1">TRANSPOSE(ols(OFFSET($C$2:$C$10,I318,0),OFFSET($D$2:$H$10,I318,0)))</f>
        <v>173.45238095237892</v>
      </c>
      <c r="K318" s="6">
        <f ca="1"/>
        <v>-11.428571428571558</v>
      </c>
      <c r="L318" s="6">
        <f ca="1"/>
        <v>-9.0476190476192642</v>
      </c>
      <c r="M318" s="6">
        <f ca="1"/>
        <v>-0.47619047619014054</v>
      </c>
      <c r="N318" s="6">
        <f ca="1"/>
        <v>-0.22619047619047805</v>
      </c>
      <c r="O318" s="6">
        <f t="shared" ca="1" si="47"/>
        <v>82.857142857140047</v>
      </c>
      <c r="P318" t="str">
        <f t="shared" si="48"/>
        <v>NA</v>
      </c>
      <c r="Q318" s="10">
        <f t="shared" ca="1" si="49"/>
        <v>84.761904761902201</v>
      </c>
      <c r="R318" s="10">
        <f t="shared" ca="1" si="50"/>
        <v>162.02380952380736</v>
      </c>
      <c r="S318" s="10">
        <f t="shared" ca="1" si="51"/>
        <v>-77.261904761905157</v>
      </c>
      <c r="T318" s="10">
        <f t="shared" ca="1" si="52"/>
        <v>341.57894736842002</v>
      </c>
      <c r="U318" s="10">
        <f t="shared" ca="1" si="53"/>
        <v>341.57894736842002</v>
      </c>
      <c r="V318">
        <f t="shared" si="54"/>
        <v>2</v>
      </c>
    </row>
    <row r="319" spans="1:22" x14ac:dyDescent="0.25">
      <c r="A319">
        <v>36</v>
      </c>
      <c r="B319">
        <v>3</v>
      </c>
      <c r="C319">
        <v>50</v>
      </c>
      <c r="D319">
        <v>1</v>
      </c>
      <c r="E319">
        <v>1</v>
      </c>
      <c r="F319">
        <v>0</v>
      </c>
      <c r="G319">
        <v>0</v>
      </c>
      <c r="H319">
        <v>450</v>
      </c>
      <c r="I319">
        <f t="shared" si="55"/>
        <v>315</v>
      </c>
      <c r="J319" s="6">
        <f t="array" aca="1" ref="J319:N319" ca="1">TRANSPOSE(ols(OFFSET($C$2:$C$10,I319,0),OFFSET($D$2:$H$10,I319,0)))</f>
        <v>173.45238095237892</v>
      </c>
      <c r="K319" s="6">
        <f ca="1"/>
        <v>-11.428571428571558</v>
      </c>
      <c r="L319" s="6">
        <f ca="1"/>
        <v>-9.0476190476192642</v>
      </c>
      <c r="M319" s="6">
        <f ca="1"/>
        <v>-0.47619047619014054</v>
      </c>
      <c r="N319" s="6">
        <f ca="1"/>
        <v>-0.22619047619047805</v>
      </c>
      <c r="O319" s="6">
        <f t="shared" ca="1" si="47"/>
        <v>60.238095238092228</v>
      </c>
      <c r="P319" t="str">
        <f t="shared" si="48"/>
        <v>NA</v>
      </c>
      <c r="Q319" s="10">
        <f t="shared" ca="1" si="49"/>
        <v>84.761904761902201</v>
      </c>
      <c r="R319" s="10">
        <f t="shared" ca="1" si="50"/>
        <v>162.02380952380736</v>
      </c>
      <c r="S319" s="10">
        <f t="shared" ca="1" si="51"/>
        <v>-77.261904761905157</v>
      </c>
      <c r="T319" s="10">
        <f t="shared" ca="1" si="52"/>
        <v>341.57894736842002</v>
      </c>
      <c r="U319" s="10">
        <f t="shared" ca="1" si="53"/>
        <v>341.57894736842002</v>
      </c>
      <c r="V319">
        <f t="shared" si="54"/>
        <v>2</v>
      </c>
    </row>
    <row r="320" spans="1:22" x14ac:dyDescent="0.25">
      <c r="A320">
        <v>36</v>
      </c>
      <c r="B320">
        <v>4</v>
      </c>
      <c r="C320">
        <v>50</v>
      </c>
      <c r="D320">
        <v>1</v>
      </c>
      <c r="E320">
        <v>0</v>
      </c>
      <c r="F320">
        <v>0</v>
      </c>
      <c r="G320">
        <v>0</v>
      </c>
      <c r="H320">
        <v>550</v>
      </c>
      <c r="I320">
        <f t="shared" si="55"/>
        <v>315</v>
      </c>
      <c r="J320" s="6">
        <f t="array" aca="1" ref="J320:N320" ca="1">TRANSPOSE(ols(OFFSET($C$2:$C$10,I320,0),OFFSET($D$2:$H$10,I320,0)))</f>
        <v>173.45238095237892</v>
      </c>
      <c r="K320" s="6">
        <f ca="1"/>
        <v>-11.428571428571558</v>
      </c>
      <c r="L320" s="6">
        <f ca="1"/>
        <v>-9.0476190476192642</v>
      </c>
      <c r="M320" s="6">
        <f ca="1"/>
        <v>-0.47619047619014054</v>
      </c>
      <c r="N320" s="6">
        <f ca="1"/>
        <v>-0.22619047619047805</v>
      </c>
      <c r="O320" s="6">
        <f t="shared" ca="1" si="47"/>
        <v>49.047619047615996</v>
      </c>
      <c r="P320" t="str">
        <f t="shared" si="48"/>
        <v>NA</v>
      </c>
      <c r="Q320" s="10">
        <f t="shared" ca="1" si="49"/>
        <v>84.761904761902201</v>
      </c>
      <c r="R320" s="10">
        <f t="shared" ca="1" si="50"/>
        <v>173.45238095237892</v>
      </c>
      <c r="S320" s="10">
        <f t="shared" ca="1" si="51"/>
        <v>-88.690476190476716</v>
      </c>
      <c r="T320" s="10">
        <f t="shared" ca="1" si="52"/>
        <v>392.10526315789383</v>
      </c>
      <c r="U320" s="10">
        <f t="shared" ca="1" si="53"/>
        <v>392.10526315789383</v>
      </c>
      <c r="V320">
        <f t="shared" si="54"/>
        <v>1</v>
      </c>
    </row>
    <row r="321" spans="1:22" x14ac:dyDescent="0.25">
      <c r="A321">
        <v>36</v>
      </c>
      <c r="B321">
        <v>5</v>
      </c>
      <c r="C321">
        <v>100</v>
      </c>
      <c r="D321">
        <v>1</v>
      </c>
      <c r="E321">
        <v>0</v>
      </c>
      <c r="F321">
        <v>1</v>
      </c>
      <c r="G321">
        <v>1</v>
      </c>
      <c r="H321">
        <v>250</v>
      </c>
      <c r="I321">
        <f t="shared" si="55"/>
        <v>315</v>
      </c>
      <c r="J321" s="6">
        <f t="array" aca="1" ref="J321:N321" ca="1">TRANSPOSE(ols(OFFSET($C$2:$C$10,I321,0),OFFSET($D$2:$H$10,I321,0)))</f>
        <v>173.45238095237892</v>
      </c>
      <c r="K321" s="6">
        <f ca="1"/>
        <v>-11.428571428571558</v>
      </c>
      <c r="L321" s="6">
        <f ca="1"/>
        <v>-9.0476190476192642</v>
      </c>
      <c r="M321" s="6">
        <f ca="1"/>
        <v>-0.47619047619014054</v>
      </c>
      <c r="N321" s="6">
        <f ca="1"/>
        <v>-0.22619047619047805</v>
      </c>
      <c r="O321" s="6">
        <f t="shared" ca="1" si="47"/>
        <v>107.38095238094999</v>
      </c>
      <c r="P321" t="str">
        <f t="shared" si="48"/>
        <v>NA</v>
      </c>
      <c r="Q321" s="10">
        <f t="shared" ca="1" si="49"/>
        <v>84.761904761902201</v>
      </c>
      <c r="R321" s="10">
        <f t="shared" ca="1" si="50"/>
        <v>163.92857142856951</v>
      </c>
      <c r="S321" s="10">
        <f t="shared" ca="1" si="51"/>
        <v>-79.166666666667311</v>
      </c>
      <c r="T321" s="10">
        <f t="shared" ca="1" si="52"/>
        <v>349.99999999999994</v>
      </c>
      <c r="U321" s="10">
        <f t="shared" ca="1" si="53"/>
        <v>349.99999999999994</v>
      </c>
      <c r="V321">
        <f t="shared" si="54"/>
        <v>6</v>
      </c>
    </row>
    <row r="322" spans="1:22" x14ac:dyDescent="0.25">
      <c r="A322">
        <v>36</v>
      </c>
      <c r="B322">
        <v>6</v>
      </c>
      <c r="C322">
        <v>100</v>
      </c>
      <c r="D322">
        <v>1</v>
      </c>
      <c r="E322">
        <v>0</v>
      </c>
      <c r="F322">
        <v>1</v>
      </c>
      <c r="G322">
        <v>1</v>
      </c>
      <c r="H322">
        <v>350</v>
      </c>
      <c r="I322">
        <f t="shared" si="55"/>
        <v>315</v>
      </c>
      <c r="J322" s="6">
        <f t="array" aca="1" ref="J322:N322" ca="1">TRANSPOSE(ols(OFFSET($C$2:$C$10,I322,0),OFFSET($D$2:$H$10,I322,0)))</f>
        <v>173.45238095237892</v>
      </c>
      <c r="K322" s="6">
        <f ca="1"/>
        <v>-11.428571428571558</v>
      </c>
      <c r="L322" s="6">
        <f ca="1"/>
        <v>-9.0476190476192642</v>
      </c>
      <c r="M322" s="6">
        <f ca="1"/>
        <v>-0.47619047619014054</v>
      </c>
      <c r="N322" s="6">
        <f ca="1"/>
        <v>-0.22619047619047805</v>
      </c>
      <c r="O322" s="6">
        <f t="shared" ca="1" si="47"/>
        <v>84.761904761902201</v>
      </c>
      <c r="P322">
        <f t="shared" ca="1" si="48"/>
        <v>84.761904761902201</v>
      </c>
      <c r="Q322" s="10">
        <f t="shared" ca="1" si="49"/>
        <v>84.761904761902201</v>
      </c>
      <c r="R322" s="10">
        <f t="shared" ca="1" si="50"/>
        <v>163.92857142856951</v>
      </c>
      <c r="S322" s="10">
        <f t="shared" ca="1" si="51"/>
        <v>-79.166666666667311</v>
      </c>
      <c r="T322" s="10">
        <f t="shared" ca="1" si="52"/>
        <v>349.99999999999994</v>
      </c>
      <c r="U322" s="10">
        <f t="shared" ca="1" si="53"/>
        <v>349.99999999999994</v>
      </c>
      <c r="V322">
        <f t="shared" si="54"/>
        <v>6</v>
      </c>
    </row>
    <row r="323" spans="1:22" x14ac:dyDescent="0.25">
      <c r="A323">
        <v>36</v>
      </c>
      <c r="B323">
        <v>7</v>
      </c>
      <c r="C323">
        <v>50</v>
      </c>
      <c r="D323">
        <v>1</v>
      </c>
      <c r="E323">
        <v>1</v>
      </c>
      <c r="F323">
        <v>0</v>
      </c>
      <c r="G323">
        <v>1</v>
      </c>
      <c r="H323">
        <v>450</v>
      </c>
      <c r="I323">
        <f t="shared" si="55"/>
        <v>315</v>
      </c>
      <c r="J323" s="6">
        <f t="array" aca="1" ref="J323:N323" ca="1">TRANSPOSE(ols(OFFSET($C$2:$C$10,I323,0),OFFSET($D$2:$H$10,I323,0)))</f>
        <v>173.45238095237892</v>
      </c>
      <c r="K323" s="6">
        <f ca="1"/>
        <v>-11.428571428571558</v>
      </c>
      <c r="L323" s="6">
        <f ca="1"/>
        <v>-9.0476190476192642</v>
      </c>
      <c r="M323" s="6">
        <f ca="1"/>
        <v>-0.47619047619014054</v>
      </c>
      <c r="N323" s="6">
        <f ca="1"/>
        <v>-0.22619047619047805</v>
      </c>
      <c r="O323" s="6">
        <f t="shared" ref="O323:O386" ca="1" si="56">SUMPRODUCT(J323:N323,D323:H323)</f>
        <v>59.761904761902088</v>
      </c>
      <c r="P323" t="str">
        <f t="shared" ref="P323:P386" si="57">IF(AND(F323=1,G323=1,H323=350),O323,"NA")</f>
        <v>NA</v>
      </c>
      <c r="Q323" s="10">
        <f t="shared" ref="Q323:Q386" ca="1" si="58">AVERAGEIF($A$2:$A$5383,A323,$P$2:$P$5383)</f>
        <v>84.761904761902201</v>
      </c>
      <c r="R323" s="10">
        <f t="shared" ref="R323:R386" ca="1" si="59">O323-N323*H323</f>
        <v>161.54761904761722</v>
      </c>
      <c r="S323" s="10">
        <f t="shared" ref="S323:S386" ca="1" si="60">Q323-R323</f>
        <v>-76.785714285715017</v>
      </c>
      <c r="T323" s="10">
        <f t="shared" ref="T323:T386" ca="1" si="61">S323/N323</f>
        <v>339.47368421052676</v>
      </c>
      <c r="U323" s="10">
        <f t="shared" ref="U323:U386" ca="1" si="62">IF(OR(T323&lt;250,T323&gt;650),"OR",T323)</f>
        <v>339.47368421052676</v>
      </c>
      <c r="V323">
        <f t="shared" ref="V323:V386" si="63">IF(AND(E323=1,G323=0),2,IF(AND(F323=1,G323=0),3,IF(AND(E323=1,G323=1),5,IF(AND(F323=1,G323=1),6,IF(G323=0,1,IF(G323=1,4))))))</f>
        <v>5</v>
      </c>
    </row>
    <row r="324" spans="1:22" x14ac:dyDescent="0.25">
      <c r="A324">
        <v>36</v>
      </c>
      <c r="B324">
        <v>8</v>
      </c>
      <c r="C324">
        <v>40</v>
      </c>
      <c r="D324">
        <v>1</v>
      </c>
      <c r="E324">
        <v>1</v>
      </c>
      <c r="F324">
        <v>0</v>
      </c>
      <c r="G324">
        <v>1</v>
      </c>
      <c r="H324">
        <v>550</v>
      </c>
      <c r="I324">
        <f t="shared" si="55"/>
        <v>315</v>
      </c>
      <c r="J324" s="6">
        <f t="array" aca="1" ref="J324:N324" ca="1">TRANSPOSE(ols(OFFSET($C$2:$C$10,I324,0),OFFSET($D$2:$H$10,I324,0)))</f>
        <v>173.45238095237892</v>
      </c>
      <c r="K324" s="6">
        <f ca="1"/>
        <v>-11.428571428571558</v>
      </c>
      <c r="L324" s="6">
        <f ca="1"/>
        <v>-9.0476190476192642</v>
      </c>
      <c r="M324" s="6">
        <f ca="1"/>
        <v>-0.47619047619014054</v>
      </c>
      <c r="N324" s="6">
        <f ca="1"/>
        <v>-0.22619047619047805</v>
      </c>
      <c r="O324" s="6">
        <f t="shared" ca="1" si="56"/>
        <v>37.142857142854297</v>
      </c>
      <c r="P324" t="str">
        <f t="shared" si="57"/>
        <v>NA</v>
      </c>
      <c r="Q324" s="10">
        <f t="shared" ca="1" si="58"/>
        <v>84.761904761902201</v>
      </c>
      <c r="R324" s="10">
        <f t="shared" ca="1" si="59"/>
        <v>161.54761904761722</v>
      </c>
      <c r="S324" s="10">
        <f t="shared" ca="1" si="60"/>
        <v>-76.785714285715017</v>
      </c>
      <c r="T324" s="10">
        <f t="shared" ca="1" si="61"/>
        <v>339.47368421052676</v>
      </c>
      <c r="U324" s="10">
        <f t="shared" ca="1" si="62"/>
        <v>339.47368421052676</v>
      </c>
      <c r="V324">
        <f t="shared" si="63"/>
        <v>5</v>
      </c>
    </row>
    <row r="325" spans="1:22" x14ac:dyDescent="0.25">
      <c r="A325">
        <v>36</v>
      </c>
      <c r="B325">
        <v>9</v>
      </c>
      <c r="C325">
        <v>25</v>
      </c>
      <c r="D325">
        <v>1</v>
      </c>
      <c r="E325">
        <v>0</v>
      </c>
      <c r="F325">
        <v>0</v>
      </c>
      <c r="G325">
        <v>1</v>
      </c>
      <c r="H325">
        <v>650</v>
      </c>
      <c r="I325">
        <f t="shared" si="55"/>
        <v>315</v>
      </c>
      <c r="J325" s="6">
        <f t="array" aca="1" ref="J325:N325" ca="1">TRANSPOSE(ols(OFFSET($C$2:$C$10,I325,0),OFFSET($D$2:$H$10,I325,0)))</f>
        <v>173.45238095237892</v>
      </c>
      <c r="K325" s="6">
        <f ca="1"/>
        <v>-11.428571428571558</v>
      </c>
      <c r="L325" s="6">
        <f ca="1"/>
        <v>-9.0476190476192642</v>
      </c>
      <c r="M325" s="6">
        <f ca="1"/>
        <v>-0.47619047619014054</v>
      </c>
      <c r="N325" s="6">
        <f ca="1"/>
        <v>-0.22619047619047805</v>
      </c>
      <c r="O325" s="6">
        <f t="shared" ca="1" si="56"/>
        <v>25.952380952378036</v>
      </c>
      <c r="P325" t="str">
        <f t="shared" si="57"/>
        <v>NA</v>
      </c>
      <c r="Q325" s="10">
        <f t="shared" ca="1" si="58"/>
        <v>84.761904761902201</v>
      </c>
      <c r="R325" s="10">
        <f t="shared" ca="1" si="59"/>
        <v>172.97619047618878</v>
      </c>
      <c r="S325" s="10">
        <f t="shared" ca="1" si="60"/>
        <v>-88.214285714286575</v>
      </c>
      <c r="T325" s="10">
        <f t="shared" ca="1" si="61"/>
        <v>390.00000000000057</v>
      </c>
      <c r="U325" s="10">
        <f t="shared" ca="1" si="62"/>
        <v>390.00000000000057</v>
      </c>
      <c r="V325">
        <f t="shared" si="63"/>
        <v>4</v>
      </c>
    </row>
    <row r="326" spans="1:22" x14ac:dyDescent="0.25">
      <c r="A326">
        <v>37</v>
      </c>
      <c r="B326">
        <v>1</v>
      </c>
      <c r="C326">
        <v>10</v>
      </c>
      <c r="D326">
        <v>1</v>
      </c>
      <c r="E326">
        <v>0</v>
      </c>
      <c r="F326">
        <v>1</v>
      </c>
      <c r="G326">
        <v>0</v>
      </c>
      <c r="H326">
        <v>250</v>
      </c>
      <c r="I326">
        <f t="shared" si="55"/>
        <v>324</v>
      </c>
      <c r="J326" s="6">
        <f t="array" aca="1" ref="J326:N326" ca="1">TRANSPOSE(ols(OFFSET($C$2:$C$10,I326,0),OFFSET($D$2:$H$10,I326,0)))</f>
        <v>163.33333333333121</v>
      </c>
      <c r="K326" s="6">
        <f ca="1"/>
        <v>5.0000000000004547</v>
      </c>
      <c r="L326" s="6">
        <f ca="1"/>
        <v>-86.66666666666606</v>
      </c>
      <c r="M326" s="6">
        <f ca="1"/>
        <v>13.333333333333258</v>
      </c>
      <c r="N326" s="6">
        <f ca="1"/>
        <v>-0.26666666666666483</v>
      </c>
      <c r="O326" s="6">
        <f t="shared" ca="1" si="56"/>
        <v>9.9999999999989484</v>
      </c>
      <c r="P326" t="str">
        <f t="shared" si="57"/>
        <v>NA</v>
      </c>
      <c r="Q326" s="10">
        <f t="shared" ca="1" si="58"/>
        <v>-3.3333333333342807</v>
      </c>
      <c r="R326" s="10">
        <f t="shared" ca="1" si="59"/>
        <v>76.666666666665151</v>
      </c>
      <c r="S326" s="10">
        <f t="shared" ca="1" si="60"/>
        <v>-79.999999999999432</v>
      </c>
      <c r="T326" s="10">
        <f t="shared" ca="1" si="61"/>
        <v>299.99999999999994</v>
      </c>
      <c r="U326" s="10">
        <f t="shared" ca="1" si="62"/>
        <v>299.99999999999994</v>
      </c>
      <c r="V326">
        <f t="shared" si="63"/>
        <v>3</v>
      </c>
    </row>
    <row r="327" spans="1:22" x14ac:dyDescent="0.25">
      <c r="A327">
        <v>37</v>
      </c>
      <c r="B327">
        <v>2</v>
      </c>
      <c r="C327">
        <v>90</v>
      </c>
      <c r="D327">
        <v>1</v>
      </c>
      <c r="E327">
        <v>1</v>
      </c>
      <c r="F327">
        <v>0</v>
      </c>
      <c r="G327">
        <v>0</v>
      </c>
      <c r="H327">
        <v>350</v>
      </c>
      <c r="I327">
        <f t="shared" si="55"/>
        <v>324</v>
      </c>
      <c r="J327" s="6">
        <f t="array" aca="1" ref="J327:N327" ca="1">TRANSPOSE(ols(OFFSET($C$2:$C$10,I327,0),OFFSET($D$2:$H$10,I327,0)))</f>
        <v>163.33333333333121</v>
      </c>
      <c r="K327" s="6">
        <f ca="1"/>
        <v>5.0000000000004547</v>
      </c>
      <c r="L327" s="6">
        <f ca="1"/>
        <v>-86.66666666666606</v>
      </c>
      <c r="M327" s="6">
        <f ca="1"/>
        <v>13.333333333333258</v>
      </c>
      <c r="N327" s="6">
        <f ca="1"/>
        <v>-0.26666666666666483</v>
      </c>
      <c r="O327" s="6">
        <f t="shared" ca="1" si="56"/>
        <v>74.999999999998977</v>
      </c>
      <c r="P327" t="str">
        <f t="shared" si="57"/>
        <v>NA</v>
      </c>
      <c r="Q327" s="10">
        <f t="shared" ca="1" si="58"/>
        <v>-3.3333333333342807</v>
      </c>
      <c r="R327" s="10">
        <f t="shared" ca="1" si="59"/>
        <v>168.33333333333167</v>
      </c>
      <c r="S327" s="10">
        <f t="shared" ca="1" si="60"/>
        <v>-171.66666666666595</v>
      </c>
      <c r="T327" s="10">
        <f t="shared" ca="1" si="61"/>
        <v>643.75000000000171</v>
      </c>
      <c r="U327" s="10">
        <f t="shared" ca="1" si="62"/>
        <v>643.75000000000171</v>
      </c>
      <c r="V327">
        <f t="shared" si="63"/>
        <v>2</v>
      </c>
    </row>
    <row r="328" spans="1:22" x14ac:dyDescent="0.25">
      <c r="A328">
        <v>37</v>
      </c>
      <c r="B328">
        <v>3</v>
      </c>
      <c r="C328">
        <v>40</v>
      </c>
      <c r="D328">
        <v>1</v>
      </c>
      <c r="E328">
        <v>1</v>
      </c>
      <c r="F328">
        <v>0</v>
      </c>
      <c r="G328">
        <v>0</v>
      </c>
      <c r="H328">
        <v>450</v>
      </c>
      <c r="I328">
        <f t="shared" si="55"/>
        <v>324</v>
      </c>
      <c r="J328" s="6">
        <f t="array" aca="1" ref="J328:N328" ca="1">TRANSPOSE(ols(OFFSET($C$2:$C$10,I328,0),OFFSET($D$2:$H$10,I328,0)))</f>
        <v>163.33333333333121</v>
      </c>
      <c r="K328" s="6">
        <f ca="1"/>
        <v>5.0000000000004547</v>
      </c>
      <c r="L328" s="6">
        <f ca="1"/>
        <v>-86.66666666666606</v>
      </c>
      <c r="M328" s="6">
        <f ca="1"/>
        <v>13.333333333333258</v>
      </c>
      <c r="N328" s="6">
        <f ca="1"/>
        <v>-0.26666666666666483</v>
      </c>
      <c r="O328" s="6">
        <f t="shared" ca="1" si="56"/>
        <v>48.33333333333249</v>
      </c>
      <c r="P328" t="str">
        <f t="shared" si="57"/>
        <v>NA</v>
      </c>
      <c r="Q328" s="10">
        <f t="shared" ca="1" si="58"/>
        <v>-3.3333333333342807</v>
      </c>
      <c r="R328" s="10">
        <f t="shared" ca="1" si="59"/>
        <v>168.33333333333167</v>
      </c>
      <c r="S328" s="10">
        <f t="shared" ca="1" si="60"/>
        <v>-171.66666666666595</v>
      </c>
      <c r="T328" s="10">
        <f t="shared" ca="1" si="61"/>
        <v>643.75000000000171</v>
      </c>
      <c r="U328" s="10">
        <f t="shared" ca="1" si="62"/>
        <v>643.75000000000171</v>
      </c>
      <c r="V328">
        <f t="shared" si="63"/>
        <v>2</v>
      </c>
    </row>
    <row r="329" spans="1:22" x14ac:dyDescent="0.25">
      <c r="A329">
        <v>37</v>
      </c>
      <c r="B329">
        <v>4</v>
      </c>
      <c r="C329">
        <v>10</v>
      </c>
      <c r="D329">
        <v>1</v>
      </c>
      <c r="E329">
        <v>0</v>
      </c>
      <c r="F329">
        <v>0</v>
      </c>
      <c r="G329">
        <v>0</v>
      </c>
      <c r="H329">
        <v>550</v>
      </c>
      <c r="I329">
        <f t="shared" si="55"/>
        <v>324</v>
      </c>
      <c r="J329" s="6">
        <f t="array" aca="1" ref="J329:N329" ca="1">TRANSPOSE(ols(OFFSET($C$2:$C$10,I329,0),OFFSET($D$2:$H$10,I329,0)))</f>
        <v>163.33333333333121</v>
      </c>
      <c r="K329" s="6">
        <f ca="1"/>
        <v>5.0000000000004547</v>
      </c>
      <c r="L329" s="6">
        <f ca="1"/>
        <v>-86.66666666666606</v>
      </c>
      <c r="M329" s="6">
        <f ca="1"/>
        <v>13.333333333333258</v>
      </c>
      <c r="N329" s="6">
        <f ca="1"/>
        <v>-0.26666666666666483</v>
      </c>
      <c r="O329" s="6">
        <f t="shared" ca="1" si="56"/>
        <v>16.666666666665549</v>
      </c>
      <c r="P329" t="str">
        <f t="shared" si="57"/>
        <v>NA</v>
      </c>
      <c r="Q329" s="10">
        <f t="shared" ca="1" si="58"/>
        <v>-3.3333333333342807</v>
      </c>
      <c r="R329" s="10">
        <f t="shared" ca="1" si="59"/>
        <v>163.33333333333121</v>
      </c>
      <c r="S329" s="10">
        <f t="shared" ca="1" si="60"/>
        <v>-166.66666666666549</v>
      </c>
      <c r="T329" s="10">
        <f t="shared" ca="1" si="61"/>
        <v>624.99999999999989</v>
      </c>
      <c r="U329" s="10">
        <f t="shared" ca="1" si="62"/>
        <v>624.99999999999989</v>
      </c>
      <c r="V329">
        <f t="shared" si="63"/>
        <v>1</v>
      </c>
    </row>
    <row r="330" spans="1:22" x14ac:dyDescent="0.25">
      <c r="A330">
        <v>37</v>
      </c>
      <c r="B330">
        <v>5</v>
      </c>
      <c r="C330">
        <v>10</v>
      </c>
      <c r="D330">
        <v>1</v>
      </c>
      <c r="E330">
        <v>0</v>
      </c>
      <c r="F330">
        <v>1</v>
      </c>
      <c r="G330">
        <v>1</v>
      </c>
      <c r="H330">
        <v>250</v>
      </c>
      <c r="I330">
        <f t="shared" si="55"/>
        <v>324</v>
      </c>
      <c r="J330" s="6">
        <f t="array" aca="1" ref="J330:N330" ca="1">TRANSPOSE(ols(OFFSET($C$2:$C$10,I330,0),OFFSET($D$2:$H$10,I330,0)))</f>
        <v>163.33333333333121</v>
      </c>
      <c r="K330" s="6">
        <f ca="1"/>
        <v>5.0000000000004547</v>
      </c>
      <c r="L330" s="6">
        <f ca="1"/>
        <v>-86.66666666666606</v>
      </c>
      <c r="M330" s="6">
        <f ca="1"/>
        <v>13.333333333333258</v>
      </c>
      <c r="N330" s="6">
        <f ca="1"/>
        <v>-0.26666666666666483</v>
      </c>
      <c r="O330" s="6">
        <f t="shared" ca="1" si="56"/>
        <v>23.333333333332206</v>
      </c>
      <c r="P330" t="str">
        <f t="shared" si="57"/>
        <v>NA</v>
      </c>
      <c r="Q330" s="10">
        <f t="shared" ca="1" si="58"/>
        <v>-3.3333333333342807</v>
      </c>
      <c r="R330" s="10">
        <f t="shared" ca="1" si="59"/>
        <v>89.999999999998408</v>
      </c>
      <c r="S330" s="10">
        <f t="shared" ca="1" si="60"/>
        <v>-93.333333333332689</v>
      </c>
      <c r="T330" s="10">
        <f t="shared" ca="1" si="61"/>
        <v>350</v>
      </c>
      <c r="U330" s="10">
        <f t="shared" ca="1" si="62"/>
        <v>350</v>
      </c>
      <c r="V330">
        <f t="shared" si="63"/>
        <v>6</v>
      </c>
    </row>
    <row r="331" spans="1:22" x14ac:dyDescent="0.25">
      <c r="A331">
        <v>37</v>
      </c>
      <c r="B331">
        <v>6</v>
      </c>
      <c r="C331">
        <v>10</v>
      </c>
      <c r="D331">
        <v>1</v>
      </c>
      <c r="E331">
        <v>0</v>
      </c>
      <c r="F331">
        <v>1</v>
      </c>
      <c r="G331">
        <v>1</v>
      </c>
      <c r="H331">
        <v>350</v>
      </c>
      <c r="I331">
        <f t="shared" si="55"/>
        <v>324</v>
      </c>
      <c r="J331" s="6">
        <f t="array" aca="1" ref="J331:N331" ca="1">TRANSPOSE(ols(OFFSET($C$2:$C$10,I331,0),OFFSET($D$2:$H$10,I331,0)))</f>
        <v>163.33333333333121</v>
      </c>
      <c r="K331" s="6">
        <f ca="1"/>
        <v>5.0000000000004547</v>
      </c>
      <c r="L331" s="6">
        <f ca="1"/>
        <v>-86.66666666666606</v>
      </c>
      <c r="M331" s="6">
        <f ca="1"/>
        <v>13.333333333333258</v>
      </c>
      <c r="N331" s="6">
        <f ca="1"/>
        <v>-0.26666666666666483</v>
      </c>
      <c r="O331" s="6">
        <f t="shared" ca="1" si="56"/>
        <v>-3.3333333333342807</v>
      </c>
      <c r="P331">
        <f t="shared" ca="1" si="57"/>
        <v>-3.3333333333342807</v>
      </c>
      <c r="Q331" s="10">
        <f t="shared" ca="1" si="58"/>
        <v>-3.3333333333342807</v>
      </c>
      <c r="R331" s="10">
        <f t="shared" ca="1" si="59"/>
        <v>89.999999999998408</v>
      </c>
      <c r="S331" s="10">
        <f t="shared" ca="1" si="60"/>
        <v>-93.333333333332689</v>
      </c>
      <c r="T331" s="10">
        <f t="shared" ca="1" si="61"/>
        <v>350</v>
      </c>
      <c r="U331" s="10">
        <f t="shared" ca="1" si="62"/>
        <v>350</v>
      </c>
      <c r="V331">
        <f t="shared" si="63"/>
        <v>6</v>
      </c>
    </row>
    <row r="332" spans="1:22" x14ac:dyDescent="0.25">
      <c r="A332">
        <v>37</v>
      </c>
      <c r="B332">
        <v>7</v>
      </c>
      <c r="C332">
        <v>60</v>
      </c>
      <c r="D332">
        <v>1</v>
      </c>
      <c r="E332">
        <v>1</v>
      </c>
      <c r="F332">
        <v>0</v>
      </c>
      <c r="G332">
        <v>1</v>
      </c>
      <c r="H332">
        <v>450</v>
      </c>
      <c r="I332">
        <f t="shared" ref="I332:I395" si="64">IF(A332&gt;A331,I331+9,I331)</f>
        <v>324</v>
      </c>
      <c r="J332" s="6">
        <f t="array" aca="1" ref="J332:N332" ca="1">TRANSPOSE(ols(OFFSET($C$2:$C$10,I332,0),OFFSET($D$2:$H$10,I332,0)))</f>
        <v>163.33333333333121</v>
      </c>
      <c r="K332" s="6">
        <f ca="1"/>
        <v>5.0000000000004547</v>
      </c>
      <c r="L332" s="6">
        <f ca="1"/>
        <v>-86.66666666666606</v>
      </c>
      <c r="M332" s="6">
        <f ca="1"/>
        <v>13.333333333333258</v>
      </c>
      <c r="N332" s="6">
        <f ca="1"/>
        <v>-0.26666666666666483</v>
      </c>
      <c r="O332" s="6">
        <f t="shared" ca="1" si="56"/>
        <v>61.666666666665748</v>
      </c>
      <c r="P332" t="str">
        <f t="shared" si="57"/>
        <v>NA</v>
      </c>
      <c r="Q332" s="10">
        <f t="shared" ca="1" si="58"/>
        <v>-3.3333333333342807</v>
      </c>
      <c r="R332" s="10">
        <f t="shared" ca="1" si="59"/>
        <v>181.66666666666492</v>
      </c>
      <c r="S332" s="10">
        <f t="shared" ca="1" si="60"/>
        <v>-184.9999999999992</v>
      </c>
      <c r="T332" s="10">
        <f t="shared" ca="1" si="61"/>
        <v>693.75000000000182</v>
      </c>
      <c r="U332" s="10" t="str">
        <f t="shared" ca="1" si="62"/>
        <v>OR</v>
      </c>
      <c r="V332">
        <f t="shared" si="63"/>
        <v>5</v>
      </c>
    </row>
    <row r="333" spans="1:22" x14ac:dyDescent="0.25">
      <c r="A333">
        <v>37</v>
      </c>
      <c r="B333">
        <v>8</v>
      </c>
      <c r="C333">
        <v>30</v>
      </c>
      <c r="D333">
        <v>1</v>
      </c>
      <c r="E333">
        <v>1</v>
      </c>
      <c r="F333">
        <v>0</v>
      </c>
      <c r="G333">
        <v>1</v>
      </c>
      <c r="H333">
        <v>550</v>
      </c>
      <c r="I333">
        <f t="shared" si="64"/>
        <v>324</v>
      </c>
      <c r="J333" s="6">
        <f t="array" aca="1" ref="J333:N333" ca="1">TRANSPOSE(ols(OFFSET($C$2:$C$10,I333,0),OFFSET($D$2:$H$10,I333,0)))</f>
        <v>163.33333333333121</v>
      </c>
      <c r="K333" s="6">
        <f ca="1"/>
        <v>5.0000000000004547</v>
      </c>
      <c r="L333" s="6">
        <f ca="1"/>
        <v>-86.66666666666606</v>
      </c>
      <c r="M333" s="6">
        <f ca="1"/>
        <v>13.333333333333258</v>
      </c>
      <c r="N333" s="6">
        <f ca="1"/>
        <v>-0.26666666666666483</v>
      </c>
      <c r="O333" s="6">
        <f t="shared" ca="1" si="56"/>
        <v>34.999999999999261</v>
      </c>
      <c r="P333" t="str">
        <f t="shared" si="57"/>
        <v>NA</v>
      </c>
      <c r="Q333" s="10">
        <f t="shared" ca="1" si="58"/>
        <v>-3.3333333333342807</v>
      </c>
      <c r="R333" s="10">
        <f t="shared" ca="1" si="59"/>
        <v>181.66666666666492</v>
      </c>
      <c r="S333" s="10">
        <f t="shared" ca="1" si="60"/>
        <v>-184.9999999999992</v>
      </c>
      <c r="T333" s="10">
        <f t="shared" ca="1" si="61"/>
        <v>693.75000000000182</v>
      </c>
      <c r="U333" s="10" t="str">
        <f t="shared" ca="1" si="62"/>
        <v>OR</v>
      </c>
      <c r="V333">
        <f t="shared" si="63"/>
        <v>5</v>
      </c>
    </row>
    <row r="334" spans="1:22" x14ac:dyDescent="0.25">
      <c r="A334">
        <v>37</v>
      </c>
      <c r="B334">
        <v>9</v>
      </c>
      <c r="C334">
        <v>10</v>
      </c>
      <c r="D334">
        <v>1</v>
      </c>
      <c r="E334">
        <v>0</v>
      </c>
      <c r="F334">
        <v>0</v>
      </c>
      <c r="G334">
        <v>1</v>
      </c>
      <c r="H334">
        <v>650</v>
      </c>
      <c r="I334">
        <f t="shared" si="64"/>
        <v>324</v>
      </c>
      <c r="J334" s="6">
        <f t="array" aca="1" ref="J334:N334" ca="1">TRANSPOSE(ols(OFFSET($C$2:$C$10,I334,0),OFFSET($D$2:$H$10,I334,0)))</f>
        <v>163.33333333333121</v>
      </c>
      <c r="K334" s="6">
        <f ca="1"/>
        <v>5.0000000000004547</v>
      </c>
      <c r="L334" s="6">
        <f ca="1"/>
        <v>-86.66666666666606</v>
      </c>
      <c r="M334" s="6">
        <f ca="1"/>
        <v>13.333333333333258</v>
      </c>
      <c r="N334" s="6">
        <f ca="1"/>
        <v>-0.26666666666666483</v>
      </c>
      <c r="O334" s="6">
        <f t="shared" ca="1" si="56"/>
        <v>3.3333333333323196</v>
      </c>
      <c r="P334" t="str">
        <f t="shared" si="57"/>
        <v>NA</v>
      </c>
      <c r="Q334" s="10">
        <f t="shared" ca="1" si="58"/>
        <v>-3.3333333333342807</v>
      </c>
      <c r="R334" s="10">
        <f t="shared" ca="1" si="59"/>
        <v>176.66666666666447</v>
      </c>
      <c r="S334" s="10">
        <f t="shared" ca="1" si="60"/>
        <v>-179.99999999999875</v>
      </c>
      <c r="T334" s="10">
        <f t="shared" ca="1" si="61"/>
        <v>675</v>
      </c>
      <c r="U334" s="10" t="str">
        <f t="shared" ca="1" si="62"/>
        <v>OR</v>
      </c>
      <c r="V334">
        <f t="shared" si="63"/>
        <v>4</v>
      </c>
    </row>
    <row r="335" spans="1:22" x14ac:dyDescent="0.25">
      <c r="A335">
        <v>38</v>
      </c>
      <c r="B335">
        <v>1</v>
      </c>
      <c r="C335">
        <v>40</v>
      </c>
      <c r="D335">
        <v>1</v>
      </c>
      <c r="E335">
        <v>0</v>
      </c>
      <c r="F335">
        <v>1</v>
      </c>
      <c r="G335">
        <v>0</v>
      </c>
      <c r="H335">
        <v>250</v>
      </c>
      <c r="I335">
        <f t="shared" si="64"/>
        <v>333</v>
      </c>
      <c r="J335" s="6">
        <f t="array" aca="1" ref="J335:N335" ca="1">TRANSPOSE(ols(OFFSET($C$2:$C$10,I335,0),OFFSET($D$2:$H$10,I335,0)))</f>
        <v>271.54761904761472</v>
      </c>
      <c r="K335" s="6">
        <f ca="1"/>
        <v>-23.571428571427532</v>
      </c>
      <c r="L335" s="6">
        <f ca="1"/>
        <v>-120.95238095237892</v>
      </c>
      <c r="M335" s="6">
        <f ca="1"/>
        <v>35.476190476190254</v>
      </c>
      <c r="N335" s="6">
        <f ca="1"/>
        <v>-0.47380952380951857</v>
      </c>
      <c r="O335" s="6">
        <f t="shared" ca="1" si="56"/>
        <v>32.142857142856158</v>
      </c>
      <c r="P335" t="str">
        <f t="shared" si="57"/>
        <v>NA</v>
      </c>
      <c r="Q335" s="10">
        <f t="shared" ca="1" si="58"/>
        <v>20.238095238094559</v>
      </c>
      <c r="R335" s="10">
        <f t="shared" ca="1" si="59"/>
        <v>150.5952380952358</v>
      </c>
      <c r="S335" s="10">
        <f t="shared" ca="1" si="60"/>
        <v>-130.35714285714124</v>
      </c>
      <c r="T335" s="10">
        <f t="shared" ca="1" si="61"/>
        <v>275.12562814070316</v>
      </c>
      <c r="U335" s="10">
        <f t="shared" ca="1" si="62"/>
        <v>275.12562814070316</v>
      </c>
      <c r="V335">
        <f t="shared" si="63"/>
        <v>3</v>
      </c>
    </row>
    <row r="336" spans="1:22" x14ac:dyDescent="0.25">
      <c r="A336">
        <v>38</v>
      </c>
      <c r="B336">
        <v>2</v>
      </c>
      <c r="C336">
        <v>90</v>
      </c>
      <c r="D336">
        <v>1</v>
      </c>
      <c r="E336">
        <v>1</v>
      </c>
      <c r="F336">
        <v>0</v>
      </c>
      <c r="G336">
        <v>0</v>
      </c>
      <c r="H336">
        <v>350</v>
      </c>
      <c r="I336">
        <f t="shared" si="64"/>
        <v>333</v>
      </c>
      <c r="J336" s="6">
        <f t="array" aca="1" ref="J336:N336" ca="1">TRANSPOSE(ols(OFFSET($C$2:$C$10,I336,0),OFFSET($D$2:$H$10,I336,0)))</f>
        <v>271.54761904761472</v>
      </c>
      <c r="K336" s="6">
        <f ca="1"/>
        <v>-23.571428571427532</v>
      </c>
      <c r="L336" s="6">
        <f ca="1"/>
        <v>-120.95238095237892</v>
      </c>
      <c r="M336" s="6">
        <f ca="1"/>
        <v>35.476190476190254</v>
      </c>
      <c r="N336" s="6">
        <f ca="1"/>
        <v>-0.47380952380951857</v>
      </c>
      <c r="O336" s="6">
        <f t="shared" ca="1" si="56"/>
        <v>82.142857142855689</v>
      </c>
      <c r="P336" t="str">
        <f t="shared" si="57"/>
        <v>NA</v>
      </c>
      <c r="Q336" s="10">
        <f t="shared" ca="1" si="58"/>
        <v>20.238095238094559</v>
      </c>
      <c r="R336" s="10">
        <f t="shared" ca="1" si="59"/>
        <v>247.97619047618718</v>
      </c>
      <c r="S336" s="10">
        <f t="shared" ca="1" si="60"/>
        <v>-227.73809523809263</v>
      </c>
      <c r="T336" s="10">
        <f t="shared" ca="1" si="61"/>
        <v>480.65326633165807</v>
      </c>
      <c r="U336" s="10">
        <f t="shared" ca="1" si="62"/>
        <v>480.65326633165807</v>
      </c>
      <c r="V336">
        <f t="shared" si="63"/>
        <v>2</v>
      </c>
    </row>
    <row r="337" spans="1:22" x14ac:dyDescent="0.25">
      <c r="A337">
        <v>38</v>
      </c>
      <c r="B337">
        <v>3</v>
      </c>
      <c r="C337">
        <v>20</v>
      </c>
      <c r="D337">
        <v>1</v>
      </c>
      <c r="E337">
        <v>1</v>
      </c>
      <c r="F337">
        <v>0</v>
      </c>
      <c r="G337">
        <v>0</v>
      </c>
      <c r="H337">
        <v>450</v>
      </c>
      <c r="I337">
        <f t="shared" si="64"/>
        <v>333</v>
      </c>
      <c r="J337" s="6">
        <f t="array" aca="1" ref="J337:N337" ca="1">TRANSPOSE(ols(OFFSET($C$2:$C$10,I337,0),OFFSET($D$2:$H$10,I337,0)))</f>
        <v>271.54761904761472</v>
      </c>
      <c r="K337" s="6">
        <f ca="1"/>
        <v>-23.571428571427532</v>
      </c>
      <c r="L337" s="6">
        <f ca="1"/>
        <v>-120.95238095237892</v>
      </c>
      <c r="M337" s="6">
        <f ca="1"/>
        <v>35.476190476190254</v>
      </c>
      <c r="N337" s="6">
        <f ca="1"/>
        <v>-0.47380952380951857</v>
      </c>
      <c r="O337" s="6">
        <f t="shared" ca="1" si="56"/>
        <v>34.761904761903821</v>
      </c>
      <c r="P337" t="str">
        <f t="shared" si="57"/>
        <v>NA</v>
      </c>
      <c r="Q337" s="10">
        <f t="shared" ca="1" si="58"/>
        <v>20.238095238094559</v>
      </c>
      <c r="R337" s="10">
        <f t="shared" ca="1" si="59"/>
        <v>247.97619047618718</v>
      </c>
      <c r="S337" s="10">
        <f t="shared" ca="1" si="60"/>
        <v>-227.73809523809263</v>
      </c>
      <c r="T337" s="10">
        <f t="shared" ca="1" si="61"/>
        <v>480.65326633165807</v>
      </c>
      <c r="U337" s="10">
        <f t="shared" ca="1" si="62"/>
        <v>480.65326633165807</v>
      </c>
      <c r="V337">
        <f t="shared" si="63"/>
        <v>2</v>
      </c>
    </row>
    <row r="338" spans="1:22" x14ac:dyDescent="0.25">
      <c r="A338">
        <v>38</v>
      </c>
      <c r="B338">
        <v>4</v>
      </c>
      <c r="C338">
        <v>10</v>
      </c>
      <c r="D338">
        <v>1</v>
      </c>
      <c r="E338">
        <v>0</v>
      </c>
      <c r="F338">
        <v>0</v>
      </c>
      <c r="G338">
        <v>0</v>
      </c>
      <c r="H338">
        <v>550</v>
      </c>
      <c r="I338">
        <f t="shared" si="64"/>
        <v>333</v>
      </c>
      <c r="J338" s="6">
        <f t="array" aca="1" ref="J338:N338" ca="1">TRANSPOSE(ols(OFFSET($C$2:$C$10,I338,0),OFFSET($D$2:$H$10,I338,0)))</f>
        <v>271.54761904761472</v>
      </c>
      <c r="K338" s="6">
        <f ca="1"/>
        <v>-23.571428571427532</v>
      </c>
      <c r="L338" s="6">
        <f ca="1"/>
        <v>-120.95238095237892</v>
      </c>
      <c r="M338" s="6">
        <f ca="1"/>
        <v>35.476190476190254</v>
      </c>
      <c r="N338" s="6">
        <f ca="1"/>
        <v>-0.47380952380951857</v>
      </c>
      <c r="O338" s="6">
        <f t="shared" ca="1" si="56"/>
        <v>10.952380952379485</v>
      </c>
      <c r="P338" t="str">
        <f t="shared" si="57"/>
        <v>NA</v>
      </c>
      <c r="Q338" s="10">
        <f t="shared" ca="1" si="58"/>
        <v>20.238095238094559</v>
      </c>
      <c r="R338" s="10">
        <f t="shared" ca="1" si="59"/>
        <v>271.54761904761472</v>
      </c>
      <c r="S338" s="10">
        <f t="shared" ca="1" si="60"/>
        <v>-251.30952380952016</v>
      </c>
      <c r="T338" s="10">
        <f t="shared" ca="1" si="61"/>
        <v>530.40201005024937</v>
      </c>
      <c r="U338" s="10">
        <f t="shared" ca="1" si="62"/>
        <v>530.40201005024937</v>
      </c>
      <c r="V338">
        <f t="shared" si="63"/>
        <v>1</v>
      </c>
    </row>
    <row r="339" spans="1:22" x14ac:dyDescent="0.25">
      <c r="A339">
        <v>38</v>
      </c>
      <c r="B339">
        <v>5</v>
      </c>
      <c r="C339">
        <v>40</v>
      </c>
      <c r="D339">
        <v>1</v>
      </c>
      <c r="E339">
        <v>0</v>
      </c>
      <c r="F339">
        <v>1</v>
      </c>
      <c r="G339">
        <v>1</v>
      </c>
      <c r="H339">
        <v>250</v>
      </c>
      <c r="I339">
        <f t="shared" si="64"/>
        <v>333</v>
      </c>
      <c r="J339" s="6">
        <f t="array" aca="1" ref="J339:N339" ca="1">TRANSPOSE(ols(OFFSET($C$2:$C$10,I339,0),OFFSET($D$2:$H$10,I339,0)))</f>
        <v>271.54761904761472</v>
      </c>
      <c r="K339" s="6">
        <f ca="1"/>
        <v>-23.571428571427532</v>
      </c>
      <c r="L339" s="6">
        <f ca="1"/>
        <v>-120.95238095237892</v>
      </c>
      <c r="M339" s="6">
        <f ca="1"/>
        <v>35.476190476190254</v>
      </c>
      <c r="N339" s="6">
        <f ca="1"/>
        <v>-0.47380952380951857</v>
      </c>
      <c r="O339" s="6">
        <f t="shared" ca="1" si="56"/>
        <v>67.619047619046412</v>
      </c>
      <c r="P339" t="str">
        <f t="shared" si="57"/>
        <v>NA</v>
      </c>
      <c r="Q339" s="10">
        <f t="shared" ca="1" si="58"/>
        <v>20.238095238094559</v>
      </c>
      <c r="R339" s="10">
        <f t="shared" ca="1" si="59"/>
        <v>186.07142857142605</v>
      </c>
      <c r="S339" s="10">
        <f t="shared" ca="1" si="60"/>
        <v>-165.8333333333315</v>
      </c>
      <c r="T339" s="10">
        <f t="shared" ca="1" si="61"/>
        <v>350</v>
      </c>
      <c r="U339" s="10">
        <f t="shared" ca="1" si="62"/>
        <v>350</v>
      </c>
      <c r="V339">
        <f t="shared" si="63"/>
        <v>6</v>
      </c>
    </row>
    <row r="340" spans="1:22" x14ac:dyDescent="0.25">
      <c r="A340">
        <v>38</v>
      </c>
      <c r="B340">
        <v>6</v>
      </c>
      <c r="C340">
        <v>40</v>
      </c>
      <c r="D340">
        <v>1</v>
      </c>
      <c r="E340">
        <v>0</v>
      </c>
      <c r="F340">
        <v>1</v>
      </c>
      <c r="G340">
        <v>1</v>
      </c>
      <c r="H340">
        <v>350</v>
      </c>
      <c r="I340">
        <f t="shared" si="64"/>
        <v>333</v>
      </c>
      <c r="J340" s="6">
        <f t="array" aca="1" ref="J340:N340" ca="1">TRANSPOSE(ols(OFFSET($C$2:$C$10,I340,0),OFFSET($D$2:$H$10,I340,0)))</f>
        <v>271.54761904761472</v>
      </c>
      <c r="K340" s="6">
        <f ca="1"/>
        <v>-23.571428571427532</v>
      </c>
      <c r="L340" s="6">
        <f ca="1"/>
        <v>-120.95238095237892</v>
      </c>
      <c r="M340" s="6">
        <f ca="1"/>
        <v>35.476190476190254</v>
      </c>
      <c r="N340" s="6">
        <f ca="1"/>
        <v>-0.47380952380951857</v>
      </c>
      <c r="O340" s="6">
        <f t="shared" ca="1" si="56"/>
        <v>20.238095238094559</v>
      </c>
      <c r="P340">
        <f t="shared" ca="1" si="57"/>
        <v>20.238095238094559</v>
      </c>
      <c r="Q340" s="10">
        <f t="shared" ca="1" si="58"/>
        <v>20.238095238094559</v>
      </c>
      <c r="R340" s="10">
        <f t="shared" ca="1" si="59"/>
        <v>186.07142857142605</v>
      </c>
      <c r="S340" s="10">
        <f t="shared" ca="1" si="60"/>
        <v>-165.8333333333315</v>
      </c>
      <c r="T340" s="10">
        <f t="shared" ca="1" si="61"/>
        <v>350</v>
      </c>
      <c r="U340" s="10">
        <f t="shared" ca="1" si="62"/>
        <v>350</v>
      </c>
      <c r="V340">
        <f t="shared" si="63"/>
        <v>6</v>
      </c>
    </row>
    <row r="341" spans="1:22" x14ac:dyDescent="0.25">
      <c r="A341">
        <v>38</v>
      </c>
      <c r="B341">
        <v>7</v>
      </c>
      <c r="C341">
        <v>90</v>
      </c>
      <c r="D341">
        <v>1</v>
      </c>
      <c r="E341">
        <v>1</v>
      </c>
      <c r="F341">
        <v>0</v>
      </c>
      <c r="G341">
        <v>1</v>
      </c>
      <c r="H341">
        <v>450</v>
      </c>
      <c r="I341">
        <f t="shared" si="64"/>
        <v>333</v>
      </c>
      <c r="J341" s="6">
        <f t="array" aca="1" ref="J341:N341" ca="1">TRANSPOSE(ols(OFFSET($C$2:$C$10,I341,0),OFFSET($D$2:$H$10,I341,0)))</f>
        <v>271.54761904761472</v>
      </c>
      <c r="K341" s="6">
        <f ca="1"/>
        <v>-23.571428571427532</v>
      </c>
      <c r="L341" s="6">
        <f ca="1"/>
        <v>-120.95238095237892</v>
      </c>
      <c r="M341" s="6">
        <f ca="1"/>
        <v>35.476190476190254</v>
      </c>
      <c r="N341" s="6">
        <f ca="1"/>
        <v>-0.47380952380951857</v>
      </c>
      <c r="O341" s="6">
        <f t="shared" ca="1" si="56"/>
        <v>70.238095238094076</v>
      </c>
      <c r="P341" t="str">
        <f t="shared" si="57"/>
        <v>NA</v>
      </c>
      <c r="Q341" s="10">
        <f t="shared" ca="1" si="58"/>
        <v>20.238095238094559</v>
      </c>
      <c r="R341" s="10">
        <f t="shared" ca="1" si="59"/>
        <v>283.45238095237744</v>
      </c>
      <c r="S341" s="10">
        <f t="shared" ca="1" si="60"/>
        <v>-263.21428571428288</v>
      </c>
      <c r="T341" s="10">
        <f t="shared" ca="1" si="61"/>
        <v>555.52763819095492</v>
      </c>
      <c r="U341" s="10">
        <f t="shared" ca="1" si="62"/>
        <v>555.52763819095492</v>
      </c>
      <c r="V341">
        <f t="shared" si="63"/>
        <v>5</v>
      </c>
    </row>
    <row r="342" spans="1:22" x14ac:dyDescent="0.25">
      <c r="A342">
        <v>38</v>
      </c>
      <c r="B342">
        <v>8</v>
      </c>
      <c r="C342">
        <v>10</v>
      </c>
      <c r="D342">
        <v>1</v>
      </c>
      <c r="E342">
        <v>1</v>
      </c>
      <c r="F342">
        <v>0</v>
      </c>
      <c r="G342">
        <v>1</v>
      </c>
      <c r="H342">
        <v>550</v>
      </c>
      <c r="I342">
        <f t="shared" si="64"/>
        <v>333</v>
      </c>
      <c r="J342" s="6">
        <f t="array" aca="1" ref="J342:N342" ca="1">TRANSPOSE(ols(OFFSET($C$2:$C$10,I342,0),OFFSET($D$2:$H$10,I342,0)))</f>
        <v>271.54761904761472</v>
      </c>
      <c r="K342" s="6">
        <f ca="1"/>
        <v>-23.571428571427532</v>
      </c>
      <c r="L342" s="6">
        <f ca="1"/>
        <v>-120.95238095237892</v>
      </c>
      <c r="M342" s="6">
        <f ca="1"/>
        <v>35.476190476190254</v>
      </c>
      <c r="N342" s="6">
        <f ca="1"/>
        <v>-0.47380952380951857</v>
      </c>
      <c r="O342" s="6">
        <f t="shared" ca="1" si="56"/>
        <v>22.857142857142208</v>
      </c>
      <c r="P342" t="str">
        <f t="shared" si="57"/>
        <v>NA</v>
      </c>
      <c r="Q342" s="10">
        <f t="shared" ca="1" si="58"/>
        <v>20.238095238094559</v>
      </c>
      <c r="R342" s="10">
        <f t="shared" ca="1" si="59"/>
        <v>283.45238095237744</v>
      </c>
      <c r="S342" s="10">
        <f t="shared" ca="1" si="60"/>
        <v>-263.21428571428288</v>
      </c>
      <c r="T342" s="10">
        <f t="shared" ca="1" si="61"/>
        <v>555.52763819095492</v>
      </c>
      <c r="U342" s="10">
        <f t="shared" ca="1" si="62"/>
        <v>555.52763819095492</v>
      </c>
      <c r="V342">
        <f t="shared" si="63"/>
        <v>5</v>
      </c>
    </row>
    <row r="343" spans="1:22" x14ac:dyDescent="0.25">
      <c r="A343">
        <v>38</v>
      </c>
      <c r="B343">
        <v>9</v>
      </c>
      <c r="C343">
        <v>0</v>
      </c>
      <c r="D343">
        <v>1</v>
      </c>
      <c r="E343">
        <v>0</v>
      </c>
      <c r="F343">
        <v>0</v>
      </c>
      <c r="G343">
        <v>1</v>
      </c>
      <c r="H343">
        <v>650</v>
      </c>
      <c r="I343">
        <f t="shared" si="64"/>
        <v>333</v>
      </c>
      <c r="J343" s="6">
        <f t="array" aca="1" ref="J343:N343" ca="1">TRANSPOSE(ols(OFFSET($C$2:$C$10,I343,0),OFFSET($D$2:$H$10,I343,0)))</f>
        <v>271.54761904761472</v>
      </c>
      <c r="K343" s="6">
        <f ca="1"/>
        <v>-23.571428571427532</v>
      </c>
      <c r="L343" s="6">
        <f ca="1"/>
        <v>-120.95238095237892</v>
      </c>
      <c r="M343" s="6">
        <f ca="1"/>
        <v>35.476190476190254</v>
      </c>
      <c r="N343" s="6">
        <f ca="1"/>
        <v>-0.47380952380951857</v>
      </c>
      <c r="O343" s="6">
        <f t="shared" ca="1" si="56"/>
        <v>-0.95238095238210008</v>
      </c>
      <c r="P343" t="str">
        <f t="shared" si="57"/>
        <v>NA</v>
      </c>
      <c r="Q343" s="10">
        <f t="shared" ca="1" si="58"/>
        <v>20.238095238094559</v>
      </c>
      <c r="R343" s="10">
        <f t="shared" ca="1" si="59"/>
        <v>307.02380952380497</v>
      </c>
      <c r="S343" s="10">
        <f t="shared" ca="1" si="60"/>
        <v>-286.78571428571041</v>
      </c>
      <c r="T343" s="10">
        <f t="shared" ca="1" si="61"/>
        <v>605.27638190954622</v>
      </c>
      <c r="U343" s="10">
        <f t="shared" ca="1" si="62"/>
        <v>605.27638190954622</v>
      </c>
      <c r="V343">
        <f t="shared" si="63"/>
        <v>4</v>
      </c>
    </row>
    <row r="344" spans="1:22" x14ac:dyDescent="0.25">
      <c r="A344">
        <v>39</v>
      </c>
      <c r="B344">
        <v>1</v>
      </c>
      <c r="C344">
        <v>100</v>
      </c>
      <c r="D344">
        <v>1</v>
      </c>
      <c r="E344">
        <v>0</v>
      </c>
      <c r="F344">
        <v>1</v>
      </c>
      <c r="G344">
        <v>0</v>
      </c>
      <c r="H344">
        <v>250</v>
      </c>
      <c r="I344">
        <f t="shared" si="64"/>
        <v>342</v>
      </c>
      <c r="J344" s="6">
        <f t="array" aca="1" ref="J344:N344" ca="1">TRANSPOSE(ols(OFFSET($C$2:$C$10,I344,0),OFFSET($D$2:$H$10,I344,0)))</f>
        <v>119.76190476190277</v>
      </c>
      <c r="K344" s="6">
        <f ca="1"/>
        <v>7.8571428571422075</v>
      </c>
      <c r="L344" s="6">
        <f ca="1"/>
        <v>4.7619047619027697</v>
      </c>
      <c r="M344" s="6">
        <f ca="1"/>
        <v>-2.3809523809518396</v>
      </c>
      <c r="N344" s="6">
        <f ca="1"/>
        <v>-8.0952380952385994E-2</v>
      </c>
      <c r="O344" s="6">
        <f t="shared" ca="1" si="56"/>
        <v>104.28571428570905</v>
      </c>
      <c r="P344" t="str">
        <f t="shared" si="57"/>
        <v>NA</v>
      </c>
      <c r="Q344" s="10">
        <f t="shared" ca="1" si="58"/>
        <v>93.809523809518595</v>
      </c>
      <c r="R344" s="10">
        <f t="shared" ca="1" si="59"/>
        <v>124.52380952380554</v>
      </c>
      <c r="S344" s="10">
        <f t="shared" ca="1" si="60"/>
        <v>-30.714285714286945</v>
      </c>
      <c r="T344" s="10">
        <f t="shared" ca="1" si="61"/>
        <v>379.41176470587391</v>
      </c>
      <c r="U344" s="10">
        <f t="shared" ca="1" si="62"/>
        <v>379.41176470587391</v>
      </c>
      <c r="V344">
        <f t="shared" si="63"/>
        <v>3</v>
      </c>
    </row>
    <row r="345" spans="1:22" x14ac:dyDescent="0.25">
      <c r="A345">
        <v>39</v>
      </c>
      <c r="B345">
        <v>2</v>
      </c>
      <c r="C345">
        <v>100</v>
      </c>
      <c r="D345">
        <v>1</v>
      </c>
      <c r="E345">
        <v>1</v>
      </c>
      <c r="F345">
        <v>0</v>
      </c>
      <c r="G345">
        <v>0</v>
      </c>
      <c r="H345">
        <v>350</v>
      </c>
      <c r="I345">
        <f t="shared" si="64"/>
        <v>342</v>
      </c>
      <c r="J345" s="6">
        <f t="array" aca="1" ref="J345:N345" ca="1">TRANSPOSE(ols(OFFSET($C$2:$C$10,I345,0),OFFSET($D$2:$H$10,I345,0)))</f>
        <v>119.76190476190277</v>
      </c>
      <c r="K345" s="6">
        <f ca="1"/>
        <v>7.8571428571422075</v>
      </c>
      <c r="L345" s="6">
        <f ca="1"/>
        <v>4.7619047619027697</v>
      </c>
      <c r="M345" s="6">
        <f ca="1"/>
        <v>-2.3809523809518396</v>
      </c>
      <c r="N345" s="6">
        <f ca="1"/>
        <v>-8.0952380952385994E-2</v>
      </c>
      <c r="O345" s="6">
        <f t="shared" ca="1" si="56"/>
        <v>99.285714285709872</v>
      </c>
      <c r="P345" t="str">
        <f t="shared" si="57"/>
        <v>NA</v>
      </c>
      <c r="Q345" s="10">
        <f t="shared" ca="1" si="58"/>
        <v>93.809523809518595</v>
      </c>
      <c r="R345" s="10">
        <f t="shared" ca="1" si="59"/>
        <v>127.61904761904498</v>
      </c>
      <c r="S345" s="10">
        <f t="shared" ca="1" si="60"/>
        <v>-33.809523809526382</v>
      </c>
      <c r="T345" s="10">
        <f t="shared" ca="1" si="61"/>
        <v>417.64705882353519</v>
      </c>
      <c r="U345" s="10">
        <f t="shared" ca="1" si="62"/>
        <v>417.64705882353519</v>
      </c>
      <c r="V345">
        <f t="shared" si="63"/>
        <v>2</v>
      </c>
    </row>
    <row r="346" spans="1:22" x14ac:dyDescent="0.25">
      <c r="A346">
        <v>39</v>
      </c>
      <c r="B346">
        <v>3</v>
      </c>
      <c r="C346">
        <v>90</v>
      </c>
      <c r="D346">
        <v>1</v>
      </c>
      <c r="E346">
        <v>1</v>
      </c>
      <c r="F346">
        <v>0</v>
      </c>
      <c r="G346">
        <v>0</v>
      </c>
      <c r="H346">
        <v>450</v>
      </c>
      <c r="I346">
        <f t="shared" si="64"/>
        <v>342</v>
      </c>
      <c r="J346" s="6">
        <f t="array" aca="1" ref="J346:N346" ca="1">TRANSPOSE(ols(OFFSET($C$2:$C$10,I346,0),OFFSET($D$2:$H$10,I346,0)))</f>
        <v>119.76190476190277</v>
      </c>
      <c r="K346" s="6">
        <f ca="1"/>
        <v>7.8571428571422075</v>
      </c>
      <c r="L346" s="6">
        <f ca="1"/>
        <v>4.7619047619027697</v>
      </c>
      <c r="M346" s="6">
        <f ca="1"/>
        <v>-2.3809523809518396</v>
      </c>
      <c r="N346" s="6">
        <f ca="1"/>
        <v>-8.0952380952385994E-2</v>
      </c>
      <c r="O346" s="6">
        <f t="shared" ca="1" si="56"/>
        <v>91.190476190471287</v>
      </c>
      <c r="P346" t="str">
        <f t="shared" si="57"/>
        <v>NA</v>
      </c>
      <c r="Q346" s="10">
        <f t="shared" ca="1" si="58"/>
        <v>93.809523809518595</v>
      </c>
      <c r="R346" s="10">
        <f t="shared" ca="1" si="59"/>
        <v>127.61904761904498</v>
      </c>
      <c r="S346" s="10">
        <f t="shared" ca="1" si="60"/>
        <v>-33.809523809526382</v>
      </c>
      <c r="T346" s="10">
        <f t="shared" ca="1" si="61"/>
        <v>417.64705882353519</v>
      </c>
      <c r="U346" s="10">
        <f t="shared" ca="1" si="62"/>
        <v>417.64705882353519</v>
      </c>
      <c r="V346">
        <f t="shared" si="63"/>
        <v>2</v>
      </c>
    </row>
    <row r="347" spans="1:22" x14ac:dyDescent="0.25">
      <c r="A347">
        <v>39</v>
      </c>
      <c r="B347">
        <v>4</v>
      </c>
      <c r="C347">
        <v>80</v>
      </c>
      <c r="D347">
        <v>1</v>
      </c>
      <c r="E347">
        <v>0</v>
      </c>
      <c r="F347">
        <v>0</v>
      </c>
      <c r="G347">
        <v>0</v>
      </c>
      <c r="H347">
        <v>550</v>
      </c>
      <c r="I347">
        <f t="shared" si="64"/>
        <v>342</v>
      </c>
      <c r="J347" s="6">
        <f t="array" aca="1" ref="J347:N347" ca="1">TRANSPOSE(ols(OFFSET($C$2:$C$10,I347,0),OFFSET($D$2:$H$10,I347,0)))</f>
        <v>119.76190476190277</v>
      </c>
      <c r="K347" s="6">
        <f ca="1"/>
        <v>7.8571428571422075</v>
      </c>
      <c r="L347" s="6">
        <f ca="1"/>
        <v>4.7619047619027697</v>
      </c>
      <c r="M347" s="6">
        <f ca="1"/>
        <v>-2.3809523809518396</v>
      </c>
      <c r="N347" s="6">
        <f ca="1"/>
        <v>-8.0952380952385994E-2</v>
      </c>
      <c r="O347" s="6">
        <f t="shared" ca="1" si="56"/>
        <v>75.238095238090466</v>
      </c>
      <c r="P347" t="str">
        <f t="shared" si="57"/>
        <v>NA</v>
      </c>
      <c r="Q347" s="10">
        <f t="shared" ca="1" si="58"/>
        <v>93.809523809518595</v>
      </c>
      <c r="R347" s="10">
        <f t="shared" ca="1" si="59"/>
        <v>119.76190476190277</v>
      </c>
      <c r="S347" s="10">
        <f t="shared" ca="1" si="60"/>
        <v>-25.952380952384175</v>
      </c>
      <c r="T347" s="10">
        <f t="shared" ca="1" si="61"/>
        <v>320.58823529413746</v>
      </c>
      <c r="U347" s="10">
        <f t="shared" ca="1" si="62"/>
        <v>320.58823529413746</v>
      </c>
      <c r="V347">
        <f t="shared" si="63"/>
        <v>1</v>
      </c>
    </row>
    <row r="348" spans="1:22" x14ac:dyDescent="0.25">
      <c r="A348">
        <v>39</v>
      </c>
      <c r="B348">
        <v>5</v>
      </c>
      <c r="C348">
        <v>100</v>
      </c>
      <c r="D348">
        <v>1</v>
      </c>
      <c r="E348">
        <v>0</v>
      </c>
      <c r="F348">
        <v>1</v>
      </c>
      <c r="G348">
        <v>1</v>
      </c>
      <c r="H348">
        <v>250</v>
      </c>
      <c r="I348">
        <f t="shared" si="64"/>
        <v>342</v>
      </c>
      <c r="J348" s="6">
        <f t="array" aca="1" ref="J348:N348" ca="1">TRANSPOSE(ols(OFFSET($C$2:$C$10,I348,0),OFFSET($D$2:$H$10,I348,0)))</f>
        <v>119.76190476190277</v>
      </c>
      <c r="K348" s="6">
        <f ca="1"/>
        <v>7.8571428571422075</v>
      </c>
      <c r="L348" s="6">
        <f ca="1"/>
        <v>4.7619047619027697</v>
      </c>
      <c r="M348" s="6">
        <f ca="1"/>
        <v>-2.3809523809518396</v>
      </c>
      <c r="N348" s="6">
        <f ca="1"/>
        <v>-8.0952380952385994E-2</v>
      </c>
      <c r="O348" s="6">
        <f t="shared" ca="1" si="56"/>
        <v>101.90476190475721</v>
      </c>
      <c r="P348" t="str">
        <f t="shared" si="57"/>
        <v>NA</v>
      </c>
      <c r="Q348" s="10">
        <f t="shared" ca="1" si="58"/>
        <v>93.809523809518595</v>
      </c>
      <c r="R348" s="10">
        <f t="shared" ca="1" si="59"/>
        <v>122.1428571428537</v>
      </c>
      <c r="S348" s="10">
        <f t="shared" ca="1" si="60"/>
        <v>-28.333333333335105</v>
      </c>
      <c r="T348" s="10">
        <f t="shared" ca="1" si="61"/>
        <v>350.00000000000011</v>
      </c>
      <c r="U348" s="10">
        <f t="shared" ca="1" si="62"/>
        <v>350.00000000000011</v>
      </c>
      <c r="V348">
        <f t="shared" si="63"/>
        <v>6</v>
      </c>
    </row>
    <row r="349" spans="1:22" x14ac:dyDescent="0.25">
      <c r="A349">
        <v>39</v>
      </c>
      <c r="B349">
        <v>6</v>
      </c>
      <c r="C349">
        <v>100</v>
      </c>
      <c r="D349">
        <v>1</v>
      </c>
      <c r="E349">
        <v>0</v>
      </c>
      <c r="F349">
        <v>1</v>
      </c>
      <c r="G349">
        <v>1</v>
      </c>
      <c r="H349">
        <v>350</v>
      </c>
      <c r="I349">
        <f t="shared" si="64"/>
        <v>342</v>
      </c>
      <c r="J349" s="6">
        <f t="array" aca="1" ref="J349:N349" ca="1">TRANSPOSE(ols(OFFSET($C$2:$C$10,I349,0),OFFSET($D$2:$H$10,I349,0)))</f>
        <v>119.76190476190277</v>
      </c>
      <c r="K349" s="6">
        <f ca="1"/>
        <v>7.8571428571422075</v>
      </c>
      <c r="L349" s="6">
        <f ca="1"/>
        <v>4.7619047619027697</v>
      </c>
      <c r="M349" s="6">
        <f ca="1"/>
        <v>-2.3809523809518396</v>
      </c>
      <c r="N349" s="6">
        <f ca="1"/>
        <v>-8.0952380952385994E-2</v>
      </c>
      <c r="O349" s="6">
        <f t="shared" ca="1" si="56"/>
        <v>93.809523809518595</v>
      </c>
      <c r="P349">
        <f t="shared" ca="1" si="57"/>
        <v>93.809523809518595</v>
      </c>
      <c r="Q349" s="10">
        <f t="shared" ca="1" si="58"/>
        <v>93.809523809518595</v>
      </c>
      <c r="R349" s="10">
        <f t="shared" ca="1" si="59"/>
        <v>122.1428571428537</v>
      </c>
      <c r="S349" s="10">
        <f t="shared" ca="1" si="60"/>
        <v>-28.333333333335105</v>
      </c>
      <c r="T349" s="10">
        <f t="shared" ca="1" si="61"/>
        <v>350.00000000000011</v>
      </c>
      <c r="U349" s="10">
        <f t="shared" ca="1" si="62"/>
        <v>350.00000000000011</v>
      </c>
      <c r="V349">
        <f t="shared" si="63"/>
        <v>6</v>
      </c>
    </row>
    <row r="350" spans="1:22" x14ac:dyDescent="0.25">
      <c r="A350">
        <v>39</v>
      </c>
      <c r="B350">
        <v>7</v>
      </c>
      <c r="C350">
        <v>90</v>
      </c>
      <c r="D350">
        <v>1</v>
      </c>
      <c r="E350">
        <v>1</v>
      </c>
      <c r="F350">
        <v>0</v>
      </c>
      <c r="G350">
        <v>1</v>
      </c>
      <c r="H350">
        <v>450</v>
      </c>
      <c r="I350">
        <f t="shared" si="64"/>
        <v>342</v>
      </c>
      <c r="J350" s="6">
        <f t="array" aca="1" ref="J350:N350" ca="1">TRANSPOSE(ols(OFFSET($C$2:$C$10,I350,0),OFFSET($D$2:$H$10,I350,0)))</f>
        <v>119.76190476190277</v>
      </c>
      <c r="K350" s="6">
        <f ca="1"/>
        <v>7.8571428571422075</v>
      </c>
      <c r="L350" s="6">
        <f ca="1"/>
        <v>4.7619047619027697</v>
      </c>
      <c r="M350" s="6">
        <f ca="1"/>
        <v>-2.3809523809518396</v>
      </c>
      <c r="N350" s="6">
        <f ca="1"/>
        <v>-8.0952380952385994E-2</v>
      </c>
      <c r="O350" s="6">
        <f t="shared" ca="1" si="56"/>
        <v>88.809523809519447</v>
      </c>
      <c r="P350" t="str">
        <f t="shared" si="57"/>
        <v>NA</v>
      </c>
      <c r="Q350" s="10">
        <f t="shared" ca="1" si="58"/>
        <v>93.809523809518595</v>
      </c>
      <c r="R350" s="10">
        <f t="shared" ca="1" si="59"/>
        <v>125.23809523809314</v>
      </c>
      <c r="S350" s="10">
        <f t="shared" ca="1" si="60"/>
        <v>-31.428571428574543</v>
      </c>
      <c r="T350" s="10">
        <f t="shared" ca="1" si="61"/>
        <v>388.23529411766134</v>
      </c>
      <c r="U350" s="10">
        <f t="shared" ca="1" si="62"/>
        <v>388.23529411766134</v>
      </c>
      <c r="V350">
        <f t="shared" si="63"/>
        <v>5</v>
      </c>
    </row>
    <row r="351" spans="1:22" x14ac:dyDescent="0.25">
      <c r="A351">
        <v>39</v>
      </c>
      <c r="B351">
        <v>8</v>
      </c>
      <c r="C351">
        <v>80</v>
      </c>
      <c r="D351">
        <v>1</v>
      </c>
      <c r="E351">
        <v>1</v>
      </c>
      <c r="F351">
        <v>0</v>
      </c>
      <c r="G351">
        <v>1</v>
      </c>
      <c r="H351">
        <v>550</v>
      </c>
      <c r="I351">
        <f t="shared" si="64"/>
        <v>342</v>
      </c>
      <c r="J351" s="6">
        <f t="array" aca="1" ref="J351:N351" ca="1">TRANSPOSE(ols(OFFSET($C$2:$C$10,I351,0),OFFSET($D$2:$H$10,I351,0)))</f>
        <v>119.76190476190277</v>
      </c>
      <c r="K351" s="6">
        <f ca="1"/>
        <v>7.8571428571422075</v>
      </c>
      <c r="L351" s="6">
        <f ca="1"/>
        <v>4.7619047619027697</v>
      </c>
      <c r="M351" s="6">
        <f ca="1"/>
        <v>-2.3809523809518396</v>
      </c>
      <c r="N351" s="6">
        <f ca="1"/>
        <v>-8.0952380952385994E-2</v>
      </c>
      <c r="O351" s="6">
        <f t="shared" ca="1" si="56"/>
        <v>80.714285714280834</v>
      </c>
      <c r="P351" t="str">
        <f t="shared" si="57"/>
        <v>NA</v>
      </c>
      <c r="Q351" s="10">
        <f t="shared" ca="1" si="58"/>
        <v>93.809523809518595</v>
      </c>
      <c r="R351" s="10">
        <f t="shared" ca="1" si="59"/>
        <v>125.23809523809314</v>
      </c>
      <c r="S351" s="10">
        <f t="shared" ca="1" si="60"/>
        <v>-31.428571428574543</v>
      </c>
      <c r="T351" s="10">
        <f t="shared" ca="1" si="61"/>
        <v>388.23529411766134</v>
      </c>
      <c r="U351" s="10">
        <f t="shared" ca="1" si="62"/>
        <v>388.23529411766134</v>
      </c>
      <c r="V351">
        <f t="shared" si="63"/>
        <v>5</v>
      </c>
    </row>
    <row r="352" spans="1:22" x14ac:dyDescent="0.25">
      <c r="A352">
        <v>39</v>
      </c>
      <c r="B352">
        <v>9</v>
      </c>
      <c r="C352">
        <v>60</v>
      </c>
      <c r="D352">
        <v>1</v>
      </c>
      <c r="E352">
        <v>0</v>
      </c>
      <c r="F352">
        <v>0</v>
      </c>
      <c r="G352">
        <v>1</v>
      </c>
      <c r="H352">
        <v>650</v>
      </c>
      <c r="I352">
        <f t="shared" si="64"/>
        <v>342</v>
      </c>
      <c r="J352" s="6">
        <f t="array" aca="1" ref="J352:N352" ca="1">TRANSPOSE(ols(OFFSET($C$2:$C$10,I352,0),OFFSET($D$2:$H$10,I352,0)))</f>
        <v>119.76190476190277</v>
      </c>
      <c r="K352" s="6">
        <f ca="1"/>
        <v>7.8571428571422075</v>
      </c>
      <c r="L352" s="6">
        <f ca="1"/>
        <v>4.7619047619027697</v>
      </c>
      <c r="M352" s="6">
        <f ca="1"/>
        <v>-2.3809523809518396</v>
      </c>
      <c r="N352" s="6">
        <f ca="1"/>
        <v>-8.0952380952385994E-2</v>
      </c>
      <c r="O352" s="6">
        <f t="shared" ca="1" si="56"/>
        <v>64.761904761900041</v>
      </c>
      <c r="P352" t="str">
        <f t="shared" si="57"/>
        <v>NA</v>
      </c>
      <c r="Q352" s="10">
        <f t="shared" ca="1" si="58"/>
        <v>93.809523809518595</v>
      </c>
      <c r="R352" s="10">
        <f t="shared" ca="1" si="59"/>
        <v>117.38095238095093</v>
      </c>
      <c r="S352" s="10">
        <f t="shared" ca="1" si="60"/>
        <v>-23.571428571432335</v>
      </c>
      <c r="T352" s="10">
        <f t="shared" ca="1" si="61"/>
        <v>291.17647058826367</v>
      </c>
      <c r="U352" s="10">
        <f t="shared" ca="1" si="62"/>
        <v>291.17647058826367</v>
      </c>
      <c r="V352">
        <f t="shared" si="63"/>
        <v>4</v>
      </c>
    </row>
    <row r="353" spans="1:22" x14ac:dyDescent="0.25">
      <c r="A353">
        <v>40</v>
      </c>
      <c r="B353">
        <v>1</v>
      </c>
      <c r="C353">
        <v>30</v>
      </c>
      <c r="D353">
        <v>1</v>
      </c>
      <c r="E353">
        <v>0</v>
      </c>
      <c r="F353">
        <v>1</v>
      </c>
      <c r="G353">
        <v>0</v>
      </c>
      <c r="H353">
        <v>250</v>
      </c>
      <c r="I353">
        <f t="shared" si="64"/>
        <v>351</v>
      </c>
      <c r="J353" s="6">
        <f t="array" aca="1" ref="J353:N353" ca="1">TRANSPOSE(ols(OFFSET($C$2:$C$10,I353,0),OFFSET($D$2:$H$10,I353,0)))</f>
        <v>127.44047619047524</v>
      </c>
      <c r="K353" s="6">
        <f ca="1"/>
        <v>-9.2857142857139934</v>
      </c>
      <c r="L353" s="6">
        <f ca="1"/>
        <v>-53.809523809523853</v>
      </c>
      <c r="M353" s="6">
        <f ca="1"/>
        <v>34.404761904761926</v>
      </c>
      <c r="N353" s="6">
        <f ca="1"/>
        <v>-0.17023809523809241</v>
      </c>
      <c r="O353" s="6">
        <f t="shared" ca="1" si="56"/>
        <v>31.071428571428285</v>
      </c>
      <c r="P353" t="str">
        <f t="shared" si="57"/>
        <v>NA</v>
      </c>
      <c r="Q353" s="10">
        <f t="shared" ca="1" si="58"/>
        <v>48.452380952380963</v>
      </c>
      <c r="R353" s="10">
        <f t="shared" ca="1" si="59"/>
        <v>73.630952380951385</v>
      </c>
      <c r="S353" s="10">
        <f t="shared" ca="1" si="60"/>
        <v>-25.178571428570422</v>
      </c>
      <c r="T353" s="10">
        <f t="shared" ca="1" si="61"/>
        <v>147.90209790209445</v>
      </c>
      <c r="U353" s="10" t="str">
        <f t="shared" ca="1" si="62"/>
        <v>OR</v>
      </c>
      <c r="V353">
        <f t="shared" si="63"/>
        <v>3</v>
      </c>
    </row>
    <row r="354" spans="1:22" x14ac:dyDescent="0.25">
      <c r="A354">
        <v>40</v>
      </c>
      <c r="B354">
        <v>2</v>
      </c>
      <c r="C354">
        <v>65</v>
      </c>
      <c r="D354">
        <v>1</v>
      </c>
      <c r="E354">
        <v>1</v>
      </c>
      <c r="F354">
        <v>0</v>
      </c>
      <c r="G354">
        <v>0</v>
      </c>
      <c r="H354">
        <v>350</v>
      </c>
      <c r="I354">
        <f t="shared" si="64"/>
        <v>351</v>
      </c>
      <c r="J354" s="6">
        <f t="array" aca="1" ref="J354:N354" ca="1">TRANSPOSE(ols(OFFSET($C$2:$C$10,I354,0),OFFSET($D$2:$H$10,I354,0)))</f>
        <v>127.44047619047524</v>
      </c>
      <c r="K354" s="6">
        <f ca="1"/>
        <v>-9.2857142857139934</v>
      </c>
      <c r="L354" s="6">
        <f ca="1"/>
        <v>-53.809523809523853</v>
      </c>
      <c r="M354" s="6">
        <f ca="1"/>
        <v>34.404761904761926</v>
      </c>
      <c r="N354" s="6">
        <f ca="1"/>
        <v>-0.17023809523809241</v>
      </c>
      <c r="O354" s="6">
        <f t="shared" ca="1" si="56"/>
        <v>58.571428571428896</v>
      </c>
      <c r="P354" t="str">
        <f t="shared" si="57"/>
        <v>NA</v>
      </c>
      <c r="Q354" s="10">
        <f t="shared" ca="1" si="58"/>
        <v>48.452380952380963</v>
      </c>
      <c r="R354" s="10">
        <f t="shared" ca="1" si="59"/>
        <v>118.15476190476124</v>
      </c>
      <c r="S354" s="10">
        <f t="shared" ca="1" si="60"/>
        <v>-69.702380952380281</v>
      </c>
      <c r="T354" s="10">
        <f t="shared" ca="1" si="61"/>
        <v>409.44055944056231</v>
      </c>
      <c r="U354" s="10">
        <f t="shared" ca="1" si="62"/>
        <v>409.44055944056231</v>
      </c>
      <c r="V354">
        <f t="shared" si="63"/>
        <v>2</v>
      </c>
    </row>
    <row r="355" spans="1:22" x14ac:dyDescent="0.25">
      <c r="A355">
        <v>40</v>
      </c>
      <c r="B355">
        <v>3</v>
      </c>
      <c r="C355">
        <v>30</v>
      </c>
      <c r="D355">
        <v>1</v>
      </c>
      <c r="E355">
        <v>1</v>
      </c>
      <c r="F355">
        <v>0</v>
      </c>
      <c r="G355">
        <v>0</v>
      </c>
      <c r="H355">
        <v>450</v>
      </c>
      <c r="I355">
        <f t="shared" si="64"/>
        <v>351</v>
      </c>
      <c r="J355" s="6">
        <f t="array" aca="1" ref="J355:N355" ca="1">TRANSPOSE(ols(OFFSET($C$2:$C$10,I355,0),OFFSET($D$2:$H$10,I355,0)))</f>
        <v>127.44047619047524</v>
      </c>
      <c r="K355" s="6">
        <f ca="1"/>
        <v>-9.2857142857139934</v>
      </c>
      <c r="L355" s="6">
        <f ca="1"/>
        <v>-53.809523809523853</v>
      </c>
      <c r="M355" s="6">
        <f ca="1"/>
        <v>34.404761904761926</v>
      </c>
      <c r="N355" s="6">
        <f ca="1"/>
        <v>-0.17023809523809241</v>
      </c>
      <c r="O355" s="6">
        <f t="shared" ca="1" si="56"/>
        <v>41.547619047619662</v>
      </c>
      <c r="P355" t="str">
        <f t="shared" si="57"/>
        <v>NA</v>
      </c>
      <c r="Q355" s="10">
        <f t="shared" ca="1" si="58"/>
        <v>48.452380952380963</v>
      </c>
      <c r="R355" s="10">
        <f t="shared" ca="1" si="59"/>
        <v>118.15476190476124</v>
      </c>
      <c r="S355" s="10">
        <f t="shared" ca="1" si="60"/>
        <v>-69.702380952380281</v>
      </c>
      <c r="T355" s="10">
        <f t="shared" ca="1" si="61"/>
        <v>409.44055944056231</v>
      </c>
      <c r="U355" s="10">
        <f t="shared" ca="1" si="62"/>
        <v>409.44055944056231</v>
      </c>
      <c r="V355">
        <f t="shared" si="63"/>
        <v>2</v>
      </c>
    </row>
    <row r="356" spans="1:22" x14ac:dyDescent="0.25">
      <c r="A356">
        <v>40</v>
      </c>
      <c r="B356">
        <v>4</v>
      </c>
      <c r="C356">
        <v>40</v>
      </c>
      <c r="D356">
        <v>1</v>
      </c>
      <c r="E356">
        <v>0</v>
      </c>
      <c r="F356">
        <v>0</v>
      </c>
      <c r="G356">
        <v>0</v>
      </c>
      <c r="H356">
        <v>550</v>
      </c>
      <c r="I356">
        <f t="shared" si="64"/>
        <v>351</v>
      </c>
      <c r="J356" s="6">
        <f t="array" aca="1" ref="J356:N356" ca="1">TRANSPOSE(ols(OFFSET($C$2:$C$10,I356,0),OFFSET($D$2:$H$10,I356,0)))</f>
        <v>127.44047619047524</v>
      </c>
      <c r="K356" s="6">
        <f ca="1"/>
        <v>-9.2857142857139934</v>
      </c>
      <c r="L356" s="6">
        <f ca="1"/>
        <v>-53.809523809523853</v>
      </c>
      <c r="M356" s="6">
        <f ca="1"/>
        <v>34.404761904761926</v>
      </c>
      <c r="N356" s="6">
        <f ca="1"/>
        <v>-0.17023809523809241</v>
      </c>
      <c r="O356" s="6">
        <f t="shared" ca="1" si="56"/>
        <v>33.809523809524407</v>
      </c>
      <c r="P356" t="str">
        <f t="shared" si="57"/>
        <v>NA</v>
      </c>
      <c r="Q356" s="10">
        <f t="shared" ca="1" si="58"/>
        <v>48.452380952380963</v>
      </c>
      <c r="R356" s="10">
        <f t="shared" ca="1" si="59"/>
        <v>127.44047619047524</v>
      </c>
      <c r="S356" s="10">
        <f t="shared" ca="1" si="60"/>
        <v>-78.988095238094274</v>
      </c>
      <c r="T356" s="10">
        <f t="shared" ca="1" si="61"/>
        <v>463.98601398601602</v>
      </c>
      <c r="U356" s="10">
        <f t="shared" ca="1" si="62"/>
        <v>463.98601398601602</v>
      </c>
      <c r="V356">
        <f t="shared" si="63"/>
        <v>1</v>
      </c>
    </row>
    <row r="357" spans="1:22" x14ac:dyDescent="0.25">
      <c r="A357">
        <v>40</v>
      </c>
      <c r="B357">
        <v>5</v>
      </c>
      <c r="C357">
        <v>60</v>
      </c>
      <c r="D357">
        <v>1</v>
      </c>
      <c r="E357">
        <v>0</v>
      </c>
      <c r="F357">
        <v>1</v>
      </c>
      <c r="G357">
        <v>1</v>
      </c>
      <c r="H357">
        <v>250</v>
      </c>
      <c r="I357">
        <f t="shared" si="64"/>
        <v>351</v>
      </c>
      <c r="J357" s="6">
        <f t="array" aca="1" ref="J357:N357" ca="1">TRANSPOSE(ols(OFFSET($C$2:$C$10,I357,0),OFFSET($D$2:$H$10,I357,0)))</f>
        <v>127.44047619047524</v>
      </c>
      <c r="K357" s="6">
        <f ca="1"/>
        <v>-9.2857142857139934</v>
      </c>
      <c r="L357" s="6">
        <f ca="1"/>
        <v>-53.809523809523853</v>
      </c>
      <c r="M357" s="6">
        <f ca="1"/>
        <v>34.404761904761926</v>
      </c>
      <c r="N357" s="6">
        <f ca="1"/>
        <v>-0.17023809523809241</v>
      </c>
      <c r="O357" s="6">
        <f t="shared" ca="1" si="56"/>
        <v>65.476190476190212</v>
      </c>
      <c r="P357" t="str">
        <f t="shared" si="57"/>
        <v>NA</v>
      </c>
      <c r="Q357" s="10">
        <f t="shared" ca="1" si="58"/>
        <v>48.452380952380963</v>
      </c>
      <c r="R357" s="10">
        <f t="shared" ca="1" si="59"/>
        <v>108.03571428571331</v>
      </c>
      <c r="S357" s="10">
        <f t="shared" ca="1" si="60"/>
        <v>-59.583333333332348</v>
      </c>
      <c r="T357" s="10">
        <f t="shared" ca="1" si="61"/>
        <v>350</v>
      </c>
      <c r="U357" s="10">
        <f t="shared" ca="1" si="62"/>
        <v>350</v>
      </c>
      <c r="V357">
        <f t="shared" si="63"/>
        <v>6</v>
      </c>
    </row>
    <row r="358" spans="1:22" x14ac:dyDescent="0.25">
      <c r="A358">
        <v>40</v>
      </c>
      <c r="B358">
        <v>6</v>
      </c>
      <c r="C358">
        <v>55</v>
      </c>
      <c r="D358">
        <v>1</v>
      </c>
      <c r="E358">
        <v>0</v>
      </c>
      <c r="F358">
        <v>1</v>
      </c>
      <c r="G358">
        <v>1</v>
      </c>
      <c r="H358">
        <v>350</v>
      </c>
      <c r="I358">
        <f t="shared" si="64"/>
        <v>351</v>
      </c>
      <c r="J358" s="6">
        <f t="array" aca="1" ref="J358:N358" ca="1">TRANSPOSE(ols(OFFSET($C$2:$C$10,I358,0),OFFSET($D$2:$H$10,I358,0)))</f>
        <v>127.44047619047524</v>
      </c>
      <c r="K358" s="6">
        <f ca="1"/>
        <v>-9.2857142857139934</v>
      </c>
      <c r="L358" s="6">
        <f ca="1"/>
        <v>-53.809523809523853</v>
      </c>
      <c r="M358" s="6">
        <f ca="1"/>
        <v>34.404761904761926</v>
      </c>
      <c r="N358" s="6">
        <f ca="1"/>
        <v>-0.17023809523809241</v>
      </c>
      <c r="O358" s="6">
        <f t="shared" ca="1" si="56"/>
        <v>48.452380952380963</v>
      </c>
      <c r="P358">
        <f t="shared" ca="1" si="57"/>
        <v>48.452380952380963</v>
      </c>
      <c r="Q358" s="10">
        <f t="shared" ca="1" si="58"/>
        <v>48.452380952380963</v>
      </c>
      <c r="R358" s="10">
        <f t="shared" ca="1" si="59"/>
        <v>108.03571428571331</v>
      </c>
      <c r="S358" s="10">
        <f t="shared" ca="1" si="60"/>
        <v>-59.583333333332348</v>
      </c>
      <c r="T358" s="10">
        <f t="shared" ca="1" si="61"/>
        <v>350</v>
      </c>
      <c r="U358" s="10">
        <f t="shared" ca="1" si="62"/>
        <v>350</v>
      </c>
      <c r="V358">
        <f t="shared" si="63"/>
        <v>6</v>
      </c>
    </row>
    <row r="359" spans="1:22" x14ac:dyDescent="0.25">
      <c r="A359">
        <v>40</v>
      </c>
      <c r="B359">
        <v>7</v>
      </c>
      <c r="C359">
        <v>75</v>
      </c>
      <c r="D359">
        <v>1</v>
      </c>
      <c r="E359">
        <v>1</v>
      </c>
      <c r="F359">
        <v>0</v>
      </c>
      <c r="G359">
        <v>1</v>
      </c>
      <c r="H359">
        <v>450</v>
      </c>
      <c r="I359">
        <f t="shared" si="64"/>
        <v>351</v>
      </c>
      <c r="J359" s="6">
        <f t="array" aca="1" ref="J359:N359" ca="1">TRANSPOSE(ols(OFFSET($C$2:$C$10,I359,0),OFFSET($D$2:$H$10,I359,0)))</f>
        <v>127.44047619047524</v>
      </c>
      <c r="K359" s="6">
        <f ca="1"/>
        <v>-9.2857142857139934</v>
      </c>
      <c r="L359" s="6">
        <f ca="1"/>
        <v>-53.809523809523853</v>
      </c>
      <c r="M359" s="6">
        <f ca="1"/>
        <v>34.404761904761926</v>
      </c>
      <c r="N359" s="6">
        <f ca="1"/>
        <v>-0.17023809523809241</v>
      </c>
      <c r="O359" s="6">
        <f t="shared" ca="1" si="56"/>
        <v>75.952380952381588</v>
      </c>
      <c r="P359" t="str">
        <f t="shared" si="57"/>
        <v>NA</v>
      </c>
      <c r="Q359" s="10">
        <f t="shared" ca="1" si="58"/>
        <v>48.452380952380963</v>
      </c>
      <c r="R359" s="10">
        <f t="shared" ca="1" si="59"/>
        <v>152.55952380952317</v>
      </c>
      <c r="S359" s="10">
        <f t="shared" ca="1" si="60"/>
        <v>-104.10714285714221</v>
      </c>
      <c r="T359" s="10">
        <f t="shared" ca="1" si="61"/>
        <v>611.53846153846791</v>
      </c>
      <c r="U359" s="10">
        <f t="shared" ca="1" si="62"/>
        <v>611.53846153846791</v>
      </c>
      <c r="V359">
        <f t="shared" si="63"/>
        <v>5</v>
      </c>
    </row>
    <row r="360" spans="1:22" x14ac:dyDescent="0.25">
      <c r="A360">
        <v>40</v>
      </c>
      <c r="B360">
        <v>8</v>
      </c>
      <c r="C360">
        <v>65</v>
      </c>
      <c r="D360">
        <v>1</v>
      </c>
      <c r="E360">
        <v>1</v>
      </c>
      <c r="F360">
        <v>0</v>
      </c>
      <c r="G360">
        <v>1</v>
      </c>
      <c r="H360">
        <v>550</v>
      </c>
      <c r="I360">
        <f t="shared" si="64"/>
        <v>351</v>
      </c>
      <c r="J360" s="6">
        <f t="array" aca="1" ref="J360:N360" ca="1">TRANSPOSE(ols(OFFSET($C$2:$C$10,I360,0),OFFSET($D$2:$H$10,I360,0)))</f>
        <v>127.44047619047524</v>
      </c>
      <c r="K360" s="6">
        <f ca="1"/>
        <v>-9.2857142857139934</v>
      </c>
      <c r="L360" s="6">
        <f ca="1"/>
        <v>-53.809523809523853</v>
      </c>
      <c r="M360" s="6">
        <f ca="1"/>
        <v>34.404761904761926</v>
      </c>
      <c r="N360" s="6">
        <f ca="1"/>
        <v>-0.17023809523809241</v>
      </c>
      <c r="O360" s="6">
        <f t="shared" ca="1" si="56"/>
        <v>58.92857142857234</v>
      </c>
      <c r="P360" t="str">
        <f t="shared" si="57"/>
        <v>NA</v>
      </c>
      <c r="Q360" s="10">
        <f t="shared" ca="1" si="58"/>
        <v>48.452380952380963</v>
      </c>
      <c r="R360" s="10">
        <f t="shared" ca="1" si="59"/>
        <v>152.55952380952317</v>
      </c>
      <c r="S360" s="10">
        <f t="shared" ca="1" si="60"/>
        <v>-104.10714285714221</v>
      </c>
      <c r="T360" s="10">
        <f t="shared" ca="1" si="61"/>
        <v>611.53846153846791</v>
      </c>
      <c r="U360" s="10">
        <f t="shared" ca="1" si="62"/>
        <v>611.53846153846791</v>
      </c>
      <c r="V360">
        <f t="shared" si="63"/>
        <v>5</v>
      </c>
    </row>
    <row r="361" spans="1:22" x14ac:dyDescent="0.25">
      <c r="A361">
        <v>40</v>
      </c>
      <c r="B361">
        <v>9</v>
      </c>
      <c r="C361">
        <v>45</v>
      </c>
      <c r="D361">
        <v>1</v>
      </c>
      <c r="E361">
        <v>0</v>
      </c>
      <c r="F361">
        <v>0</v>
      </c>
      <c r="G361">
        <v>1</v>
      </c>
      <c r="H361">
        <v>650</v>
      </c>
      <c r="I361">
        <f t="shared" si="64"/>
        <v>351</v>
      </c>
      <c r="J361" s="6">
        <f t="array" aca="1" ref="J361:N361" ca="1">TRANSPOSE(ols(OFFSET($C$2:$C$10,I361,0),OFFSET($D$2:$H$10,I361,0)))</f>
        <v>127.44047619047524</v>
      </c>
      <c r="K361" s="6">
        <f ca="1"/>
        <v>-9.2857142857139934</v>
      </c>
      <c r="L361" s="6">
        <f ca="1"/>
        <v>-53.809523809523853</v>
      </c>
      <c r="M361" s="6">
        <f ca="1"/>
        <v>34.404761904761926</v>
      </c>
      <c r="N361" s="6">
        <f ca="1"/>
        <v>-0.17023809523809241</v>
      </c>
      <c r="O361" s="6">
        <f t="shared" ca="1" si="56"/>
        <v>51.190476190477099</v>
      </c>
      <c r="P361" t="str">
        <f t="shared" si="57"/>
        <v>NA</v>
      </c>
      <c r="Q361" s="10">
        <f t="shared" ca="1" si="58"/>
        <v>48.452380952380963</v>
      </c>
      <c r="R361" s="10">
        <f t="shared" ca="1" si="59"/>
        <v>161.84523809523716</v>
      </c>
      <c r="S361" s="10">
        <f t="shared" ca="1" si="60"/>
        <v>-113.3928571428562</v>
      </c>
      <c r="T361" s="10">
        <f t="shared" ca="1" si="61"/>
        <v>666.08391608392162</v>
      </c>
      <c r="U361" s="10" t="str">
        <f t="shared" ca="1" si="62"/>
        <v>OR</v>
      </c>
      <c r="V361">
        <f t="shared" si="63"/>
        <v>4</v>
      </c>
    </row>
    <row r="362" spans="1:22" x14ac:dyDescent="0.25">
      <c r="A362">
        <v>41</v>
      </c>
      <c r="B362">
        <v>1</v>
      </c>
      <c r="C362">
        <v>35</v>
      </c>
      <c r="D362">
        <v>1</v>
      </c>
      <c r="E362">
        <v>0</v>
      </c>
      <c r="F362">
        <v>1</v>
      </c>
      <c r="G362">
        <v>0</v>
      </c>
      <c r="H362">
        <v>250</v>
      </c>
      <c r="I362">
        <f t="shared" si="64"/>
        <v>360</v>
      </c>
      <c r="J362" s="6">
        <f t="array" aca="1" ref="J362:N362" ca="1">TRANSPOSE(ols(OFFSET($C$2:$C$10,I362,0),OFFSET($D$2:$H$10,I362,0)))</f>
        <v>59.642857142856883</v>
      </c>
      <c r="K362" s="6">
        <f ca="1"/>
        <v>-3.2142857142860066</v>
      </c>
      <c r="L362" s="6">
        <f ca="1"/>
        <v>-12.857142857144026</v>
      </c>
      <c r="M362" s="6">
        <f ca="1"/>
        <v>6.4285714285717859</v>
      </c>
      <c r="N362" s="6">
        <f ca="1"/>
        <v>-2.1428571428574017E-2</v>
      </c>
      <c r="O362" s="6">
        <f t="shared" ca="1" si="56"/>
        <v>41.428571428569356</v>
      </c>
      <c r="P362" t="str">
        <f t="shared" si="57"/>
        <v>NA</v>
      </c>
      <c r="Q362" s="10">
        <f t="shared" ca="1" si="58"/>
        <v>45.714285714283733</v>
      </c>
      <c r="R362" s="10">
        <f t="shared" ca="1" si="59"/>
        <v>46.785714285712857</v>
      </c>
      <c r="S362" s="10">
        <f t="shared" ca="1" si="60"/>
        <v>-1.0714285714291236</v>
      </c>
      <c r="T362" s="10">
        <f t="shared" ca="1" si="61"/>
        <v>50.000000000019732</v>
      </c>
      <c r="U362" s="10" t="str">
        <f t="shared" ca="1" si="62"/>
        <v>OR</v>
      </c>
      <c r="V362">
        <f t="shared" si="63"/>
        <v>3</v>
      </c>
    </row>
    <row r="363" spans="1:22" x14ac:dyDescent="0.25">
      <c r="A363">
        <v>41</v>
      </c>
      <c r="B363">
        <v>2</v>
      </c>
      <c r="C363">
        <v>50</v>
      </c>
      <c r="D363">
        <v>1</v>
      </c>
      <c r="E363">
        <v>1</v>
      </c>
      <c r="F363">
        <v>0</v>
      </c>
      <c r="G363">
        <v>0</v>
      </c>
      <c r="H363">
        <v>350</v>
      </c>
      <c r="I363">
        <f t="shared" si="64"/>
        <v>360</v>
      </c>
      <c r="J363" s="6">
        <f t="array" aca="1" ref="J363:N363" ca="1">TRANSPOSE(ols(OFFSET($C$2:$C$10,I363,0),OFFSET($D$2:$H$10,I363,0)))</f>
        <v>59.642857142856883</v>
      </c>
      <c r="K363" s="6">
        <f ca="1"/>
        <v>-3.2142857142860066</v>
      </c>
      <c r="L363" s="6">
        <f ca="1"/>
        <v>-12.857142857144026</v>
      </c>
      <c r="M363" s="6">
        <f ca="1"/>
        <v>6.4285714285717859</v>
      </c>
      <c r="N363" s="6">
        <f ca="1"/>
        <v>-2.1428571428574017E-2</v>
      </c>
      <c r="O363" s="6">
        <f t="shared" ca="1" si="56"/>
        <v>48.928571428569967</v>
      </c>
      <c r="P363" t="str">
        <f t="shared" si="57"/>
        <v>NA</v>
      </c>
      <c r="Q363" s="10">
        <f t="shared" ca="1" si="58"/>
        <v>45.714285714283733</v>
      </c>
      <c r="R363" s="10">
        <f t="shared" ca="1" si="59"/>
        <v>56.428571428570876</v>
      </c>
      <c r="S363" s="10">
        <f t="shared" ca="1" si="60"/>
        <v>-10.714285714287143</v>
      </c>
      <c r="T363" s="10">
        <f t="shared" ca="1" si="61"/>
        <v>500.00000000000631</v>
      </c>
      <c r="U363" s="10">
        <f t="shared" ca="1" si="62"/>
        <v>500.00000000000631</v>
      </c>
      <c r="V363">
        <f t="shared" si="63"/>
        <v>2</v>
      </c>
    </row>
    <row r="364" spans="1:22" x14ac:dyDescent="0.25">
      <c r="A364">
        <v>41</v>
      </c>
      <c r="B364">
        <v>3</v>
      </c>
      <c r="C364">
        <v>50</v>
      </c>
      <c r="D364">
        <v>1</v>
      </c>
      <c r="E364">
        <v>1</v>
      </c>
      <c r="F364">
        <v>0</v>
      </c>
      <c r="G364">
        <v>0</v>
      </c>
      <c r="H364">
        <v>450</v>
      </c>
      <c r="I364">
        <f t="shared" si="64"/>
        <v>360</v>
      </c>
      <c r="J364" s="6">
        <f t="array" aca="1" ref="J364:N364" ca="1">TRANSPOSE(ols(OFFSET($C$2:$C$10,I364,0),OFFSET($D$2:$H$10,I364,0)))</f>
        <v>59.642857142856883</v>
      </c>
      <c r="K364" s="6">
        <f ca="1"/>
        <v>-3.2142857142860066</v>
      </c>
      <c r="L364" s="6">
        <f ca="1"/>
        <v>-12.857142857144026</v>
      </c>
      <c r="M364" s="6">
        <f ca="1"/>
        <v>6.4285714285717859</v>
      </c>
      <c r="N364" s="6">
        <f ca="1"/>
        <v>-2.1428571428574017E-2</v>
      </c>
      <c r="O364" s="6">
        <f t="shared" ca="1" si="56"/>
        <v>46.785714285712572</v>
      </c>
      <c r="P364" t="str">
        <f t="shared" si="57"/>
        <v>NA</v>
      </c>
      <c r="Q364" s="10">
        <f t="shared" ca="1" si="58"/>
        <v>45.714285714283733</v>
      </c>
      <c r="R364" s="10">
        <f t="shared" ca="1" si="59"/>
        <v>56.428571428570876</v>
      </c>
      <c r="S364" s="10">
        <f t="shared" ca="1" si="60"/>
        <v>-10.714285714287143</v>
      </c>
      <c r="T364" s="10">
        <f t="shared" ca="1" si="61"/>
        <v>500.00000000000631</v>
      </c>
      <c r="U364" s="10">
        <f t="shared" ca="1" si="62"/>
        <v>500.00000000000631</v>
      </c>
      <c r="V364">
        <f t="shared" si="63"/>
        <v>2</v>
      </c>
    </row>
    <row r="365" spans="1:22" x14ac:dyDescent="0.25">
      <c r="A365">
        <v>41</v>
      </c>
      <c r="B365">
        <v>4</v>
      </c>
      <c r="C365">
        <v>50</v>
      </c>
      <c r="D365">
        <v>1</v>
      </c>
      <c r="E365">
        <v>0</v>
      </c>
      <c r="F365">
        <v>0</v>
      </c>
      <c r="G365">
        <v>0</v>
      </c>
      <c r="H365">
        <v>550</v>
      </c>
      <c r="I365">
        <f t="shared" si="64"/>
        <v>360</v>
      </c>
      <c r="J365" s="6">
        <f t="array" aca="1" ref="J365:N365" ca="1">TRANSPOSE(ols(OFFSET($C$2:$C$10,I365,0),OFFSET($D$2:$H$10,I365,0)))</f>
        <v>59.642857142856883</v>
      </c>
      <c r="K365" s="6">
        <f ca="1"/>
        <v>-3.2142857142860066</v>
      </c>
      <c r="L365" s="6">
        <f ca="1"/>
        <v>-12.857142857144026</v>
      </c>
      <c r="M365" s="6">
        <f ca="1"/>
        <v>6.4285714285717859</v>
      </c>
      <c r="N365" s="6">
        <f ca="1"/>
        <v>-2.1428571428574017E-2</v>
      </c>
      <c r="O365" s="6">
        <f t="shared" ca="1" si="56"/>
        <v>47.85714285714117</v>
      </c>
      <c r="P365" t="str">
        <f t="shared" si="57"/>
        <v>NA</v>
      </c>
      <c r="Q365" s="10">
        <f t="shared" ca="1" si="58"/>
        <v>45.714285714283733</v>
      </c>
      <c r="R365" s="10">
        <f t="shared" ca="1" si="59"/>
        <v>59.642857142856883</v>
      </c>
      <c r="S365" s="10">
        <f t="shared" ca="1" si="60"/>
        <v>-13.92857142857315</v>
      </c>
      <c r="T365" s="10">
        <f t="shared" ca="1" si="61"/>
        <v>650.00000000000182</v>
      </c>
      <c r="U365" s="10" t="str">
        <f t="shared" ca="1" si="62"/>
        <v>OR</v>
      </c>
      <c r="V365">
        <f t="shared" si="63"/>
        <v>1</v>
      </c>
    </row>
    <row r="366" spans="1:22" x14ac:dyDescent="0.25">
      <c r="A366">
        <v>41</v>
      </c>
      <c r="B366">
        <v>5</v>
      </c>
      <c r="C366">
        <v>50</v>
      </c>
      <c r="D366">
        <v>1</v>
      </c>
      <c r="E366">
        <v>0</v>
      </c>
      <c r="F366">
        <v>1</v>
      </c>
      <c r="G366">
        <v>1</v>
      </c>
      <c r="H366">
        <v>250</v>
      </c>
      <c r="I366">
        <f t="shared" si="64"/>
        <v>360</v>
      </c>
      <c r="J366" s="6">
        <f t="array" aca="1" ref="J366:N366" ca="1">TRANSPOSE(ols(OFFSET($C$2:$C$10,I366,0),OFFSET($D$2:$H$10,I366,0)))</f>
        <v>59.642857142856883</v>
      </c>
      <c r="K366" s="6">
        <f ca="1"/>
        <v>-3.2142857142860066</v>
      </c>
      <c r="L366" s="6">
        <f ca="1"/>
        <v>-12.857142857144026</v>
      </c>
      <c r="M366" s="6">
        <f ca="1"/>
        <v>6.4285714285717859</v>
      </c>
      <c r="N366" s="6">
        <f ca="1"/>
        <v>-2.1428571428574017E-2</v>
      </c>
      <c r="O366" s="6">
        <f t="shared" ca="1" si="56"/>
        <v>47.857142857141142</v>
      </c>
      <c r="P366" t="str">
        <f t="shared" si="57"/>
        <v>NA</v>
      </c>
      <c r="Q366" s="10">
        <f t="shared" ca="1" si="58"/>
        <v>45.714285714283733</v>
      </c>
      <c r="R366" s="10">
        <f t="shared" ca="1" si="59"/>
        <v>53.214285714284642</v>
      </c>
      <c r="S366" s="10">
        <f t="shared" ca="1" si="60"/>
        <v>-7.5000000000009095</v>
      </c>
      <c r="T366" s="10">
        <f t="shared" ca="1" si="61"/>
        <v>350.00000000000017</v>
      </c>
      <c r="U366" s="10">
        <f t="shared" ca="1" si="62"/>
        <v>350.00000000000017</v>
      </c>
      <c r="V366">
        <f t="shared" si="63"/>
        <v>6</v>
      </c>
    </row>
    <row r="367" spans="1:22" x14ac:dyDescent="0.25">
      <c r="A367">
        <v>41</v>
      </c>
      <c r="B367">
        <v>6</v>
      </c>
      <c r="C367">
        <v>50</v>
      </c>
      <c r="D367">
        <v>1</v>
      </c>
      <c r="E367">
        <v>0</v>
      </c>
      <c r="F367">
        <v>1</v>
      </c>
      <c r="G367">
        <v>1</v>
      </c>
      <c r="H367">
        <v>350</v>
      </c>
      <c r="I367">
        <f t="shared" si="64"/>
        <v>360</v>
      </c>
      <c r="J367" s="6">
        <f t="array" aca="1" ref="J367:N367" ca="1">TRANSPOSE(ols(OFFSET($C$2:$C$10,I367,0),OFFSET($D$2:$H$10,I367,0)))</f>
        <v>59.642857142856883</v>
      </c>
      <c r="K367" s="6">
        <f ca="1"/>
        <v>-3.2142857142860066</v>
      </c>
      <c r="L367" s="6">
        <f ca="1"/>
        <v>-12.857142857144026</v>
      </c>
      <c r="M367" s="6">
        <f ca="1"/>
        <v>6.4285714285717859</v>
      </c>
      <c r="N367" s="6">
        <f ca="1"/>
        <v>-2.1428571428574017E-2</v>
      </c>
      <c r="O367" s="6">
        <f t="shared" ca="1" si="56"/>
        <v>45.714285714283733</v>
      </c>
      <c r="P367">
        <f t="shared" ca="1" si="57"/>
        <v>45.714285714283733</v>
      </c>
      <c r="Q367" s="10">
        <f t="shared" ca="1" si="58"/>
        <v>45.714285714283733</v>
      </c>
      <c r="R367" s="10">
        <f t="shared" ca="1" si="59"/>
        <v>53.214285714284642</v>
      </c>
      <c r="S367" s="10">
        <f t="shared" ca="1" si="60"/>
        <v>-7.5000000000009095</v>
      </c>
      <c r="T367" s="10">
        <f t="shared" ca="1" si="61"/>
        <v>350.00000000000017</v>
      </c>
      <c r="U367" s="10">
        <f t="shared" ca="1" si="62"/>
        <v>350.00000000000017</v>
      </c>
      <c r="V367">
        <f t="shared" si="63"/>
        <v>6</v>
      </c>
    </row>
    <row r="368" spans="1:22" x14ac:dyDescent="0.25">
      <c r="A368">
        <v>41</v>
      </c>
      <c r="B368">
        <v>7</v>
      </c>
      <c r="C368">
        <v>50</v>
      </c>
      <c r="D368">
        <v>1</v>
      </c>
      <c r="E368">
        <v>1</v>
      </c>
      <c r="F368">
        <v>0</v>
      </c>
      <c r="G368">
        <v>1</v>
      </c>
      <c r="H368">
        <v>450</v>
      </c>
      <c r="I368">
        <f t="shared" si="64"/>
        <v>360</v>
      </c>
      <c r="J368" s="6">
        <f t="array" aca="1" ref="J368:N368" ca="1">TRANSPOSE(ols(OFFSET($C$2:$C$10,I368,0),OFFSET($D$2:$H$10,I368,0)))</f>
        <v>59.642857142856883</v>
      </c>
      <c r="K368" s="6">
        <f ca="1"/>
        <v>-3.2142857142860066</v>
      </c>
      <c r="L368" s="6">
        <f ca="1"/>
        <v>-12.857142857144026</v>
      </c>
      <c r="M368" s="6">
        <f ca="1"/>
        <v>6.4285714285717859</v>
      </c>
      <c r="N368" s="6">
        <f ca="1"/>
        <v>-2.1428571428574017E-2</v>
      </c>
      <c r="O368" s="6">
        <f t="shared" ca="1" si="56"/>
        <v>53.214285714284358</v>
      </c>
      <c r="P368" t="str">
        <f t="shared" si="57"/>
        <v>NA</v>
      </c>
      <c r="Q368" s="10">
        <f t="shared" ca="1" si="58"/>
        <v>45.714285714283733</v>
      </c>
      <c r="R368" s="10">
        <f t="shared" ca="1" si="59"/>
        <v>62.857142857142662</v>
      </c>
      <c r="S368" s="10">
        <f t="shared" ca="1" si="60"/>
        <v>-17.142857142858929</v>
      </c>
      <c r="T368" s="10">
        <f t="shared" ca="1" si="61"/>
        <v>799.9999999999867</v>
      </c>
      <c r="U368" s="10" t="str">
        <f t="shared" ca="1" si="62"/>
        <v>OR</v>
      </c>
      <c r="V368">
        <f t="shared" si="63"/>
        <v>5</v>
      </c>
    </row>
    <row r="369" spans="1:22" x14ac:dyDescent="0.25">
      <c r="A369">
        <v>41</v>
      </c>
      <c r="B369">
        <v>8</v>
      </c>
      <c r="C369">
        <v>50</v>
      </c>
      <c r="D369">
        <v>1</v>
      </c>
      <c r="E369">
        <v>1</v>
      </c>
      <c r="F369">
        <v>0</v>
      </c>
      <c r="G369">
        <v>1</v>
      </c>
      <c r="H369">
        <v>550</v>
      </c>
      <c r="I369">
        <f t="shared" si="64"/>
        <v>360</v>
      </c>
      <c r="J369" s="6">
        <f t="array" aca="1" ref="J369:N369" ca="1">TRANSPOSE(ols(OFFSET($C$2:$C$10,I369,0),OFFSET($D$2:$H$10,I369,0)))</f>
        <v>59.642857142856883</v>
      </c>
      <c r="K369" s="6">
        <f ca="1"/>
        <v>-3.2142857142860066</v>
      </c>
      <c r="L369" s="6">
        <f ca="1"/>
        <v>-12.857142857144026</v>
      </c>
      <c r="M369" s="6">
        <f ca="1"/>
        <v>6.4285714285717859</v>
      </c>
      <c r="N369" s="6">
        <f ca="1"/>
        <v>-2.1428571428574017E-2</v>
      </c>
      <c r="O369" s="6">
        <f t="shared" ca="1" si="56"/>
        <v>51.071428571426949</v>
      </c>
      <c r="P369" t="str">
        <f t="shared" si="57"/>
        <v>NA</v>
      </c>
      <c r="Q369" s="10">
        <f t="shared" ca="1" si="58"/>
        <v>45.714285714283733</v>
      </c>
      <c r="R369" s="10">
        <f t="shared" ca="1" si="59"/>
        <v>62.857142857142662</v>
      </c>
      <c r="S369" s="10">
        <f t="shared" ca="1" si="60"/>
        <v>-17.142857142858929</v>
      </c>
      <c r="T369" s="10">
        <f t="shared" ca="1" si="61"/>
        <v>799.9999999999867</v>
      </c>
      <c r="U369" s="10" t="str">
        <f t="shared" ca="1" si="62"/>
        <v>OR</v>
      </c>
      <c r="V369">
        <f t="shared" si="63"/>
        <v>5</v>
      </c>
    </row>
    <row r="370" spans="1:22" x14ac:dyDescent="0.25">
      <c r="A370">
        <v>41</v>
      </c>
      <c r="B370">
        <v>9</v>
      </c>
      <c r="C370">
        <v>50</v>
      </c>
      <c r="D370">
        <v>1</v>
      </c>
      <c r="E370">
        <v>0</v>
      </c>
      <c r="F370">
        <v>0</v>
      </c>
      <c r="G370">
        <v>1</v>
      </c>
      <c r="H370">
        <v>650</v>
      </c>
      <c r="I370">
        <f t="shared" si="64"/>
        <v>360</v>
      </c>
      <c r="J370" s="6">
        <f t="array" aca="1" ref="J370:N370" ca="1">TRANSPOSE(ols(OFFSET($C$2:$C$10,I370,0),OFFSET($D$2:$H$10,I370,0)))</f>
        <v>59.642857142856883</v>
      </c>
      <c r="K370" s="6">
        <f ca="1"/>
        <v>-3.2142857142860066</v>
      </c>
      <c r="L370" s="6">
        <f ca="1"/>
        <v>-12.857142857144026</v>
      </c>
      <c r="M370" s="6">
        <f ca="1"/>
        <v>6.4285714285717859</v>
      </c>
      <c r="N370" s="6">
        <f ca="1"/>
        <v>-2.1428571428574017E-2</v>
      </c>
      <c r="O370" s="6">
        <f t="shared" ca="1" si="56"/>
        <v>52.142857142855561</v>
      </c>
      <c r="P370" t="str">
        <f t="shared" si="57"/>
        <v>NA</v>
      </c>
      <c r="Q370" s="10">
        <f t="shared" ca="1" si="58"/>
        <v>45.714285714283733</v>
      </c>
      <c r="R370" s="10">
        <f t="shared" ca="1" si="59"/>
        <v>66.071428571428669</v>
      </c>
      <c r="S370" s="10">
        <f t="shared" ca="1" si="60"/>
        <v>-20.357142857144936</v>
      </c>
      <c r="T370" s="10">
        <f t="shared" ca="1" si="61"/>
        <v>949.99999999998226</v>
      </c>
      <c r="U370" s="10" t="str">
        <f t="shared" ca="1" si="62"/>
        <v>OR</v>
      </c>
      <c r="V370">
        <f t="shared" si="63"/>
        <v>4</v>
      </c>
    </row>
    <row r="371" spans="1:22" x14ac:dyDescent="0.25">
      <c r="A371">
        <v>42</v>
      </c>
      <c r="B371">
        <v>1</v>
      </c>
      <c r="C371">
        <v>60</v>
      </c>
      <c r="D371">
        <v>1</v>
      </c>
      <c r="E371">
        <v>0</v>
      </c>
      <c r="F371">
        <v>1</v>
      </c>
      <c r="G371">
        <v>0</v>
      </c>
      <c r="H371">
        <v>250</v>
      </c>
      <c r="I371">
        <f t="shared" si="64"/>
        <v>369</v>
      </c>
      <c r="J371" s="6">
        <f t="array" aca="1" ref="J371:N371" ca="1">TRANSPOSE(ols(OFFSET($C$2:$C$10,I371,0),OFFSET($D$2:$H$10,I371,0)))</f>
        <v>166.48809523809177</v>
      </c>
      <c r="K371" s="6">
        <f ca="1"/>
        <v>-2.8571428571426623</v>
      </c>
      <c r="L371" s="6">
        <f ca="1"/>
        <v>-59.761904761904589</v>
      </c>
      <c r="M371" s="6">
        <f ca="1"/>
        <v>14.880952380952749</v>
      </c>
      <c r="N371" s="6">
        <f ca="1"/>
        <v>-0.19404761904762324</v>
      </c>
      <c r="O371" s="6">
        <f t="shared" ca="1" si="56"/>
        <v>58.214285714281374</v>
      </c>
      <c r="P371" t="str">
        <f t="shared" si="57"/>
        <v>NA</v>
      </c>
      <c r="Q371" s="10">
        <f t="shared" ca="1" si="58"/>
        <v>53.690476190471799</v>
      </c>
      <c r="R371" s="10">
        <f t="shared" ca="1" si="59"/>
        <v>106.72619047618718</v>
      </c>
      <c r="S371" s="10">
        <f t="shared" ca="1" si="60"/>
        <v>-53.035714285715386</v>
      </c>
      <c r="T371" s="10">
        <f t="shared" ca="1" si="61"/>
        <v>273.31288343558259</v>
      </c>
      <c r="U371" s="10">
        <f t="shared" ca="1" si="62"/>
        <v>273.31288343558259</v>
      </c>
      <c r="V371">
        <f t="shared" si="63"/>
        <v>3</v>
      </c>
    </row>
    <row r="372" spans="1:22" x14ac:dyDescent="0.25">
      <c r="A372">
        <v>42</v>
      </c>
      <c r="B372">
        <v>2</v>
      </c>
      <c r="C372">
        <v>100</v>
      </c>
      <c r="D372">
        <v>1</v>
      </c>
      <c r="E372">
        <v>1</v>
      </c>
      <c r="F372">
        <v>0</v>
      </c>
      <c r="G372">
        <v>0</v>
      </c>
      <c r="H372">
        <v>350</v>
      </c>
      <c r="I372">
        <f t="shared" si="64"/>
        <v>369</v>
      </c>
      <c r="J372" s="6">
        <f t="array" aca="1" ref="J372:N372" ca="1">TRANSPOSE(ols(OFFSET($C$2:$C$10,I372,0),OFFSET($D$2:$H$10,I372,0)))</f>
        <v>166.48809523809177</v>
      </c>
      <c r="K372" s="6">
        <f ca="1"/>
        <v>-2.8571428571426623</v>
      </c>
      <c r="L372" s="6">
        <f ca="1"/>
        <v>-59.761904761904589</v>
      </c>
      <c r="M372" s="6">
        <f ca="1"/>
        <v>14.880952380952749</v>
      </c>
      <c r="N372" s="6">
        <f ca="1"/>
        <v>-0.19404761904762324</v>
      </c>
      <c r="O372" s="6">
        <f t="shared" ca="1" si="56"/>
        <v>95.714285714280976</v>
      </c>
      <c r="P372" t="str">
        <f t="shared" si="57"/>
        <v>NA</v>
      </c>
      <c r="Q372" s="10">
        <f t="shared" ca="1" si="58"/>
        <v>53.690476190471799</v>
      </c>
      <c r="R372" s="10">
        <f t="shared" ca="1" si="59"/>
        <v>163.63095238094911</v>
      </c>
      <c r="S372" s="10">
        <f t="shared" ca="1" si="60"/>
        <v>-109.94047619047731</v>
      </c>
      <c r="T372" s="10">
        <f t="shared" ca="1" si="61"/>
        <v>566.56441717790767</v>
      </c>
      <c r="U372" s="10">
        <f t="shared" ca="1" si="62"/>
        <v>566.56441717790767</v>
      </c>
      <c r="V372">
        <f t="shared" si="63"/>
        <v>2</v>
      </c>
    </row>
    <row r="373" spans="1:22" x14ac:dyDescent="0.25">
      <c r="A373">
        <v>42</v>
      </c>
      <c r="B373">
        <v>3</v>
      </c>
      <c r="C373">
        <v>70</v>
      </c>
      <c r="D373">
        <v>1</v>
      </c>
      <c r="E373">
        <v>1</v>
      </c>
      <c r="F373">
        <v>0</v>
      </c>
      <c r="G373">
        <v>0</v>
      </c>
      <c r="H373">
        <v>450</v>
      </c>
      <c r="I373">
        <f t="shared" si="64"/>
        <v>369</v>
      </c>
      <c r="J373" s="6">
        <f t="array" aca="1" ref="J373:N373" ca="1">TRANSPOSE(ols(OFFSET($C$2:$C$10,I373,0),OFFSET($D$2:$H$10,I373,0)))</f>
        <v>166.48809523809177</v>
      </c>
      <c r="K373" s="6">
        <f ca="1"/>
        <v>-2.8571428571426623</v>
      </c>
      <c r="L373" s="6">
        <f ca="1"/>
        <v>-59.761904761904589</v>
      </c>
      <c r="M373" s="6">
        <f ca="1"/>
        <v>14.880952380952749</v>
      </c>
      <c r="N373" s="6">
        <f ca="1"/>
        <v>-0.19404761904762324</v>
      </c>
      <c r="O373" s="6">
        <f t="shared" ca="1" si="56"/>
        <v>76.309523809518652</v>
      </c>
      <c r="P373" t="str">
        <f t="shared" si="57"/>
        <v>NA</v>
      </c>
      <c r="Q373" s="10">
        <f t="shared" ca="1" si="58"/>
        <v>53.690476190471799</v>
      </c>
      <c r="R373" s="10">
        <f t="shared" ca="1" si="59"/>
        <v>163.63095238094911</v>
      </c>
      <c r="S373" s="10">
        <f t="shared" ca="1" si="60"/>
        <v>-109.94047619047731</v>
      </c>
      <c r="T373" s="10">
        <f t="shared" ca="1" si="61"/>
        <v>566.56441717790767</v>
      </c>
      <c r="U373" s="10">
        <f t="shared" ca="1" si="62"/>
        <v>566.56441717790767</v>
      </c>
      <c r="V373">
        <f t="shared" si="63"/>
        <v>2</v>
      </c>
    </row>
    <row r="374" spans="1:22" x14ac:dyDescent="0.25">
      <c r="A374">
        <v>42</v>
      </c>
      <c r="B374">
        <v>4</v>
      </c>
      <c r="C374">
        <v>60</v>
      </c>
      <c r="D374">
        <v>1</v>
      </c>
      <c r="E374">
        <v>0</v>
      </c>
      <c r="F374">
        <v>0</v>
      </c>
      <c r="G374">
        <v>0</v>
      </c>
      <c r="H374">
        <v>550</v>
      </c>
      <c r="I374">
        <f t="shared" si="64"/>
        <v>369</v>
      </c>
      <c r="J374" s="6">
        <f t="array" aca="1" ref="J374:N374" ca="1">TRANSPOSE(ols(OFFSET($C$2:$C$10,I374,0),OFFSET($D$2:$H$10,I374,0)))</f>
        <v>166.48809523809177</v>
      </c>
      <c r="K374" s="6">
        <f ca="1"/>
        <v>-2.8571428571426623</v>
      </c>
      <c r="L374" s="6">
        <f ca="1"/>
        <v>-59.761904761904589</v>
      </c>
      <c r="M374" s="6">
        <f ca="1"/>
        <v>14.880952380952749</v>
      </c>
      <c r="N374" s="6">
        <f ca="1"/>
        <v>-0.19404761904762324</v>
      </c>
      <c r="O374" s="6">
        <f t="shared" ca="1" si="56"/>
        <v>59.76190476189899</v>
      </c>
      <c r="P374" t="str">
        <f t="shared" si="57"/>
        <v>NA</v>
      </c>
      <c r="Q374" s="10">
        <f t="shared" ca="1" si="58"/>
        <v>53.690476190471799</v>
      </c>
      <c r="R374" s="10">
        <f t="shared" ca="1" si="59"/>
        <v>166.48809523809177</v>
      </c>
      <c r="S374" s="10">
        <f t="shared" ca="1" si="60"/>
        <v>-112.79761904761997</v>
      </c>
      <c r="T374" s="10">
        <f t="shared" ca="1" si="61"/>
        <v>581.28834355827439</v>
      </c>
      <c r="U374" s="10">
        <f t="shared" ca="1" si="62"/>
        <v>581.28834355827439</v>
      </c>
      <c r="V374">
        <f t="shared" si="63"/>
        <v>1</v>
      </c>
    </row>
    <row r="375" spans="1:22" x14ac:dyDescent="0.25">
      <c r="A375">
        <v>42</v>
      </c>
      <c r="B375">
        <v>5</v>
      </c>
      <c r="C375">
        <v>60</v>
      </c>
      <c r="D375">
        <v>1</v>
      </c>
      <c r="E375">
        <v>0</v>
      </c>
      <c r="F375">
        <v>1</v>
      </c>
      <c r="G375">
        <v>1</v>
      </c>
      <c r="H375">
        <v>250</v>
      </c>
      <c r="I375">
        <f t="shared" si="64"/>
        <v>369</v>
      </c>
      <c r="J375" s="6">
        <f t="array" aca="1" ref="J375:N375" ca="1">TRANSPOSE(ols(OFFSET($C$2:$C$10,I375,0),OFFSET($D$2:$H$10,I375,0)))</f>
        <v>166.48809523809177</v>
      </c>
      <c r="K375" s="6">
        <f ca="1"/>
        <v>-2.8571428571426623</v>
      </c>
      <c r="L375" s="6">
        <f ca="1"/>
        <v>-59.761904761904589</v>
      </c>
      <c r="M375" s="6">
        <f ca="1"/>
        <v>14.880952380952749</v>
      </c>
      <c r="N375" s="6">
        <f ca="1"/>
        <v>-0.19404761904762324</v>
      </c>
      <c r="O375" s="6">
        <f t="shared" ca="1" si="56"/>
        <v>73.095238095234123</v>
      </c>
      <c r="P375" t="str">
        <f t="shared" si="57"/>
        <v>NA</v>
      </c>
      <c r="Q375" s="10">
        <f t="shared" ca="1" si="58"/>
        <v>53.690476190471799</v>
      </c>
      <c r="R375" s="10">
        <f t="shared" ca="1" si="59"/>
        <v>121.60714285713993</v>
      </c>
      <c r="S375" s="10">
        <f t="shared" ca="1" si="60"/>
        <v>-67.916666666668135</v>
      </c>
      <c r="T375" s="10">
        <f t="shared" ca="1" si="61"/>
        <v>350</v>
      </c>
      <c r="U375" s="10">
        <f t="shared" ca="1" si="62"/>
        <v>350</v>
      </c>
      <c r="V375">
        <f t="shared" si="63"/>
        <v>6</v>
      </c>
    </row>
    <row r="376" spans="1:22" x14ac:dyDescent="0.25">
      <c r="A376">
        <v>42</v>
      </c>
      <c r="B376">
        <v>6</v>
      </c>
      <c r="C376">
        <v>65</v>
      </c>
      <c r="D376">
        <v>1</v>
      </c>
      <c r="E376">
        <v>0</v>
      </c>
      <c r="F376">
        <v>1</v>
      </c>
      <c r="G376">
        <v>1</v>
      </c>
      <c r="H376">
        <v>350</v>
      </c>
      <c r="I376">
        <f t="shared" si="64"/>
        <v>369</v>
      </c>
      <c r="J376" s="6">
        <f t="array" aca="1" ref="J376:N376" ca="1">TRANSPOSE(ols(OFFSET($C$2:$C$10,I376,0),OFFSET($D$2:$H$10,I376,0)))</f>
        <v>166.48809523809177</v>
      </c>
      <c r="K376" s="6">
        <f ca="1"/>
        <v>-2.8571428571426623</v>
      </c>
      <c r="L376" s="6">
        <f ca="1"/>
        <v>-59.761904761904589</v>
      </c>
      <c r="M376" s="6">
        <f ca="1"/>
        <v>14.880952380952749</v>
      </c>
      <c r="N376" s="6">
        <f ca="1"/>
        <v>-0.19404761904762324</v>
      </c>
      <c r="O376" s="6">
        <f t="shared" ca="1" si="56"/>
        <v>53.690476190471799</v>
      </c>
      <c r="P376">
        <f t="shared" ca="1" si="57"/>
        <v>53.690476190471799</v>
      </c>
      <c r="Q376" s="10">
        <f t="shared" ca="1" si="58"/>
        <v>53.690476190471799</v>
      </c>
      <c r="R376" s="10">
        <f t="shared" ca="1" si="59"/>
        <v>121.60714285713993</v>
      </c>
      <c r="S376" s="10">
        <f t="shared" ca="1" si="60"/>
        <v>-67.916666666668135</v>
      </c>
      <c r="T376" s="10">
        <f t="shared" ca="1" si="61"/>
        <v>350</v>
      </c>
      <c r="U376" s="10">
        <f t="shared" ca="1" si="62"/>
        <v>350</v>
      </c>
      <c r="V376">
        <f t="shared" si="63"/>
        <v>6</v>
      </c>
    </row>
    <row r="377" spans="1:22" x14ac:dyDescent="0.25">
      <c r="A377">
        <v>42</v>
      </c>
      <c r="B377">
        <v>7</v>
      </c>
      <c r="C377">
        <v>100</v>
      </c>
      <c r="D377">
        <v>1</v>
      </c>
      <c r="E377">
        <v>1</v>
      </c>
      <c r="F377">
        <v>0</v>
      </c>
      <c r="G377">
        <v>1</v>
      </c>
      <c r="H377">
        <v>450</v>
      </c>
      <c r="I377">
        <f t="shared" si="64"/>
        <v>369</v>
      </c>
      <c r="J377" s="6">
        <f t="array" aca="1" ref="J377:N377" ca="1">TRANSPOSE(ols(OFFSET($C$2:$C$10,I377,0),OFFSET($D$2:$H$10,I377,0)))</f>
        <v>166.48809523809177</v>
      </c>
      <c r="K377" s="6">
        <f ca="1"/>
        <v>-2.8571428571426623</v>
      </c>
      <c r="L377" s="6">
        <f ca="1"/>
        <v>-59.761904761904589</v>
      </c>
      <c r="M377" s="6">
        <f ca="1"/>
        <v>14.880952380952749</v>
      </c>
      <c r="N377" s="6">
        <f ca="1"/>
        <v>-0.19404761904762324</v>
      </c>
      <c r="O377" s="6">
        <f t="shared" ca="1" si="56"/>
        <v>91.190476190471401</v>
      </c>
      <c r="P377" t="str">
        <f t="shared" si="57"/>
        <v>NA</v>
      </c>
      <c r="Q377" s="10">
        <f t="shared" ca="1" si="58"/>
        <v>53.690476190471799</v>
      </c>
      <c r="R377" s="10">
        <f t="shared" ca="1" si="59"/>
        <v>178.51190476190186</v>
      </c>
      <c r="S377" s="10">
        <f t="shared" ca="1" si="60"/>
        <v>-124.82142857143006</v>
      </c>
      <c r="T377" s="10">
        <f t="shared" ca="1" si="61"/>
        <v>643.25153374232502</v>
      </c>
      <c r="U377" s="10">
        <f t="shared" ca="1" si="62"/>
        <v>643.25153374232502</v>
      </c>
      <c r="V377">
        <f t="shared" si="63"/>
        <v>5</v>
      </c>
    </row>
    <row r="378" spans="1:22" x14ac:dyDescent="0.25">
      <c r="A378">
        <v>42</v>
      </c>
      <c r="B378">
        <v>8</v>
      </c>
      <c r="C378">
        <v>65</v>
      </c>
      <c r="D378">
        <v>1</v>
      </c>
      <c r="E378">
        <v>1</v>
      </c>
      <c r="F378">
        <v>0</v>
      </c>
      <c r="G378">
        <v>1</v>
      </c>
      <c r="H378">
        <v>550</v>
      </c>
      <c r="I378">
        <f t="shared" si="64"/>
        <v>369</v>
      </c>
      <c r="J378" s="6">
        <f t="array" aca="1" ref="J378:N378" ca="1">TRANSPOSE(ols(OFFSET($C$2:$C$10,I378,0),OFFSET($D$2:$H$10,I378,0)))</f>
        <v>166.48809523809177</v>
      </c>
      <c r="K378" s="6">
        <f ca="1"/>
        <v>-2.8571428571426623</v>
      </c>
      <c r="L378" s="6">
        <f ca="1"/>
        <v>-59.761904761904589</v>
      </c>
      <c r="M378" s="6">
        <f ca="1"/>
        <v>14.880952380952749</v>
      </c>
      <c r="N378" s="6">
        <f ca="1"/>
        <v>-0.19404761904762324</v>
      </c>
      <c r="O378" s="6">
        <f t="shared" ca="1" si="56"/>
        <v>71.785714285709076</v>
      </c>
      <c r="P378" t="str">
        <f t="shared" si="57"/>
        <v>NA</v>
      </c>
      <c r="Q378" s="10">
        <f t="shared" ca="1" si="58"/>
        <v>53.690476190471799</v>
      </c>
      <c r="R378" s="10">
        <f t="shared" ca="1" si="59"/>
        <v>178.51190476190186</v>
      </c>
      <c r="S378" s="10">
        <f t="shared" ca="1" si="60"/>
        <v>-124.82142857143006</v>
      </c>
      <c r="T378" s="10">
        <f t="shared" ca="1" si="61"/>
        <v>643.25153374232502</v>
      </c>
      <c r="U378" s="10">
        <f t="shared" ca="1" si="62"/>
        <v>643.25153374232502</v>
      </c>
      <c r="V378">
        <f t="shared" si="63"/>
        <v>5</v>
      </c>
    </row>
    <row r="379" spans="1:22" x14ac:dyDescent="0.25">
      <c r="A379">
        <v>42</v>
      </c>
      <c r="B379">
        <v>9</v>
      </c>
      <c r="C379">
        <v>55</v>
      </c>
      <c r="D379">
        <v>1</v>
      </c>
      <c r="E379">
        <v>0</v>
      </c>
      <c r="F379">
        <v>0</v>
      </c>
      <c r="G379">
        <v>1</v>
      </c>
      <c r="H379">
        <v>650</v>
      </c>
      <c r="I379">
        <f t="shared" si="64"/>
        <v>369</v>
      </c>
      <c r="J379" s="6">
        <f t="array" aca="1" ref="J379:N379" ca="1">TRANSPOSE(ols(OFFSET($C$2:$C$10,I379,0),OFFSET($D$2:$H$10,I379,0)))</f>
        <v>166.48809523809177</v>
      </c>
      <c r="K379" s="6">
        <f ca="1"/>
        <v>-2.8571428571426623</v>
      </c>
      <c r="L379" s="6">
        <f ca="1"/>
        <v>-59.761904761904589</v>
      </c>
      <c r="M379" s="6">
        <f ca="1"/>
        <v>14.880952380952749</v>
      </c>
      <c r="N379" s="6">
        <f ca="1"/>
        <v>-0.19404761904762324</v>
      </c>
      <c r="O379" s="6">
        <f t="shared" ca="1" si="56"/>
        <v>55.238095238089414</v>
      </c>
      <c r="P379" t="str">
        <f t="shared" si="57"/>
        <v>NA</v>
      </c>
      <c r="Q379" s="10">
        <f t="shared" ca="1" si="58"/>
        <v>53.690476190471799</v>
      </c>
      <c r="R379" s="10">
        <f t="shared" ca="1" si="59"/>
        <v>181.36904761904452</v>
      </c>
      <c r="S379" s="10">
        <f t="shared" ca="1" si="60"/>
        <v>-127.67857142857272</v>
      </c>
      <c r="T379" s="10">
        <f t="shared" ca="1" si="61"/>
        <v>657.97546012269186</v>
      </c>
      <c r="U379" s="10" t="str">
        <f t="shared" ca="1" si="62"/>
        <v>OR</v>
      </c>
      <c r="V379">
        <f t="shared" si="63"/>
        <v>4</v>
      </c>
    </row>
    <row r="380" spans="1:22" x14ac:dyDescent="0.25">
      <c r="A380">
        <v>43</v>
      </c>
      <c r="B380">
        <v>1</v>
      </c>
      <c r="C380">
        <v>0</v>
      </c>
      <c r="D380">
        <v>1</v>
      </c>
      <c r="E380">
        <v>0</v>
      </c>
      <c r="F380">
        <v>1</v>
      </c>
      <c r="G380">
        <v>0</v>
      </c>
      <c r="H380">
        <v>250</v>
      </c>
      <c r="I380">
        <f t="shared" si="64"/>
        <v>378</v>
      </c>
      <c r="J380" s="6">
        <f t="array" aca="1" ref="J380:N380" ca="1">TRANSPOSE(ols(OFFSET($C$2:$C$10,I380,0),OFFSET($D$2:$H$10,I380,0)))</f>
        <v>99.642857142854155</v>
      </c>
      <c r="K380" s="6">
        <f ca="1"/>
        <v>-8.2142857142855519</v>
      </c>
      <c r="L380" s="6">
        <f ca="1"/>
        <v>-27.857142857142208</v>
      </c>
      <c r="M380" s="6">
        <f ca="1"/>
        <v>81.428571428571331</v>
      </c>
      <c r="N380" s="6">
        <f ca="1"/>
        <v>-0.22142857142856975</v>
      </c>
      <c r="O380" s="6">
        <f t="shared" ca="1" si="56"/>
        <v>16.428571428569512</v>
      </c>
      <c r="P380" t="str">
        <f t="shared" si="57"/>
        <v>NA</v>
      </c>
      <c r="Q380" s="10">
        <f t="shared" ca="1" si="58"/>
        <v>75.714285714283861</v>
      </c>
      <c r="R380" s="10">
        <f t="shared" ca="1" si="59"/>
        <v>71.785714285711947</v>
      </c>
      <c r="S380" s="10">
        <f t="shared" ca="1" si="60"/>
        <v>3.9285714285719138</v>
      </c>
      <c r="T380" s="10">
        <f t="shared" ca="1" si="61"/>
        <v>-17.741935483873291</v>
      </c>
      <c r="U380" s="10" t="str">
        <f t="shared" ca="1" si="62"/>
        <v>OR</v>
      </c>
      <c r="V380">
        <f t="shared" si="63"/>
        <v>3</v>
      </c>
    </row>
    <row r="381" spans="1:22" x14ac:dyDescent="0.25">
      <c r="A381">
        <v>43</v>
      </c>
      <c r="B381">
        <v>2</v>
      </c>
      <c r="C381">
        <v>0</v>
      </c>
      <c r="D381">
        <v>1</v>
      </c>
      <c r="E381">
        <v>1</v>
      </c>
      <c r="F381">
        <v>0</v>
      </c>
      <c r="G381">
        <v>0</v>
      </c>
      <c r="H381">
        <v>350</v>
      </c>
      <c r="I381">
        <f t="shared" si="64"/>
        <v>378</v>
      </c>
      <c r="J381" s="6">
        <f t="array" aca="1" ref="J381:N381" ca="1">TRANSPOSE(ols(OFFSET($C$2:$C$10,I381,0),OFFSET($D$2:$H$10,I381,0)))</f>
        <v>99.642857142854155</v>
      </c>
      <c r="K381" s="6">
        <f ca="1"/>
        <v>-8.2142857142855519</v>
      </c>
      <c r="L381" s="6">
        <f ca="1"/>
        <v>-27.857142857142208</v>
      </c>
      <c r="M381" s="6">
        <f ca="1"/>
        <v>81.428571428571331</v>
      </c>
      <c r="N381" s="6">
        <f ca="1"/>
        <v>-0.22142857142856975</v>
      </c>
      <c r="O381" s="6">
        <f t="shared" ca="1" si="56"/>
        <v>13.928571428569185</v>
      </c>
      <c r="P381" t="str">
        <f t="shared" si="57"/>
        <v>NA</v>
      </c>
      <c r="Q381" s="10">
        <f t="shared" ca="1" si="58"/>
        <v>75.714285714283861</v>
      </c>
      <c r="R381" s="10">
        <f t="shared" ca="1" si="59"/>
        <v>91.428571428568603</v>
      </c>
      <c r="S381" s="10">
        <f t="shared" ca="1" si="60"/>
        <v>-15.714285714284742</v>
      </c>
      <c r="T381" s="10">
        <f t="shared" ca="1" si="61"/>
        <v>70.967741935480021</v>
      </c>
      <c r="U381" s="10" t="str">
        <f t="shared" ca="1" si="62"/>
        <v>OR</v>
      </c>
      <c r="V381">
        <f t="shared" si="63"/>
        <v>2</v>
      </c>
    </row>
    <row r="382" spans="1:22" x14ac:dyDescent="0.25">
      <c r="A382">
        <v>43</v>
      </c>
      <c r="B382">
        <v>3</v>
      </c>
      <c r="C382">
        <v>0</v>
      </c>
      <c r="D382">
        <v>1</v>
      </c>
      <c r="E382">
        <v>1</v>
      </c>
      <c r="F382">
        <v>0</v>
      </c>
      <c r="G382">
        <v>0</v>
      </c>
      <c r="H382">
        <v>450</v>
      </c>
      <c r="I382">
        <f t="shared" si="64"/>
        <v>378</v>
      </c>
      <c r="J382" s="6">
        <f t="array" aca="1" ref="J382:N382" ca="1">TRANSPOSE(ols(OFFSET($C$2:$C$10,I382,0),OFFSET($D$2:$H$10,I382,0)))</f>
        <v>99.642857142854155</v>
      </c>
      <c r="K382" s="6">
        <f ca="1"/>
        <v>-8.2142857142855519</v>
      </c>
      <c r="L382" s="6">
        <f ca="1"/>
        <v>-27.857142857142208</v>
      </c>
      <c r="M382" s="6">
        <f ca="1"/>
        <v>81.428571428571331</v>
      </c>
      <c r="N382" s="6">
        <f ca="1"/>
        <v>-0.22142857142856975</v>
      </c>
      <c r="O382" s="6">
        <f t="shared" ca="1" si="56"/>
        <v>-8.214285714287783</v>
      </c>
      <c r="P382" t="str">
        <f t="shared" si="57"/>
        <v>NA</v>
      </c>
      <c r="Q382" s="10">
        <f t="shared" ca="1" si="58"/>
        <v>75.714285714283861</v>
      </c>
      <c r="R382" s="10">
        <f t="shared" ca="1" si="59"/>
        <v>91.428571428568603</v>
      </c>
      <c r="S382" s="10">
        <f t="shared" ca="1" si="60"/>
        <v>-15.714285714284742</v>
      </c>
      <c r="T382" s="10">
        <f t="shared" ca="1" si="61"/>
        <v>70.967741935480021</v>
      </c>
      <c r="U382" s="10" t="str">
        <f t="shared" ca="1" si="62"/>
        <v>OR</v>
      </c>
      <c r="V382">
        <f t="shared" si="63"/>
        <v>2</v>
      </c>
    </row>
    <row r="383" spans="1:22" x14ac:dyDescent="0.25">
      <c r="A383">
        <v>43</v>
      </c>
      <c r="B383">
        <v>4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550</v>
      </c>
      <c r="I383">
        <f t="shared" si="64"/>
        <v>378</v>
      </c>
      <c r="J383" s="6">
        <f t="array" aca="1" ref="J383:N383" ca="1">TRANSPOSE(ols(OFFSET($C$2:$C$10,I383,0),OFFSET($D$2:$H$10,I383,0)))</f>
        <v>99.642857142854155</v>
      </c>
      <c r="K383" s="6">
        <f ca="1"/>
        <v>-8.2142857142855519</v>
      </c>
      <c r="L383" s="6">
        <f ca="1"/>
        <v>-27.857142857142208</v>
      </c>
      <c r="M383" s="6">
        <f ca="1"/>
        <v>81.428571428571331</v>
      </c>
      <c r="N383" s="6">
        <f ca="1"/>
        <v>-0.22142857142856975</v>
      </c>
      <c r="O383" s="6">
        <f t="shared" ca="1" si="56"/>
        <v>-22.142857142859214</v>
      </c>
      <c r="P383" t="str">
        <f t="shared" si="57"/>
        <v>NA</v>
      </c>
      <c r="Q383" s="10">
        <f t="shared" ca="1" si="58"/>
        <v>75.714285714283861</v>
      </c>
      <c r="R383" s="10">
        <f t="shared" ca="1" si="59"/>
        <v>99.642857142854155</v>
      </c>
      <c r="S383" s="10">
        <f t="shared" ca="1" si="60"/>
        <v>-23.928571428570294</v>
      </c>
      <c r="T383" s="10">
        <f t="shared" ca="1" si="61"/>
        <v>108.06451612902795</v>
      </c>
      <c r="U383" s="10" t="str">
        <f t="shared" ca="1" si="62"/>
        <v>OR</v>
      </c>
      <c r="V383">
        <f t="shared" si="63"/>
        <v>1</v>
      </c>
    </row>
    <row r="384" spans="1:22" x14ac:dyDescent="0.25">
      <c r="A384">
        <v>43</v>
      </c>
      <c r="B384">
        <v>5</v>
      </c>
      <c r="C384">
        <v>95</v>
      </c>
      <c r="D384">
        <v>1</v>
      </c>
      <c r="E384">
        <v>0</v>
      </c>
      <c r="F384">
        <v>1</v>
      </c>
      <c r="G384">
        <v>1</v>
      </c>
      <c r="H384">
        <v>250</v>
      </c>
      <c r="I384">
        <f t="shared" si="64"/>
        <v>378</v>
      </c>
      <c r="J384" s="6">
        <f t="array" aca="1" ref="J384:N384" ca="1">TRANSPOSE(ols(OFFSET($C$2:$C$10,I384,0),OFFSET($D$2:$H$10,I384,0)))</f>
        <v>99.642857142854155</v>
      </c>
      <c r="K384" s="6">
        <f ca="1"/>
        <v>-8.2142857142855519</v>
      </c>
      <c r="L384" s="6">
        <f ca="1"/>
        <v>-27.857142857142208</v>
      </c>
      <c r="M384" s="6">
        <f ca="1"/>
        <v>81.428571428571331</v>
      </c>
      <c r="N384" s="6">
        <f ca="1"/>
        <v>-0.22142857142856975</v>
      </c>
      <c r="O384" s="6">
        <f t="shared" ca="1" si="56"/>
        <v>97.857142857140843</v>
      </c>
      <c r="P384" t="str">
        <f t="shared" si="57"/>
        <v>NA</v>
      </c>
      <c r="Q384" s="10">
        <f t="shared" ca="1" si="58"/>
        <v>75.714285714283861</v>
      </c>
      <c r="R384" s="10">
        <f t="shared" ca="1" si="59"/>
        <v>153.21428571428328</v>
      </c>
      <c r="S384" s="10">
        <f t="shared" ca="1" si="60"/>
        <v>-77.499999999999417</v>
      </c>
      <c r="T384" s="10">
        <f t="shared" ca="1" si="61"/>
        <v>350</v>
      </c>
      <c r="U384" s="10">
        <f t="shared" ca="1" si="62"/>
        <v>350</v>
      </c>
      <c r="V384">
        <f t="shared" si="63"/>
        <v>6</v>
      </c>
    </row>
    <row r="385" spans="1:22" x14ac:dyDescent="0.25">
      <c r="A385">
        <v>43</v>
      </c>
      <c r="B385">
        <v>6</v>
      </c>
      <c r="C385">
        <v>95</v>
      </c>
      <c r="D385">
        <v>1</v>
      </c>
      <c r="E385">
        <v>0</v>
      </c>
      <c r="F385">
        <v>1</v>
      </c>
      <c r="G385">
        <v>1</v>
      </c>
      <c r="H385">
        <v>350</v>
      </c>
      <c r="I385">
        <f t="shared" si="64"/>
        <v>378</v>
      </c>
      <c r="J385" s="6">
        <f t="array" aca="1" ref="J385:N385" ca="1">TRANSPOSE(ols(OFFSET($C$2:$C$10,I385,0),OFFSET($D$2:$H$10,I385,0)))</f>
        <v>99.642857142854155</v>
      </c>
      <c r="K385" s="6">
        <f ca="1"/>
        <v>-8.2142857142855519</v>
      </c>
      <c r="L385" s="6">
        <f ca="1"/>
        <v>-27.857142857142208</v>
      </c>
      <c r="M385" s="6">
        <f ca="1"/>
        <v>81.428571428571331</v>
      </c>
      <c r="N385" s="6">
        <f ca="1"/>
        <v>-0.22142857142856975</v>
      </c>
      <c r="O385" s="6">
        <f t="shared" ca="1" si="56"/>
        <v>75.714285714283861</v>
      </c>
      <c r="P385">
        <f t="shared" ca="1" si="57"/>
        <v>75.714285714283861</v>
      </c>
      <c r="Q385" s="10">
        <f t="shared" ca="1" si="58"/>
        <v>75.714285714283861</v>
      </c>
      <c r="R385" s="10">
        <f t="shared" ca="1" si="59"/>
        <v>153.21428571428328</v>
      </c>
      <c r="S385" s="10">
        <f t="shared" ca="1" si="60"/>
        <v>-77.499999999999417</v>
      </c>
      <c r="T385" s="10">
        <f t="shared" ca="1" si="61"/>
        <v>350</v>
      </c>
      <c r="U385" s="10">
        <f t="shared" ca="1" si="62"/>
        <v>350</v>
      </c>
      <c r="V385">
        <f t="shared" si="63"/>
        <v>6</v>
      </c>
    </row>
    <row r="386" spans="1:22" x14ac:dyDescent="0.25">
      <c r="A386">
        <v>43</v>
      </c>
      <c r="B386">
        <v>7</v>
      </c>
      <c r="C386">
        <v>90</v>
      </c>
      <c r="D386">
        <v>1</v>
      </c>
      <c r="E386">
        <v>1</v>
      </c>
      <c r="F386">
        <v>0</v>
      </c>
      <c r="G386">
        <v>1</v>
      </c>
      <c r="H386">
        <v>450</v>
      </c>
      <c r="I386">
        <f t="shared" si="64"/>
        <v>378</v>
      </c>
      <c r="J386" s="6">
        <f t="array" aca="1" ref="J386:N386" ca="1">TRANSPOSE(ols(OFFSET($C$2:$C$10,I386,0),OFFSET($D$2:$H$10,I386,0)))</f>
        <v>99.642857142854155</v>
      </c>
      <c r="K386" s="6">
        <f ca="1"/>
        <v>-8.2142857142855519</v>
      </c>
      <c r="L386" s="6">
        <f ca="1"/>
        <v>-27.857142857142208</v>
      </c>
      <c r="M386" s="6">
        <f ca="1"/>
        <v>81.428571428571331</v>
      </c>
      <c r="N386" s="6">
        <f ca="1"/>
        <v>-0.22142857142856975</v>
      </c>
      <c r="O386" s="6">
        <f t="shared" ca="1" si="56"/>
        <v>73.214285714283548</v>
      </c>
      <c r="P386" t="str">
        <f t="shared" si="57"/>
        <v>NA</v>
      </c>
      <c r="Q386" s="10">
        <f t="shared" ca="1" si="58"/>
        <v>75.714285714283861</v>
      </c>
      <c r="R386" s="10">
        <f t="shared" ca="1" si="59"/>
        <v>172.85714285713993</v>
      </c>
      <c r="S386" s="10">
        <f t="shared" ca="1" si="60"/>
        <v>-97.142857142856073</v>
      </c>
      <c r="T386" s="10">
        <f t="shared" ca="1" si="61"/>
        <v>438.70967741935334</v>
      </c>
      <c r="U386" s="10">
        <f t="shared" ca="1" si="62"/>
        <v>438.70967741935334</v>
      </c>
      <c r="V386">
        <f t="shared" si="63"/>
        <v>5</v>
      </c>
    </row>
    <row r="387" spans="1:22" x14ac:dyDescent="0.25">
      <c r="A387">
        <v>43</v>
      </c>
      <c r="B387">
        <v>8</v>
      </c>
      <c r="C387">
        <v>40</v>
      </c>
      <c r="D387">
        <v>1</v>
      </c>
      <c r="E387">
        <v>1</v>
      </c>
      <c r="F387">
        <v>0</v>
      </c>
      <c r="G387">
        <v>1</v>
      </c>
      <c r="H387">
        <v>550</v>
      </c>
      <c r="I387">
        <f t="shared" si="64"/>
        <v>378</v>
      </c>
      <c r="J387" s="6">
        <f t="array" aca="1" ref="J387:N387" ca="1">TRANSPOSE(ols(OFFSET($C$2:$C$10,I387,0),OFFSET($D$2:$H$10,I387,0)))</f>
        <v>99.642857142854155</v>
      </c>
      <c r="K387" s="6">
        <f ca="1"/>
        <v>-8.2142857142855519</v>
      </c>
      <c r="L387" s="6">
        <f ca="1"/>
        <v>-27.857142857142208</v>
      </c>
      <c r="M387" s="6">
        <f ca="1"/>
        <v>81.428571428571331</v>
      </c>
      <c r="N387" s="6">
        <f ca="1"/>
        <v>-0.22142857142856975</v>
      </c>
      <c r="O387" s="6">
        <f t="shared" ref="O387:O450" ca="1" si="65">SUMPRODUCT(J387:N387,D387:H387)</f>
        <v>51.071428571426566</v>
      </c>
      <c r="P387" t="str">
        <f t="shared" ref="P387:P450" si="66">IF(AND(F387=1,G387=1,H387=350),O387,"NA")</f>
        <v>NA</v>
      </c>
      <c r="Q387" s="10">
        <f t="shared" ref="Q387:Q450" ca="1" si="67">AVERAGEIF($A$2:$A$5383,A387,$P$2:$P$5383)</f>
        <v>75.714285714283861</v>
      </c>
      <c r="R387" s="10">
        <f t="shared" ref="R387:R450" ca="1" si="68">O387-N387*H387</f>
        <v>172.85714285713993</v>
      </c>
      <c r="S387" s="10">
        <f t="shared" ref="S387:S450" ca="1" si="69">Q387-R387</f>
        <v>-97.142857142856073</v>
      </c>
      <c r="T387" s="10">
        <f t="shared" ref="T387:T450" ca="1" si="70">S387/N387</f>
        <v>438.70967741935334</v>
      </c>
      <c r="U387" s="10">
        <f t="shared" ref="U387:U450" ca="1" si="71">IF(OR(T387&lt;250,T387&gt;650),"OR",T387)</f>
        <v>438.70967741935334</v>
      </c>
      <c r="V387">
        <f t="shared" ref="V387:V450" si="72">IF(AND(E387=1,G387=0),2,IF(AND(F387=1,G387=0),3,IF(AND(E387=1,G387=1),5,IF(AND(F387=1,G387=1),6,IF(G387=0,1,IF(G387=1,4))))))</f>
        <v>5</v>
      </c>
    </row>
    <row r="388" spans="1:22" x14ac:dyDescent="0.25">
      <c r="A388">
        <v>43</v>
      </c>
      <c r="B388">
        <v>9</v>
      </c>
      <c r="C388">
        <v>15</v>
      </c>
      <c r="D388">
        <v>1</v>
      </c>
      <c r="E388">
        <v>0</v>
      </c>
      <c r="F388">
        <v>0</v>
      </c>
      <c r="G388">
        <v>1</v>
      </c>
      <c r="H388">
        <v>650</v>
      </c>
      <c r="I388">
        <f t="shared" si="64"/>
        <v>378</v>
      </c>
      <c r="J388" s="6">
        <f t="array" aca="1" ref="J388:N388" ca="1">TRANSPOSE(ols(OFFSET($C$2:$C$10,I388,0),OFFSET($D$2:$H$10,I388,0)))</f>
        <v>99.642857142854155</v>
      </c>
      <c r="K388" s="6">
        <f ca="1"/>
        <v>-8.2142857142855519</v>
      </c>
      <c r="L388" s="6">
        <f ca="1"/>
        <v>-27.857142857142208</v>
      </c>
      <c r="M388" s="6">
        <f ca="1"/>
        <v>81.428571428571331</v>
      </c>
      <c r="N388" s="6">
        <f ca="1"/>
        <v>-0.22142857142856975</v>
      </c>
      <c r="O388" s="6">
        <f t="shared" ca="1" si="65"/>
        <v>37.142857142855149</v>
      </c>
      <c r="P388" t="str">
        <f t="shared" si="66"/>
        <v>NA</v>
      </c>
      <c r="Q388" s="10">
        <f t="shared" ca="1" si="67"/>
        <v>75.714285714283861</v>
      </c>
      <c r="R388" s="10">
        <f t="shared" ca="1" si="68"/>
        <v>181.07142857142549</v>
      </c>
      <c r="S388" s="10">
        <f t="shared" ca="1" si="69"/>
        <v>-105.35714285714162</v>
      </c>
      <c r="T388" s="10">
        <f t="shared" ca="1" si="70"/>
        <v>475.80645161290124</v>
      </c>
      <c r="U388" s="10">
        <f t="shared" ca="1" si="71"/>
        <v>475.80645161290124</v>
      </c>
      <c r="V388">
        <f t="shared" si="72"/>
        <v>4</v>
      </c>
    </row>
    <row r="389" spans="1:22" x14ac:dyDescent="0.25">
      <c r="A389">
        <v>44</v>
      </c>
      <c r="B389">
        <v>1</v>
      </c>
      <c r="C389">
        <v>0</v>
      </c>
      <c r="D389">
        <v>1</v>
      </c>
      <c r="E389">
        <v>0</v>
      </c>
      <c r="F389">
        <v>1</v>
      </c>
      <c r="G389">
        <v>0</v>
      </c>
      <c r="H389">
        <v>250</v>
      </c>
      <c r="I389">
        <f t="shared" si="64"/>
        <v>387</v>
      </c>
      <c r="J389" s="6">
        <f t="array" aca="1" ref="J389:N389" ca="1">TRANSPOSE(ols(OFFSET($C$2:$C$10,I389,0),OFFSET($D$2:$H$10,I389,0)))</f>
        <v>-5.9523809523816453</v>
      </c>
      <c r="K389" s="6">
        <f ca="1"/>
        <v>21.428571428571331</v>
      </c>
      <c r="L389" s="6">
        <f ca="1"/>
        <v>19.047619047619264</v>
      </c>
      <c r="M389" s="6">
        <f ca="1"/>
        <v>90.476190476190936</v>
      </c>
      <c r="N389" s="6">
        <f ca="1"/>
        <v>-2.3809523809525501E-2</v>
      </c>
      <c r="O389" s="6">
        <f t="shared" ca="1" si="65"/>
        <v>7.1428571428562435</v>
      </c>
      <c r="P389" t="str">
        <f t="shared" si="66"/>
        <v>NA</v>
      </c>
      <c r="Q389" s="10">
        <f t="shared" ca="1" si="67"/>
        <v>95.23809523809463</v>
      </c>
      <c r="R389" s="10">
        <f t="shared" ca="1" si="68"/>
        <v>13.095238095237619</v>
      </c>
      <c r="S389" s="10">
        <f t="shared" ca="1" si="69"/>
        <v>82.142857142857011</v>
      </c>
      <c r="T389" s="10">
        <f t="shared" ca="1" si="70"/>
        <v>-3449.9999999997494</v>
      </c>
      <c r="U389" s="10" t="str">
        <f t="shared" ca="1" si="71"/>
        <v>OR</v>
      </c>
      <c r="V389">
        <f t="shared" si="72"/>
        <v>3</v>
      </c>
    </row>
    <row r="390" spans="1:22" x14ac:dyDescent="0.25">
      <c r="A390">
        <v>44</v>
      </c>
      <c r="B390">
        <v>2</v>
      </c>
      <c r="C390">
        <v>0</v>
      </c>
      <c r="D390">
        <v>1</v>
      </c>
      <c r="E390">
        <v>1</v>
      </c>
      <c r="F390">
        <v>0</v>
      </c>
      <c r="G390">
        <v>0</v>
      </c>
      <c r="H390">
        <v>350</v>
      </c>
      <c r="I390">
        <f t="shared" si="64"/>
        <v>387</v>
      </c>
      <c r="J390" s="6">
        <f t="array" aca="1" ref="J390:N390" ca="1">TRANSPOSE(ols(OFFSET($C$2:$C$10,I390,0),OFFSET($D$2:$H$10,I390,0)))</f>
        <v>-5.9523809523816453</v>
      </c>
      <c r="K390" s="6">
        <f ca="1"/>
        <v>21.428571428571331</v>
      </c>
      <c r="L390" s="6">
        <f ca="1"/>
        <v>19.047619047619264</v>
      </c>
      <c r="M390" s="6">
        <f ca="1"/>
        <v>90.476190476190936</v>
      </c>
      <c r="N390" s="6">
        <f ca="1"/>
        <v>-2.3809523809525501E-2</v>
      </c>
      <c r="O390" s="6">
        <f t="shared" ca="1" si="65"/>
        <v>7.1428571428557603</v>
      </c>
      <c r="P390" t="str">
        <f t="shared" si="66"/>
        <v>NA</v>
      </c>
      <c r="Q390" s="10">
        <f t="shared" ca="1" si="67"/>
        <v>95.23809523809463</v>
      </c>
      <c r="R390" s="10">
        <f t="shared" ca="1" si="68"/>
        <v>15.476190476189686</v>
      </c>
      <c r="S390" s="10">
        <f t="shared" ca="1" si="69"/>
        <v>79.761904761904944</v>
      </c>
      <c r="T390" s="10">
        <f t="shared" ca="1" si="70"/>
        <v>-3349.9999999997694</v>
      </c>
      <c r="U390" s="10" t="str">
        <f t="shared" ca="1" si="71"/>
        <v>OR</v>
      </c>
      <c r="V390">
        <f t="shared" si="72"/>
        <v>2</v>
      </c>
    </row>
    <row r="391" spans="1:22" x14ac:dyDescent="0.25">
      <c r="A391">
        <v>44</v>
      </c>
      <c r="B391">
        <v>3</v>
      </c>
      <c r="C391">
        <v>0</v>
      </c>
      <c r="D391">
        <v>1</v>
      </c>
      <c r="E391">
        <v>1</v>
      </c>
      <c r="F391">
        <v>0</v>
      </c>
      <c r="G391">
        <v>0</v>
      </c>
      <c r="H391">
        <v>450</v>
      </c>
      <c r="I391">
        <f t="shared" si="64"/>
        <v>387</v>
      </c>
      <c r="J391" s="6">
        <f t="array" aca="1" ref="J391:N391" ca="1">TRANSPOSE(ols(OFFSET($C$2:$C$10,I391,0),OFFSET($D$2:$H$10,I391,0)))</f>
        <v>-5.9523809523816453</v>
      </c>
      <c r="K391" s="6">
        <f ca="1"/>
        <v>21.428571428571331</v>
      </c>
      <c r="L391" s="6">
        <f ca="1"/>
        <v>19.047619047619264</v>
      </c>
      <c r="M391" s="6">
        <f ca="1"/>
        <v>90.476190476190936</v>
      </c>
      <c r="N391" s="6">
        <f ca="1"/>
        <v>-2.3809523809525501E-2</v>
      </c>
      <c r="O391" s="6">
        <f t="shared" ca="1" si="65"/>
        <v>4.7619047619032102</v>
      </c>
      <c r="P391" t="str">
        <f t="shared" si="66"/>
        <v>NA</v>
      </c>
      <c r="Q391" s="10">
        <f t="shared" ca="1" si="67"/>
        <v>95.23809523809463</v>
      </c>
      <c r="R391" s="10">
        <f t="shared" ca="1" si="68"/>
        <v>15.476190476189686</v>
      </c>
      <c r="S391" s="10">
        <f t="shared" ca="1" si="69"/>
        <v>79.761904761904944</v>
      </c>
      <c r="T391" s="10">
        <f t="shared" ca="1" si="70"/>
        <v>-3349.9999999997694</v>
      </c>
      <c r="U391" s="10" t="str">
        <f t="shared" ca="1" si="71"/>
        <v>OR</v>
      </c>
      <c r="V391">
        <f t="shared" si="72"/>
        <v>2</v>
      </c>
    </row>
    <row r="392" spans="1:22" x14ac:dyDescent="0.25">
      <c r="A392">
        <v>44</v>
      </c>
      <c r="B392">
        <v>4</v>
      </c>
      <c r="C392">
        <v>0</v>
      </c>
      <c r="D392">
        <v>1</v>
      </c>
      <c r="E392">
        <v>0</v>
      </c>
      <c r="F392">
        <v>0</v>
      </c>
      <c r="G392">
        <v>0</v>
      </c>
      <c r="H392">
        <v>550</v>
      </c>
      <c r="I392">
        <f t="shared" si="64"/>
        <v>387</v>
      </c>
      <c r="J392" s="6">
        <f t="array" aca="1" ref="J392:N392" ca="1">TRANSPOSE(ols(OFFSET($C$2:$C$10,I392,0),OFFSET($D$2:$H$10,I392,0)))</f>
        <v>-5.9523809523816453</v>
      </c>
      <c r="K392" s="6">
        <f ca="1"/>
        <v>21.428571428571331</v>
      </c>
      <c r="L392" s="6">
        <f ca="1"/>
        <v>19.047619047619264</v>
      </c>
      <c r="M392" s="6">
        <f ca="1"/>
        <v>90.476190476190936</v>
      </c>
      <c r="N392" s="6">
        <f ca="1"/>
        <v>-2.3809523809525501E-2</v>
      </c>
      <c r="O392" s="6">
        <f t="shared" ca="1" si="65"/>
        <v>-19.047619047620671</v>
      </c>
      <c r="P392" t="str">
        <f t="shared" si="66"/>
        <v>NA</v>
      </c>
      <c r="Q392" s="10">
        <f t="shared" ca="1" si="67"/>
        <v>95.23809523809463</v>
      </c>
      <c r="R392" s="10">
        <f t="shared" ca="1" si="68"/>
        <v>-5.9523809523816453</v>
      </c>
      <c r="S392" s="10">
        <f t="shared" ca="1" si="69"/>
        <v>101.19047619047628</v>
      </c>
      <c r="T392" s="10">
        <f t="shared" ca="1" si="70"/>
        <v>-4249.9999999997017</v>
      </c>
      <c r="U392" s="10" t="str">
        <f t="shared" ca="1" si="71"/>
        <v>OR</v>
      </c>
      <c r="V392">
        <f t="shared" si="72"/>
        <v>1</v>
      </c>
    </row>
    <row r="393" spans="1:22" x14ac:dyDescent="0.25">
      <c r="A393">
        <v>44</v>
      </c>
      <c r="B393">
        <v>5</v>
      </c>
      <c r="C393">
        <v>100</v>
      </c>
      <c r="D393">
        <v>1</v>
      </c>
      <c r="E393">
        <v>0</v>
      </c>
      <c r="F393">
        <v>1</v>
      </c>
      <c r="G393">
        <v>1</v>
      </c>
      <c r="H393">
        <v>250</v>
      </c>
      <c r="I393">
        <f t="shared" si="64"/>
        <v>387</v>
      </c>
      <c r="J393" s="6">
        <f t="array" aca="1" ref="J393:N393" ca="1">TRANSPOSE(ols(OFFSET($C$2:$C$10,I393,0),OFFSET($D$2:$H$10,I393,0)))</f>
        <v>-5.9523809523816453</v>
      </c>
      <c r="K393" s="6">
        <f ca="1"/>
        <v>21.428571428571331</v>
      </c>
      <c r="L393" s="6">
        <f ca="1"/>
        <v>19.047619047619264</v>
      </c>
      <c r="M393" s="6">
        <f ca="1"/>
        <v>90.476190476190936</v>
      </c>
      <c r="N393" s="6">
        <f ca="1"/>
        <v>-2.3809523809525501E-2</v>
      </c>
      <c r="O393" s="6">
        <f t="shared" ca="1" si="65"/>
        <v>97.61904761904718</v>
      </c>
      <c r="P393" t="str">
        <f t="shared" si="66"/>
        <v>NA</v>
      </c>
      <c r="Q393" s="10">
        <f t="shared" ca="1" si="67"/>
        <v>95.23809523809463</v>
      </c>
      <c r="R393" s="10">
        <f t="shared" ca="1" si="68"/>
        <v>103.57142857142856</v>
      </c>
      <c r="S393" s="10">
        <f t="shared" ca="1" si="69"/>
        <v>-8.3333333333339255</v>
      </c>
      <c r="T393" s="10">
        <f t="shared" ca="1" si="70"/>
        <v>350</v>
      </c>
      <c r="U393" s="10">
        <f t="shared" ca="1" si="71"/>
        <v>350</v>
      </c>
      <c r="V393">
        <f t="shared" si="72"/>
        <v>6</v>
      </c>
    </row>
    <row r="394" spans="1:22" x14ac:dyDescent="0.25">
      <c r="A394">
        <v>44</v>
      </c>
      <c r="B394">
        <v>6</v>
      </c>
      <c r="C394">
        <v>100</v>
      </c>
      <c r="D394">
        <v>1</v>
      </c>
      <c r="E394">
        <v>0</v>
      </c>
      <c r="F394">
        <v>1</v>
      </c>
      <c r="G394">
        <v>1</v>
      </c>
      <c r="H394">
        <v>350</v>
      </c>
      <c r="I394">
        <f t="shared" si="64"/>
        <v>387</v>
      </c>
      <c r="J394" s="6">
        <f t="array" aca="1" ref="J394:N394" ca="1">TRANSPOSE(ols(OFFSET($C$2:$C$10,I394,0),OFFSET($D$2:$H$10,I394,0)))</f>
        <v>-5.9523809523816453</v>
      </c>
      <c r="K394" s="6">
        <f ca="1"/>
        <v>21.428571428571331</v>
      </c>
      <c r="L394" s="6">
        <f ca="1"/>
        <v>19.047619047619264</v>
      </c>
      <c r="M394" s="6">
        <f ca="1"/>
        <v>90.476190476190936</v>
      </c>
      <c r="N394" s="6">
        <f ca="1"/>
        <v>-2.3809523809525501E-2</v>
      </c>
      <c r="O394" s="6">
        <f t="shared" ca="1" si="65"/>
        <v>95.23809523809463</v>
      </c>
      <c r="P394">
        <f t="shared" ca="1" si="66"/>
        <v>95.23809523809463</v>
      </c>
      <c r="Q394" s="10">
        <f t="shared" ca="1" si="67"/>
        <v>95.23809523809463</v>
      </c>
      <c r="R394" s="10">
        <f t="shared" ca="1" si="68"/>
        <v>103.57142857142856</v>
      </c>
      <c r="S394" s="10">
        <f t="shared" ca="1" si="69"/>
        <v>-8.3333333333339255</v>
      </c>
      <c r="T394" s="10">
        <f t="shared" ca="1" si="70"/>
        <v>350</v>
      </c>
      <c r="U394" s="10">
        <f t="shared" ca="1" si="71"/>
        <v>350</v>
      </c>
      <c r="V394">
        <f t="shared" si="72"/>
        <v>6</v>
      </c>
    </row>
    <row r="395" spans="1:22" x14ac:dyDescent="0.25">
      <c r="A395">
        <v>44</v>
      </c>
      <c r="B395">
        <v>7</v>
      </c>
      <c r="C395">
        <v>100</v>
      </c>
      <c r="D395">
        <v>1</v>
      </c>
      <c r="E395">
        <v>1</v>
      </c>
      <c r="F395">
        <v>0</v>
      </c>
      <c r="G395">
        <v>1</v>
      </c>
      <c r="H395">
        <v>450</v>
      </c>
      <c r="I395">
        <f t="shared" si="64"/>
        <v>387</v>
      </c>
      <c r="J395" s="6">
        <f t="array" aca="1" ref="J395:N395" ca="1">TRANSPOSE(ols(OFFSET($C$2:$C$10,I395,0),OFFSET($D$2:$H$10,I395,0)))</f>
        <v>-5.9523809523816453</v>
      </c>
      <c r="K395" s="6">
        <f ca="1"/>
        <v>21.428571428571331</v>
      </c>
      <c r="L395" s="6">
        <f ca="1"/>
        <v>19.047619047619264</v>
      </c>
      <c r="M395" s="6">
        <f ca="1"/>
        <v>90.476190476190936</v>
      </c>
      <c r="N395" s="6">
        <f ca="1"/>
        <v>-2.3809523809525501E-2</v>
      </c>
      <c r="O395" s="6">
        <f t="shared" ca="1" si="65"/>
        <v>95.238095238094147</v>
      </c>
      <c r="P395" t="str">
        <f t="shared" si="66"/>
        <v>NA</v>
      </c>
      <c r="Q395" s="10">
        <f t="shared" ca="1" si="67"/>
        <v>95.23809523809463</v>
      </c>
      <c r="R395" s="10">
        <f t="shared" ca="1" si="68"/>
        <v>105.95238095238062</v>
      </c>
      <c r="S395" s="10">
        <f t="shared" ca="1" si="69"/>
        <v>-10.714285714285992</v>
      </c>
      <c r="T395" s="10">
        <f t="shared" ca="1" si="70"/>
        <v>449.99999999997971</v>
      </c>
      <c r="U395" s="10">
        <f t="shared" ca="1" si="71"/>
        <v>449.99999999997971</v>
      </c>
      <c r="V395">
        <f t="shared" si="72"/>
        <v>5</v>
      </c>
    </row>
    <row r="396" spans="1:22" x14ac:dyDescent="0.25">
      <c r="A396">
        <v>44</v>
      </c>
      <c r="B396">
        <v>8</v>
      </c>
      <c r="C396">
        <v>100</v>
      </c>
      <c r="D396">
        <v>1</v>
      </c>
      <c r="E396">
        <v>1</v>
      </c>
      <c r="F396">
        <v>0</v>
      </c>
      <c r="G396">
        <v>1</v>
      </c>
      <c r="H396">
        <v>550</v>
      </c>
      <c r="I396">
        <f t="shared" ref="I396:I459" si="73">IF(A396&gt;A395,I395+9,I395)</f>
        <v>387</v>
      </c>
      <c r="J396" s="6">
        <f t="array" aca="1" ref="J396:N396" ca="1">TRANSPOSE(ols(OFFSET($C$2:$C$10,I396,0),OFFSET($D$2:$H$10,I396,0)))</f>
        <v>-5.9523809523816453</v>
      </c>
      <c r="K396" s="6">
        <f ca="1"/>
        <v>21.428571428571331</v>
      </c>
      <c r="L396" s="6">
        <f ca="1"/>
        <v>19.047619047619264</v>
      </c>
      <c r="M396" s="6">
        <f ca="1"/>
        <v>90.476190476190936</v>
      </c>
      <c r="N396" s="6">
        <f ca="1"/>
        <v>-2.3809523809525501E-2</v>
      </c>
      <c r="O396" s="6">
        <f t="shared" ca="1" si="65"/>
        <v>92.857142857141596</v>
      </c>
      <c r="P396" t="str">
        <f t="shared" si="66"/>
        <v>NA</v>
      </c>
      <c r="Q396" s="10">
        <f t="shared" ca="1" si="67"/>
        <v>95.23809523809463</v>
      </c>
      <c r="R396" s="10">
        <f t="shared" ca="1" si="68"/>
        <v>105.95238095238062</v>
      </c>
      <c r="S396" s="10">
        <f t="shared" ca="1" si="69"/>
        <v>-10.714285714285992</v>
      </c>
      <c r="T396" s="10">
        <f t="shared" ca="1" si="70"/>
        <v>449.99999999997971</v>
      </c>
      <c r="U396" s="10">
        <f t="shared" ca="1" si="71"/>
        <v>449.99999999997971</v>
      </c>
      <c r="V396">
        <f t="shared" si="72"/>
        <v>5</v>
      </c>
    </row>
    <row r="397" spans="1:22" x14ac:dyDescent="0.25">
      <c r="A397">
        <v>44</v>
      </c>
      <c r="B397">
        <v>9</v>
      </c>
      <c r="C397">
        <v>50</v>
      </c>
      <c r="D397">
        <v>1</v>
      </c>
      <c r="E397">
        <v>0</v>
      </c>
      <c r="F397">
        <v>0</v>
      </c>
      <c r="G397">
        <v>1</v>
      </c>
      <c r="H397">
        <v>650</v>
      </c>
      <c r="I397">
        <f t="shared" si="73"/>
        <v>387</v>
      </c>
      <c r="J397" s="6">
        <f t="array" aca="1" ref="J397:N397" ca="1">TRANSPOSE(ols(OFFSET($C$2:$C$10,I397,0),OFFSET($D$2:$H$10,I397,0)))</f>
        <v>-5.9523809523816453</v>
      </c>
      <c r="K397" s="6">
        <f ca="1"/>
        <v>21.428571428571331</v>
      </c>
      <c r="L397" s="6">
        <f ca="1"/>
        <v>19.047619047619264</v>
      </c>
      <c r="M397" s="6">
        <f ca="1"/>
        <v>90.476190476190936</v>
      </c>
      <c r="N397" s="6">
        <f ca="1"/>
        <v>-2.3809523809525501E-2</v>
      </c>
      <c r="O397" s="6">
        <f t="shared" ca="1" si="65"/>
        <v>69.047619047617715</v>
      </c>
      <c r="P397" t="str">
        <f t="shared" si="66"/>
        <v>NA</v>
      </c>
      <c r="Q397" s="10">
        <f t="shared" ca="1" si="67"/>
        <v>95.23809523809463</v>
      </c>
      <c r="R397" s="10">
        <f t="shared" ca="1" si="68"/>
        <v>84.523809523809291</v>
      </c>
      <c r="S397" s="10">
        <f t="shared" ca="1" si="69"/>
        <v>10.714285714285339</v>
      </c>
      <c r="T397" s="10">
        <f t="shared" ca="1" si="70"/>
        <v>-449.99999999995225</v>
      </c>
      <c r="U397" s="10" t="str">
        <f t="shared" ca="1" si="71"/>
        <v>OR</v>
      </c>
      <c r="V397">
        <f t="shared" si="72"/>
        <v>4</v>
      </c>
    </row>
    <row r="398" spans="1:22" x14ac:dyDescent="0.25">
      <c r="A398">
        <v>45</v>
      </c>
      <c r="B398">
        <v>1</v>
      </c>
      <c r="C398">
        <v>0</v>
      </c>
      <c r="D398">
        <v>1</v>
      </c>
      <c r="E398">
        <v>0</v>
      </c>
      <c r="F398">
        <v>1</v>
      </c>
      <c r="G398">
        <v>0</v>
      </c>
      <c r="H398">
        <v>250</v>
      </c>
      <c r="I398">
        <f t="shared" si="73"/>
        <v>396</v>
      </c>
      <c r="J398" s="6">
        <f t="array" aca="1" ref="J398:N398" ca="1">TRANSPOSE(ols(OFFSET($C$2:$C$10,I398,0),OFFSET($D$2:$H$10,I398,0)))</f>
        <v>2.6190476190474783</v>
      </c>
      <c r="K398" s="6">
        <f ca="1"/>
        <v>1.071428571428612</v>
      </c>
      <c r="L398" s="6">
        <f ca="1"/>
        <v>2.6190476190474783</v>
      </c>
      <c r="M398" s="6">
        <f ca="1"/>
        <v>16.190476190476232</v>
      </c>
      <c r="N398" s="6">
        <f ca="1"/>
        <v>-9.5238095238099341E-3</v>
      </c>
      <c r="O398" s="6">
        <f t="shared" ca="1" si="65"/>
        <v>2.8571428571424731</v>
      </c>
      <c r="P398" t="str">
        <f t="shared" si="66"/>
        <v>NA</v>
      </c>
      <c r="Q398" s="10">
        <f t="shared" ca="1" si="67"/>
        <v>18.095238095237711</v>
      </c>
      <c r="R398" s="10">
        <f t="shared" ca="1" si="68"/>
        <v>5.2380952380949566</v>
      </c>
      <c r="S398" s="10">
        <f t="shared" ca="1" si="69"/>
        <v>12.857142857142755</v>
      </c>
      <c r="T398" s="10">
        <f t="shared" ca="1" si="70"/>
        <v>-1349.9999999999311</v>
      </c>
      <c r="U398" s="10" t="str">
        <f t="shared" ca="1" si="71"/>
        <v>OR</v>
      </c>
      <c r="V398">
        <f t="shared" si="72"/>
        <v>3</v>
      </c>
    </row>
    <row r="399" spans="1:22" x14ac:dyDescent="0.25">
      <c r="A399">
        <v>45</v>
      </c>
      <c r="B399">
        <v>2</v>
      </c>
      <c r="C399">
        <v>0</v>
      </c>
      <c r="D399">
        <v>1</v>
      </c>
      <c r="E399">
        <v>1</v>
      </c>
      <c r="F399">
        <v>0</v>
      </c>
      <c r="G399">
        <v>0</v>
      </c>
      <c r="H399">
        <v>350</v>
      </c>
      <c r="I399">
        <f t="shared" si="73"/>
        <v>396</v>
      </c>
      <c r="J399" s="6">
        <f t="array" aca="1" ref="J399:N399" ca="1">TRANSPOSE(ols(OFFSET($C$2:$C$10,I399,0),OFFSET($D$2:$H$10,I399,0)))</f>
        <v>2.6190476190474783</v>
      </c>
      <c r="K399" s="6">
        <f ca="1"/>
        <v>1.071428571428612</v>
      </c>
      <c r="L399" s="6">
        <f ca="1"/>
        <v>2.6190476190474783</v>
      </c>
      <c r="M399" s="6">
        <f ca="1"/>
        <v>16.190476190476232</v>
      </c>
      <c r="N399" s="6">
        <f ca="1"/>
        <v>-9.5238095238099341E-3</v>
      </c>
      <c r="O399" s="6">
        <f t="shared" ca="1" si="65"/>
        <v>0.3571428571426134</v>
      </c>
      <c r="P399" t="str">
        <f t="shared" si="66"/>
        <v>NA</v>
      </c>
      <c r="Q399" s="10">
        <f t="shared" ca="1" si="67"/>
        <v>18.095238095237711</v>
      </c>
      <c r="R399" s="10">
        <f t="shared" ca="1" si="68"/>
        <v>3.6904761904760903</v>
      </c>
      <c r="S399" s="10">
        <f t="shared" ca="1" si="69"/>
        <v>14.404761904761621</v>
      </c>
      <c r="T399" s="10">
        <f t="shared" ca="1" si="70"/>
        <v>-1512.499999999905</v>
      </c>
      <c r="U399" s="10" t="str">
        <f t="shared" ca="1" si="71"/>
        <v>OR</v>
      </c>
      <c r="V399">
        <f t="shared" si="72"/>
        <v>2</v>
      </c>
    </row>
    <row r="400" spans="1:22" x14ac:dyDescent="0.25">
      <c r="A400">
        <v>45</v>
      </c>
      <c r="B400">
        <v>3</v>
      </c>
      <c r="C400">
        <v>0</v>
      </c>
      <c r="D400">
        <v>1</v>
      </c>
      <c r="E400">
        <v>1</v>
      </c>
      <c r="F400">
        <v>0</v>
      </c>
      <c r="G400">
        <v>0</v>
      </c>
      <c r="H400">
        <v>450</v>
      </c>
      <c r="I400">
        <f t="shared" si="73"/>
        <v>396</v>
      </c>
      <c r="J400" s="6">
        <f t="array" aca="1" ref="J400:N400" ca="1">TRANSPOSE(ols(OFFSET($C$2:$C$10,I400,0),OFFSET($D$2:$H$10,I400,0)))</f>
        <v>2.6190476190474783</v>
      </c>
      <c r="K400" s="6">
        <f ca="1"/>
        <v>1.071428571428612</v>
      </c>
      <c r="L400" s="6">
        <f ca="1"/>
        <v>2.6190476190474783</v>
      </c>
      <c r="M400" s="6">
        <f ca="1"/>
        <v>16.190476190476232</v>
      </c>
      <c r="N400" s="6">
        <f ca="1"/>
        <v>-9.5238095238099341E-3</v>
      </c>
      <c r="O400" s="6">
        <f t="shared" ca="1" si="65"/>
        <v>-0.59523809523838001</v>
      </c>
      <c r="P400" t="str">
        <f t="shared" si="66"/>
        <v>NA</v>
      </c>
      <c r="Q400" s="10">
        <f t="shared" ca="1" si="67"/>
        <v>18.095238095237711</v>
      </c>
      <c r="R400" s="10">
        <f t="shared" ca="1" si="68"/>
        <v>3.6904761904760903</v>
      </c>
      <c r="S400" s="10">
        <f t="shared" ca="1" si="69"/>
        <v>14.404761904761621</v>
      </c>
      <c r="T400" s="10">
        <f t="shared" ca="1" si="70"/>
        <v>-1512.499999999905</v>
      </c>
      <c r="U400" s="10" t="str">
        <f t="shared" ca="1" si="71"/>
        <v>OR</v>
      </c>
      <c r="V400">
        <f t="shared" si="72"/>
        <v>2</v>
      </c>
    </row>
    <row r="401" spans="1:22" x14ac:dyDescent="0.25">
      <c r="A401">
        <v>45</v>
      </c>
      <c r="B401">
        <v>4</v>
      </c>
      <c r="C401">
        <v>0</v>
      </c>
      <c r="D401">
        <v>1</v>
      </c>
      <c r="E401">
        <v>0</v>
      </c>
      <c r="F401">
        <v>0</v>
      </c>
      <c r="G401">
        <v>0</v>
      </c>
      <c r="H401">
        <v>550</v>
      </c>
      <c r="I401">
        <f t="shared" si="73"/>
        <v>396</v>
      </c>
      <c r="J401" s="6">
        <f t="array" aca="1" ref="J401:N401" ca="1">TRANSPOSE(ols(OFFSET($C$2:$C$10,I401,0),OFFSET($D$2:$H$10,I401,0)))</f>
        <v>2.6190476190474783</v>
      </c>
      <c r="K401" s="6">
        <f ca="1"/>
        <v>1.071428571428612</v>
      </c>
      <c r="L401" s="6">
        <f ca="1"/>
        <v>2.6190476190474783</v>
      </c>
      <c r="M401" s="6">
        <f ca="1"/>
        <v>16.190476190476232</v>
      </c>
      <c r="N401" s="6">
        <f ca="1"/>
        <v>-9.5238095238099341E-3</v>
      </c>
      <c r="O401" s="6">
        <f t="shared" ca="1" si="65"/>
        <v>-2.6190476190479854</v>
      </c>
      <c r="P401" t="str">
        <f t="shared" si="66"/>
        <v>NA</v>
      </c>
      <c r="Q401" s="10">
        <f t="shared" ca="1" si="67"/>
        <v>18.095238095237711</v>
      </c>
      <c r="R401" s="10">
        <f t="shared" ca="1" si="68"/>
        <v>2.6190476190474783</v>
      </c>
      <c r="S401" s="10">
        <f t="shared" ca="1" si="69"/>
        <v>15.476190476190233</v>
      </c>
      <c r="T401" s="10">
        <f t="shared" ca="1" si="70"/>
        <v>-1624.9999999999045</v>
      </c>
      <c r="U401" s="10" t="str">
        <f t="shared" ca="1" si="71"/>
        <v>OR</v>
      </c>
      <c r="V401">
        <f t="shared" si="72"/>
        <v>1</v>
      </c>
    </row>
    <row r="402" spans="1:22" x14ac:dyDescent="0.25">
      <c r="A402">
        <v>45</v>
      </c>
      <c r="B402">
        <v>5</v>
      </c>
      <c r="C402">
        <v>20</v>
      </c>
      <c r="D402">
        <v>1</v>
      </c>
      <c r="E402">
        <v>0</v>
      </c>
      <c r="F402">
        <v>1</v>
      </c>
      <c r="G402">
        <v>1</v>
      </c>
      <c r="H402">
        <v>250</v>
      </c>
      <c r="I402">
        <f t="shared" si="73"/>
        <v>396</v>
      </c>
      <c r="J402" s="6">
        <f t="array" aca="1" ref="J402:N402" ca="1">TRANSPOSE(ols(OFFSET($C$2:$C$10,I402,0),OFFSET($D$2:$H$10,I402,0)))</f>
        <v>2.6190476190474783</v>
      </c>
      <c r="K402" s="6">
        <f ca="1"/>
        <v>1.071428571428612</v>
      </c>
      <c r="L402" s="6">
        <f ca="1"/>
        <v>2.6190476190474783</v>
      </c>
      <c r="M402" s="6">
        <f ca="1"/>
        <v>16.190476190476232</v>
      </c>
      <c r="N402" s="6">
        <f ca="1"/>
        <v>-9.5238095238099341E-3</v>
      </c>
      <c r="O402" s="6">
        <f t="shared" ca="1" si="65"/>
        <v>19.047619047618706</v>
      </c>
      <c r="P402" t="str">
        <f t="shared" si="66"/>
        <v>NA</v>
      </c>
      <c r="Q402" s="10">
        <f t="shared" ca="1" si="67"/>
        <v>18.095238095237711</v>
      </c>
      <c r="R402" s="10">
        <f t="shared" ca="1" si="68"/>
        <v>21.428571428571189</v>
      </c>
      <c r="S402" s="10">
        <f t="shared" ca="1" si="69"/>
        <v>-3.3333333333334778</v>
      </c>
      <c r="T402" s="10">
        <f t="shared" ca="1" si="70"/>
        <v>350.00000000000011</v>
      </c>
      <c r="U402" s="10">
        <f t="shared" ca="1" si="71"/>
        <v>350.00000000000011</v>
      </c>
      <c r="V402">
        <f t="shared" si="72"/>
        <v>6</v>
      </c>
    </row>
    <row r="403" spans="1:22" x14ac:dyDescent="0.25">
      <c r="A403">
        <v>45</v>
      </c>
      <c r="B403">
        <v>6</v>
      </c>
      <c r="C403">
        <v>20</v>
      </c>
      <c r="D403">
        <v>1</v>
      </c>
      <c r="E403">
        <v>0</v>
      </c>
      <c r="F403">
        <v>1</v>
      </c>
      <c r="G403">
        <v>1</v>
      </c>
      <c r="H403">
        <v>350</v>
      </c>
      <c r="I403">
        <f t="shared" si="73"/>
        <v>396</v>
      </c>
      <c r="J403" s="6">
        <f t="array" aca="1" ref="J403:N403" ca="1">TRANSPOSE(ols(OFFSET($C$2:$C$10,I403,0),OFFSET($D$2:$H$10,I403,0)))</f>
        <v>2.6190476190474783</v>
      </c>
      <c r="K403" s="6">
        <f ca="1"/>
        <v>1.071428571428612</v>
      </c>
      <c r="L403" s="6">
        <f ca="1"/>
        <v>2.6190476190474783</v>
      </c>
      <c r="M403" s="6">
        <f ca="1"/>
        <v>16.190476190476232</v>
      </c>
      <c r="N403" s="6">
        <f ca="1"/>
        <v>-9.5238095238099341E-3</v>
      </c>
      <c r="O403" s="6">
        <f t="shared" ca="1" si="65"/>
        <v>18.095238095237711</v>
      </c>
      <c r="P403">
        <f t="shared" ca="1" si="66"/>
        <v>18.095238095237711</v>
      </c>
      <c r="Q403" s="10">
        <f t="shared" ca="1" si="67"/>
        <v>18.095238095237711</v>
      </c>
      <c r="R403" s="10">
        <f t="shared" ca="1" si="68"/>
        <v>21.428571428571189</v>
      </c>
      <c r="S403" s="10">
        <f t="shared" ca="1" si="69"/>
        <v>-3.3333333333334778</v>
      </c>
      <c r="T403" s="10">
        <f t="shared" ca="1" si="70"/>
        <v>350.00000000000011</v>
      </c>
      <c r="U403" s="10">
        <f t="shared" ca="1" si="71"/>
        <v>350.00000000000011</v>
      </c>
      <c r="V403">
        <f t="shared" si="72"/>
        <v>6</v>
      </c>
    </row>
    <row r="404" spans="1:22" x14ac:dyDescent="0.25">
      <c r="A404">
        <v>45</v>
      </c>
      <c r="B404">
        <v>7</v>
      </c>
      <c r="C404">
        <v>15</v>
      </c>
      <c r="D404">
        <v>1</v>
      </c>
      <c r="E404">
        <v>1</v>
      </c>
      <c r="F404">
        <v>0</v>
      </c>
      <c r="G404">
        <v>1</v>
      </c>
      <c r="H404">
        <v>450</v>
      </c>
      <c r="I404">
        <f t="shared" si="73"/>
        <v>396</v>
      </c>
      <c r="J404" s="6">
        <f t="array" aca="1" ref="J404:N404" ca="1">TRANSPOSE(ols(OFFSET($C$2:$C$10,I404,0),OFFSET($D$2:$H$10,I404,0)))</f>
        <v>2.6190476190474783</v>
      </c>
      <c r="K404" s="6">
        <f ca="1"/>
        <v>1.071428571428612</v>
      </c>
      <c r="L404" s="6">
        <f ca="1"/>
        <v>2.6190476190474783</v>
      </c>
      <c r="M404" s="6">
        <f ca="1"/>
        <v>16.190476190476232</v>
      </c>
      <c r="N404" s="6">
        <f ca="1"/>
        <v>-9.5238095238099341E-3</v>
      </c>
      <c r="O404" s="6">
        <f t="shared" ca="1" si="65"/>
        <v>15.595238095237853</v>
      </c>
      <c r="P404" t="str">
        <f t="shared" si="66"/>
        <v>NA</v>
      </c>
      <c r="Q404" s="10">
        <f t="shared" ca="1" si="67"/>
        <v>18.095238095237711</v>
      </c>
      <c r="R404" s="10">
        <f t="shared" ca="1" si="68"/>
        <v>19.880952380952323</v>
      </c>
      <c r="S404" s="10">
        <f t="shared" ca="1" si="69"/>
        <v>-1.7857142857146115</v>
      </c>
      <c r="T404" s="10">
        <f t="shared" ca="1" si="70"/>
        <v>187.50000000002615</v>
      </c>
      <c r="U404" s="10" t="str">
        <f t="shared" ca="1" si="71"/>
        <v>OR</v>
      </c>
      <c r="V404">
        <f t="shared" si="72"/>
        <v>5</v>
      </c>
    </row>
    <row r="405" spans="1:22" x14ac:dyDescent="0.25">
      <c r="A405">
        <v>45</v>
      </c>
      <c r="B405">
        <v>8</v>
      </c>
      <c r="C405">
        <v>15</v>
      </c>
      <c r="D405">
        <v>1</v>
      </c>
      <c r="E405">
        <v>1</v>
      </c>
      <c r="F405">
        <v>0</v>
      </c>
      <c r="G405">
        <v>1</v>
      </c>
      <c r="H405">
        <v>550</v>
      </c>
      <c r="I405">
        <f t="shared" si="73"/>
        <v>396</v>
      </c>
      <c r="J405" s="6">
        <f t="array" aca="1" ref="J405:N405" ca="1">TRANSPOSE(ols(OFFSET($C$2:$C$10,I405,0),OFFSET($D$2:$H$10,I405,0)))</f>
        <v>2.6190476190474783</v>
      </c>
      <c r="K405" s="6">
        <f ca="1"/>
        <v>1.071428571428612</v>
      </c>
      <c r="L405" s="6">
        <f ca="1"/>
        <v>2.6190476190474783</v>
      </c>
      <c r="M405" s="6">
        <f ca="1"/>
        <v>16.190476190476232</v>
      </c>
      <c r="N405" s="6">
        <f ca="1"/>
        <v>-9.5238095238099341E-3</v>
      </c>
      <c r="O405" s="6">
        <f t="shared" ca="1" si="65"/>
        <v>14.642857142856858</v>
      </c>
      <c r="P405" t="str">
        <f t="shared" si="66"/>
        <v>NA</v>
      </c>
      <c r="Q405" s="10">
        <f t="shared" ca="1" si="67"/>
        <v>18.095238095237711</v>
      </c>
      <c r="R405" s="10">
        <f t="shared" ca="1" si="68"/>
        <v>19.880952380952323</v>
      </c>
      <c r="S405" s="10">
        <f t="shared" ca="1" si="69"/>
        <v>-1.7857142857146115</v>
      </c>
      <c r="T405" s="10">
        <f t="shared" ca="1" si="70"/>
        <v>187.50000000002615</v>
      </c>
      <c r="U405" s="10" t="str">
        <f t="shared" ca="1" si="71"/>
        <v>OR</v>
      </c>
      <c r="V405">
        <f t="shared" si="72"/>
        <v>5</v>
      </c>
    </row>
    <row r="406" spans="1:22" x14ac:dyDescent="0.25">
      <c r="A406">
        <v>45</v>
      </c>
      <c r="B406">
        <v>9</v>
      </c>
      <c r="C406">
        <v>10</v>
      </c>
      <c r="D406">
        <v>1</v>
      </c>
      <c r="E406">
        <v>0</v>
      </c>
      <c r="F406">
        <v>0</v>
      </c>
      <c r="G406">
        <v>1</v>
      </c>
      <c r="H406">
        <v>650</v>
      </c>
      <c r="I406">
        <f t="shared" si="73"/>
        <v>396</v>
      </c>
      <c r="J406" s="6">
        <f t="array" aca="1" ref="J406:N406" ca="1">TRANSPOSE(ols(OFFSET($C$2:$C$10,I406,0),OFFSET($D$2:$H$10,I406,0)))</f>
        <v>2.6190476190474783</v>
      </c>
      <c r="K406" s="6">
        <f ca="1"/>
        <v>1.071428571428612</v>
      </c>
      <c r="L406" s="6">
        <f ca="1"/>
        <v>2.6190476190474783</v>
      </c>
      <c r="M406" s="6">
        <f ca="1"/>
        <v>16.190476190476232</v>
      </c>
      <c r="N406" s="6">
        <f ca="1"/>
        <v>-9.5238095238099341E-3</v>
      </c>
      <c r="O406" s="6">
        <f t="shared" ca="1" si="65"/>
        <v>12.619047619047254</v>
      </c>
      <c r="P406" t="str">
        <f t="shared" si="66"/>
        <v>NA</v>
      </c>
      <c r="Q406" s="10">
        <f t="shared" ca="1" si="67"/>
        <v>18.095238095237711</v>
      </c>
      <c r="R406" s="10">
        <f t="shared" ca="1" si="68"/>
        <v>18.809523809523711</v>
      </c>
      <c r="S406" s="10">
        <f t="shared" ca="1" si="69"/>
        <v>-0.71428571428599952</v>
      </c>
      <c r="T406" s="10">
        <f t="shared" ca="1" si="70"/>
        <v>75.000000000026716</v>
      </c>
      <c r="U406" s="10" t="str">
        <f t="shared" ca="1" si="71"/>
        <v>OR</v>
      </c>
      <c r="V406">
        <f t="shared" si="72"/>
        <v>4</v>
      </c>
    </row>
    <row r="407" spans="1:22" x14ac:dyDescent="0.25">
      <c r="A407">
        <v>46</v>
      </c>
      <c r="B407">
        <v>1</v>
      </c>
      <c r="C407">
        <v>60</v>
      </c>
      <c r="D407">
        <v>1</v>
      </c>
      <c r="E407">
        <v>0</v>
      </c>
      <c r="F407">
        <v>1</v>
      </c>
      <c r="G407">
        <v>0</v>
      </c>
      <c r="H407">
        <v>250</v>
      </c>
      <c r="I407">
        <f t="shared" si="73"/>
        <v>405</v>
      </c>
      <c r="J407" s="6">
        <f t="array" aca="1" ref="J407:N407" ca="1">TRANSPOSE(ols(OFFSET($C$2:$C$10,I407,0),OFFSET($D$2:$H$10,I407,0)))</f>
        <v>99.940476190475238</v>
      </c>
      <c r="K407" s="6">
        <f ca="1"/>
        <v>-29.285714285714221</v>
      </c>
      <c r="L407" s="6">
        <f ca="1"/>
        <v>-33.809523809524762</v>
      </c>
      <c r="M407" s="6">
        <f ca="1"/>
        <v>9.4047619047626085</v>
      </c>
      <c r="N407" s="6">
        <f ca="1"/>
        <v>-2.0238095238099163E-2</v>
      </c>
      <c r="O407" s="6">
        <f t="shared" ca="1" si="65"/>
        <v>61.071428571425685</v>
      </c>
      <c r="P407" t="str">
        <f t="shared" si="66"/>
        <v>NA</v>
      </c>
      <c r="Q407" s="10">
        <f t="shared" ca="1" si="67"/>
        <v>68.452380952378377</v>
      </c>
      <c r="R407" s="10">
        <f t="shared" ca="1" si="68"/>
        <v>66.130952380950475</v>
      </c>
      <c r="S407" s="10">
        <f t="shared" ca="1" si="69"/>
        <v>2.3214285714279015</v>
      </c>
      <c r="T407" s="10">
        <f t="shared" ca="1" si="70"/>
        <v>-114.70588235288582</v>
      </c>
      <c r="U407" s="10" t="str">
        <f t="shared" ca="1" si="71"/>
        <v>OR</v>
      </c>
      <c r="V407">
        <f t="shared" si="72"/>
        <v>3</v>
      </c>
    </row>
    <row r="408" spans="1:22" x14ac:dyDescent="0.25">
      <c r="A408">
        <v>46</v>
      </c>
      <c r="B408">
        <v>2</v>
      </c>
      <c r="C408">
        <v>65</v>
      </c>
      <c r="D408">
        <v>1</v>
      </c>
      <c r="E408">
        <v>1</v>
      </c>
      <c r="F408">
        <v>0</v>
      </c>
      <c r="G408">
        <v>0</v>
      </c>
      <c r="H408">
        <v>350</v>
      </c>
      <c r="I408">
        <f t="shared" si="73"/>
        <v>405</v>
      </c>
      <c r="J408" s="6">
        <f t="array" aca="1" ref="J408:N408" ca="1">TRANSPOSE(ols(OFFSET($C$2:$C$10,I408,0),OFFSET($D$2:$H$10,I408,0)))</f>
        <v>99.940476190475238</v>
      </c>
      <c r="K408" s="6">
        <f ca="1"/>
        <v>-29.285714285714221</v>
      </c>
      <c r="L408" s="6">
        <f ca="1"/>
        <v>-33.809523809524762</v>
      </c>
      <c r="M408" s="6">
        <f ca="1"/>
        <v>9.4047619047626085</v>
      </c>
      <c r="N408" s="6">
        <f ca="1"/>
        <v>-2.0238095238099163E-2</v>
      </c>
      <c r="O408" s="6">
        <f t="shared" ca="1" si="65"/>
        <v>63.57142857142631</v>
      </c>
      <c r="P408" t="str">
        <f t="shared" si="66"/>
        <v>NA</v>
      </c>
      <c r="Q408" s="10">
        <f t="shared" ca="1" si="67"/>
        <v>68.452380952378377</v>
      </c>
      <c r="R408" s="10">
        <f t="shared" ca="1" si="68"/>
        <v>70.654761904761017</v>
      </c>
      <c r="S408" s="10">
        <f t="shared" ca="1" si="69"/>
        <v>-2.2023809523826401</v>
      </c>
      <c r="T408" s="10">
        <f t="shared" ca="1" si="70"/>
        <v>108.823529411827</v>
      </c>
      <c r="U408" s="10" t="str">
        <f t="shared" ca="1" si="71"/>
        <v>OR</v>
      </c>
      <c r="V408">
        <f t="shared" si="72"/>
        <v>2</v>
      </c>
    </row>
    <row r="409" spans="1:22" x14ac:dyDescent="0.25">
      <c r="A409">
        <v>46</v>
      </c>
      <c r="B409">
        <v>3</v>
      </c>
      <c r="C409">
        <v>65</v>
      </c>
      <c r="D409">
        <v>1</v>
      </c>
      <c r="E409">
        <v>1</v>
      </c>
      <c r="F409">
        <v>0</v>
      </c>
      <c r="G409">
        <v>0</v>
      </c>
      <c r="H409">
        <v>450</v>
      </c>
      <c r="I409">
        <f t="shared" si="73"/>
        <v>405</v>
      </c>
      <c r="J409" s="6">
        <f t="array" aca="1" ref="J409:N409" ca="1">TRANSPOSE(ols(OFFSET($C$2:$C$10,I409,0),OFFSET($D$2:$H$10,I409,0)))</f>
        <v>99.940476190475238</v>
      </c>
      <c r="K409" s="6">
        <f ca="1"/>
        <v>-29.285714285714221</v>
      </c>
      <c r="L409" s="6">
        <f ca="1"/>
        <v>-33.809523809524762</v>
      </c>
      <c r="M409" s="6">
        <f ca="1"/>
        <v>9.4047619047626085</v>
      </c>
      <c r="N409" s="6">
        <f ca="1"/>
        <v>-2.0238095238099163E-2</v>
      </c>
      <c r="O409" s="6">
        <f t="shared" ca="1" si="65"/>
        <v>61.547619047616394</v>
      </c>
      <c r="P409" t="str">
        <f t="shared" si="66"/>
        <v>NA</v>
      </c>
      <c r="Q409" s="10">
        <f t="shared" ca="1" si="67"/>
        <v>68.452380952378377</v>
      </c>
      <c r="R409" s="10">
        <f t="shared" ca="1" si="68"/>
        <v>70.654761904761017</v>
      </c>
      <c r="S409" s="10">
        <f t="shared" ca="1" si="69"/>
        <v>-2.2023809523826401</v>
      </c>
      <c r="T409" s="10">
        <f t="shared" ca="1" si="70"/>
        <v>108.823529411827</v>
      </c>
      <c r="U409" s="10" t="str">
        <f t="shared" ca="1" si="71"/>
        <v>OR</v>
      </c>
      <c r="V409">
        <f t="shared" si="72"/>
        <v>2</v>
      </c>
    </row>
    <row r="410" spans="1:22" x14ac:dyDescent="0.25">
      <c r="A410">
        <v>46</v>
      </c>
      <c r="B410">
        <v>4</v>
      </c>
      <c r="C410">
        <v>85</v>
      </c>
      <c r="D410">
        <v>1</v>
      </c>
      <c r="E410">
        <v>0</v>
      </c>
      <c r="F410">
        <v>0</v>
      </c>
      <c r="G410">
        <v>0</v>
      </c>
      <c r="H410">
        <v>550</v>
      </c>
      <c r="I410">
        <f t="shared" si="73"/>
        <v>405</v>
      </c>
      <c r="J410" s="6">
        <f t="array" aca="1" ref="J410:N410" ca="1">TRANSPOSE(ols(OFFSET($C$2:$C$10,I410,0),OFFSET($D$2:$H$10,I410,0)))</f>
        <v>99.940476190475238</v>
      </c>
      <c r="K410" s="6">
        <f ca="1"/>
        <v>-29.285714285714221</v>
      </c>
      <c r="L410" s="6">
        <f ca="1"/>
        <v>-33.809523809524762</v>
      </c>
      <c r="M410" s="6">
        <f ca="1"/>
        <v>9.4047619047626085</v>
      </c>
      <c r="N410" s="6">
        <f ca="1"/>
        <v>-2.0238095238099163E-2</v>
      </c>
      <c r="O410" s="6">
        <f t="shared" ca="1" si="65"/>
        <v>88.809523809520698</v>
      </c>
      <c r="P410" t="str">
        <f t="shared" si="66"/>
        <v>NA</v>
      </c>
      <c r="Q410" s="10">
        <f t="shared" ca="1" si="67"/>
        <v>68.452380952378377</v>
      </c>
      <c r="R410" s="10">
        <f t="shared" ca="1" si="68"/>
        <v>99.940476190475238</v>
      </c>
      <c r="S410" s="10">
        <f t="shared" ca="1" si="69"/>
        <v>-31.488095238096861</v>
      </c>
      <c r="T410" s="10">
        <f t="shared" ca="1" si="70"/>
        <v>1555.8823529409549</v>
      </c>
      <c r="U410" s="10" t="str">
        <f t="shared" ca="1" si="71"/>
        <v>OR</v>
      </c>
      <c r="V410">
        <f t="shared" si="72"/>
        <v>1</v>
      </c>
    </row>
    <row r="411" spans="1:22" x14ac:dyDescent="0.25">
      <c r="A411">
        <v>46</v>
      </c>
      <c r="B411">
        <v>5</v>
      </c>
      <c r="C411">
        <v>70</v>
      </c>
      <c r="D411">
        <v>1</v>
      </c>
      <c r="E411">
        <v>0</v>
      </c>
      <c r="F411">
        <v>1</v>
      </c>
      <c r="G411">
        <v>1</v>
      </c>
      <c r="H411">
        <v>250</v>
      </c>
      <c r="I411">
        <f t="shared" si="73"/>
        <v>405</v>
      </c>
      <c r="J411" s="6">
        <f t="array" aca="1" ref="J411:N411" ca="1">TRANSPOSE(ols(OFFSET($C$2:$C$10,I411,0),OFFSET($D$2:$H$10,I411,0)))</f>
        <v>99.940476190475238</v>
      </c>
      <c r="K411" s="6">
        <f ca="1"/>
        <v>-29.285714285714221</v>
      </c>
      <c r="L411" s="6">
        <f ca="1"/>
        <v>-33.809523809524762</v>
      </c>
      <c r="M411" s="6">
        <f ca="1"/>
        <v>9.4047619047626085</v>
      </c>
      <c r="N411" s="6">
        <f ca="1"/>
        <v>-2.0238095238099163E-2</v>
      </c>
      <c r="O411" s="6">
        <f t="shared" ca="1" si="65"/>
        <v>70.476190476188293</v>
      </c>
      <c r="P411" t="str">
        <f t="shared" si="66"/>
        <v>NA</v>
      </c>
      <c r="Q411" s="10">
        <f t="shared" ca="1" si="67"/>
        <v>68.452380952378377</v>
      </c>
      <c r="R411" s="10">
        <f t="shared" ca="1" si="68"/>
        <v>75.535714285713084</v>
      </c>
      <c r="S411" s="10">
        <f t="shared" ca="1" si="69"/>
        <v>-7.083333333334707</v>
      </c>
      <c r="T411" s="10">
        <f t="shared" ca="1" si="70"/>
        <v>350</v>
      </c>
      <c r="U411" s="10">
        <f t="shared" ca="1" si="71"/>
        <v>350</v>
      </c>
      <c r="V411">
        <f t="shared" si="72"/>
        <v>6</v>
      </c>
    </row>
    <row r="412" spans="1:22" x14ac:dyDescent="0.25">
      <c r="A412">
        <v>46</v>
      </c>
      <c r="B412">
        <v>6</v>
      </c>
      <c r="C412">
        <v>70</v>
      </c>
      <c r="D412">
        <v>1</v>
      </c>
      <c r="E412">
        <v>0</v>
      </c>
      <c r="F412">
        <v>1</v>
      </c>
      <c r="G412">
        <v>1</v>
      </c>
      <c r="H412">
        <v>350</v>
      </c>
      <c r="I412">
        <f t="shared" si="73"/>
        <v>405</v>
      </c>
      <c r="J412" s="6">
        <f t="array" aca="1" ref="J412:N412" ca="1">TRANSPOSE(ols(OFFSET($C$2:$C$10,I412,0),OFFSET($D$2:$H$10,I412,0)))</f>
        <v>99.940476190475238</v>
      </c>
      <c r="K412" s="6">
        <f ca="1"/>
        <v>-29.285714285714221</v>
      </c>
      <c r="L412" s="6">
        <f ca="1"/>
        <v>-33.809523809524762</v>
      </c>
      <c r="M412" s="6">
        <f ca="1"/>
        <v>9.4047619047626085</v>
      </c>
      <c r="N412" s="6">
        <f ca="1"/>
        <v>-2.0238095238099163E-2</v>
      </c>
      <c r="O412" s="6">
        <f t="shared" ca="1" si="65"/>
        <v>68.452380952378377</v>
      </c>
      <c r="P412">
        <f t="shared" ca="1" si="66"/>
        <v>68.452380952378377</v>
      </c>
      <c r="Q412" s="10">
        <f t="shared" ca="1" si="67"/>
        <v>68.452380952378377</v>
      </c>
      <c r="R412" s="10">
        <f t="shared" ca="1" si="68"/>
        <v>75.535714285713084</v>
      </c>
      <c r="S412" s="10">
        <f t="shared" ca="1" si="69"/>
        <v>-7.083333333334707</v>
      </c>
      <c r="T412" s="10">
        <f t="shared" ca="1" si="70"/>
        <v>350</v>
      </c>
      <c r="U412" s="10">
        <f t="shared" ca="1" si="71"/>
        <v>350</v>
      </c>
      <c r="V412">
        <f t="shared" si="72"/>
        <v>6</v>
      </c>
    </row>
    <row r="413" spans="1:22" x14ac:dyDescent="0.25">
      <c r="A413">
        <v>46</v>
      </c>
      <c r="B413">
        <v>7</v>
      </c>
      <c r="C413">
        <v>70</v>
      </c>
      <c r="D413">
        <v>1</v>
      </c>
      <c r="E413">
        <v>1</v>
      </c>
      <c r="F413">
        <v>0</v>
      </c>
      <c r="G413">
        <v>1</v>
      </c>
      <c r="H413">
        <v>450</v>
      </c>
      <c r="I413">
        <f t="shared" si="73"/>
        <v>405</v>
      </c>
      <c r="J413" s="6">
        <f t="array" aca="1" ref="J413:N413" ca="1">TRANSPOSE(ols(OFFSET($C$2:$C$10,I413,0),OFFSET($D$2:$H$10,I413,0)))</f>
        <v>99.940476190475238</v>
      </c>
      <c r="K413" s="6">
        <f ca="1"/>
        <v>-29.285714285714221</v>
      </c>
      <c r="L413" s="6">
        <f ca="1"/>
        <v>-33.809523809524762</v>
      </c>
      <c r="M413" s="6">
        <f ca="1"/>
        <v>9.4047619047626085</v>
      </c>
      <c r="N413" s="6">
        <f ca="1"/>
        <v>-2.0238095238099163E-2</v>
      </c>
      <c r="O413" s="6">
        <f t="shared" ca="1" si="65"/>
        <v>70.952380952379002</v>
      </c>
      <c r="P413" t="str">
        <f t="shared" si="66"/>
        <v>NA</v>
      </c>
      <c r="Q413" s="10">
        <f t="shared" ca="1" si="67"/>
        <v>68.452380952378377</v>
      </c>
      <c r="R413" s="10">
        <f t="shared" ca="1" si="68"/>
        <v>80.059523809523625</v>
      </c>
      <c r="S413" s="10">
        <f t="shared" ca="1" si="69"/>
        <v>-11.607142857145249</v>
      </c>
      <c r="T413" s="10">
        <f t="shared" ca="1" si="70"/>
        <v>573.52941176471279</v>
      </c>
      <c r="U413" s="10">
        <f t="shared" ca="1" si="71"/>
        <v>573.52941176471279</v>
      </c>
      <c r="V413">
        <f t="shared" si="72"/>
        <v>5</v>
      </c>
    </row>
    <row r="414" spans="1:22" x14ac:dyDescent="0.25">
      <c r="A414">
        <v>46</v>
      </c>
      <c r="B414">
        <v>8</v>
      </c>
      <c r="C414">
        <v>65</v>
      </c>
      <c r="D414">
        <v>1</v>
      </c>
      <c r="E414">
        <v>1</v>
      </c>
      <c r="F414">
        <v>0</v>
      </c>
      <c r="G414">
        <v>1</v>
      </c>
      <c r="H414">
        <v>550</v>
      </c>
      <c r="I414">
        <f t="shared" si="73"/>
        <v>405</v>
      </c>
      <c r="J414" s="6">
        <f t="array" aca="1" ref="J414:N414" ca="1">TRANSPOSE(ols(OFFSET($C$2:$C$10,I414,0),OFFSET($D$2:$H$10,I414,0)))</f>
        <v>99.940476190475238</v>
      </c>
      <c r="K414" s="6">
        <f ca="1"/>
        <v>-29.285714285714221</v>
      </c>
      <c r="L414" s="6">
        <f ca="1"/>
        <v>-33.809523809524762</v>
      </c>
      <c r="M414" s="6">
        <f ca="1"/>
        <v>9.4047619047626085</v>
      </c>
      <c r="N414" s="6">
        <f ca="1"/>
        <v>-2.0238095238099163E-2</v>
      </c>
      <c r="O414" s="6">
        <f t="shared" ca="1" si="65"/>
        <v>68.928571428569086</v>
      </c>
      <c r="P414" t="str">
        <f t="shared" si="66"/>
        <v>NA</v>
      </c>
      <c r="Q414" s="10">
        <f t="shared" ca="1" si="67"/>
        <v>68.452380952378377</v>
      </c>
      <c r="R414" s="10">
        <f t="shared" ca="1" si="68"/>
        <v>80.059523809523625</v>
      </c>
      <c r="S414" s="10">
        <f t="shared" ca="1" si="69"/>
        <v>-11.607142857145249</v>
      </c>
      <c r="T414" s="10">
        <f t="shared" ca="1" si="70"/>
        <v>573.52941176471279</v>
      </c>
      <c r="U414" s="10">
        <f t="shared" ca="1" si="71"/>
        <v>573.52941176471279</v>
      </c>
      <c r="V414">
        <f t="shared" si="72"/>
        <v>5</v>
      </c>
    </row>
    <row r="415" spans="1:22" x14ac:dyDescent="0.25">
      <c r="A415">
        <v>46</v>
      </c>
      <c r="B415">
        <v>9</v>
      </c>
      <c r="C415">
        <v>100</v>
      </c>
      <c r="D415">
        <v>1</v>
      </c>
      <c r="E415">
        <v>0</v>
      </c>
      <c r="F415">
        <v>0</v>
      </c>
      <c r="G415">
        <v>1</v>
      </c>
      <c r="H415">
        <v>650</v>
      </c>
      <c r="I415">
        <f t="shared" si="73"/>
        <v>405</v>
      </c>
      <c r="J415" s="6">
        <f t="array" aca="1" ref="J415:N415" ca="1">TRANSPOSE(ols(OFFSET($C$2:$C$10,I415,0),OFFSET($D$2:$H$10,I415,0)))</f>
        <v>99.940476190475238</v>
      </c>
      <c r="K415" s="6">
        <f ca="1"/>
        <v>-29.285714285714221</v>
      </c>
      <c r="L415" s="6">
        <f ca="1"/>
        <v>-33.809523809524762</v>
      </c>
      <c r="M415" s="6">
        <f ca="1"/>
        <v>9.4047619047626085</v>
      </c>
      <c r="N415" s="6">
        <f ca="1"/>
        <v>-2.0238095238099163E-2</v>
      </c>
      <c r="O415" s="6">
        <f t="shared" ca="1" si="65"/>
        <v>96.19047619047339</v>
      </c>
      <c r="P415" t="str">
        <f t="shared" si="66"/>
        <v>NA</v>
      </c>
      <c r="Q415" s="10">
        <f t="shared" ca="1" si="67"/>
        <v>68.452380952378377</v>
      </c>
      <c r="R415" s="10">
        <f t="shared" ca="1" si="68"/>
        <v>109.34523809523785</v>
      </c>
      <c r="S415" s="10">
        <f t="shared" ca="1" si="69"/>
        <v>-40.892857142859469</v>
      </c>
      <c r="T415" s="10">
        <f t="shared" ca="1" si="70"/>
        <v>2020.5882352938406</v>
      </c>
      <c r="U415" s="10" t="str">
        <f t="shared" ca="1" si="71"/>
        <v>OR</v>
      </c>
      <c r="V415">
        <f t="shared" si="72"/>
        <v>4</v>
      </c>
    </row>
    <row r="416" spans="1:22" x14ac:dyDescent="0.25">
      <c r="A416">
        <v>47</v>
      </c>
      <c r="B416">
        <v>1</v>
      </c>
      <c r="C416">
        <v>0</v>
      </c>
      <c r="D416">
        <v>1</v>
      </c>
      <c r="E416">
        <v>0</v>
      </c>
      <c r="F416">
        <v>1</v>
      </c>
      <c r="G416">
        <v>0</v>
      </c>
      <c r="H416">
        <v>250</v>
      </c>
      <c r="I416">
        <f t="shared" si="73"/>
        <v>414</v>
      </c>
      <c r="J416" s="6">
        <f t="array" aca="1" ref="J416:N416" ca="1">TRANSPOSE(ols(OFFSET($C$2:$C$10,I416,0),OFFSET($D$2:$H$10,I416,0)))</f>
        <v>111.72619047618855</v>
      </c>
      <c r="K416" s="6">
        <f ca="1"/>
        <v>-20.714285714285126</v>
      </c>
      <c r="L416" s="6">
        <f ca="1"/>
        <v>-64.523809523808495</v>
      </c>
      <c r="M416" s="6">
        <f ca="1"/>
        <v>32.26190476190456</v>
      </c>
      <c r="N416" s="6">
        <f ca="1"/>
        <v>-0.21309523809523556</v>
      </c>
      <c r="O416" s="6">
        <f t="shared" ca="1" si="65"/>
        <v>-6.0714285714288394</v>
      </c>
      <c r="P416" t="str">
        <f t="shared" si="66"/>
        <v>NA</v>
      </c>
      <c r="Q416" s="10">
        <f t="shared" ca="1" si="67"/>
        <v>4.8809523809521664</v>
      </c>
      <c r="R416" s="10">
        <f t="shared" ca="1" si="68"/>
        <v>47.202380952380054</v>
      </c>
      <c r="S416" s="10">
        <f t="shared" ca="1" si="69"/>
        <v>-42.321428571427887</v>
      </c>
      <c r="T416" s="10">
        <f t="shared" ca="1" si="70"/>
        <v>198.60335195530641</v>
      </c>
      <c r="U416" s="10" t="str">
        <f t="shared" ca="1" si="71"/>
        <v>OR</v>
      </c>
      <c r="V416">
        <f t="shared" si="72"/>
        <v>3</v>
      </c>
    </row>
    <row r="417" spans="1:22" x14ac:dyDescent="0.25">
      <c r="A417">
        <v>47</v>
      </c>
      <c r="B417">
        <v>2</v>
      </c>
      <c r="C417">
        <v>0</v>
      </c>
      <c r="D417">
        <v>1</v>
      </c>
      <c r="E417">
        <v>1</v>
      </c>
      <c r="F417">
        <v>0</v>
      </c>
      <c r="G417">
        <v>0</v>
      </c>
      <c r="H417">
        <v>350</v>
      </c>
      <c r="I417">
        <f t="shared" si="73"/>
        <v>414</v>
      </c>
      <c r="J417" s="6">
        <f t="array" aca="1" ref="J417:N417" ca="1">TRANSPOSE(ols(OFFSET($C$2:$C$10,I417,0),OFFSET($D$2:$H$10,I417,0)))</f>
        <v>111.72619047618855</v>
      </c>
      <c r="K417" s="6">
        <f ca="1"/>
        <v>-20.714285714285126</v>
      </c>
      <c r="L417" s="6">
        <f ca="1"/>
        <v>-64.523809523808495</v>
      </c>
      <c r="M417" s="6">
        <f ca="1"/>
        <v>32.26190476190456</v>
      </c>
      <c r="N417" s="6">
        <f ca="1"/>
        <v>-0.21309523809523556</v>
      </c>
      <c r="O417" s="6">
        <f t="shared" ca="1" si="65"/>
        <v>16.428571428570976</v>
      </c>
      <c r="P417" t="str">
        <f t="shared" si="66"/>
        <v>NA</v>
      </c>
      <c r="Q417" s="10">
        <f t="shared" ca="1" si="67"/>
        <v>4.8809523809521664</v>
      </c>
      <c r="R417" s="10">
        <f t="shared" ca="1" si="68"/>
        <v>91.011904761903423</v>
      </c>
      <c r="S417" s="10">
        <f t="shared" ca="1" si="69"/>
        <v>-86.130952380951257</v>
      </c>
      <c r="T417" s="10">
        <f t="shared" ca="1" si="70"/>
        <v>404.18994413407773</v>
      </c>
      <c r="U417" s="10">
        <f t="shared" ca="1" si="71"/>
        <v>404.18994413407773</v>
      </c>
      <c r="V417">
        <f t="shared" si="72"/>
        <v>2</v>
      </c>
    </row>
    <row r="418" spans="1:22" x14ac:dyDescent="0.25">
      <c r="A418">
        <v>47</v>
      </c>
      <c r="B418">
        <v>3</v>
      </c>
      <c r="C418">
        <v>0</v>
      </c>
      <c r="D418">
        <v>1</v>
      </c>
      <c r="E418">
        <v>1</v>
      </c>
      <c r="F418">
        <v>0</v>
      </c>
      <c r="G418">
        <v>0</v>
      </c>
      <c r="H418">
        <v>450</v>
      </c>
      <c r="I418">
        <f t="shared" si="73"/>
        <v>414</v>
      </c>
      <c r="J418" s="6">
        <f t="array" aca="1" ref="J418:N418" ca="1">TRANSPOSE(ols(OFFSET($C$2:$C$10,I418,0),OFFSET($D$2:$H$10,I418,0)))</f>
        <v>111.72619047618855</v>
      </c>
      <c r="K418" s="6">
        <f ca="1"/>
        <v>-20.714285714285126</v>
      </c>
      <c r="L418" s="6">
        <f ca="1"/>
        <v>-64.523809523808495</v>
      </c>
      <c r="M418" s="6">
        <f ca="1"/>
        <v>32.26190476190456</v>
      </c>
      <c r="N418" s="6">
        <f ca="1"/>
        <v>-0.21309523809523556</v>
      </c>
      <c r="O418" s="6">
        <f t="shared" ca="1" si="65"/>
        <v>-4.8809523809525786</v>
      </c>
      <c r="P418" t="str">
        <f t="shared" si="66"/>
        <v>NA</v>
      </c>
      <c r="Q418" s="10">
        <f t="shared" ca="1" si="67"/>
        <v>4.8809523809521664</v>
      </c>
      <c r="R418" s="10">
        <f t="shared" ca="1" si="68"/>
        <v>91.011904761903423</v>
      </c>
      <c r="S418" s="10">
        <f t="shared" ca="1" si="69"/>
        <v>-86.130952380951257</v>
      </c>
      <c r="T418" s="10">
        <f t="shared" ca="1" si="70"/>
        <v>404.18994413407773</v>
      </c>
      <c r="U418" s="10">
        <f t="shared" ca="1" si="71"/>
        <v>404.18994413407773</v>
      </c>
      <c r="V418">
        <f t="shared" si="72"/>
        <v>2</v>
      </c>
    </row>
    <row r="419" spans="1:22" x14ac:dyDescent="0.25">
      <c r="A419">
        <v>47</v>
      </c>
      <c r="B419">
        <v>4</v>
      </c>
      <c r="C419">
        <v>0</v>
      </c>
      <c r="D419">
        <v>1</v>
      </c>
      <c r="E419">
        <v>0</v>
      </c>
      <c r="F419">
        <v>0</v>
      </c>
      <c r="G419">
        <v>0</v>
      </c>
      <c r="H419">
        <v>550</v>
      </c>
      <c r="I419">
        <f t="shared" si="73"/>
        <v>414</v>
      </c>
      <c r="J419" s="6">
        <f t="array" aca="1" ref="J419:N419" ca="1">TRANSPOSE(ols(OFFSET($C$2:$C$10,I419,0),OFFSET($D$2:$H$10,I419,0)))</f>
        <v>111.72619047618855</v>
      </c>
      <c r="K419" s="6">
        <f ca="1"/>
        <v>-20.714285714285126</v>
      </c>
      <c r="L419" s="6">
        <f ca="1"/>
        <v>-64.523809523808495</v>
      </c>
      <c r="M419" s="6">
        <f ca="1"/>
        <v>32.26190476190456</v>
      </c>
      <c r="N419" s="6">
        <f ca="1"/>
        <v>-0.21309523809523556</v>
      </c>
      <c r="O419" s="6">
        <f t="shared" ca="1" si="65"/>
        <v>-5.4761904761910074</v>
      </c>
      <c r="P419" t="str">
        <f t="shared" si="66"/>
        <v>NA</v>
      </c>
      <c r="Q419" s="10">
        <f t="shared" ca="1" si="67"/>
        <v>4.8809523809521664</v>
      </c>
      <c r="R419" s="10">
        <f t="shared" ca="1" si="68"/>
        <v>111.72619047618855</v>
      </c>
      <c r="S419" s="10">
        <f t="shared" ca="1" si="69"/>
        <v>-106.84523809523638</v>
      </c>
      <c r="T419" s="10">
        <f t="shared" ca="1" si="70"/>
        <v>501.39664804469066</v>
      </c>
      <c r="U419" s="10">
        <f t="shared" ca="1" si="71"/>
        <v>501.39664804469066</v>
      </c>
      <c r="V419">
        <f t="shared" si="72"/>
        <v>1</v>
      </c>
    </row>
    <row r="420" spans="1:22" x14ac:dyDescent="0.25">
      <c r="A420">
        <v>47</v>
      </c>
      <c r="B420">
        <v>5</v>
      </c>
      <c r="C420">
        <v>25</v>
      </c>
      <c r="D420">
        <v>1</v>
      </c>
      <c r="E420">
        <v>0</v>
      </c>
      <c r="F420">
        <v>1</v>
      </c>
      <c r="G420">
        <v>1</v>
      </c>
      <c r="H420">
        <v>250</v>
      </c>
      <c r="I420">
        <f t="shared" si="73"/>
        <v>414</v>
      </c>
      <c r="J420" s="6">
        <f t="array" aca="1" ref="J420:N420" ca="1">TRANSPOSE(ols(OFFSET($C$2:$C$10,I420,0),OFFSET($D$2:$H$10,I420,0)))</f>
        <v>111.72619047618855</v>
      </c>
      <c r="K420" s="6">
        <f ca="1"/>
        <v>-20.714285714285126</v>
      </c>
      <c r="L420" s="6">
        <f ca="1"/>
        <v>-64.523809523808495</v>
      </c>
      <c r="M420" s="6">
        <f ca="1"/>
        <v>32.26190476190456</v>
      </c>
      <c r="N420" s="6">
        <f ca="1"/>
        <v>-0.21309523809523556</v>
      </c>
      <c r="O420" s="6">
        <f t="shared" ca="1" si="65"/>
        <v>26.190476190475721</v>
      </c>
      <c r="P420" t="str">
        <f t="shared" si="66"/>
        <v>NA</v>
      </c>
      <c r="Q420" s="10">
        <f t="shared" ca="1" si="67"/>
        <v>4.8809523809521664</v>
      </c>
      <c r="R420" s="10">
        <f t="shared" ca="1" si="68"/>
        <v>79.464285714284614</v>
      </c>
      <c r="S420" s="10">
        <f t="shared" ca="1" si="69"/>
        <v>-74.583333333332448</v>
      </c>
      <c r="T420" s="10">
        <f t="shared" ca="1" si="70"/>
        <v>350</v>
      </c>
      <c r="U420" s="10">
        <f t="shared" ca="1" si="71"/>
        <v>350</v>
      </c>
      <c r="V420">
        <f t="shared" si="72"/>
        <v>6</v>
      </c>
    </row>
    <row r="421" spans="1:22" x14ac:dyDescent="0.25">
      <c r="A421">
        <v>47</v>
      </c>
      <c r="B421">
        <v>6</v>
      </c>
      <c r="C421">
        <v>0</v>
      </c>
      <c r="D421">
        <v>1</v>
      </c>
      <c r="E421">
        <v>0</v>
      </c>
      <c r="F421">
        <v>1</v>
      </c>
      <c r="G421">
        <v>1</v>
      </c>
      <c r="H421">
        <v>350</v>
      </c>
      <c r="I421">
        <f t="shared" si="73"/>
        <v>414</v>
      </c>
      <c r="J421" s="6">
        <f t="array" aca="1" ref="J421:N421" ca="1">TRANSPOSE(ols(OFFSET($C$2:$C$10,I421,0),OFFSET($D$2:$H$10,I421,0)))</f>
        <v>111.72619047618855</v>
      </c>
      <c r="K421" s="6">
        <f ca="1"/>
        <v>-20.714285714285126</v>
      </c>
      <c r="L421" s="6">
        <f ca="1"/>
        <v>-64.523809523808495</v>
      </c>
      <c r="M421" s="6">
        <f ca="1"/>
        <v>32.26190476190456</v>
      </c>
      <c r="N421" s="6">
        <f ca="1"/>
        <v>-0.21309523809523556</v>
      </c>
      <c r="O421" s="6">
        <f t="shared" ca="1" si="65"/>
        <v>4.8809523809521664</v>
      </c>
      <c r="P421">
        <f t="shared" ca="1" si="66"/>
        <v>4.8809523809521664</v>
      </c>
      <c r="Q421" s="10">
        <f t="shared" ca="1" si="67"/>
        <v>4.8809523809521664</v>
      </c>
      <c r="R421" s="10">
        <f t="shared" ca="1" si="68"/>
        <v>79.464285714284614</v>
      </c>
      <c r="S421" s="10">
        <f t="shared" ca="1" si="69"/>
        <v>-74.583333333332448</v>
      </c>
      <c r="T421" s="10">
        <f t="shared" ca="1" si="70"/>
        <v>350</v>
      </c>
      <c r="U421" s="10">
        <f t="shared" ca="1" si="71"/>
        <v>350</v>
      </c>
      <c r="V421">
        <f t="shared" si="72"/>
        <v>6</v>
      </c>
    </row>
    <row r="422" spans="1:22" x14ac:dyDescent="0.25">
      <c r="A422">
        <v>47</v>
      </c>
      <c r="B422">
        <v>7</v>
      </c>
      <c r="C422">
        <v>45</v>
      </c>
      <c r="D422">
        <v>1</v>
      </c>
      <c r="E422">
        <v>1</v>
      </c>
      <c r="F422">
        <v>0</v>
      </c>
      <c r="G422">
        <v>1</v>
      </c>
      <c r="H422">
        <v>450</v>
      </c>
      <c r="I422">
        <f t="shared" si="73"/>
        <v>414</v>
      </c>
      <c r="J422" s="6">
        <f t="array" aca="1" ref="J422:N422" ca="1">TRANSPOSE(ols(OFFSET($C$2:$C$10,I422,0),OFFSET($D$2:$H$10,I422,0)))</f>
        <v>111.72619047618855</v>
      </c>
      <c r="K422" s="6">
        <f ca="1"/>
        <v>-20.714285714285126</v>
      </c>
      <c r="L422" s="6">
        <f ca="1"/>
        <v>-64.523809523808495</v>
      </c>
      <c r="M422" s="6">
        <f ca="1"/>
        <v>32.26190476190456</v>
      </c>
      <c r="N422" s="6">
        <f ca="1"/>
        <v>-0.21309523809523556</v>
      </c>
      <c r="O422" s="6">
        <f t="shared" ca="1" si="65"/>
        <v>27.380952380951982</v>
      </c>
      <c r="P422" t="str">
        <f t="shared" si="66"/>
        <v>NA</v>
      </c>
      <c r="Q422" s="10">
        <f t="shared" ca="1" si="67"/>
        <v>4.8809523809521664</v>
      </c>
      <c r="R422" s="10">
        <f t="shared" ca="1" si="68"/>
        <v>123.27380952380798</v>
      </c>
      <c r="S422" s="10">
        <f t="shared" ca="1" si="69"/>
        <v>-118.39285714285582</v>
      </c>
      <c r="T422" s="10">
        <f t="shared" ca="1" si="70"/>
        <v>555.5865921787713</v>
      </c>
      <c r="U422" s="10">
        <f t="shared" ca="1" si="71"/>
        <v>555.5865921787713</v>
      </c>
      <c r="V422">
        <f t="shared" si="72"/>
        <v>5</v>
      </c>
    </row>
    <row r="423" spans="1:22" x14ac:dyDescent="0.25">
      <c r="A423">
        <v>47</v>
      </c>
      <c r="B423">
        <v>8</v>
      </c>
      <c r="C423">
        <v>0</v>
      </c>
      <c r="D423">
        <v>1</v>
      </c>
      <c r="E423">
        <v>1</v>
      </c>
      <c r="F423">
        <v>0</v>
      </c>
      <c r="G423">
        <v>1</v>
      </c>
      <c r="H423">
        <v>550</v>
      </c>
      <c r="I423">
        <f t="shared" si="73"/>
        <v>414</v>
      </c>
      <c r="J423" s="6">
        <f t="array" aca="1" ref="J423:N423" ca="1">TRANSPOSE(ols(OFFSET($C$2:$C$10,I423,0),OFFSET($D$2:$H$10,I423,0)))</f>
        <v>111.72619047618855</v>
      </c>
      <c r="K423" s="6">
        <f ca="1"/>
        <v>-20.714285714285126</v>
      </c>
      <c r="L423" s="6">
        <f ca="1"/>
        <v>-64.523809523808495</v>
      </c>
      <c r="M423" s="6">
        <f ca="1"/>
        <v>32.26190476190456</v>
      </c>
      <c r="N423" s="6">
        <f ca="1"/>
        <v>-0.21309523809523556</v>
      </c>
      <c r="O423" s="6">
        <f t="shared" ca="1" si="65"/>
        <v>6.0714285714284273</v>
      </c>
      <c r="P423" t="str">
        <f t="shared" si="66"/>
        <v>NA</v>
      </c>
      <c r="Q423" s="10">
        <f t="shared" ca="1" si="67"/>
        <v>4.8809523809521664</v>
      </c>
      <c r="R423" s="10">
        <f t="shared" ca="1" si="68"/>
        <v>123.27380952380798</v>
      </c>
      <c r="S423" s="10">
        <f t="shared" ca="1" si="69"/>
        <v>-118.39285714285582</v>
      </c>
      <c r="T423" s="10">
        <f t="shared" ca="1" si="70"/>
        <v>555.5865921787713</v>
      </c>
      <c r="U423" s="10">
        <f t="shared" ca="1" si="71"/>
        <v>555.5865921787713</v>
      </c>
      <c r="V423">
        <f t="shared" si="72"/>
        <v>5</v>
      </c>
    </row>
    <row r="424" spans="1:22" x14ac:dyDescent="0.25">
      <c r="A424">
        <v>47</v>
      </c>
      <c r="B424">
        <v>9</v>
      </c>
      <c r="C424">
        <v>0</v>
      </c>
      <c r="D424">
        <v>1</v>
      </c>
      <c r="E424">
        <v>0</v>
      </c>
      <c r="F424">
        <v>0</v>
      </c>
      <c r="G424">
        <v>1</v>
      </c>
      <c r="H424">
        <v>650</v>
      </c>
      <c r="I424">
        <f t="shared" si="73"/>
        <v>414</v>
      </c>
      <c r="J424" s="6">
        <f t="array" aca="1" ref="J424:N424" ca="1">TRANSPOSE(ols(OFFSET($C$2:$C$10,I424,0),OFFSET($D$2:$H$10,I424,0)))</f>
        <v>111.72619047618855</v>
      </c>
      <c r="K424" s="6">
        <f ca="1"/>
        <v>-20.714285714285126</v>
      </c>
      <c r="L424" s="6">
        <f ca="1"/>
        <v>-64.523809523808495</v>
      </c>
      <c r="M424" s="6">
        <f ca="1"/>
        <v>32.26190476190456</v>
      </c>
      <c r="N424" s="6">
        <f ca="1"/>
        <v>-0.21309523809523556</v>
      </c>
      <c r="O424" s="6">
        <f t="shared" ca="1" si="65"/>
        <v>5.4761904761899984</v>
      </c>
      <c r="P424" t="str">
        <f t="shared" si="66"/>
        <v>NA</v>
      </c>
      <c r="Q424" s="10">
        <f t="shared" ca="1" si="67"/>
        <v>4.8809523809521664</v>
      </c>
      <c r="R424" s="10">
        <f t="shared" ca="1" si="68"/>
        <v>143.98809523809311</v>
      </c>
      <c r="S424" s="10">
        <f t="shared" ca="1" si="69"/>
        <v>-139.10714285714096</v>
      </c>
      <c r="T424" s="10">
        <f t="shared" ca="1" si="70"/>
        <v>652.79329608938428</v>
      </c>
      <c r="U424" s="10" t="str">
        <f t="shared" ca="1" si="71"/>
        <v>OR</v>
      </c>
      <c r="V424">
        <f t="shared" si="72"/>
        <v>4</v>
      </c>
    </row>
    <row r="425" spans="1:22" x14ac:dyDescent="0.25">
      <c r="A425">
        <v>48</v>
      </c>
      <c r="B425">
        <v>1</v>
      </c>
      <c r="C425">
        <v>90</v>
      </c>
      <c r="D425">
        <v>1</v>
      </c>
      <c r="E425">
        <v>0</v>
      </c>
      <c r="F425">
        <v>1</v>
      </c>
      <c r="G425">
        <v>0</v>
      </c>
      <c r="H425">
        <v>250</v>
      </c>
      <c r="I425">
        <f t="shared" si="73"/>
        <v>423</v>
      </c>
      <c r="J425" s="6">
        <f t="array" aca="1" ref="J425:N425" ca="1">TRANSPOSE(ols(OFFSET($C$2:$C$10,I425,0),OFFSET($D$2:$H$10,I425,0)))</f>
        <v>178.74999999999636</v>
      </c>
      <c r="K425" s="6">
        <f ca="1"/>
        <v>-10.000000000000455</v>
      </c>
      <c r="L425" s="6">
        <f ca="1"/>
        <v>-25</v>
      </c>
      <c r="M425" s="6">
        <f ca="1"/>
        <v>-2.5</v>
      </c>
      <c r="N425" s="6">
        <f ca="1"/>
        <v>-0.2250000000000032</v>
      </c>
      <c r="O425" s="6">
        <f t="shared" ca="1" si="65"/>
        <v>97.499999999995566</v>
      </c>
      <c r="P425" t="str">
        <f t="shared" si="66"/>
        <v>NA</v>
      </c>
      <c r="Q425" s="10">
        <f t="shared" ca="1" si="67"/>
        <v>72.499999999995239</v>
      </c>
      <c r="R425" s="10">
        <f t="shared" ca="1" si="68"/>
        <v>153.74999999999636</v>
      </c>
      <c r="S425" s="10">
        <f t="shared" ca="1" si="69"/>
        <v>-81.250000000001123</v>
      </c>
      <c r="T425" s="10">
        <f t="shared" ca="1" si="70"/>
        <v>361.11111111111097</v>
      </c>
      <c r="U425" s="10">
        <f t="shared" ca="1" si="71"/>
        <v>361.11111111111097</v>
      </c>
      <c r="V425">
        <f t="shared" si="72"/>
        <v>3</v>
      </c>
    </row>
    <row r="426" spans="1:22" x14ac:dyDescent="0.25">
      <c r="A426">
        <v>48</v>
      </c>
      <c r="B426">
        <v>2</v>
      </c>
      <c r="C426">
        <v>90</v>
      </c>
      <c r="D426">
        <v>1</v>
      </c>
      <c r="E426">
        <v>1</v>
      </c>
      <c r="F426">
        <v>0</v>
      </c>
      <c r="G426">
        <v>0</v>
      </c>
      <c r="H426">
        <v>350</v>
      </c>
      <c r="I426">
        <f t="shared" si="73"/>
        <v>423</v>
      </c>
      <c r="J426" s="6">
        <f t="array" aca="1" ref="J426:N426" ca="1">TRANSPOSE(ols(OFFSET($C$2:$C$10,I426,0),OFFSET($D$2:$H$10,I426,0)))</f>
        <v>178.74999999999636</v>
      </c>
      <c r="K426" s="6">
        <f ca="1"/>
        <v>-10.000000000000455</v>
      </c>
      <c r="L426" s="6">
        <f ca="1"/>
        <v>-25</v>
      </c>
      <c r="M426" s="6">
        <f ca="1"/>
        <v>-2.5</v>
      </c>
      <c r="N426" s="6">
        <f ca="1"/>
        <v>-0.2250000000000032</v>
      </c>
      <c r="O426" s="6">
        <f t="shared" ca="1" si="65"/>
        <v>89.999999999994785</v>
      </c>
      <c r="P426" t="str">
        <f t="shared" si="66"/>
        <v>NA</v>
      </c>
      <c r="Q426" s="10">
        <f t="shared" ca="1" si="67"/>
        <v>72.499999999995239</v>
      </c>
      <c r="R426" s="10">
        <f t="shared" ca="1" si="68"/>
        <v>168.74999999999591</v>
      </c>
      <c r="S426" s="10">
        <f t="shared" ca="1" si="69"/>
        <v>-96.250000000000668</v>
      </c>
      <c r="T426" s="10">
        <f t="shared" ca="1" si="70"/>
        <v>427.77777777777465</v>
      </c>
      <c r="U426" s="10">
        <f t="shared" ca="1" si="71"/>
        <v>427.77777777777465</v>
      </c>
      <c r="V426">
        <f t="shared" si="72"/>
        <v>2</v>
      </c>
    </row>
    <row r="427" spans="1:22" x14ac:dyDescent="0.25">
      <c r="A427">
        <v>48</v>
      </c>
      <c r="B427">
        <v>3</v>
      </c>
      <c r="C427">
        <v>70</v>
      </c>
      <c r="D427">
        <v>1</v>
      </c>
      <c r="E427">
        <v>1</v>
      </c>
      <c r="F427">
        <v>0</v>
      </c>
      <c r="G427">
        <v>0</v>
      </c>
      <c r="H427">
        <v>450</v>
      </c>
      <c r="I427">
        <f t="shared" si="73"/>
        <v>423</v>
      </c>
      <c r="J427" s="6">
        <f t="array" aca="1" ref="J427:N427" ca="1">TRANSPOSE(ols(OFFSET($C$2:$C$10,I427,0),OFFSET($D$2:$H$10,I427,0)))</f>
        <v>178.74999999999636</v>
      </c>
      <c r="K427" s="6">
        <f ca="1"/>
        <v>-10.000000000000455</v>
      </c>
      <c r="L427" s="6">
        <f ca="1"/>
        <v>-25</v>
      </c>
      <c r="M427" s="6">
        <f ca="1"/>
        <v>-2.5</v>
      </c>
      <c r="N427" s="6">
        <f ca="1"/>
        <v>-0.2250000000000032</v>
      </c>
      <c r="O427" s="6">
        <f t="shared" ca="1" si="65"/>
        <v>67.499999999994472</v>
      </c>
      <c r="P427" t="str">
        <f t="shared" si="66"/>
        <v>NA</v>
      </c>
      <c r="Q427" s="10">
        <f t="shared" ca="1" si="67"/>
        <v>72.499999999995239</v>
      </c>
      <c r="R427" s="10">
        <f t="shared" ca="1" si="68"/>
        <v>168.74999999999591</v>
      </c>
      <c r="S427" s="10">
        <f t="shared" ca="1" si="69"/>
        <v>-96.250000000000668</v>
      </c>
      <c r="T427" s="10">
        <f t="shared" ca="1" si="70"/>
        <v>427.77777777777465</v>
      </c>
      <c r="U427" s="10">
        <f t="shared" ca="1" si="71"/>
        <v>427.77777777777465</v>
      </c>
      <c r="V427">
        <f t="shared" si="72"/>
        <v>2</v>
      </c>
    </row>
    <row r="428" spans="1:22" x14ac:dyDescent="0.25">
      <c r="A428">
        <v>48</v>
      </c>
      <c r="B428">
        <v>4</v>
      </c>
      <c r="C428">
        <v>60</v>
      </c>
      <c r="D428">
        <v>1</v>
      </c>
      <c r="E428">
        <v>0</v>
      </c>
      <c r="F428">
        <v>0</v>
      </c>
      <c r="G428">
        <v>0</v>
      </c>
      <c r="H428">
        <v>550</v>
      </c>
      <c r="I428">
        <f t="shared" si="73"/>
        <v>423</v>
      </c>
      <c r="J428" s="6">
        <f t="array" aca="1" ref="J428:N428" ca="1">TRANSPOSE(ols(OFFSET($C$2:$C$10,I428,0),OFFSET($D$2:$H$10,I428,0)))</f>
        <v>178.74999999999636</v>
      </c>
      <c r="K428" s="6">
        <f ca="1"/>
        <v>-10.000000000000455</v>
      </c>
      <c r="L428" s="6">
        <f ca="1"/>
        <v>-25</v>
      </c>
      <c r="M428" s="6">
        <f ca="1"/>
        <v>-2.5</v>
      </c>
      <c r="N428" s="6">
        <f ca="1"/>
        <v>-0.2250000000000032</v>
      </c>
      <c r="O428" s="6">
        <f t="shared" ca="1" si="65"/>
        <v>54.9999999999946</v>
      </c>
      <c r="P428" t="str">
        <f t="shared" si="66"/>
        <v>NA</v>
      </c>
      <c r="Q428" s="10">
        <f t="shared" ca="1" si="67"/>
        <v>72.499999999995239</v>
      </c>
      <c r="R428" s="10">
        <f t="shared" ca="1" si="68"/>
        <v>178.74999999999636</v>
      </c>
      <c r="S428" s="10">
        <f t="shared" ca="1" si="69"/>
        <v>-106.25000000000112</v>
      </c>
      <c r="T428" s="10">
        <f t="shared" ca="1" si="70"/>
        <v>472.22222222222052</v>
      </c>
      <c r="U428" s="10">
        <f t="shared" ca="1" si="71"/>
        <v>472.22222222222052</v>
      </c>
      <c r="V428">
        <f t="shared" si="72"/>
        <v>1</v>
      </c>
    </row>
    <row r="429" spans="1:22" x14ac:dyDescent="0.25">
      <c r="A429">
        <v>48</v>
      </c>
      <c r="B429">
        <v>5</v>
      </c>
      <c r="C429">
        <v>90</v>
      </c>
      <c r="D429">
        <v>1</v>
      </c>
      <c r="E429">
        <v>0</v>
      </c>
      <c r="F429">
        <v>1</v>
      </c>
      <c r="G429">
        <v>1</v>
      </c>
      <c r="H429">
        <v>250</v>
      </c>
      <c r="I429">
        <f t="shared" si="73"/>
        <v>423</v>
      </c>
      <c r="J429" s="6">
        <f t="array" aca="1" ref="J429:N429" ca="1">TRANSPOSE(ols(OFFSET($C$2:$C$10,I429,0),OFFSET($D$2:$H$10,I429,0)))</f>
        <v>178.74999999999636</v>
      </c>
      <c r="K429" s="6">
        <f ca="1"/>
        <v>-10.000000000000455</v>
      </c>
      <c r="L429" s="6">
        <f ca="1"/>
        <v>-25</v>
      </c>
      <c r="M429" s="6">
        <f ca="1"/>
        <v>-2.5</v>
      </c>
      <c r="N429" s="6">
        <f ca="1"/>
        <v>-0.2250000000000032</v>
      </c>
      <c r="O429" s="6">
        <f t="shared" ca="1" si="65"/>
        <v>94.999999999995566</v>
      </c>
      <c r="P429" t="str">
        <f t="shared" si="66"/>
        <v>NA</v>
      </c>
      <c r="Q429" s="10">
        <f t="shared" ca="1" si="67"/>
        <v>72.499999999995239</v>
      </c>
      <c r="R429" s="10">
        <f t="shared" ca="1" si="68"/>
        <v>151.24999999999636</v>
      </c>
      <c r="S429" s="10">
        <f t="shared" ca="1" si="69"/>
        <v>-78.750000000001123</v>
      </c>
      <c r="T429" s="10">
        <f t="shared" ca="1" si="70"/>
        <v>350</v>
      </c>
      <c r="U429" s="10">
        <f t="shared" ca="1" si="71"/>
        <v>350</v>
      </c>
      <c r="V429">
        <f t="shared" si="72"/>
        <v>6</v>
      </c>
    </row>
    <row r="430" spans="1:22" x14ac:dyDescent="0.25">
      <c r="A430">
        <v>48</v>
      </c>
      <c r="B430">
        <v>6</v>
      </c>
      <c r="C430">
        <v>85</v>
      </c>
      <c r="D430">
        <v>1</v>
      </c>
      <c r="E430">
        <v>0</v>
      </c>
      <c r="F430">
        <v>1</v>
      </c>
      <c r="G430">
        <v>1</v>
      </c>
      <c r="H430">
        <v>350</v>
      </c>
      <c r="I430">
        <f t="shared" si="73"/>
        <v>423</v>
      </c>
      <c r="J430" s="6">
        <f t="array" aca="1" ref="J430:N430" ca="1">TRANSPOSE(ols(OFFSET($C$2:$C$10,I430,0),OFFSET($D$2:$H$10,I430,0)))</f>
        <v>178.74999999999636</v>
      </c>
      <c r="K430" s="6">
        <f ca="1"/>
        <v>-10.000000000000455</v>
      </c>
      <c r="L430" s="6">
        <f ca="1"/>
        <v>-25</v>
      </c>
      <c r="M430" s="6">
        <f ca="1"/>
        <v>-2.5</v>
      </c>
      <c r="N430" s="6">
        <f ca="1"/>
        <v>-0.2250000000000032</v>
      </c>
      <c r="O430" s="6">
        <f t="shared" ca="1" si="65"/>
        <v>72.499999999995239</v>
      </c>
      <c r="P430">
        <f t="shared" ca="1" si="66"/>
        <v>72.499999999995239</v>
      </c>
      <c r="Q430" s="10">
        <f t="shared" ca="1" si="67"/>
        <v>72.499999999995239</v>
      </c>
      <c r="R430" s="10">
        <f t="shared" ca="1" si="68"/>
        <v>151.24999999999636</v>
      </c>
      <c r="S430" s="10">
        <f t="shared" ca="1" si="69"/>
        <v>-78.750000000001123</v>
      </c>
      <c r="T430" s="10">
        <f t="shared" ca="1" si="70"/>
        <v>350</v>
      </c>
      <c r="U430" s="10">
        <f t="shared" ca="1" si="71"/>
        <v>350</v>
      </c>
      <c r="V430">
        <f t="shared" si="72"/>
        <v>6</v>
      </c>
    </row>
    <row r="431" spans="1:22" x14ac:dyDescent="0.25">
      <c r="A431">
        <v>48</v>
      </c>
      <c r="B431">
        <v>7</v>
      </c>
      <c r="C431">
        <v>70</v>
      </c>
      <c r="D431">
        <v>1</v>
      </c>
      <c r="E431">
        <v>1</v>
      </c>
      <c r="F431">
        <v>0</v>
      </c>
      <c r="G431">
        <v>1</v>
      </c>
      <c r="H431">
        <v>450</v>
      </c>
      <c r="I431">
        <f t="shared" si="73"/>
        <v>423</v>
      </c>
      <c r="J431" s="6">
        <f t="array" aca="1" ref="J431:N431" ca="1">TRANSPOSE(ols(OFFSET($C$2:$C$10,I431,0),OFFSET($D$2:$H$10,I431,0)))</f>
        <v>178.74999999999636</v>
      </c>
      <c r="K431" s="6">
        <f ca="1"/>
        <v>-10.000000000000455</v>
      </c>
      <c r="L431" s="6">
        <f ca="1"/>
        <v>-25</v>
      </c>
      <c r="M431" s="6">
        <f ca="1"/>
        <v>-2.5</v>
      </c>
      <c r="N431" s="6">
        <f ca="1"/>
        <v>-0.2250000000000032</v>
      </c>
      <c r="O431" s="6">
        <f t="shared" ca="1" si="65"/>
        <v>64.999999999994472</v>
      </c>
      <c r="P431" t="str">
        <f t="shared" si="66"/>
        <v>NA</v>
      </c>
      <c r="Q431" s="10">
        <f t="shared" ca="1" si="67"/>
        <v>72.499999999995239</v>
      </c>
      <c r="R431" s="10">
        <f t="shared" ca="1" si="68"/>
        <v>166.24999999999591</v>
      </c>
      <c r="S431" s="10">
        <f t="shared" ca="1" si="69"/>
        <v>-93.750000000000668</v>
      </c>
      <c r="T431" s="10">
        <f t="shared" ca="1" si="70"/>
        <v>416.66666666666373</v>
      </c>
      <c r="U431" s="10">
        <f t="shared" ca="1" si="71"/>
        <v>416.66666666666373</v>
      </c>
      <c r="V431">
        <f t="shared" si="72"/>
        <v>5</v>
      </c>
    </row>
    <row r="432" spans="1:22" x14ac:dyDescent="0.25">
      <c r="A432">
        <v>48</v>
      </c>
      <c r="B432">
        <v>8</v>
      </c>
      <c r="C432">
        <v>35</v>
      </c>
      <c r="D432">
        <v>1</v>
      </c>
      <c r="E432">
        <v>1</v>
      </c>
      <c r="F432">
        <v>0</v>
      </c>
      <c r="G432">
        <v>1</v>
      </c>
      <c r="H432">
        <v>550</v>
      </c>
      <c r="I432">
        <f t="shared" si="73"/>
        <v>423</v>
      </c>
      <c r="J432" s="6">
        <f t="array" aca="1" ref="J432:N432" ca="1">TRANSPOSE(ols(OFFSET($C$2:$C$10,I432,0),OFFSET($D$2:$H$10,I432,0)))</f>
        <v>178.74999999999636</v>
      </c>
      <c r="K432" s="6">
        <f ca="1"/>
        <v>-10.000000000000455</v>
      </c>
      <c r="L432" s="6">
        <f ca="1"/>
        <v>-25</v>
      </c>
      <c r="M432" s="6">
        <f ca="1"/>
        <v>-2.5</v>
      </c>
      <c r="N432" s="6">
        <f ca="1"/>
        <v>-0.2250000000000032</v>
      </c>
      <c r="O432" s="6">
        <f t="shared" ca="1" si="65"/>
        <v>42.499999999994145</v>
      </c>
      <c r="P432" t="str">
        <f t="shared" si="66"/>
        <v>NA</v>
      </c>
      <c r="Q432" s="10">
        <f t="shared" ca="1" si="67"/>
        <v>72.499999999995239</v>
      </c>
      <c r="R432" s="10">
        <f t="shared" ca="1" si="68"/>
        <v>166.24999999999591</v>
      </c>
      <c r="S432" s="10">
        <f t="shared" ca="1" si="69"/>
        <v>-93.750000000000668</v>
      </c>
      <c r="T432" s="10">
        <f t="shared" ca="1" si="70"/>
        <v>416.66666666666373</v>
      </c>
      <c r="U432" s="10">
        <f t="shared" ca="1" si="71"/>
        <v>416.66666666666373</v>
      </c>
      <c r="V432">
        <f t="shared" si="72"/>
        <v>5</v>
      </c>
    </row>
    <row r="433" spans="1:22" x14ac:dyDescent="0.25">
      <c r="A433">
        <v>48</v>
      </c>
      <c r="B433">
        <v>9</v>
      </c>
      <c r="C433">
        <v>25</v>
      </c>
      <c r="D433">
        <v>1</v>
      </c>
      <c r="E433">
        <v>0</v>
      </c>
      <c r="F433">
        <v>0</v>
      </c>
      <c r="G433">
        <v>1</v>
      </c>
      <c r="H433">
        <v>650</v>
      </c>
      <c r="I433">
        <f t="shared" si="73"/>
        <v>423</v>
      </c>
      <c r="J433" s="6">
        <f t="array" aca="1" ref="J433:N433" ca="1">TRANSPOSE(ols(OFFSET($C$2:$C$10,I433,0),OFFSET($D$2:$H$10,I433,0)))</f>
        <v>178.74999999999636</v>
      </c>
      <c r="K433" s="6">
        <f ca="1"/>
        <v>-10.000000000000455</v>
      </c>
      <c r="L433" s="6">
        <f ca="1"/>
        <v>-25</v>
      </c>
      <c r="M433" s="6">
        <f ca="1"/>
        <v>-2.5</v>
      </c>
      <c r="N433" s="6">
        <f ca="1"/>
        <v>-0.2250000000000032</v>
      </c>
      <c r="O433" s="6">
        <f t="shared" ca="1" si="65"/>
        <v>29.999999999994287</v>
      </c>
      <c r="P433" t="str">
        <f t="shared" si="66"/>
        <v>NA</v>
      </c>
      <c r="Q433" s="10">
        <f t="shared" ca="1" si="67"/>
        <v>72.499999999995239</v>
      </c>
      <c r="R433" s="10">
        <f t="shared" ca="1" si="68"/>
        <v>176.24999999999636</v>
      </c>
      <c r="S433" s="10">
        <f t="shared" ca="1" si="69"/>
        <v>-103.75000000000112</v>
      </c>
      <c r="T433" s="10">
        <f t="shared" ca="1" si="70"/>
        <v>461.11111111110955</v>
      </c>
      <c r="U433" s="10">
        <f t="shared" ca="1" si="71"/>
        <v>461.11111111110955</v>
      </c>
      <c r="V433">
        <f t="shared" si="72"/>
        <v>4</v>
      </c>
    </row>
    <row r="434" spans="1:22" x14ac:dyDescent="0.25">
      <c r="A434">
        <v>49</v>
      </c>
      <c r="B434">
        <v>1</v>
      </c>
      <c r="C434">
        <v>0</v>
      </c>
      <c r="D434">
        <v>1</v>
      </c>
      <c r="E434">
        <v>0</v>
      </c>
      <c r="F434">
        <v>1</v>
      </c>
      <c r="G434">
        <v>0</v>
      </c>
      <c r="H434">
        <v>250</v>
      </c>
      <c r="I434">
        <f t="shared" si="73"/>
        <v>432</v>
      </c>
      <c r="J434" s="6">
        <f t="array" aca="1" ref="J434:N434" ca="1">TRANSPOSE(ols(OFFSET($C$2:$C$10,I434,0),OFFSET($D$2:$H$10,I434,0)))</f>
        <v>52.857142857141298</v>
      </c>
      <c r="K434" s="6">
        <f ca="1"/>
        <v>0.71428571428577925</v>
      </c>
      <c r="L434" s="6">
        <f ca="1"/>
        <v>-7.1428571428564283</v>
      </c>
      <c r="M434" s="6">
        <f ca="1"/>
        <v>78.571428571428783</v>
      </c>
      <c r="N434" s="6">
        <f ca="1"/>
        <v>-0.12857142857142634</v>
      </c>
      <c r="O434" s="6">
        <f t="shared" ca="1" si="65"/>
        <v>13.571428571428285</v>
      </c>
      <c r="P434" t="str">
        <f t="shared" si="66"/>
        <v>NA</v>
      </c>
      <c r="Q434" s="10">
        <f t="shared" ca="1" si="67"/>
        <v>79.285714285714434</v>
      </c>
      <c r="R434" s="10">
        <f t="shared" ca="1" si="68"/>
        <v>45.71428571428487</v>
      </c>
      <c r="S434" s="10">
        <f t="shared" ca="1" si="69"/>
        <v>33.571428571429564</v>
      </c>
      <c r="T434" s="10">
        <f t="shared" ca="1" si="70"/>
        <v>-261.11111111112336</v>
      </c>
      <c r="U434" s="10" t="str">
        <f t="shared" ca="1" si="71"/>
        <v>OR</v>
      </c>
      <c r="V434">
        <f t="shared" si="72"/>
        <v>3</v>
      </c>
    </row>
    <row r="435" spans="1:22" x14ac:dyDescent="0.25">
      <c r="A435">
        <v>49</v>
      </c>
      <c r="B435">
        <v>2</v>
      </c>
      <c r="C435">
        <v>0</v>
      </c>
      <c r="D435">
        <v>1</v>
      </c>
      <c r="E435">
        <v>1</v>
      </c>
      <c r="F435">
        <v>0</v>
      </c>
      <c r="G435">
        <v>0</v>
      </c>
      <c r="H435">
        <v>350</v>
      </c>
      <c r="I435">
        <f t="shared" si="73"/>
        <v>432</v>
      </c>
      <c r="J435" s="6">
        <f t="array" aca="1" ref="J435:N435" ca="1">TRANSPOSE(ols(OFFSET($C$2:$C$10,I435,0),OFFSET($D$2:$H$10,I435,0)))</f>
        <v>52.857142857141298</v>
      </c>
      <c r="K435" s="6">
        <f ca="1"/>
        <v>0.71428571428577925</v>
      </c>
      <c r="L435" s="6">
        <f ca="1"/>
        <v>-7.1428571428564283</v>
      </c>
      <c r="M435" s="6">
        <f ca="1"/>
        <v>78.571428571428783</v>
      </c>
      <c r="N435" s="6">
        <f ca="1"/>
        <v>-0.12857142857142634</v>
      </c>
      <c r="O435" s="6">
        <f t="shared" ca="1" si="65"/>
        <v>8.5714285714278589</v>
      </c>
      <c r="P435" t="str">
        <f t="shared" si="66"/>
        <v>NA</v>
      </c>
      <c r="Q435" s="10">
        <f t="shared" ca="1" si="67"/>
        <v>79.285714285714434</v>
      </c>
      <c r="R435" s="10">
        <f t="shared" ca="1" si="68"/>
        <v>53.571428571427077</v>
      </c>
      <c r="S435" s="10">
        <f t="shared" ca="1" si="69"/>
        <v>25.714285714287357</v>
      </c>
      <c r="T435" s="10">
        <f t="shared" ca="1" si="70"/>
        <v>-200.00000000001626</v>
      </c>
      <c r="U435" s="10" t="str">
        <f t="shared" ca="1" si="71"/>
        <v>OR</v>
      </c>
      <c r="V435">
        <f t="shared" si="72"/>
        <v>2</v>
      </c>
    </row>
    <row r="436" spans="1:22" x14ac:dyDescent="0.25">
      <c r="A436">
        <v>49</v>
      </c>
      <c r="B436">
        <v>3</v>
      </c>
      <c r="C436">
        <v>0</v>
      </c>
      <c r="D436">
        <v>1</v>
      </c>
      <c r="E436">
        <v>1</v>
      </c>
      <c r="F436">
        <v>0</v>
      </c>
      <c r="G436">
        <v>0</v>
      </c>
      <c r="H436">
        <v>450</v>
      </c>
      <c r="I436">
        <f t="shared" si="73"/>
        <v>432</v>
      </c>
      <c r="J436" s="6">
        <f t="array" aca="1" ref="J436:N436" ca="1">TRANSPOSE(ols(OFFSET($C$2:$C$10,I436,0),OFFSET($D$2:$H$10,I436,0)))</f>
        <v>52.857142857141298</v>
      </c>
      <c r="K436" s="6">
        <f ca="1"/>
        <v>0.71428571428577925</v>
      </c>
      <c r="L436" s="6">
        <f ca="1"/>
        <v>-7.1428571428564283</v>
      </c>
      <c r="M436" s="6">
        <f ca="1"/>
        <v>78.571428571428783</v>
      </c>
      <c r="N436" s="6">
        <f ca="1"/>
        <v>-0.12857142857142634</v>
      </c>
      <c r="O436" s="6">
        <f t="shared" ca="1" si="65"/>
        <v>-4.285714285714775</v>
      </c>
      <c r="P436" t="str">
        <f t="shared" si="66"/>
        <v>NA</v>
      </c>
      <c r="Q436" s="10">
        <f t="shared" ca="1" si="67"/>
        <v>79.285714285714434</v>
      </c>
      <c r="R436" s="10">
        <f t="shared" ca="1" si="68"/>
        <v>53.571428571427077</v>
      </c>
      <c r="S436" s="10">
        <f t="shared" ca="1" si="69"/>
        <v>25.714285714287357</v>
      </c>
      <c r="T436" s="10">
        <f t="shared" ca="1" si="70"/>
        <v>-200.00000000001626</v>
      </c>
      <c r="U436" s="10" t="str">
        <f t="shared" ca="1" si="71"/>
        <v>OR</v>
      </c>
      <c r="V436">
        <f t="shared" si="72"/>
        <v>2</v>
      </c>
    </row>
    <row r="437" spans="1:22" x14ac:dyDescent="0.25">
      <c r="A437">
        <v>49</v>
      </c>
      <c r="B437">
        <v>4</v>
      </c>
      <c r="C437">
        <v>0</v>
      </c>
      <c r="D437">
        <v>1</v>
      </c>
      <c r="E437">
        <v>0</v>
      </c>
      <c r="F437">
        <v>0</v>
      </c>
      <c r="G437">
        <v>0</v>
      </c>
      <c r="H437">
        <v>550</v>
      </c>
      <c r="I437">
        <f t="shared" si="73"/>
        <v>432</v>
      </c>
      <c r="J437" s="6">
        <f t="array" aca="1" ref="J437:N437" ca="1">TRANSPOSE(ols(OFFSET($C$2:$C$10,I437,0),OFFSET($D$2:$H$10,I437,0)))</f>
        <v>52.857142857141298</v>
      </c>
      <c r="K437" s="6">
        <f ca="1"/>
        <v>0.71428571428577925</v>
      </c>
      <c r="L437" s="6">
        <f ca="1"/>
        <v>-7.1428571428564283</v>
      </c>
      <c r="M437" s="6">
        <f ca="1"/>
        <v>78.571428571428783</v>
      </c>
      <c r="N437" s="6">
        <f ca="1"/>
        <v>-0.12857142857142634</v>
      </c>
      <c r="O437" s="6">
        <f t="shared" ca="1" si="65"/>
        <v>-17.857142857143188</v>
      </c>
      <c r="P437" t="str">
        <f t="shared" si="66"/>
        <v>NA</v>
      </c>
      <c r="Q437" s="10">
        <f t="shared" ca="1" si="67"/>
        <v>79.285714285714434</v>
      </c>
      <c r="R437" s="10">
        <f t="shared" ca="1" si="68"/>
        <v>52.857142857141298</v>
      </c>
      <c r="S437" s="10">
        <f t="shared" ca="1" si="69"/>
        <v>26.428571428573136</v>
      </c>
      <c r="T437" s="10">
        <f t="shared" ca="1" si="70"/>
        <v>-205.5555555555724</v>
      </c>
      <c r="U437" s="10" t="str">
        <f t="shared" ca="1" si="71"/>
        <v>OR</v>
      </c>
      <c r="V437">
        <f t="shared" si="72"/>
        <v>1</v>
      </c>
    </row>
    <row r="438" spans="1:22" x14ac:dyDescent="0.25">
      <c r="A438">
        <v>49</v>
      </c>
      <c r="B438">
        <v>5</v>
      </c>
      <c r="C438">
        <v>100</v>
      </c>
      <c r="D438">
        <v>1</v>
      </c>
      <c r="E438">
        <v>0</v>
      </c>
      <c r="F438">
        <v>1</v>
      </c>
      <c r="G438">
        <v>1</v>
      </c>
      <c r="H438">
        <v>250</v>
      </c>
      <c r="I438">
        <f t="shared" si="73"/>
        <v>432</v>
      </c>
      <c r="J438" s="6">
        <f t="array" aca="1" ref="J438:N438" ca="1">TRANSPOSE(ols(OFFSET($C$2:$C$10,I438,0),OFFSET($D$2:$H$10,I438,0)))</f>
        <v>52.857142857141298</v>
      </c>
      <c r="K438" s="6">
        <f ca="1"/>
        <v>0.71428571428577925</v>
      </c>
      <c r="L438" s="6">
        <f ca="1"/>
        <v>-7.1428571428564283</v>
      </c>
      <c r="M438" s="6">
        <f ca="1"/>
        <v>78.571428571428783</v>
      </c>
      <c r="N438" s="6">
        <f ca="1"/>
        <v>-0.12857142857142634</v>
      </c>
      <c r="O438" s="6">
        <f t="shared" ca="1" si="65"/>
        <v>92.142857142857068</v>
      </c>
      <c r="P438" t="str">
        <f t="shared" si="66"/>
        <v>NA</v>
      </c>
      <c r="Q438" s="10">
        <f t="shared" ca="1" si="67"/>
        <v>79.285714285714434</v>
      </c>
      <c r="R438" s="10">
        <f t="shared" ca="1" si="68"/>
        <v>124.28571428571365</v>
      </c>
      <c r="S438" s="10">
        <f t="shared" ca="1" si="69"/>
        <v>-44.999999999999218</v>
      </c>
      <c r="T438" s="10">
        <f t="shared" ca="1" si="70"/>
        <v>350</v>
      </c>
      <c r="U438" s="10">
        <f t="shared" ca="1" si="71"/>
        <v>350</v>
      </c>
      <c r="V438">
        <f t="shared" si="72"/>
        <v>6</v>
      </c>
    </row>
    <row r="439" spans="1:22" x14ac:dyDescent="0.25">
      <c r="A439">
        <v>49</v>
      </c>
      <c r="B439">
        <v>6</v>
      </c>
      <c r="C439">
        <v>85</v>
      </c>
      <c r="D439">
        <v>1</v>
      </c>
      <c r="E439">
        <v>0</v>
      </c>
      <c r="F439">
        <v>1</v>
      </c>
      <c r="G439">
        <v>1</v>
      </c>
      <c r="H439">
        <v>350</v>
      </c>
      <c r="I439">
        <f t="shared" si="73"/>
        <v>432</v>
      </c>
      <c r="J439" s="6">
        <f t="array" aca="1" ref="J439:N439" ca="1">TRANSPOSE(ols(OFFSET($C$2:$C$10,I439,0),OFFSET($D$2:$H$10,I439,0)))</f>
        <v>52.857142857141298</v>
      </c>
      <c r="K439" s="6">
        <f ca="1"/>
        <v>0.71428571428577925</v>
      </c>
      <c r="L439" s="6">
        <f ca="1"/>
        <v>-7.1428571428564283</v>
      </c>
      <c r="M439" s="6">
        <f ca="1"/>
        <v>78.571428571428783</v>
      </c>
      <c r="N439" s="6">
        <f ca="1"/>
        <v>-0.12857142857142634</v>
      </c>
      <c r="O439" s="6">
        <f t="shared" ca="1" si="65"/>
        <v>79.285714285714434</v>
      </c>
      <c r="P439">
        <f t="shared" ca="1" si="66"/>
        <v>79.285714285714434</v>
      </c>
      <c r="Q439" s="10">
        <f t="shared" ca="1" si="67"/>
        <v>79.285714285714434</v>
      </c>
      <c r="R439" s="10">
        <f t="shared" ca="1" si="68"/>
        <v>124.28571428571365</v>
      </c>
      <c r="S439" s="10">
        <f t="shared" ca="1" si="69"/>
        <v>-44.999999999999218</v>
      </c>
      <c r="T439" s="10">
        <f t="shared" ca="1" si="70"/>
        <v>350</v>
      </c>
      <c r="U439" s="10">
        <f t="shared" ca="1" si="71"/>
        <v>350</v>
      </c>
      <c r="V439">
        <f t="shared" si="72"/>
        <v>6</v>
      </c>
    </row>
    <row r="440" spans="1:22" x14ac:dyDescent="0.25">
      <c r="A440">
        <v>49</v>
      </c>
      <c r="B440">
        <v>7</v>
      </c>
      <c r="C440">
        <v>75</v>
      </c>
      <c r="D440">
        <v>1</v>
      </c>
      <c r="E440">
        <v>1</v>
      </c>
      <c r="F440">
        <v>0</v>
      </c>
      <c r="G440">
        <v>1</v>
      </c>
      <c r="H440">
        <v>450</v>
      </c>
      <c r="I440">
        <f t="shared" si="73"/>
        <v>432</v>
      </c>
      <c r="J440" s="6">
        <f t="array" aca="1" ref="J440:N440" ca="1">TRANSPOSE(ols(OFFSET($C$2:$C$10,I440,0),OFFSET($D$2:$H$10,I440,0)))</f>
        <v>52.857142857141298</v>
      </c>
      <c r="K440" s="6">
        <f ca="1"/>
        <v>0.71428571428577925</v>
      </c>
      <c r="L440" s="6">
        <f ca="1"/>
        <v>-7.1428571428564283</v>
      </c>
      <c r="M440" s="6">
        <f ca="1"/>
        <v>78.571428571428783</v>
      </c>
      <c r="N440" s="6">
        <f ca="1"/>
        <v>-0.12857142857142634</v>
      </c>
      <c r="O440" s="6">
        <f t="shared" ca="1" si="65"/>
        <v>74.285714285714008</v>
      </c>
      <c r="P440" t="str">
        <f t="shared" si="66"/>
        <v>NA</v>
      </c>
      <c r="Q440" s="10">
        <f t="shared" ca="1" si="67"/>
        <v>79.285714285714434</v>
      </c>
      <c r="R440" s="10">
        <f t="shared" ca="1" si="68"/>
        <v>132.14285714285586</v>
      </c>
      <c r="S440" s="10">
        <f t="shared" ca="1" si="69"/>
        <v>-52.857142857141426</v>
      </c>
      <c r="T440" s="10">
        <f t="shared" ca="1" si="70"/>
        <v>411.11111111110711</v>
      </c>
      <c r="U440" s="10">
        <f t="shared" ca="1" si="71"/>
        <v>411.11111111110711</v>
      </c>
      <c r="V440">
        <f t="shared" si="72"/>
        <v>5</v>
      </c>
    </row>
    <row r="441" spans="1:22" x14ac:dyDescent="0.25">
      <c r="A441">
        <v>49</v>
      </c>
      <c r="B441">
        <v>8</v>
      </c>
      <c r="C441">
        <v>65</v>
      </c>
      <c r="D441">
        <v>1</v>
      </c>
      <c r="E441">
        <v>1</v>
      </c>
      <c r="F441">
        <v>0</v>
      </c>
      <c r="G441">
        <v>1</v>
      </c>
      <c r="H441">
        <v>550</v>
      </c>
      <c r="I441">
        <f t="shared" si="73"/>
        <v>432</v>
      </c>
      <c r="J441" s="6">
        <f t="array" aca="1" ref="J441:N441" ca="1">TRANSPOSE(ols(OFFSET($C$2:$C$10,I441,0),OFFSET($D$2:$H$10,I441,0)))</f>
        <v>52.857142857141298</v>
      </c>
      <c r="K441" s="6">
        <f ca="1"/>
        <v>0.71428571428577925</v>
      </c>
      <c r="L441" s="6">
        <f ca="1"/>
        <v>-7.1428571428564283</v>
      </c>
      <c r="M441" s="6">
        <f ca="1"/>
        <v>78.571428571428783</v>
      </c>
      <c r="N441" s="6">
        <f ca="1"/>
        <v>-0.12857142857142634</v>
      </c>
      <c r="O441" s="6">
        <f t="shared" ca="1" si="65"/>
        <v>61.428571428571374</v>
      </c>
      <c r="P441" t="str">
        <f t="shared" si="66"/>
        <v>NA</v>
      </c>
      <c r="Q441" s="10">
        <f t="shared" ca="1" si="67"/>
        <v>79.285714285714434</v>
      </c>
      <c r="R441" s="10">
        <f t="shared" ca="1" si="68"/>
        <v>132.14285714285586</v>
      </c>
      <c r="S441" s="10">
        <f t="shared" ca="1" si="69"/>
        <v>-52.857142857141426</v>
      </c>
      <c r="T441" s="10">
        <f t="shared" ca="1" si="70"/>
        <v>411.11111111110711</v>
      </c>
      <c r="U441" s="10">
        <f t="shared" ca="1" si="71"/>
        <v>411.11111111110711</v>
      </c>
      <c r="V441">
        <f t="shared" si="72"/>
        <v>5</v>
      </c>
    </row>
    <row r="442" spans="1:22" x14ac:dyDescent="0.25">
      <c r="A442">
        <v>49</v>
      </c>
      <c r="B442">
        <v>9</v>
      </c>
      <c r="C442">
        <v>30</v>
      </c>
      <c r="D442">
        <v>1</v>
      </c>
      <c r="E442">
        <v>0</v>
      </c>
      <c r="F442">
        <v>0</v>
      </c>
      <c r="G442">
        <v>1</v>
      </c>
      <c r="H442">
        <v>650</v>
      </c>
      <c r="I442">
        <f t="shared" si="73"/>
        <v>432</v>
      </c>
      <c r="J442" s="6">
        <f t="array" aca="1" ref="J442:N442" ca="1">TRANSPOSE(ols(OFFSET($C$2:$C$10,I442,0),OFFSET($D$2:$H$10,I442,0)))</f>
        <v>52.857142857141298</v>
      </c>
      <c r="K442" s="6">
        <f ca="1"/>
        <v>0.71428571428577925</v>
      </c>
      <c r="L442" s="6">
        <f ca="1"/>
        <v>-7.1428571428564283</v>
      </c>
      <c r="M442" s="6">
        <f ca="1"/>
        <v>78.571428571428783</v>
      </c>
      <c r="N442" s="6">
        <f ca="1"/>
        <v>-0.12857142857142634</v>
      </c>
      <c r="O442" s="6">
        <f t="shared" ca="1" si="65"/>
        <v>47.857142857142961</v>
      </c>
      <c r="P442" t="str">
        <f t="shared" si="66"/>
        <v>NA</v>
      </c>
      <c r="Q442" s="10">
        <f t="shared" ca="1" si="67"/>
        <v>79.285714285714434</v>
      </c>
      <c r="R442" s="10">
        <f t="shared" ca="1" si="68"/>
        <v>131.42857142857008</v>
      </c>
      <c r="S442" s="10">
        <f t="shared" ca="1" si="69"/>
        <v>-52.142857142855647</v>
      </c>
      <c r="T442" s="10">
        <f t="shared" ca="1" si="70"/>
        <v>405.55555555555094</v>
      </c>
      <c r="U442" s="10">
        <f t="shared" ca="1" si="71"/>
        <v>405.55555555555094</v>
      </c>
      <c r="V442">
        <f t="shared" si="72"/>
        <v>4</v>
      </c>
    </row>
    <row r="443" spans="1:22" x14ac:dyDescent="0.25">
      <c r="A443">
        <v>50</v>
      </c>
      <c r="B443">
        <v>1</v>
      </c>
      <c r="C443">
        <v>25</v>
      </c>
      <c r="D443">
        <v>1</v>
      </c>
      <c r="E443">
        <v>0</v>
      </c>
      <c r="F443">
        <v>1</v>
      </c>
      <c r="G443">
        <v>0</v>
      </c>
      <c r="H443">
        <v>250</v>
      </c>
      <c r="I443">
        <f t="shared" si="73"/>
        <v>441</v>
      </c>
      <c r="J443" s="6">
        <f t="array" aca="1" ref="J443:N443" ca="1">TRANSPOSE(ols(OFFSET($C$2:$C$10,I443,0),OFFSET($D$2:$H$10,I443,0)))</f>
        <v>37.499999999999091</v>
      </c>
      <c r="K443" s="6">
        <f ca="1"/>
        <v>10.000000000000227</v>
      </c>
      <c r="L443" s="6">
        <f ca="1"/>
        <v>4.9999999999995453</v>
      </c>
      <c r="M443" s="6">
        <f ca="1"/>
        <v>35.000000000000227</v>
      </c>
      <c r="N443" s="6">
        <f ca="1"/>
        <v>-5.0000000000002487E-2</v>
      </c>
      <c r="O443" s="6">
        <f t="shared" ca="1" si="65"/>
        <v>29.999999999998014</v>
      </c>
      <c r="P443" t="str">
        <f t="shared" si="66"/>
        <v>NA</v>
      </c>
      <c r="Q443" s="10">
        <f t="shared" ca="1" si="67"/>
        <v>59.999999999997996</v>
      </c>
      <c r="R443" s="10">
        <f t="shared" ca="1" si="68"/>
        <v>42.499999999998636</v>
      </c>
      <c r="S443" s="10">
        <f t="shared" ca="1" si="69"/>
        <v>17.499999999999361</v>
      </c>
      <c r="T443" s="10">
        <f t="shared" ca="1" si="70"/>
        <v>-349.99999999996982</v>
      </c>
      <c r="U443" s="10" t="str">
        <f t="shared" ca="1" si="71"/>
        <v>OR</v>
      </c>
      <c r="V443">
        <f t="shared" si="72"/>
        <v>3</v>
      </c>
    </row>
    <row r="444" spans="1:22" x14ac:dyDescent="0.25">
      <c r="A444">
        <v>50</v>
      </c>
      <c r="B444">
        <v>2</v>
      </c>
      <c r="C444">
        <v>25</v>
      </c>
      <c r="D444">
        <v>1</v>
      </c>
      <c r="E444">
        <v>1</v>
      </c>
      <c r="F444">
        <v>0</v>
      </c>
      <c r="G444">
        <v>0</v>
      </c>
      <c r="H444">
        <v>350</v>
      </c>
      <c r="I444">
        <f t="shared" si="73"/>
        <v>441</v>
      </c>
      <c r="J444" s="6">
        <f t="array" aca="1" ref="J444:N444" ca="1">TRANSPOSE(ols(OFFSET($C$2:$C$10,I444,0),OFFSET($D$2:$H$10,I444,0)))</f>
        <v>37.499999999999091</v>
      </c>
      <c r="K444" s="6">
        <f ca="1"/>
        <v>10.000000000000227</v>
      </c>
      <c r="L444" s="6">
        <f ca="1"/>
        <v>4.9999999999995453</v>
      </c>
      <c r="M444" s="6">
        <f ca="1"/>
        <v>35.000000000000227</v>
      </c>
      <c r="N444" s="6">
        <f ca="1"/>
        <v>-5.0000000000002487E-2</v>
      </c>
      <c r="O444" s="6">
        <f t="shared" ca="1" si="65"/>
        <v>29.999999999998447</v>
      </c>
      <c r="P444" t="str">
        <f t="shared" si="66"/>
        <v>NA</v>
      </c>
      <c r="Q444" s="10">
        <f t="shared" ca="1" si="67"/>
        <v>59.999999999997996</v>
      </c>
      <c r="R444" s="10">
        <f t="shared" ca="1" si="68"/>
        <v>47.499999999999318</v>
      </c>
      <c r="S444" s="10">
        <f t="shared" ca="1" si="69"/>
        <v>12.499999999998678</v>
      </c>
      <c r="T444" s="10">
        <f t="shared" ca="1" si="70"/>
        <v>-249.99999999996112</v>
      </c>
      <c r="U444" s="10" t="str">
        <f t="shared" ca="1" si="71"/>
        <v>OR</v>
      </c>
      <c r="V444">
        <f t="shared" si="72"/>
        <v>2</v>
      </c>
    </row>
    <row r="445" spans="1:22" x14ac:dyDescent="0.25">
      <c r="A445">
        <v>50</v>
      </c>
      <c r="B445">
        <v>3</v>
      </c>
      <c r="C445">
        <v>25</v>
      </c>
      <c r="D445">
        <v>1</v>
      </c>
      <c r="E445">
        <v>1</v>
      </c>
      <c r="F445">
        <v>0</v>
      </c>
      <c r="G445">
        <v>0</v>
      </c>
      <c r="H445">
        <v>450</v>
      </c>
      <c r="I445">
        <f t="shared" si="73"/>
        <v>441</v>
      </c>
      <c r="J445" s="6">
        <f t="array" aca="1" ref="J445:N445" ca="1">TRANSPOSE(ols(OFFSET($C$2:$C$10,I445,0),OFFSET($D$2:$H$10,I445,0)))</f>
        <v>37.499999999999091</v>
      </c>
      <c r="K445" s="6">
        <f ca="1"/>
        <v>10.000000000000227</v>
      </c>
      <c r="L445" s="6">
        <f ca="1"/>
        <v>4.9999999999995453</v>
      </c>
      <c r="M445" s="6">
        <f ca="1"/>
        <v>35.000000000000227</v>
      </c>
      <c r="N445" s="6">
        <f ca="1"/>
        <v>-5.0000000000002487E-2</v>
      </c>
      <c r="O445" s="6">
        <f t="shared" ca="1" si="65"/>
        <v>24.999999999998199</v>
      </c>
      <c r="P445" t="str">
        <f t="shared" si="66"/>
        <v>NA</v>
      </c>
      <c r="Q445" s="10">
        <f t="shared" ca="1" si="67"/>
        <v>59.999999999997996</v>
      </c>
      <c r="R445" s="10">
        <f t="shared" ca="1" si="68"/>
        <v>47.499999999999318</v>
      </c>
      <c r="S445" s="10">
        <f t="shared" ca="1" si="69"/>
        <v>12.499999999998678</v>
      </c>
      <c r="T445" s="10">
        <f t="shared" ca="1" si="70"/>
        <v>-249.99999999996112</v>
      </c>
      <c r="U445" s="10" t="str">
        <f t="shared" ca="1" si="71"/>
        <v>OR</v>
      </c>
      <c r="V445">
        <f t="shared" si="72"/>
        <v>2</v>
      </c>
    </row>
    <row r="446" spans="1:22" x14ac:dyDescent="0.25">
      <c r="A446">
        <v>50</v>
      </c>
      <c r="B446">
        <v>4</v>
      </c>
      <c r="C446">
        <v>20</v>
      </c>
      <c r="D446">
        <v>1</v>
      </c>
      <c r="E446">
        <v>0</v>
      </c>
      <c r="F446">
        <v>0</v>
      </c>
      <c r="G446">
        <v>0</v>
      </c>
      <c r="H446">
        <v>550</v>
      </c>
      <c r="I446">
        <f t="shared" si="73"/>
        <v>441</v>
      </c>
      <c r="J446" s="6">
        <f t="array" aca="1" ref="J446:N446" ca="1">TRANSPOSE(ols(OFFSET($C$2:$C$10,I446,0),OFFSET($D$2:$H$10,I446,0)))</f>
        <v>37.499999999999091</v>
      </c>
      <c r="K446" s="6">
        <f ca="1"/>
        <v>10.000000000000227</v>
      </c>
      <c r="L446" s="6">
        <f ca="1"/>
        <v>4.9999999999995453</v>
      </c>
      <c r="M446" s="6">
        <f ca="1"/>
        <v>35.000000000000227</v>
      </c>
      <c r="N446" s="6">
        <f ca="1"/>
        <v>-5.0000000000002487E-2</v>
      </c>
      <c r="O446" s="6">
        <f t="shared" ca="1" si="65"/>
        <v>9.9999999999977227</v>
      </c>
      <c r="P446" t="str">
        <f t="shared" si="66"/>
        <v>NA</v>
      </c>
      <c r="Q446" s="10">
        <f t="shared" ca="1" si="67"/>
        <v>59.999999999997996</v>
      </c>
      <c r="R446" s="10">
        <f t="shared" ca="1" si="68"/>
        <v>37.499999999999091</v>
      </c>
      <c r="S446" s="10">
        <f t="shared" ca="1" si="69"/>
        <v>22.499999999998906</v>
      </c>
      <c r="T446" s="10">
        <f t="shared" ca="1" si="70"/>
        <v>-449.99999999995572</v>
      </c>
      <c r="U446" s="10" t="str">
        <f t="shared" ca="1" si="71"/>
        <v>OR</v>
      </c>
      <c r="V446">
        <f t="shared" si="72"/>
        <v>1</v>
      </c>
    </row>
    <row r="447" spans="1:22" x14ac:dyDescent="0.25">
      <c r="A447">
        <v>50</v>
      </c>
      <c r="B447">
        <v>5</v>
      </c>
      <c r="C447">
        <v>70</v>
      </c>
      <c r="D447">
        <v>1</v>
      </c>
      <c r="E447">
        <v>0</v>
      </c>
      <c r="F447">
        <v>1</v>
      </c>
      <c r="G447">
        <v>1</v>
      </c>
      <c r="H447">
        <v>250</v>
      </c>
      <c r="I447">
        <f t="shared" si="73"/>
        <v>441</v>
      </c>
      <c r="J447" s="6">
        <f t="array" aca="1" ref="J447:N447" ca="1">TRANSPOSE(ols(OFFSET($C$2:$C$10,I447,0),OFFSET($D$2:$H$10,I447,0)))</f>
        <v>37.499999999999091</v>
      </c>
      <c r="K447" s="6">
        <f ca="1"/>
        <v>10.000000000000227</v>
      </c>
      <c r="L447" s="6">
        <f ca="1"/>
        <v>4.9999999999995453</v>
      </c>
      <c r="M447" s="6">
        <f ca="1"/>
        <v>35.000000000000227</v>
      </c>
      <c r="N447" s="6">
        <f ca="1"/>
        <v>-5.0000000000002487E-2</v>
      </c>
      <c r="O447" s="6">
        <f t="shared" ca="1" si="65"/>
        <v>64.999999999998238</v>
      </c>
      <c r="P447" t="str">
        <f t="shared" si="66"/>
        <v>NA</v>
      </c>
      <c r="Q447" s="10">
        <f t="shared" ca="1" si="67"/>
        <v>59.999999999997996</v>
      </c>
      <c r="R447" s="10">
        <f t="shared" ca="1" si="68"/>
        <v>77.499999999998863</v>
      </c>
      <c r="S447" s="10">
        <f t="shared" ca="1" si="69"/>
        <v>-17.500000000000867</v>
      </c>
      <c r="T447" s="10">
        <f t="shared" ca="1" si="70"/>
        <v>349.99999999999994</v>
      </c>
      <c r="U447" s="10">
        <f t="shared" ca="1" si="71"/>
        <v>349.99999999999994</v>
      </c>
      <c r="V447">
        <f t="shared" si="72"/>
        <v>6</v>
      </c>
    </row>
    <row r="448" spans="1:22" x14ac:dyDescent="0.25">
      <c r="A448">
        <v>50</v>
      </c>
      <c r="B448">
        <v>6</v>
      </c>
      <c r="C448">
        <v>60</v>
      </c>
      <c r="D448">
        <v>1</v>
      </c>
      <c r="E448">
        <v>0</v>
      </c>
      <c r="F448">
        <v>1</v>
      </c>
      <c r="G448">
        <v>1</v>
      </c>
      <c r="H448">
        <v>350</v>
      </c>
      <c r="I448">
        <f t="shared" si="73"/>
        <v>441</v>
      </c>
      <c r="J448" s="6">
        <f t="array" aca="1" ref="J448:N448" ca="1">TRANSPOSE(ols(OFFSET($C$2:$C$10,I448,0),OFFSET($D$2:$H$10,I448,0)))</f>
        <v>37.499999999999091</v>
      </c>
      <c r="K448" s="6">
        <f ca="1"/>
        <v>10.000000000000227</v>
      </c>
      <c r="L448" s="6">
        <f ca="1"/>
        <v>4.9999999999995453</v>
      </c>
      <c r="M448" s="6">
        <f ca="1"/>
        <v>35.000000000000227</v>
      </c>
      <c r="N448" s="6">
        <f ca="1"/>
        <v>-5.0000000000002487E-2</v>
      </c>
      <c r="O448" s="6">
        <f t="shared" ca="1" si="65"/>
        <v>59.999999999997996</v>
      </c>
      <c r="P448">
        <f t="shared" ca="1" si="66"/>
        <v>59.999999999997996</v>
      </c>
      <c r="Q448" s="10">
        <f t="shared" ca="1" si="67"/>
        <v>59.999999999997996</v>
      </c>
      <c r="R448" s="10">
        <f t="shared" ca="1" si="68"/>
        <v>77.499999999998863</v>
      </c>
      <c r="S448" s="10">
        <f t="shared" ca="1" si="69"/>
        <v>-17.500000000000867</v>
      </c>
      <c r="T448" s="10">
        <f t="shared" ca="1" si="70"/>
        <v>349.99999999999994</v>
      </c>
      <c r="U448" s="10">
        <f t="shared" ca="1" si="71"/>
        <v>349.99999999999994</v>
      </c>
      <c r="V448">
        <f t="shared" si="72"/>
        <v>6</v>
      </c>
    </row>
    <row r="449" spans="1:22" x14ac:dyDescent="0.25">
      <c r="A449">
        <v>50</v>
      </c>
      <c r="B449">
        <v>7</v>
      </c>
      <c r="C449">
        <v>60</v>
      </c>
      <c r="D449">
        <v>1</v>
      </c>
      <c r="E449">
        <v>1</v>
      </c>
      <c r="F449">
        <v>0</v>
      </c>
      <c r="G449">
        <v>1</v>
      </c>
      <c r="H449">
        <v>450</v>
      </c>
      <c r="I449">
        <f t="shared" si="73"/>
        <v>441</v>
      </c>
      <c r="J449" s="6">
        <f t="array" aca="1" ref="J449:N449" ca="1">TRANSPOSE(ols(OFFSET($C$2:$C$10,I449,0),OFFSET($D$2:$H$10,I449,0)))</f>
        <v>37.499999999999091</v>
      </c>
      <c r="K449" s="6">
        <f ca="1"/>
        <v>10.000000000000227</v>
      </c>
      <c r="L449" s="6">
        <f ca="1"/>
        <v>4.9999999999995453</v>
      </c>
      <c r="M449" s="6">
        <f ca="1"/>
        <v>35.000000000000227</v>
      </c>
      <c r="N449" s="6">
        <f ca="1"/>
        <v>-5.0000000000002487E-2</v>
      </c>
      <c r="O449" s="6">
        <f t="shared" ca="1" si="65"/>
        <v>59.999999999998423</v>
      </c>
      <c r="P449" t="str">
        <f t="shared" si="66"/>
        <v>NA</v>
      </c>
      <c r="Q449" s="10">
        <f t="shared" ca="1" si="67"/>
        <v>59.999999999997996</v>
      </c>
      <c r="R449" s="10">
        <f t="shared" ca="1" si="68"/>
        <v>82.499999999999545</v>
      </c>
      <c r="S449" s="10">
        <f t="shared" ca="1" si="69"/>
        <v>-22.500000000001549</v>
      </c>
      <c r="T449" s="10">
        <f t="shared" ca="1" si="70"/>
        <v>450.00000000000858</v>
      </c>
      <c r="U449" s="10">
        <f t="shared" ca="1" si="71"/>
        <v>450.00000000000858</v>
      </c>
      <c r="V449">
        <f t="shared" si="72"/>
        <v>5</v>
      </c>
    </row>
    <row r="450" spans="1:22" x14ac:dyDescent="0.25">
      <c r="A450">
        <v>50</v>
      </c>
      <c r="B450">
        <v>8</v>
      </c>
      <c r="C450">
        <v>60</v>
      </c>
      <c r="D450">
        <v>1</v>
      </c>
      <c r="E450">
        <v>1</v>
      </c>
      <c r="F450">
        <v>0</v>
      </c>
      <c r="G450">
        <v>1</v>
      </c>
      <c r="H450">
        <v>550</v>
      </c>
      <c r="I450">
        <f t="shared" si="73"/>
        <v>441</v>
      </c>
      <c r="J450" s="6">
        <f t="array" aca="1" ref="J450:N450" ca="1">TRANSPOSE(ols(OFFSET($C$2:$C$10,I450,0),OFFSET($D$2:$H$10,I450,0)))</f>
        <v>37.499999999999091</v>
      </c>
      <c r="K450" s="6">
        <f ca="1"/>
        <v>10.000000000000227</v>
      </c>
      <c r="L450" s="6">
        <f ca="1"/>
        <v>4.9999999999995453</v>
      </c>
      <c r="M450" s="6">
        <f ca="1"/>
        <v>35.000000000000227</v>
      </c>
      <c r="N450" s="6">
        <f ca="1"/>
        <v>-5.0000000000002487E-2</v>
      </c>
      <c r="O450" s="6">
        <f t="shared" ca="1" si="65"/>
        <v>54.999999999998181</v>
      </c>
      <c r="P450" t="str">
        <f t="shared" si="66"/>
        <v>NA</v>
      </c>
      <c r="Q450" s="10">
        <f t="shared" ca="1" si="67"/>
        <v>59.999999999997996</v>
      </c>
      <c r="R450" s="10">
        <f t="shared" ca="1" si="68"/>
        <v>82.499999999999545</v>
      </c>
      <c r="S450" s="10">
        <f t="shared" ca="1" si="69"/>
        <v>-22.500000000001549</v>
      </c>
      <c r="T450" s="10">
        <f t="shared" ca="1" si="70"/>
        <v>450.00000000000858</v>
      </c>
      <c r="U450" s="10">
        <f t="shared" ca="1" si="71"/>
        <v>450.00000000000858</v>
      </c>
      <c r="V450">
        <f t="shared" si="72"/>
        <v>5</v>
      </c>
    </row>
    <row r="451" spans="1:22" x14ac:dyDescent="0.25">
      <c r="A451">
        <v>50</v>
      </c>
      <c r="B451">
        <v>9</v>
      </c>
      <c r="C451">
        <v>30</v>
      </c>
      <c r="D451">
        <v>1</v>
      </c>
      <c r="E451">
        <v>0</v>
      </c>
      <c r="F451">
        <v>0</v>
      </c>
      <c r="G451">
        <v>1</v>
      </c>
      <c r="H451">
        <v>650</v>
      </c>
      <c r="I451">
        <f t="shared" si="73"/>
        <v>441</v>
      </c>
      <c r="J451" s="6">
        <f t="array" aca="1" ref="J451:N451" ca="1">TRANSPOSE(ols(OFFSET($C$2:$C$10,I451,0),OFFSET($D$2:$H$10,I451,0)))</f>
        <v>37.499999999999091</v>
      </c>
      <c r="K451" s="6">
        <f ca="1"/>
        <v>10.000000000000227</v>
      </c>
      <c r="L451" s="6">
        <f ca="1"/>
        <v>4.9999999999995453</v>
      </c>
      <c r="M451" s="6">
        <f ca="1"/>
        <v>35.000000000000227</v>
      </c>
      <c r="N451" s="6">
        <f ca="1"/>
        <v>-5.0000000000002487E-2</v>
      </c>
      <c r="O451" s="6">
        <f t="shared" ref="O451:O514" ca="1" si="74">SUMPRODUCT(J451:N451,D451:H451)</f>
        <v>39.999999999997698</v>
      </c>
      <c r="P451" t="str">
        <f t="shared" ref="P451:P514" si="75">IF(AND(F451=1,G451=1,H451=350),O451,"NA")</f>
        <v>NA</v>
      </c>
      <c r="Q451" s="10">
        <f t="shared" ref="Q451:Q514" ca="1" si="76">AVERAGEIF($A$2:$A$5383,A451,$P$2:$P$5383)</f>
        <v>59.999999999997996</v>
      </c>
      <c r="R451" s="10">
        <f t="shared" ref="R451:R514" ca="1" si="77">O451-N451*H451</f>
        <v>72.499999999999318</v>
      </c>
      <c r="S451" s="10">
        <f t="shared" ref="S451:S514" ca="1" si="78">Q451-R451</f>
        <v>-12.500000000001322</v>
      </c>
      <c r="T451" s="10">
        <f t="shared" ref="T451:T514" ca="1" si="79">S451/N451</f>
        <v>250.00000000001398</v>
      </c>
      <c r="U451" s="10">
        <f t="shared" ref="U451:U514" ca="1" si="80">IF(OR(T451&lt;250,T451&gt;650),"OR",T451)</f>
        <v>250.00000000001398</v>
      </c>
      <c r="V451">
        <f t="shared" ref="V451:V514" si="81">IF(AND(E451=1,G451=0),2,IF(AND(F451=1,G451=0),3,IF(AND(E451=1,G451=1),5,IF(AND(F451=1,G451=1),6,IF(G451=0,1,IF(G451=1,4))))))</f>
        <v>4</v>
      </c>
    </row>
    <row r="452" spans="1:22" x14ac:dyDescent="0.25">
      <c r="A452">
        <v>51</v>
      </c>
      <c r="B452">
        <v>1</v>
      </c>
      <c r="C452">
        <v>30</v>
      </c>
      <c r="D452">
        <v>1</v>
      </c>
      <c r="E452">
        <v>0</v>
      </c>
      <c r="F452">
        <v>1</v>
      </c>
      <c r="G452">
        <v>0</v>
      </c>
      <c r="H452">
        <v>250</v>
      </c>
      <c r="I452">
        <f t="shared" si="73"/>
        <v>450</v>
      </c>
      <c r="J452" s="6">
        <f t="array" aca="1" ref="J452:N452" ca="1">TRANSPOSE(ols(OFFSET($C$2:$C$10,I452,0),OFFSET($D$2:$H$10,I452,0)))</f>
        <v>113.63095238095138</v>
      </c>
      <c r="K452" s="6">
        <f ca="1"/>
        <v>-33.571428571428896</v>
      </c>
      <c r="L452" s="6">
        <f ca="1"/>
        <v>-47.619047619048615</v>
      </c>
      <c r="M452" s="6">
        <f ca="1"/>
        <v>6.3095238095240802</v>
      </c>
      <c r="N452" s="6">
        <f ca="1"/>
        <v>-6.5476190476193352E-2</v>
      </c>
      <c r="O452" s="6">
        <f t="shared" ca="1" si="74"/>
        <v>49.642857142854432</v>
      </c>
      <c r="P452" t="str">
        <f t="shared" si="75"/>
        <v>NA</v>
      </c>
      <c r="Q452" s="10">
        <f t="shared" ca="1" si="76"/>
        <v>49.404761904759177</v>
      </c>
      <c r="R452" s="10">
        <f t="shared" ca="1" si="77"/>
        <v>66.01190476190277</v>
      </c>
      <c r="S452" s="10">
        <f t="shared" ca="1" si="78"/>
        <v>-16.607142857143593</v>
      </c>
      <c r="T452" s="10">
        <f t="shared" ca="1" si="79"/>
        <v>253.63636363636374</v>
      </c>
      <c r="U452" s="10">
        <f t="shared" ca="1" si="80"/>
        <v>253.63636363636374</v>
      </c>
      <c r="V452">
        <f t="shared" si="81"/>
        <v>3</v>
      </c>
    </row>
    <row r="453" spans="1:22" x14ac:dyDescent="0.25">
      <c r="A453">
        <v>51</v>
      </c>
      <c r="B453">
        <v>2</v>
      </c>
      <c r="C453">
        <v>40</v>
      </c>
      <c r="D453">
        <v>1</v>
      </c>
      <c r="E453">
        <v>1</v>
      </c>
      <c r="F453">
        <v>0</v>
      </c>
      <c r="G453">
        <v>0</v>
      </c>
      <c r="H453">
        <v>350</v>
      </c>
      <c r="I453">
        <f t="shared" si="73"/>
        <v>450</v>
      </c>
      <c r="J453" s="6">
        <f t="array" aca="1" ref="J453:N453" ca="1">TRANSPOSE(ols(OFFSET($C$2:$C$10,I453,0),OFFSET($D$2:$H$10,I453,0)))</f>
        <v>113.63095238095138</v>
      </c>
      <c r="K453" s="6">
        <f ca="1"/>
        <v>-33.571428571428896</v>
      </c>
      <c r="L453" s="6">
        <f ca="1"/>
        <v>-47.619047619048615</v>
      </c>
      <c r="M453" s="6">
        <f ca="1"/>
        <v>6.3095238095240802</v>
      </c>
      <c r="N453" s="6">
        <f ca="1"/>
        <v>-6.5476190476193352E-2</v>
      </c>
      <c r="O453" s="6">
        <f t="shared" ca="1" si="74"/>
        <v>57.142857142854815</v>
      </c>
      <c r="P453" t="str">
        <f t="shared" si="75"/>
        <v>NA</v>
      </c>
      <c r="Q453" s="10">
        <f t="shared" ca="1" si="76"/>
        <v>49.404761904759177</v>
      </c>
      <c r="R453" s="10">
        <f t="shared" ca="1" si="77"/>
        <v>80.059523809522489</v>
      </c>
      <c r="S453" s="10">
        <f t="shared" ca="1" si="78"/>
        <v>-30.654761904763312</v>
      </c>
      <c r="T453" s="10">
        <f t="shared" ca="1" si="79"/>
        <v>468.1818181818191</v>
      </c>
      <c r="U453" s="10">
        <f t="shared" ca="1" si="80"/>
        <v>468.1818181818191</v>
      </c>
      <c r="V453">
        <f t="shared" si="81"/>
        <v>2</v>
      </c>
    </row>
    <row r="454" spans="1:22" x14ac:dyDescent="0.25">
      <c r="A454">
        <v>51</v>
      </c>
      <c r="B454">
        <v>3</v>
      </c>
      <c r="C454">
        <v>65</v>
      </c>
      <c r="D454">
        <v>1</v>
      </c>
      <c r="E454">
        <v>1</v>
      </c>
      <c r="F454">
        <v>0</v>
      </c>
      <c r="G454">
        <v>0</v>
      </c>
      <c r="H454">
        <v>450</v>
      </c>
      <c r="I454">
        <f t="shared" si="73"/>
        <v>450</v>
      </c>
      <c r="J454" s="6">
        <f t="array" aca="1" ref="J454:N454" ca="1">TRANSPOSE(ols(OFFSET($C$2:$C$10,I454,0),OFFSET($D$2:$H$10,I454,0)))</f>
        <v>113.63095238095138</v>
      </c>
      <c r="K454" s="6">
        <f ca="1"/>
        <v>-33.571428571428896</v>
      </c>
      <c r="L454" s="6">
        <f ca="1"/>
        <v>-47.619047619048615</v>
      </c>
      <c r="M454" s="6">
        <f ca="1"/>
        <v>6.3095238095240802</v>
      </c>
      <c r="N454" s="6">
        <f ca="1"/>
        <v>-6.5476190476193352E-2</v>
      </c>
      <c r="O454" s="6">
        <f t="shared" ca="1" si="74"/>
        <v>50.59523809523548</v>
      </c>
      <c r="P454" t="str">
        <f t="shared" si="75"/>
        <v>NA</v>
      </c>
      <c r="Q454" s="10">
        <f t="shared" ca="1" si="76"/>
        <v>49.404761904759177</v>
      </c>
      <c r="R454" s="10">
        <f t="shared" ca="1" si="77"/>
        <v>80.059523809522489</v>
      </c>
      <c r="S454" s="10">
        <f t="shared" ca="1" si="78"/>
        <v>-30.654761904763312</v>
      </c>
      <c r="T454" s="10">
        <f t="shared" ca="1" si="79"/>
        <v>468.1818181818191</v>
      </c>
      <c r="U454" s="10">
        <f t="shared" ca="1" si="80"/>
        <v>468.1818181818191</v>
      </c>
      <c r="V454">
        <f t="shared" si="81"/>
        <v>2</v>
      </c>
    </row>
    <row r="455" spans="1:22" x14ac:dyDescent="0.25">
      <c r="A455">
        <v>51</v>
      </c>
      <c r="B455">
        <v>4</v>
      </c>
      <c r="C455">
        <v>100</v>
      </c>
      <c r="D455">
        <v>1</v>
      </c>
      <c r="E455">
        <v>0</v>
      </c>
      <c r="F455">
        <v>0</v>
      </c>
      <c r="G455">
        <v>0</v>
      </c>
      <c r="H455">
        <v>550</v>
      </c>
      <c r="I455">
        <f t="shared" si="73"/>
        <v>450</v>
      </c>
      <c r="J455" s="6">
        <f t="array" aca="1" ref="J455:N455" ca="1">TRANSPOSE(ols(OFFSET($C$2:$C$10,I455,0),OFFSET($D$2:$H$10,I455,0)))</f>
        <v>113.63095238095138</v>
      </c>
      <c r="K455" s="6">
        <f ca="1"/>
        <v>-33.571428571428896</v>
      </c>
      <c r="L455" s="6">
        <f ca="1"/>
        <v>-47.619047619048615</v>
      </c>
      <c r="M455" s="6">
        <f ca="1"/>
        <v>6.3095238095240802</v>
      </c>
      <c r="N455" s="6">
        <f ca="1"/>
        <v>-6.5476190476193352E-2</v>
      </c>
      <c r="O455" s="6">
        <f t="shared" ca="1" si="74"/>
        <v>77.619047619045034</v>
      </c>
      <c r="P455" t="str">
        <f t="shared" si="75"/>
        <v>NA</v>
      </c>
      <c r="Q455" s="10">
        <f t="shared" ca="1" si="76"/>
        <v>49.404761904759177</v>
      </c>
      <c r="R455" s="10">
        <f t="shared" ca="1" si="77"/>
        <v>113.63095238095138</v>
      </c>
      <c r="S455" s="10">
        <f t="shared" ca="1" si="78"/>
        <v>-64.226190476192215</v>
      </c>
      <c r="T455" s="10">
        <f t="shared" ca="1" si="79"/>
        <v>980.90909090907439</v>
      </c>
      <c r="U455" s="10" t="str">
        <f t="shared" ca="1" si="80"/>
        <v>OR</v>
      </c>
      <c r="V455">
        <f t="shared" si="81"/>
        <v>1</v>
      </c>
    </row>
    <row r="456" spans="1:22" x14ac:dyDescent="0.25">
      <c r="A456">
        <v>51</v>
      </c>
      <c r="B456">
        <v>5</v>
      </c>
      <c r="C456">
        <v>75</v>
      </c>
      <c r="D456">
        <v>1</v>
      </c>
      <c r="E456">
        <v>0</v>
      </c>
      <c r="F456">
        <v>1</v>
      </c>
      <c r="G456">
        <v>1</v>
      </c>
      <c r="H456">
        <v>250</v>
      </c>
      <c r="I456">
        <f t="shared" si="73"/>
        <v>450</v>
      </c>
      <c r="J456" s="6">
        <f t="array" aca="1" ref="J456:N456" ca="1">TRANSPOSE(ols(OFFSET($C$2:$C$10,I456,0),OFFSET($D$2:$H$10,I456,0)))</f>
        <v>113.63095238095138</v>
      </c>
      <c r="K456" s="6">
        <f ca="1"/>
        <v>-33.571428571428896</v>
      </c>
      <c r="L456" s="6">
        <f ca="1"/>
        <v>-47.619047619048615</v>
      </c>
      <c r="M456" s="6">
        <f ca="1"/>
        <v>6.3095238095240802</v>
      </c>
      <c r="N456" s="6">
        <f ca="1"/>
        <v>-6.5476190476193352E-2</v>
      </c>
      <c r="O456" s="6">
        <f t="shared" ca="1" si="74"/>
        <v>55.952380952378512</v>
      </c>
      <c r="P456" t="str">
        <f t="shared" si="75"/>
        <v>NA</v>
      </c>
      <c r="Q456" s="10">
        <f t="shared" ca="1" si="76"/>
        <v>49.404761904759177</v>
      </c>
      <c r="R456" s="10">
        <f t="shared" ca="1" si="77"/>
        <v>72.32142857142685</v>
      </c>
      <c r="S456" s="10">
        <f t="shared" ca="1" si="78"/>
        <v>-22.916666666667673</v>
      </c>
      <c r="T456" s="10">
        <f t="shared" ca="1" si="79"/>
        <v>350</v>
      </c>
      <c r="U456" s="10">
        <f t="shared" ca="1" si="80"/>
        <v>350</v>
      </c>
      <c r="V456">
        <f t="shared" si="81"/>
        <v>6</v>
      </c>
    </row>
    <row r="457" spans="1:22" x14ac:dyDescent="0.25">
      <c r="A457">
        <v>51</v>
      </c>
      <c r="B457">
        <v>6</v>
      </c>
      <c r="C457">
        <v>50</v>
      </c>
      <c r="D457">
        <v>1</v>
      </c>
      <c r="E457">
        <v>0</v>
      </c>
      <c r="F457">
        <v>1</v>
      </c>
      <c r="G457">
        <v>1</v>
      </c>
      <c r="H457">
        <v>350</v>
      </c>
      <c r="I457">
        <f t="shared" si="73"/>
        <v>450</v>
      </c>
      <c r="J457" s="6">
        <f t="array" aca="1" ref="J457:N457" ca="1">TRANSPOSE(ols(OFFSET($C$2:$C$10,I457,0),OFFSET($D$2:$H$10,I457,0)))</f>
        <v>113.63095238095138</v>
      </c>
      <c r="K457" s="6">
        <f ca="1"/>
        <v>-33.571428571428896</v>
      </c>
      <c r="L457" s="6">
        <f ca="1"/>
        <v>-47.619047619048615</v>
      </c>
      <c r="M457" s="6">
        <f ca="1"/>
        <v>6.3095238095240802</v>
      </c>
      <c r="N457" s="6">
        <f ca="1"/>
        <v>-6.5476190476193352E-2</v>
      </c>
      <c r="O457" s="6">
        <f t="shared" ca="1" si="74"/>
        <v>49.404761904759177</v>
      </c>
      <c r="P457">
        <f t="shared" ca="1" si="75"/>
        <v>49.404761904759177</v>
      </c>
      <c r="Q457" s="10">
        <f t="shared" ca="1" si="76"/>
        <v>49.404761904759177</v>
      </c>
      <c r="R457" s="10">
        <f t="shared" ca="1" si="77"/>
        <v>72.32142857142685</v>
      </c>
      <c r="S457" s="10">
        <f t="shared" ca="1" si="78"/>
        <v>-22.916666666667673</v>
      </c>
      <c r="T457" s="10">
        <f t="shared" ca="1" si="79"/>
        <v>350</v>
      </c>
      <c r="U457" s="10">
        <f t="shared" ca="1" si="80"/>
        <v>350</v>
      </c>
      <c r="V457">
        <f t="shared" si="81"/>
        <v>6</v>
      </c>
    </row>
    <row r="458" spans="1:22" x14ac:dyDescent="0.25">
      <c r="A458">
        <v>51</v>
      </c>
      <c r="B458">
        <v>7</v>
      </c>
      <c r="C458">
        <v>55</v>
      </c>
      <c r="D458">
        <v>1</v>
      </c>
      <c r="E458">
        <v>1</v>
      </c>
      <c r="F458">
        <v>0</v>
      </c>
      <c r="G458">
        <v>1</v>
      </c>
      <c r="H458">
        <v>450</v>
      </c>
      <c r="I458">
        <f t="shared" si="73"/>
        <v>450</v>
      </c>
      <c r="J458" s="6">
        <f t="array" aca="1" ref="J458:N458" ca="1">TRANSPOSE(ols(OFFSET($C$2:$C$10,I458,0),OFFSET($D$2:$H$10,I458,0)))</f>
        <v>113.63095238095138</v>
      </c>
      <c r="K458" s="6">
        <f ca="1"/>
        <v>-33.571428571428896</v>
      </c>
      <c r="L458" s="6">
        <f ca="1"/>
        <v>-47.619047619048615</v>
      </c>
      <c r="M458" s="6">
        <f ca="1"/>
        <v>6.3095238095240802</v>
      </c>
      <c r="N458" s="6">
        <f ca="1"/>
        <v>-6.5476190476193352E-2</v>
      </c>
      <c r="O458" s="6">
        <f t="shared" ca="1" si="74"/>
        <v>56.90476190475956</v>
      </c>
      <c r="P458" t="str">
        <f t="shared" si="75"/>
        <v>NA</v>
      </c>
      <c r="Q458" s="10">
        <f t="shared" ca="1" si="76"/>
        <v>49.404761904759177</v>
      </c>
      <c r="R458" s="10">
        <f t="shared" ca="1" si="77"/>
        <v>86.369047619046569</v>
      </c>
      <c r="S458" s="10">
        <f t="shared" ca="1" si="78"/>
        <v>-36.964285714287392</v>
      </c>
      <c r="T458" s="10">
        <f t="shared" ca="1" si="79"/>
        <v>564.54545454545541</v>
      </c>
      <c r="U458" s="10">
        <f t="shared" ca="1" si="80"/>
        <v>564.54545454545541</v>
      </c>
      <c r="V458">
        <f t="shared" si="81"/>
        <v>5</v>
      </c>
    </row>
    <row r="459" spans="1:22" x14ac:dyDescent="0.25">
      <c r="A459">
        <v>51</v>
      </c>
      <c r="B459">
        <v>8</v>
      </c>
      <c r="C459">
        <v>55</v>
      </c>
      <c r="D459">
        <v>1</v>
      </c>
      <c r="E459">
        <v>1</v>
      </c>
      <c r="F459">
        <v>0</v>
      </c>
      <c r="G459">
        <v>1</v>
      </c>
      <c r="H459">
        <v>550</v>
      </c>
      <c r="I459">
        <f t="shared" si="73"/>
        <v>450</v>
      </c>
      <c r="J459" s="6">
        <f t="array" aca="1" ref="J459:N459" ca="1">TRANSPOSE(ols(OFFSET($C$2:$C$10,I459,0),OFFSET($D$2:$H$10,I459,0)))</f>
        <v>113.63095238095138</v>
      </c>
      <c r="K459" s="6">
        <f ca="1"/>
        <v>-33.571428571428896</v>
      </c>
      <c r="L459" s="6">
        <f ca="1"/>
        <v>-47.619047619048615</v>
      </c>
      <c r="M459" s="6">
        <f ca="1"/>
        <v>6.3095238095240802</v>
      </c>
      <c r="N459" s="6">
        <f ca="1"/>
        <v>-6.5476190476193352E-2</v>
      </c>
      <c r="O459" s="6">
        <f t="shared" ca="1" si="74"/>
        <v>50.357142857140225</v>
      </c>
      <c r="P459" t="str">
        <f t="shared" si="75"/>
        <v>NA</v>
      </c>
      <c r="Q459" s="10">
        <f t="shared" ca="1" si="76"/>
        <v>49.404761904759177</v>
      </c>
      <c r="R459" s="10">
        <f t="shared" ca="1" si="77"/>
        <v>86.369047619046569</v>
      </c>
      <c r="S459" s="10">
        <f t="shared" ca="1" si="78"/>
        <v>-36.964285714287392</v>
      </c>
      <c r="T459" s="10">
        <f t="shared" ca="1" si="79"/>
        <v>564.54545454545541</v>
      </c>
      <c r="U459" s="10">
        <f t="shared" ca="1" si="80"/>
        <v>564.54545454545541</v>
      </c>
      <c r="V459">
        <f t="shared" si="81"/>
        <v>5</v>
      </c>
    </row>
    <row r="460" spans="1:22" x14ac:dyDescent="0.25">
      <c r="A460">
        <v>51</v>
      </c>
      <c r="B460">
        <v>9</v>
      </c>
      <c r="C460">
        <v>55</v>
      </c>
      <c r="D460">
        <v>1</v>
      </c>
      <c r="E460">
        <v>0</v>
      </c>
      <c r="F460">
        <v>0</v>
      </c>
      <c r="G460">
        <v>1</v>
      </c>
      <c r="H460">
        <v>650</v>
      </c>
      <c r="I460">
        <f t="shared" ref="I460:I523" si="82">IF(A460&gt;A459,I459+9,I459)</f>
        <v>450</v>
      </c>
      <c r="J460" s="6">
        <f t="array" aca="1" ref="J460:N460" ca="1">TRANSPOSE(ols(OFFSET($C$2:$C$10,I460,0),OFFSET($D$2:$H$10,I460,0)))</f>
        <v>113.63095238095138</v>
      </c>
      <c r="K460" s="6">
        <f ca="1"/>
        <v>-33.571428571428896</v>
      </c>
      <c r="L460" s="6">
        <f ca="1"/>
        <v>-47.619047619048615</v>
      </c>
      <c r="M460" s="6">
        <f ca="1"/>
        <v>6.3095238095240802</v>
      </c>
      <c r="N460" s="6">
        <f ca="1"/>
        <v>-6.5476190476193352E-2</v>
      </c>
      <c r="O460" s="6">
        <f t="shared" ca="1" si="74"/>
        <v>77.380952380949793</v>
      </c>
      <c r="P460" t="str">
        <f t="shared" si="75"/>
        <v>NA</v>
      </c>
      <c r="Q460" s="10">
        <f t="shared" ca="1" si="76"/>
        <v>49.404761904759177</v>
      </c>
      <c r="R460" s="10">
        <f t="shared" ca="1" si="77"/>
        <v>119.94047619047547</v>
      </c>
      <c r="S460" s="10">
        <f t="shared" ca="1" si="78"/>
        <v>-70.535714285716296</v>
      </c>
      <c r="T460" s="10">
        <f t="shared" ca="1" si="79"/>
        <v>1077.2727272727107</v>
      </c>
      <c r="U460" s="10" t="str">
        <f t="shared" ca="1" si="80"/>
        <v>OR</v>
      </c>
      <c r="V460">
        <f t="shared" si="81"/>
        <v>4</v>
      </c>
    </row>
    <row r="461" spans="1:22" x14ac:dyDescent="0.25">
      <c r="A461">
        <v>52</v>
      </c>
      <c r="B461">
        <v>1</v>
      </c>
      <c r="C461">
        <v>50</v>
      </c>
      <c r="D461">
        <v>1</v>
      </c>
      <c r="E461">
        <v>0</v>
      </c>
      <c r="F461">
        <v>1</v>
      </c>
      <c r="G461">
        <v>0</v>
      </c>
      <c r="H461">
        <v>250</v>
      </c>
      <c r="I461">
        <f t="shared" si="82"/>
        <v>459</v>
      </c>
      <c r="J461" s="6">
        <f t="array" aca="1" ref="J461:N461" ca="1">TRANSPOSE(ols(OFFSET($C$2:$C$10,I461,0),OFFSET($D$2:$H$10,I461,0)))</f>
        <v>66.904761904761472</v>
      </c>
      <c r="K461" s="6">
        <f ca="1"/>
        <v>7.142857142856883</v>
      </c>
      <c r="L461" s="6">
        <f ca="1"/>
        <v>1.9047619047623812</v>
      </c>
      <c r="M461" s="6">
        <f ca="1"/>
        <v>29.047619047619264</v>
      </c>
      <c r="N461" s="6">
        <f ca="1"/>
        <v>-5.2380952380952195E-2</v>
      </c>
      <c r="O461" s="6">
        <f t="shared" ca="1" si="74"/>
        <v>55.714285714285808</v>
      </c>
      <c r="P461" t="str">
        <f t="shared" si="75"/>
        <v>NA</v>
      </c>
      <c r="Q461" s="10">
        <f t="shared" ca="1" si="76"/>
        <v>79.523809523809845</v>
      </c>
      <c r="R461" s="10">
        <f t="shared" ca="1" si="77"/>
        <v>68.809523809523853</v>
      </c>
      <c r="S461" s="10">
        <f t="shared" ca="1" si="78"/>
        <v>10.714285714285992</v>
      </c>
      <c r="T461" s="10">
        <f t="shared" ca="1" si="79"/>
        <v>-204.54545454546059</v>
      </c>
      <c r="U461" s="10" t="str">
        <f t="shared" ca="1" si="80"/>
        <v>OR</v>
      </c>
      <c r="V461">
        <f t="shared" si="81"/>
        <v>3</v>
      </c>
    </row>
    <row r="462" spans="1:22" x14ac:dyDescent="0.25">
      <c r="A462">
        <v>52</v>
      </c>
      <c r="B462">
        <v>2</v>
      </c>
      <c r="C462">
        <v>50</v>
      </c>
      <c r="D462">
        <v>1</v>
      </c>
      <c r="E462">
        <v>1</v>
      </c>
      <c r="F462">
        <v>0</v>
      </c>
      <c r="G462">
        <v>0</v>
      </c>
      <c r="H462">
        <v>350</v>
      </c>
      <c r="I462">
        <f t="shared" si="82"/>
        <v>459</v>
      </c>
      <c r="J462" s="6">
        <f t="array" aca="1" ref="J462:N462" ca="1">TRANSPOSE(ols(OFFSET($C$2:$C$10,I462,0),OFFSET($D$2:$H$10,I462,0)))</f>
        <v>66.904761904761472</v>
      </c>
      <c r="K462" s="6">
        <f ca="1"/>
        <v>7.142857142856883</v>
      </c>
      <c r="L462" s="6">
        <f ca="1"/>
        <v>1.9047619047623812</v>
      </c>
      <c r="M462" s="6">
        <f ca="1"/>
        <v>29.047619047619264</v>
      </c>
      <c r="N462" s="6">
        <f ca="1"/>
        <v>-5.2380952380952195E-2</v>
      </c>
      <c r="O462" s="6">
        <f t="shared" ca="1" si="74"/>
        <v>55.714285714285083</v>
      </c>
      <c r="P462" t="str">
        <f t="shared" si="75"/>
        <v>NA</v>
      </c>
      <c r="Q462" s="10">
        <f t="shared" ca="1" si="76"/>
        <v>79.523809523809845</v>
      </c>
      <c r="R462" s="10">
        <f t="shared" ca="1" si="77"/>
        <v>74.047619047618355</v>
      </c>
      <c r="S462" s="10">
        <f t="shared" ca="1" si="78"/>
        <v>5.4761904761914906</v>
      </c>
      <c r="T462" s="10">
        <f t="shared" ca="1" si="79"/>
        <v>-104.54545454547429</v>
      </c>
      <c r="U462" s="10" t="str">
        <f t="shared" ca="1" si="80"/>
        <v>OR</v>
      </c>
      <c r="V462">
        <f t="shared" si="81"/>
        <v>2</v>
      </c>
    </row>
    <row r="463" spans="1:22" x14ac:dyDescent="0.25">
      <c r="A463">
        <v>52</v>
      </c>
      <c r="B463">
        <v>3</v>
      </c>
      <c r="C463">
        <v>50</v>
      </c>
      <c r="D463">
        <v>1</v>
      </c>
      <c r="E463">
        <v>1</v>
      </c>
      <c r="F463">
        <v>0</v>
      </c>
      <c r="G463">
        <v>0</v>
      </c>
      <c r="H463">
        <v>450</v>
      </c>
      <c r="I463">
        <f t="shared" si="82"/>
        <v>459</v>
      </c>
      <c r="J463" s="6">
        <f t="array" aca="1" ref="J463:N463" ca="1">TRANSPOSE(ols(OFFSET($C$2:$C$10,I463,0),OFFSET($D$2:$H$10,I463,0)))</f>
        <v>66.904761904761472</v>
      </c>
      <c r="K463" s="6">
        <f ca="1"/>
        <v>7.142857142856883</v>
      </c>
      <c r="L463" s="6">
        <f ca="1"/>
        <v>1.9047619047623812</v>
      </c>
      <c r="M463" s="6">
        <f ca="1"/>
        <v>29.047619047619264</v>
      </c>
      <c r="N463" s="6">
        <f ca="1"/>
        <v>-5.2380952380952195E-2</v>
      </c>
      <c r="O463" s="6">
        <f t="shared" ca="1" si="74"/>
        <v>50.476190476189871</v>
      </c>
      <c r="P463" t="str">
        <f t="shared" si="75"/>
        <v>NA</v>
      </c>
      <c r="Q463" s="10">
        <f t="shared" ca="1" si="76"/>
        <v>79.523809523809845</v>
      </c>
      <c r="R463" s="10">
        <f t="shared" ca="1" si="77"/>
        <v>74.047619047618355</v>
      </c>
      <c r="S463" s="10">
        <f t="shared" ca="1" si="78"/>
        <v>5.4761904761914906</v>
      </c>
      <c r="T463" s="10">
        <f t="shared" ca="1" si="79"/>
        <v>-104.54545454547429</v>
      </c>
      <c r="U463" s="10" t="str">
        <f t="shared" ca="1" si="80"/>
        <v>OR</v>
      </c>
      <c r="V463">
        <f t="shared" si="81"/>
        <v>2</v>
      </c>
    </row>
    <row r="464" spans="1:22" x14ac:dyDescent="0.25">
      <c r="A464">
        <v>52</v>
      </c>
      <c r="B464">
        <v>4</v>
      </c>
      <c r="C464">
        <v>50</v>
      </c>
      <c r="D464">
        <v>1</v>
      </c>
      <c r="E464">
        <v>0</v>
      </c>
      <c r="F464">
        <v>0</v>
      </c>
      <c r="G464">
        <v>0</v>
      </c>
      <c r="H464">
        <v>550</v>
      </c>
      <c r="I464">
        <f t="shared" si="82"/>
        <v>459</v>
      </c>
      <c r="J464" s="6">
        <f t="array" aca="1" ref="J464:N464" ca="1">TRANSPOSE(ols(OFFSET($C$2:$C$10,I464,0),OFFSET($D$2:$H$10,I464,0)))</f>
        <v>66.904761904761472</v>
      </c>
      <c r="K464" s="6">
        <f ca="1"/>
        <v>7.142857142856883</v>
      </c>
      <c r="L464" s="6">
        <f ca="1"/>
        <v>1.9047619047623812</v>
      </c>
      <c r="M464" s="6">
        <f ca="1"/>
        <v>29.047619047619264</v>
      </c>
      <c r="N464" s="6">
        <f ca="1"/>
        <v>-5.2380952380952195E-2</v>
      </c>
      <c r="O464" s="6">
        <f t="shared" ca="1" si="74"/>
        <v>38.095238095237761</v>
      </c>
      <c r="P464" t="str">
        <f t="shared" si="75"/>
        <v>NA</v>
      </c>
      <c r="Q464" s="10">
        <f t="shared" ca="1" si="76"/>
        <v>79.523809523809845</v>
      </c>
      <c r="R464" s="10">
        <f t="shared" ca="1" si="77"/>
        <v>66.904761904761472</v>
      </c>
      <c r="S464" s="10">
        <f t="shared" ca="1" si="78"/>
        <v>12.619047619048374</v>
      </c>
      <c r="T464" s="10">
        <f t="shared" ca="1" si="79"/>
        <v>-240.90909090910617</v>
      </c>
      <c r="U464" s="10" t="str">
        <f t="shared" ca="1" si="80"/>
        <v>OR</v>
      </c>
      <c r="V464">
        <f t="shared" si="81"/>
        <v>1</v>
      </c>
    </row>
    <row r="465" spans="1:22" x14ac:dyDescent="0.25">
      <c r="A465">
        <v>52</v>
      </c>
      <c r="B465">
        <v>5</v>
      </c>
      <c r="C465">
        <v>90</v>
      </c>
      <c r="D465">
        <v>1</v>
      </c>
      <c r="E465">
        <v>0</v>
      </c>
      <c r="F465">
        <v>1</v>
      </c>
      <c r="G465">
        <v>1</v>
      </c>
      <c r="H465">
        <v>250</v>
      </c>
      <c r="I465">
        <f t="shared" si="82"/>
        <v>459</v>
      </c>
      <c r="J465" s="6">
        <f t="array" aca="1" ref="J465:N465" ca="1">TRANSPOSE(ols(OFFSET($C$2:$C$10,I465,0),OFFSET($D$2:$H$10,I465,0)))</f>
        <v>66.904761904761472</v>
      </c>
      <c r="K465" s="6">
        <f ca="1"/>
        <v>7.142857142856883</v>
      </c>
      <c r="L465" s="6">
        <f ca="1"/>
        <v>1.9047619047623812</v>
      </c>
      <c r="M465" s="6">
        <f ca="1"/>
        <v>29.047619047619264</v>
      </c>
      <c r="N465" s="6">
        <f ca="1"/>
        <v>-5.2380952380952195E-2</v>
      </c>
      <c r="O465" s="6">
        <f t="shared" ca="1" si="74"/>
        <v>84.761904761905072</v>
      </c>
      <c r="P465" t="str">
        <f t="shared" si="75"/>
        <v>NA</v>
      </c>
      <c r="Q465" s="10">
        <f t="shared" ca="1" si="76"/>
        <v>79.523809523809845</v>
      </c>
      <c r="R465" s="10">
        <f t="shared" ca="1" si="77"/>
        <v>97.857142857143117</v>
      </c>
      <c r="S465" s="10">
        <f t="shared" ca="1" si="78"/>
        <v>-18.333333333333272</v>
      </c>
      <c r="T465" s="10">
        <f t="shared" ca="1" si="79"/>
        <v>350.00000000000006</v>
      </c>
      <c r="U465" s="10">
        <f t="shared" ca="1" si="80"/>
        <v>350.00000000000006</v>
      </c>
      <c r="V465">
        <f t="shared" si="81"/>
        <v>6</v>
      </c>
    </row>
    <row r="466" spans="1:22" x14ac:dyDescent="0.25">
      <c r="A466">
        <v>52</v>
      </c>
      <c r="B466">
        <v>6</v>
      </c>
      <c r="C466">
        <v>80</v>
      </c>
      <c r="D466">
        <v>1</v>
      </c>
      <c r="E466">
        <v>0</v>
      </c>
      <c r="F466">
        <v>1</v>
      </c>
      <c r="G466">
        <v>1</v>
      </c>
      <c r="H466">
        <v>350</v>
      </c>
      <c r="I466">
        <f t="shared" si="82"/>
        <v>459</v>
      </c>
      <c r="J466" s="6">
        <f t="array" aca="1" ref="J466:N466" ca="1">TRANSPOSE(ols(OFFSET($C$2:$C$10,I466,0),OFFSET($D$2:$H$10,I466,0)))</f>
        <v>66.904761904761472</v>
      </c>
      <c r="K466" s="6">
        <f ca="1"/>
        <v>7.142857142856883</v>
      </c>
      <c r="L466" s="6">
        <f ca="1"/>
        <v>1.9047619047623812</v>
      </c>
      <c r="M466" s="6">
        <f ca="1"/>
        <v>29.047619047619264</v>
      </c>
      <c r="N466" s="6">
        <f ca="1"/>
        <v>-5.2380952380952195E-2</v>
      </c>
      <c r="O466" s="6">
        <f t="shared" ca="1" si="74"/>
        <v>79.523809523809845</v>
      </c>
      <c r="P466">
        <f t="shared" ca="1" si="75"/>
        <v>79.523809523809845</v>
      </c>
      <c r="Q466" s="10">
        <f t="shared" ca="1" si="76"/>
        <v>79.523809523809845</v>
      </c>
      <c r="R466" s="10">
        <f t="shared" ca="1" si="77"/>
        <v>97.857142857143117</v>
      </c>
      <c r="S466" s="10">
        <f t="shared" ca="1" si="78"/>
        <v>-18.333333333333272</v>
      </c>
      <c r="T466" s="10">
        <f t="shared" ca="1" si="79"/>
        <v>350.00000000000006</v>
      </c>
      <c r="U466" s="10">
        <f t="shared" ca="1" si="80"/>
        <v>350.00000000000006</v>
      </c>
      <c r="V466">
        <f t="shared" si="81"/>
        <v>6</v>
      </c>
    </row>
    <row r="467" spans="1:22" x14ac:dyDescent="0.25">
      <c r="A467">
        <v>52</v>
      </c>
      <c r="B467">
        <v>7</v>
      </c>
      <c r="C467">
        <v>80</v>
      </c>
      <c r="D467">
        <v>1</v>
      </c>
      <c r="E467">
        <v>1</v>
      </c>
      <c r="F467">
        <v>0</v>
      </c>
      <c r="G467">
        <v>1</v>
      </c>
      <c r="H467">
        <v>450</v>
      </c>
      <c r="I467">
        <f t="shared" si="82"/>
        <v>459</v>
      </c>
      <c r="J467" s="6">
        <f t="array" aca="1" ref="J467:N467" ca="1">TRANSPOSE(ols(OFFSET($C$2:$C$10,I467,0),OFFSET($D$2:$H$10,I467,0)))</f>
        <v>66.904761904761472</v>
      </c>
      <c r="K467" s="6">
        <f ca="1"/>
        <v>7.142857142856883</v>
      </c>
      <c r="L467" s="6">
        <f ca="1"/>
        <v>1.9047619047623812</v>
      </c>
      <c r="M467" s="6">
        <f ca="1"/>
        <v>29.047619047619264</v>
      </c>
      <c r="N467" s="6">
        <f ca="1"/>
        <v>-5.2380952380952195E-2</v>
      </c>
      <c r="O467" s="6">
        <f t="shared" ca="1" si="74"/>
        <v>79.523809523809135</v>
      </c>
      <c r="P467" t="str">
        <f t="shared" si="75"/>
        <v>NA</v>
      </c>
      <c r="Q467" s="10">
        <f t="shared" ca="1" si="76"/>
        <v>79.523809523809845</v>
      </c>
      <c r="R467" s="10">
        <f t="shared" ca="1" si="77"/>
        <v>103.09523809523762</v>
      </c>
      <c r="S467" s="10">
        <f t="shared" ca="1" si="78"/>
        <v>-23.571428571427774</v>
      </c>
      <c r="T467" s="10">
        <f t="shared" ca="1" si="79"/>
        <v>449.99999999998636</v>
      </c>
      <c r="U467" s="10">
        <f t="shared" ca="1" si="80"/>
        <v>449.99999999998636</v>
      </c>
      <c r="V467">
        <f t="shared" si="81"/>
        <v>5</v>
      </c>
    </row>
    <row r="468" spans="1:22" x14ac:dyDescent="0.25">
      <c r="A468">
        <v>52</v>
      </c>
      <c r="B468">
        <v>8</v>
      </c>
      <c r="C468">
        <v>80</v>
      </c>
      <c r="D468">
        <v>1</v>
      </c>
      <c r="E468">
        <v>1</v>
      </c>
      <c r="F468">
        <v>0</v>
      </c>
      <c r="G468">
        <v>1</v>
      </c>
      <c r="H468">
        <v>550</v>
      </c>
      <c r="I468">
        <f t="shared" si="82"/>
        <v>459</v>
      </c>
      <c r="J468" s="6">
        <f t="array" aca="1" ref="J468:N468" ca="1">TRANSPOSE(ols(OFFSET($C$2:$C$10,I468,0),OFFSET($D$2:$H$10,I468,0)))</f>
        <v>66.904761904761472</v>
      </c>
      <c r="K468" s="6">
        <f ca="1"/>
        <v>7.142857142856883</v>
      </c>
      <c r="L468" s="6">
        <f ca="1"/>
        <v>1.9047619047623812</v>
      </c>
      <c r="M468" s="6">
        <f ca="1"/>
        <v>29.047619047619264</v>
      </c>
      <c r="N468" s="6">
        <f ca="1"/>
        <v>-5.2380952380952195E-2</v>
      </c>
      <c r="O468" s="6">
        <f t="shared" ca="1" si="74"/>
        <v>74.285714285713908</v>
      </c>
      <c r="P468" t="str">
        <f t="shared" si="75"/>
        <v>NA</v>
      </c>
      <c r="Q468" s="10">
        <f t="shared" ca="1" si="76"/>
        <v>79.523809523809845</v>
      </c>
      <c r="R468" s="10">
        <f t="shared" ca="1" si="77"/>
        <v>103.09523809523762</v>
      </c>
      <c r="S468" s="10">
        <f t="shared" ca="1" si="78"/>
        <v>-23.571428571427774</v>
      </c>
      <c r="T468" s="10">
        <f t="shared" ca="1" si="79"/>
        <v>449.99999999998636</v>
      </c>
      <c r="U468" s="10">
        <f t="shared" ca="1" si="80"/>
        <v>449.99999999998636</v>
      </c>
      <c r="V468">
        <f t="shared" si="81"/>
        <v>5</v>
      </c>
    </row>
    <row r="469" spans="1:22" x14ac:dyDescent="0.25">
      <c r="A469">
        <v>52</v>
      </c>
      <c r="B469">
        <v>9</v>
      </c>
      <c r="C469">
        <v>50</v>
      </c>
      <c r="D469">
        <v>1</v>
      </c>
      <c r="E469">
        <v>0</v>
      </c>
      <c r="F469">
        <v>0</v>
      </c>
      <c r="G469">
        <v>1</v>
      </c>
      <c r="H469">
        <v>650</v>
      </c>
      <c r="I469">
        <f t="shared" si="82"/>
        <v>459</v>
      </c>
      <c r="J469" s="6">
        <f t="array" aca="1" ref="J469:N469" ca="1">TRANSPOSE(ols(OFFSET($C$2:$C$10,I469,0),OFFSET($D$2:$H$10,I469,0)))</f>
        <v>66.904761904761472</v>
      </c>
      <c r="K469" s="6">
        <f ca="1"/>
        <v>7.142857142856883</v>
      </c>
      <c r="L469" s="6">
        <f ca="1"/>
        <v>1.9047619047623812</v>
      </c>
      <c r="M469" s="6">
        <f ca="1"/>
        <v>29.047619047619264</v>
      </c>
      <c r="N469" s="6">
        <f ca="1"/>
        <v>-5.2380952380952195E-2</v>
      </c>
      <c r="O469" s="6">
        <f t="shared" ca="1" si="74"/>
        <v>61.904761904761813</v>
      </c>
      <c r="P469" t="str">
        <f t="shared" si="75"/>
        <v>NA</v>
      </c>
      <c r="Q469" s="10">
        <f t="shared" ca="1" si="76"/>
        <v>79.523809523809845</v>
      </c>
      <c r="R469" s="10">
        <f t="shared" ca="1" si="77"/>
        <v>95.952380952380736</v>
      </c>
      <c r="S469" s="10">
        <f t="shared" ca="1" si="78"/>
        <v>-16.428571428570891</v>
      </c>
      <c r="T469" s="10">
        <f t="shared" ca="1" si="79"/>
        <v>313.63636363635447</v>
      </c>
      <c r="U469" s="10">
        <f t="shared" ca="1" si="80"/>
        <v>313.63636363635447</v>
      </c>
      <c r="V469">
        <f t="shared" si="81"/>
        <v>4</v>
      </c>
    </row>
    <row r="470" spans="1:22" x14ac:dyDescent="0.25">
      <c r="A470">
        <v>53</v>
      </c>
      <c r="B470">
        <v>1</v>
      </c>
      <c r="C470">
        <v>80</v>
      </c>
      <c r="D470">
        <v>1</v>
      </c>
      <c r="E470">
        <v>0</v>
      </c>
      <c r="F470">
        <v>1</v>
      </c>
      <c r="G470">
        <v>0</v>
      </c>
      <c r="H470">
        <v>250</v>
      </c>
      <c r="I470">
        <f t="shared" si="82"/>
        <v>468</v>
      </c>
      <c r="J470" s="6">
        <f t="array" aca="1" ref="J470:N470" ca="1">TRANSPOSE(ols(OFFSET($C$2:$C$10,I470,0),OFFSET($D$2:$H$10,I470,0)))</f>
        <v>72.261904761904589</v>
      </c>
      <c r="K470" s="6">
        <f ca="1"/>
        <v>35.35714285714289</v>
      </c>
      <c r="L470" s="6">
        <f ca="1"/>
        <v>39.761904761905043</v>
      </c>
      <c r="M470" s="6">
        <f ca="1"/>
        <v>12.619047619047819</v>
      </c>
      <c r="N470" s="6">
        <f ca="1"/>
        <v>-0.13095238095238315</v>
      </c>
      <c r="O470" s="6">
        <f t="shared" ca="1" si="74"/>
        <v>79.285714285713851</v>
      </c>
      <c r="P470" t="str">
        <f t="shared" si="75"/>
        <v>NA</v>
      </c>
      <c r="Q470" s="10">
        <f t="shared" ca="1" si="76"/>
        <v>78.809523809523341</v>
      </c>
      <c r="R470" s="10">
        <f t="shared" ca="1" si="77"/>
        <v>112.02380952380963</v>
      </c>
      <c r="S470" s="10">
        <f t="shared" ca="1" si="78"/>
        <v>-33.214285714286291</v>
      </c>
      <c r="T470" s="10">
        <f t="shared" ca="1" si="79"/>
        <v>253.63636363636377</v>
      </c>
      <c r="U470" s="10">
        <f t="shared" ca="1" si="80"/>
        <v>253.63636363636377</v>
      </c>
      <c r="V470">
        <f t="shared" si="81"/>
        <v>3</v>
      </c>
    </row>
    <row r="471" spans="1:22" x14ac:dyDescent="0.25">
      <c r="A471">
        <v>53</v>
      </c>
      <c r="B471">
        <v>2</v>
      </c>
      <c r="C471">
        <v>60</v>
      </c>
      <c r="D471">
        <v>1</v>
      </c>
      <c r="E471">
        <v>1</v>
      </c>
      <c r="F471">
        <v>0</v>
      </c>
      <c r="G471">
        <v>0</v>
      </c>
      <c r="H471">
        <v>350</v>
      </c>
      <c r="I471">
        <f t="shared" si="82"/>
        <v>468</v>
      </c>
      <c r="J471" s="6">
        <f t="array" aca="1" ref="J471:N471" ca="1">TRANSPOSE(ols(OFFSET($C$2:$C$10,I471,0),OFFSET($D$2:$H$10,I471,0)))</f>
        <v>72.261904761904589</v>
      </c>
      <c r="K471" s="6">
        <f ca="1"/>
        <v>35.35714285714289</v>
      </c>
      <c r="L471" s="6">
        <f ca="1"/>
        <v>39.761904761905043</v>
      </c>
      <c r="M471" s="6">
        <f ca="1"/>
        <v>12.619047619047819</v>
      </c>
      <c r="N471" s="6">
        <f ca="1"/>
        <v>-0.13095238095238315</v>
      </c>
      <c r="O471" s="6">
        <f t="shared" ca="1" si="74"/>
        <v>61.785714285713375</v>
      </c>
      <c r="P471" t="str">
        <f t="shared" si="75"/>
        <v>NA</v>
      </c>
      <c r="Q471" s="10">
        <f t="shared" ca="1" si="76"/>
        <v>78.809523809523341</v>
      </c>
      <c r="R471" s="10">
        <f t="shared" ca="1" si="77"/>
        <v>107.61904761904748</v>
      </c>
      <c r="S471" s="10">
        <f t="shared" ca="1" si="78"/>
        <v>-28.809523809524137</v>
      </c>
      <c r="T471" s="10">
        <f t="shared" ca="1" si="79"/>
        <v>219.99999999999881</v>
      </c>
      <c r="U471" s="10" t="str">
        <f t="shared" ca="1" si="80"/>
        <v>OR</v>
      </c>
      <c r="V471">
        <f t="shared" si="81"/>
        <v>2</v>
      </c>
    </row>
    <row r="472" spans="1:22" x14ac:dyDescent="0.25">
      <c r="A472">
        <v>53</v>
      </c>
      <c r="B472">
        <v>3</v>
      </c>
      <c r="C472">
        <v>50</v>
      </c>
      <c r="D472">
        <v>1</v>
      </c>
      <c r="E472">
        <v>1</v>
      </c>
      <c r="F472">
        <v>0</v>
      </c>
      <c r="G472">
        <v>0</v>
      </c>
      <c r="H472">
        <v>450</v>
      </c>
      <c r="I472">
        <f t="shared" si="82"/>
        <v>468</v>
      </c>
      <c r="J472" s="6">
        <f t="array" aca="1" ref="J472:N472" ca="1">TRANSPOSE(ols(OFFSET($C$2:$C$10,I472,0),OFFSET($D$2:$H$10,I472,0)))</f>
        <v>72.261904761904589</v>
      </c>
      <c r="K472" s="6">
        <f ca="1"/>
        <v>35.35714285714289</v>
      </c>
      <c r="L472" s="6">
        <f ca="1"/>
        <v>39.761904761905043</v>
      </c>
      <c r="M472" s="6">
        <f ca="1"/>
        <v>12.619047619047819</v>
      </c>
      <c r="N472" s="6">
        <f ca="1"/>
        <v>-0.13095238095238315</v>
      </c>
      <c r="O472" s="6">
        <f t="shared" ca="1" si="74"/>
        <v>48.69047619047506</v>
      </c>
      <c r="P472" t="str">
        <f t="shared" si="75"/>
        <v>NA</v>
      </c>
      <c r="Q472" s="10">
        <f t="shared" ca="1" si="76"/>
        <v>78.809523809523341</v>
      </c>
      <c r="R472" s="10">
        <f t="shared" ca="1" si="77"/>
        <v>107.61904761904748</v>
      </c>
      <c r="S472" s="10">
        <f t="shared" ca="1" si="78"/>
        <v>-28.809523809524137</v>
      </c>
      <c r="T472" s="10">
        <f t="shared" ca="1" si="79"/>
        <v>219.99999999999881</v>
      </c>
      <c r="U472" s="10" t="str">
        <f t="shared" ca="1" si="80"/>
        <v>OR</v>
      </c>
      <c r="V472">
        <f t="shared" si="81"/>
        <v>2</v>
      </c>
    </row>
    <row r="473" spans="1:22" x14ac:dyDescent="0.25">
      <c r="A473">
        <v>53</v>
      </c>
      <c r="B473">
        <v>4</v>
      </c>
      <c r="C473">
        <v>0</v>
      </c>
      <c r="D473">
        <v>1</v>
      </c>
      <c r="E473">
        <v>0</v>
      </c>
      <c r="F473">
        <v>0</v>
      </c>
      <c r="G473">
        <v>0</v>
      </c>
      <c r="H473">
        <v>550</v>
      </c>
      <c r="I473">
        <f t="shared" si="82"/>
        <v>468</v>
      </c>
      <c r="J473" s="6">
        <f t="array" aca="1" ref="J473:N473" ca="1">TRANSPOSE(ols(OFFSET($C$2:$C$10,I473,0),OFFSET($D$2:$H$10,I473,0)))</f>
        <v>72.261904761904589</v>
      </c>
      <c r="K473" s="6">
        <f ca="1"/>
        <v>35.35714285714289</v>
      </c>
      <c r="L473" s="6">
        <f ca="1"/>
        <v>39.761904761905043</v>
      </c>
      <c r="M473" s="6">
        <f ca="1"/>
        <v>12.619047619047819</v>
      </c>
      <c r="N473" s="6">
        <f ca="1"/>
        <v>-0.13095238095238315</v>
      </c>
      <c r="O473" s="6">
        <f t="shared" ca="1" si="74"/>
        <v>0.23809523809384814</v>
      </c>
      <c r="P473" t="str">
        <f t="shared" si="75"/>
        <v>NA</v>
      </c>
      <c r="Q473" s="10">
        <f t="shared" ca="1" si="76"/>
        <v>78.809523809523341</v>
      </c>
      <c r="R473" s="10">
        <f t="shared" ca="1" si="77"/>
        <v>72.261904761904589</v>
      </c>
      <c r="S473" s="10">
        <f t="shared" ca="1" si="78"/>
        <v>6.5476190476187526</v>
      </c>
      <c r="T473" s="10">
        <f t="shared" ca="1" si="79"/>
        <v>-49.999999999996909</v>
      </c>
      <c r="U473" s="10" t="str">
        <f t="shared" ca="1" si="80"/>
        <v>OR</v>
      </c>
      <c r="V473">
        <f t="shared" si="81"/>
        <v>1</v>
      </c>
    </row>
    <row r="474" spans="1:22" x14ac:dyDescent="0.25">
      <c r="A474">
        <v>53</v>
      </c>
      <c r="B474">
        <v>5</v>
      </c>
      <c r="C474">
        <v>95</v>
      </c>
      <c r="D474">
        <v>1</v>
      </c>
      <c r="E474">
        <v>0</v>
      </c>
      <c r="F474">
        <v>1</v>
      </c>
      <c r="G474">
        <v>1</v>
      </c>
      <c r="H474">
        <v>250</v>
      </c>
      <c r="I474">
        <f t="shared" si="82"/>
        <v>468</v>
      </c>
      <c r="J474" s="6">
        <f t="array" aca="1" ref="J474:N474" ca="1">TRANSPOSE(ols(OFFSET($C$2:$C$10,I474,0),OFFSET($D$2:$H$10,I474,0)))</f>
        <v>72.261904761904589</v>
      </c>
      <c r="K474" s="6">
        <f ca="1"/>
        <v>35.35714285714289</v>
      </c>
      <c r="L474" s="6">
        <f ca="1"/>
        <v>39.761904761905043</v>
      </c>
      <c r="M474" s="6">
        <f ca="1"/>
        <v>12.619047619047819</v>
      </c>
      <c r="N474" s="6">
        <f ca="1"/>
        <v>-0.13095238095238315</v>
      </c>
      <c r="O474" s="6">
        <f t="shared" ca="1" si="74"/>
        <v>91.904761904761671</v>
      </c>
      <c r="P474" t="str">
        <f t="shared" si="75"/>
        <v>NA</v>
      </c>
      <c r="Q474" s="10">
        <f t="shared" ca="1" si="76"/>
        <v>78.809523809523341</v>
      </c>
      <c r="R474" s="10">
        <f t="shared" ca="1" si="77"/>
        <v>124.64285714285745</v>
      </c>
      <c r="S474" s="10">
        <f t="shared" ca="1" si="78"/>
        <v>-45.83333333333411</v>
      </c>
      <c r="T474" s="10">
        <f t="shared" ca="1" si="79"/>
        <v>350.00000000000006</v>
      </c>
      <c r="U474" s="10">
        <f t="shared" ca="1" si="80"/>
        <v>350.00000000000006</v>
      </c>
      <c r="V474">
        <f t="shared" si="81"/>
        <v>6</v>
      </c>
    </row>
    <row r="475" spans="1:22" x14ac:dyDescent="0.25">
      <c r="A475">
        <v>53</v>
      </c>
      <c r="B475">
        <v>6</v>
      </c>
      <c r="C475">
        <v>75</v>
      </c>
      <c r="D475">
        <v>1</v>
      </c>
      <c r="E475">
        <v>0</v>
      </c>
      <c r="F475">
        <v>1</v>
      </c>
      <c r="G475">
        <v>1</v>
      </c>
      <c r="H475">
        <v>350</v>
      </c>
      <c r="I475">
        <f t="shared" si="82"/>
        <v>468</v>
      </c>
      <c r="J475" s="6">
        <f t="array" aca="1" ref="J475:N475" ca="1">TRANSPOSE(ols(OFFSET($C$2:$C$10,I475,0),OFFSET($D$2:$H$10,I475,0)))</f>
        <v>72.261904761904589</v>
      </c>
      <c r="K475" s="6">
        <f ca="1"/>
        <v>35.35714285714289</v>
      </c>
      <c r="L475" s="6">
        <f ca="1"/>
        <v>39.761904761905043</v>
      </c>
      <c r="M475" s="6">
        <f ca="1"/>
        <v>12.619047619047819</v>
      </c>
      <c r="N475" s="6">
        <f ca="1"/>
        <v>-0.13095238095238315</v>
      </c>
      <c r="O475" s="6">
        <f t="shared" ca="1" si="74"/>
        <v>78.809523809523341</v>
      </c>
      <c r="P475">
        <f t="shared" ca="1" si="75"/>
        <v>78.809523809523341</v>
      </c>
      <c r="Q475" s="10">
        <f t="shared" ca="1" si="76"/>
        <v>78.809523809523341</v>
      </c>
      <c r="R475" s="10">
        <f t="shared" ca="1" si="77"/>
        <v>124.64285714285745</v>
      </c>
      <c r="S475" s="10">
        <f t="shared" ca="1" si="78"/>
        <v>-45.83333333333411</v>
      </c>
      <c r="T475" s="10">
        <f t="shared" ca="1" si="79"/>
        <v>350.00000000000006</v>
      </c>
      <c r="U475" s="10">
        <f t="shared" ca="1" si="80"/>
        <v>350.00000000000006</v>
      </c>
      <c r="V475">
        <f t="shared" si="81"/>
        <v>6</v>
      </c>
    </row>
    <row r="476" spans="1:22" x14ac:dyDescent="0.25">
      <c r="A476">
        <v>53</v>
      </c>
      <c r="B476">
        <v>7</v>
      </c>
      <c r="C476">
        <v>60</v>
      </c>
      <c r="D476">
        <v>1</v>
      </c>
      <c r="E476">
        <v>1</v>
      </c>
      <c r="F476">
        <v>0</v>
      </c>
      <c r="G476">
        <v>1</v>
      </c>
      <c r="H476">
        <v>450</v>
      </c>
      <c r="I476">
        <f t="shared" si="82"/>
        <v>468</v>
      </c>
      <c r="J476" s="6">
        <f t="array" aca="1" ref="J476:N476" ca="1">TRANSPOSE(ols(OFFSET($C$2:$C$10,I476,0),OFFSET($D$2:$H$10,I476,0)))</f>
        <v>72.261904761904589</v>
      </c>
      <c r="K476" s="6">
        <f ca="1"/>
        <v>35.35714285714289</v>
      </c>
      <c r="L476" s="6">
        <f ca="1"/>
        <v>39.761904761905043</v>
      </c>
      <c r="M476" s="6">
        <f ca="1"/>
        <v>12.619047619047819</v>
      </c>
      <c r="N476" s="6">
        <f ca="1"/>
        <v>-0.13095238095238315</v>
      </c>
      <c r="O476" s="6">
        <f t="shared" ca="1" si="74"/>
        <v>61.309523809522879</v>
      </c>
      <c r="P476" t="str">
        <f t="shared" si="75"/>
        <v>NA</v>
      </c>
      <c r="Q476" s="10">
        <f t="shared" ca="1" si="76"/>
        <v>78.809523809523341</v>
      </c>
      <c r="R476" s="10">
        <f t="shared" ca="1" si="77"/>
        <v>120.2380952380953</v>
      </c>
      <c r="S476" s="10">
        <f t="shared" ca="1" si="78"/>
        <v>-41.428571428571956</v>
      </c>
      <c r="T476" s="10">
        <f t="shared" ca="1" si="79"/>
        <v>316.36363636363507</v>
      </c>
      <c r="U476" s="10">
        <f t="shared" ca="1" si="80"/>
        <v>316.36363636363507</v>
      </c>
      <c r="V476">
        <f t="shared" si="81"/>
        <v>5</v>
      </c>
    </row>
    <row r="477" spans="1:22" x14ac:dyDescent="0.25">
      <c r="A477">
        <v>53</v>
      </c>
      <c r="B477">
        <v>8</v>
      </c>
      <c r="C477">
        <v>50</v>
      </c>
      <c r="D477">
        <v>1</v>
      </c>
      <c r="E477">
        <v>1</v>
      </c>
      <c r="F477">
        <v>0</v>
      </c>
      <c r="G477">
        <v>1</v>
      </c>
      <c r="H477">
        <v>550</v>
      </c>
      <c r="I477">
        <f t="shared" si="82"/>
        <v>468</v>
      </c>
      <c r="J477" s="6">
        <f t="array" aca="1" ref="J477:N477" ca="1">TRANSPOSE(ols(OFFSET($C$2:$C$10,I477,0),OFFSET($D$2:$H$10,I477,0)))</f>
        <v>72.261904761904589</v>
      </c>
      <c r="K477" s="6">
        <f ca="1"/>
        <v>35.35714285714289</v>
      </c>
      <c r="L477" s="6">
        <f ca="1"/>
        <v>39.761904761905043</v>
      </c>
      <c r="M477" s="6">
        <f ca="1"/>
        <v>12.619047619047819</v>
      </c>
      <c r="N477" s="6">
        <f ca="1"/>
        <v>-0.13095238095238315</v>
      </c>
      <c r="O477" s="6">
        <f t="shared" ca="1" si="74"/>
        <v>48.214285714284557</v>
      </c>
      <c r="P477" t="str">
        <f t="shared" si="75"/>
        <v>NA</v>
      </c>
      <c r="Q477" s="10">
        <f t="shared" ca="1" si="76"/>
        <v>78.809523809523341</v>
      </c>
      <c r="R477" s="10">
        <f t="shared" ca="1" si="77"/>
        <v>120.2380952380953</v>
      </c>
      <c r="S477" s="10">
        <f t="shared" ca="1" si="78"/>
        <v>-41.428571428571956</v>
      </c>
      <c r="T477" s="10">
        <f t="shared" ca="1" si="79"/>
        <v>316.36363636363507</v>
      </c>
      <c r="U477" s="10">
        <f t="shared" ca="1" si="80"/>
        <v>316.36363636363507</v>
      </c>
      <c r="V477">
        <f t="shared" si="81"/>
        <v>5</v>
      </c>
    </row>
    <row r="478" spans="1:22" x14ac:dyDescent="0.25">
      <c r="A478">
        <v>53</v>
      </c>
      <c r="B478">
        <v>9</v>
      </c>
      <c r="C478">
        <v>0</v>
      </c>
      <c r="D478">
        <v>1</v>
      </c>
      <c r="E478">
        <v>0</v>
      </c>
      <c r="F478">
        <v>0</v>
      </c>
      <c r="G478">
        <v>1</v>
      </c>
      <c r="H478">
        <v>650</v>
      </c>
      <c r="I478">
        <f t="shared" si="82"/>
        <v>468</v>
      </c>
      <c r="J478" s="6">
        <f t="array" aca="1" ref="J478:N478" ca="1">TRANSPOSE(ols(OFFSET($C$2:$C$10,I478,0),OFFSET($D$2:$H$10,I478,0)))</f>
        <v>72.261904761904589</v>
      </c>
      <c r="K478" s="6">
        <f ca="1"/>
        <v>35.35714285714289</v>
      </c>
      <c r="L478" s="6">
        <f ca="1"/>
        <v>39.761904761905043</v>
      </c>
      <c r="M478" s="6">
        <f ca="1"/>
        <v>12.619047619047819</v>
      </c>
      <c r="N478" s="6">
        <f ca="1"/>
        <v>-0.13095238095238315</v>
      </c>
      <c r="O478" s="6">
        <f t="shared" ca="1" si="74"/>
        <v>-0.23809523809663347</v>
      </c>
      <c r="P478" t="str">
        <f t="shared" si="75"/>
        <v>NA</v>
      </c>
      <c r="Q478" s="10">
        <f t="shared" ca="1" si="76"/>
        <v>78.809523809523341</v>
      </c>
      <c r="R478" s="10">
        <f t="shared" ca="1" si="77"/>
        <v>84.880952380952408</v>
      </c>
      <c r="S478" s="10">
        <f t="shared" ca="1" si="78"/>
        <v>-6.0714285714290668</v>
      </c>
      <c r="T478" s="10">
        <f t="shared" ca="1" si="79"/>
        <v>46.363636363639365</v>
      </c>
      <c r="U478" s="10" t="str">
        <f t="shared" ca="1" si="80"/>
        <v>OR</v>
      </c>
      <c r="V478">
        <f t="shared" si="81"/>
        <v>4</v>
      </c>
    </row>
    <row r="479" spans="1:22" x14ac:dyDescent="0.25">
      <c r="A479">
        <v>54</v>
      </c>
      <c r="B479">
        <v>1</v>
      </c>
      <c r="C479">
        <v>80</v>
      </c>
      <c r="D479">
        <v>1</v>
      </c>
      <c r="E479">
        <v>0</v>
      </c>
      <c r="F479">
        <v>1</v>
      </c>
      <c r="G479">
        <v>0</v>
      </c>
      <c r="H479">
        <v>250</v>
      </c>
      <c r="I479">
        <f t="shared" si="82"/>
        <v>477</v>
      </c>
      <c r="J479" s="6">
        <f t="array" aca="1" ref="J479:N479" ca="1">TRANSPOSE(ols(OFFSET($C$2:$C$10,I479,0),OFFSET($D$2:$H$10,I479,0)))</f>
        <v>91.964285714284415</v>
      </c>
      <c r="K479" s="6">
        <f ca="1"/>
        <v>6.4285714285715585</v>
      </c>
      <c r="L479" s="6">
        <f ca="1"/>
        <v>0.7142857142853245</v>
      </c>
      <c r="M479" s="6">
        <f ca="1"/>
        <v>-0.3571428571422075</v>
      </c>
      <c r="N479" s="6">
        <f ca="1"/>
        <v>-3.2142857142861914E-2</v>
      </c>
      <c r="O479" s="6">
        <f t="shared" ca="1" si="74"/>
        <v>84.642857142854268</v>
      </c>
      <c r="P479" t="str">
        <f t="shared" si="75"/>
        <v>NA</v>
      </c>
      <c r="Q479" s="10">
        <f t="shared" ca="1" si="76"/>
        <v>81.071428571425855</v>
      </c>
      <c r="R479" s="10">
        <f t="shared" ca="1" si="77"/>
        <v>92.67857142856974</v>
      </c>
      <c r="S479" s="10">
        <f t="shared" ca="1" si="78"/>
        <v>-11.607142857143884</v>
      </c>
      <c r="T479" s="10">
        <f t="shared" ca="1" si="79"/>
        <v>361.11111111108949</v>
      </c>
      <c r="U479" s="10">
        <f t="shared" ca="1" si="80"/>
        <v>361.11111111108949</v>
      </c>
      <c r="V479">
        <f t="shared" si="81"/>
        <v>3</v>
      </c>
    </row>
    <row r="480" spans="1:22" x14ac:dyDescent="0.25">
      <c r="A480">
        <v>54</v>
      </c>
      <c r="B480">
        <v>2</v>
      </c>
      <c r="C480">
        <v>90</v>
      </c>
      <c r="D480">
        <v>1</v>
      </c>
      <c r="E480">
        <v>1</v>
      </c>
      <c r="F480">
        <v>0</v>
      </c>
      <c r="G480">
        <v>0</v>
      </c>
      <c r="H480">
        <v>350</v>
      </c>
      <c r="I480">
        <f t="shared" si="82"/>
        <v>477</v>
      </c>
      <c r="J480" s="6">
        <f t="array" aca="1" ref="J480:N480" ca="1">TRANSPOSE(ols(OFFSET($C$2:$C$10,I480,0),OFFSET($D$2:$H$10,I480,0)))</f>
        <v>91.964285714284415</v>
      </c>
      <c r="K480" s="6">
        <f ca="1"/>
        <v>6.4285714285715585</v>
      </c>
      <c r="L480" s="6">
        <f ca="1"/>
        <v>0.7142857142853245</v>
      </c>
      <c r="M480" s="6">
        <f ca="1"/>
        <v>-0.3571428571422075</v>
      </c>
      <c r="N480" s="6">
        <f ca="1"/>
        <v>-3.2142857142861914E-2</v>
      </c>
      <c r="O480" s="6">
        <f t="shared" ca="1" si="74"/>
        <v>87.142857142854297</v>
      </c>
      <c r="P480" t="str">
        <f t="shared" si="75"/>
        <v>NA</v>
      </c>
      <c r="Q480" s="10">
        <f t="shared" ca="1" si="76"/>
        <v>81.071428571425855</v>
      </c>
      <c r="R480" s="10">
        <f t="shared" ca="1" si="77"/>
        <v>98.392857142855974</v>
      </c>
      <c r="S480" s="10">
        <f t="shared" ca="1" si="78"/>
        <v>-17.321428571430118</v>
      </c>
      <c r="T480" s="10">
        <f t="shared" ca="1" si="79"/>
        <v>538.88888888885708</v>
      </c>
      <c r="U480" s="10">
        <f t="shared" ca="1" si="80"/>
        <v>538.88888888885708</v>
      </c>
      <c r="V480">
        <f t="shared" si="81"/>
        <v>2</v>
      </c>
    </row>
    <row r="481" spans="1:22" x14ac:dyDescent="0.25">
      <c r="A481">
        <v>54</v>
      </c>
      <c r="B481">
        <v>3</v>
      </c>
      <c r="C481">
        <v>85</v>
      </c>
      <c r="D481">
        <v>1</v>
      </c>
      <c r="E481">
        <v>1</v>
      </c>
      <c r="F481">
        <v>0</v>
      </c>
      <c r="G481">
        <v>0</v>
      </c>
      <c r="H481">
        <v>450</v>
      </c>
      <c r="I481">
        <f t="shared" si="82"/>
        <v>477</v>
      </c>
      <c r="J481" s="6">
        <f t="array" aca="1" ref="J481:N481" ca="1">TRANSPOSE(ols(OFFSET($C$2:$C$10,I481,0),OFFSET($D$2:$H$10,I481,0)))</f>
        <v>91.964285714284415</v>
      </c>
      <c r="K481" s="6">
        <f ca="1"/>
        <v>6.4285714285715585</v>
      </c>
      <c r="L481" s="6">
        <f ca="1"/>
        <v>0.7142857142853245</v>
      </c>
      <c r="M481" s="6">
        <f ca="1"/>
        <v>-0.3571428571422075</v>
      </c>
      <c r="N481" s="6">
        <f ca="1"/>
        <v>-3.2142857142861914E-2</v>
      </c>
      <c r="O481" s="6">
        <f t="shared" ca="1" si="74"/>
        <v>83.928571428568119</v>
      </c>
      <c r="P481" t="str">
        <f t="shared" si="75"/>
        <v>NA</v>
      </c>
      <c r="Q481" s="10">
        <f t="shared" ca="1" si="76"/>
        <v>81.071428571425855</v>
      </c>
      <c r="R481" s="10">
        <f t="shared" ca="1" si="77"/>
        <v>98.392857142855974</v>
      </c>
      <c r="S481" s="10">
        <f t="shared" ca="1" si="78"/>
        <v>-17.321428571430118</v>
      </c>
      <c r="T481" s="10">
        <f t="shared" ca="1" si="79"/>
        <v>538.88888888885708</v>
      </c>
      <c r="U481" s="10">
        <f t="shared" ca="1" si="80"/>
        <v>538.88888888885708</v>
      </c>
      <c r="V481">
        <f t="shared" si="81"/>
        <v>2</v>
      </c>
    </row>
    <row r="482" spans="1:22" x14ac:dyDescent="0.25">
      <c r="A482">
        <v>54</v>
      </c>
      <c r="B482">
        <v>4</v>
      </c>
      <c r="C482">
        <v>75</v>
      </c>
      <c r="D482">
        <v>1</v>
      </c>
      <c r="E482">
        <v>0</v>
      </c>
      <c r="F482">
        <v>0</v>
      </c>
      <c r="G482">
        <v>0</v>
      </c>
      <c r="H482">
        <v>550</v>
      </c>
      <c r="I482">
        <f t="shared" si="82"/>
        <v>477</v>
      </c>
      <c r="J482" s="6">
        <f t="array" aca="1" ref="J482:N482" ca="1">TRANSPOSE(ols(OFFSET($C$2:$C$10,I482,0),OFFSET($D$2:$H$10,I482,0)))</f>
        <v>91.964285714284415</v>
      </c>
      <c r="K482" s="6">
        <f ca="1"/>
        <v>6.4285714285715585</v>
      </c>
      <c r="L482" s="6">
        <f ca="1"/>
        <v>0.7142857142853245</v>
      </c>
      <c r="M482" s="6">
        <f ca="1"/>
        <v>-0.3571428571422075</v>
      </c>
      <c r="N482" s="6">
        <f ca="1"/>
        <v>-3.2142857142861914E-2</v>
      </c>
      <c r="O482" s="6">
        <f t="shared" ca="1" si="74"/>
        <v>74.285714285710355</v>
      </c>
      <c r="P482" t="str">
        <f t="shared" si="75"/>
        <v>NA</v>
      </c>
      <c r="Q482" s="10">
        <f t="shared" ca="1" si="76"/>
        <v>81.071428571425855</v>
      </c>
      <c r="R482" s="10">
        <f t="shared" ca="1" si="77"/>
        <v>91.964285714284415</v>
      </c>
      <c r="S482" s="10">
        <f t="shared" ca="1" si="78"/>
        <v>-10.89285714285856</v>
      </c>
      <c r="T482" s="10">
        <f t="shared" ca="1" si="79"/>
        <v>338.88888888888266</v>
      </c>
      <c r="U482" s="10">
        <f t="shared" ca="1" si="80"/>
        <v>338.88888888888266</v>
      </c>
      <c r="V482">
        <f t="shared" si="81"/>
        <v>1</v>
      </c>
    </row>
    <row r="483" spans="1:22" x14ac:dyDescent="0.25">
      <c r="A483">
        <v>54</v>
      </c>
      <c r="B483">
        <v>5</v>
      </c>
      <c r="C483">
        <v>80</v>
      </c>
      <c r="D483">
        <v>1</v>
      </c>
      <c r="E483">
        <v>0</v>
      </c>
      <c r="F483">
        <v>1</v>
      </c>
      <c r="G483">
        <v>1</v>
      </c>
      <c r="H483">
        <v>250</v>
      </c>
      <c r="I483">
        <f t="shared" si="82"/>
        <v>477</v>
      </c>
      <c r="J483" s="6">
        <f t="array" aca="1" ref="J483:N483" ca="1">TRANSPOSE(ols(OFFSET($C$2:$C$10,I483,0),OFFSET($D$2:$H$10,I483,0)))</f>
        <v>91.964285714284415</v>
      </c>
      <c r="K483" s="6">
        <f ca="1"/>
        <v>6.4285714285715585</v>
      </c>
      <c r="L483" s="6">
        <f ca="1"/>
        <v>0.7142857142853245</v>
      </c>
      <c r="M483" s="6">
        <f ca="1"/>
        <v>-0.3571428571422075</v>
      </c>
      <c r="N483" s="6">
        <f ca="1"/>
        <v>-3.2142857142861914E-2</v>
      </c>
      <c r="O483" s="6">
        <f t="shared" ca="1" si="74"/>
        <v>84.285714285712061</v>
      </c>
      <c r="P483" t="str">
        <f t="shared" si="75"/>
        <v>NA</v>
      </c>
      <c r="Q483" s="10">
        <f t="shared" ca="1" si="76"/>
        <v>81.071428571425855</v>
      </c>
      <c r="R483" s="10">
        <f t="shared" ca="1" si="77"/>
        <v>92.321428571427532</v>
      </c>
      <c r="S483" s="10">
        <f t="shared" ca="1" si="78"/>
        <v>-11.250000000001677</v>
      </c>
      <c r="T483" s="10">
        <f t="shared" ca="1" si="79"/>
        <v>350.00000000000023</v>
      </c>
      <c r="U483" s="10">
        <f t="shared" ca="1" si="80"/>
        <v>350.00000000000023</v>
      </c>
      <c r="V483">
        <f t="shared" si="81"/>
        <v>6</v>
      </c>
    </row>
    <row r="484" spans="1:22" x14ac:dyDescent="0.25">
      <c r="A484">
        <v>54</v>
      </c>
      <c r="B484">
        <v>6</v>
      </c>
      <c r="C484">
        <v>90</v>
      </c>
      <c r="D484">
        <v>1</v>
      </c>
      <c r="E484">
        <v>0</v>
      </c>
      <c r="F484">
        <v>1</v>
      </c>
      <c r="G484">
        <v>1</v>
      </c>
      <c r="H484">
        <v>350</v>
      </c>
      <c r="I484">
        <f t="shared" si="82"/>
        <v>477</v>
      </c>
      <c r="J484" s="6">
        <f t="array" aca="1" ref="J484:N484" ca="1">TRANSPOSE(ols(OFFSET($C$2:$C$10,I484,0),OFFSET($D$2:$H$10,I484,0)))</f>
        <v>91.964285714284415</v>
      </c>
      <c r="K484" s="6">
        <f ca="1"/>
        <v>6.4285714285715585</v>
      </c>
      <c r="L484" s="6">
        <f ca="1"/>
        <v>0.7142857142853245</v>
      </c>
      <c r="M484" s="6">
        <f ca="1"/>
        <v>-0.3571428571422075</v>
      </c>
      <c r="N484" s="6">
        <f ca="1"/>
        <v>-3.2142857142861914E-2</v>
      </c>
      <c r="O484" s="6">
        <f t="shared" ca="1" si="74"/>
        <v>81.071428571425855</v>
      </c>
      <c r="P484">
        <f t="shared" ca="1" si="75"/>
        <v>81.071428571425855</v>
      </c>
      <c r="Q484" s="10">
        <f t="shared" ca="1" si="76"/>
        <v>81.071428571425855</v>
      </c>
      <c r="R484" s="10">
        <f t="shared" ca="1" si="77"/>
        <v>92.321428571427532</v>
      </c>
      <c r="S484" s="10">
        <f t="shared" ca="1" si="78"/>
        <v>-11.250000000001677</v>
      </c>
      <c r="T484" s="10">
        <f t="shared" ca="1" si="79"/>
        <v>350.00000000000023</v>
      </c>
      <c r="U484" s="10">
        <f t="shared" ca="1" si="80"/>
        <v>350.00000000000023</v>
      </c>
      <c r="V484">
        <f t="shared" si="81"/>
        <v>6</v>
      </c>
    </row>
    <row r="485" spans="1:22" x14ac:dyDescent="0.25">
      <c r="A485">
        <v>54</v>
      </c>
      <c r="B485">
        <v>7</v>
      </c>
      <c r="C485">
        <v>85</v>
      </c>
      <c r="D485">
        <v>1</v>
      </c>
      <c r="E485">
        <v>1</v>
      </c>
      <c r="F485">
        <v>0</v>
      </c>
      <c r="G485">
        <v>1</v>
      </c>
      <c r="H485">
        <v>450</v>
      </c>
      <c r="I485">
        <f t="shared" si="82"/>
        <v>477</v>
      </c>
      <c r="J485" s="6">
        <f t="array" aca="1" ref="J485:N485" ca="1">TRANSPOSE(ols(OFFSET($C$2:$C$10,I485,0),OFFSET($D$2:$H$10,I485,0)))</f>
        <v>91.964285714284415</v>
      </c>
      <c r="K485" s="6">
        <f ca="1"/>
        <v>6.4285714285715585</v>
      </c>
      <c r="L485" s="6">
        <f ca="1"/>
        <v>0.7142857142853245</v>
      </c>
      <c r="M485" s="6">
        <f ca="1"/>
        <v>-0.3571428571422075</v>
      </c>
      <c r="N485" s="6">
        <f ca="1"/>
        <v>-3.2142857142861914E-2</v>
      </c>
      <c r="O485" s="6">
        <f t="shared" ca="1" si="74"/>
        <v>83.571428571425912</v>
      </c>
      <c r="P485" t="str">
        <f t="shared" si="75"/>
        <v>NA</v>
      </c>
      <c r="Q485" s="10">
        <f t="shared" ca="1" si="76"/>
        <v>81.071428571425855</v>
      </c>
      <c r="R485" s="10">
        <f t="shared" ca="1" si="77"/>
        <v>98.035714285713766</v>
      </c>
      <c r="S485" s="10">
        <f t="shared" ca="1" si="78"/>
        <v>-16.964285714287911</v>
      </c>
      <c r="T485" s="10">
        <f t="shared" ca="1" si="79"/>
        <v>527.77777777776782</v>
      </c>
      <c r="U485" s="10">
        <f t="shared" ca="1" si="80"/>
        <v>527.77777777776782</v>
      </c>
      <c r="V485">
        <f t="shared" si="81"/>
        <v>5</v>
      </c>
    </row>
    <row r="486" spans="1:22" x14ac:dyDescent="0.25">
      <c r="A486">
        <v>54</v>
      </c>
      <c r="B486">
        <v>8</v>
      </c>
      <c r="C486">
        <v>75</v>
      </c>
      <c r="D486">
        <v>1</v>
      </c>
      <c r="E486">
        <v>1</v>
      </c>
      <c r="F486">
        <v>0</v>
      </c>
      <c r="G486">
        <v>1</v>
      </c>
      <c r="H486">
        <v>550</v>
      </c>
      <c r="I486">
        <f t="shared" si="82"/>
        <v>477</v>
      </c>
      <c r="J486" s="6">
        <f t="array" aca="1" ref="J486:N486" ca="1">TRANSPOSE(ols(OFFSET($C$2:$C$10,I486,0),OFFSET($D$2:$H$10,I486,0)))</f>
        <v>91.964285714284415</v>
      </c>
      <c r="K486" s="6">
        <f ca="1"/>
        <v>6.4285714285715585</v>
      </c>
      <c r="L486" s="6">
        <f ca="1"/>
        <v>0.7142857142853245</v>
      </c>
      <c r="M486" s="6">
        <f ca="1"/>
        <v>-0.3571428571422075</v>
      </c>
      <c r="N486" s="6">
        <f ca="1"/>
        <v>-3.2142857142861914E-2</v>
      </c>
      <c r="O486" s="6">
        <f t="shared" ca="1" si="74"/>
        <v>80.357142857139706</v>
      </c>
      <c r="P486" t="str">
        <f t="shared" si="75"/>
        <v>NA</v>
      </c>
      <c r="Q486" s="10">
        <f t="shared" ca="1" si="76"/>
        <v>81.071428571425855</v>
      </c>
      <c r="R486" s="10">
        <f t="shared" ca="1" si="77"/>
        <v>98.035714285713766</v>
      </c>
      <c r="S486" s="10">
        <f t="shared" ca="1" si="78"/>
        <v>-16.964285714287911</v>
      </c>
      <c r="T486" s="10">
        <f t="shared" ca="1" si="79"/>
        <v>527.77777777776782</v>
      </c>
      <c r="U486" s="10">
        <f t="shared" ca="1" si="80"/>
        <v>527.77777777776782</v>
      </c>
      <c r="V486">
        <f t="shared" si="81"/>
        <v>5</v>
      </c>
    </row>
    <row r="487" spans="1:22" x14ac:dyDescent="0.25">
      <c r="A487">
        <v>54</v>
      </c>
      <c r="B487">
        <v>9</v>
      </c>
      <c r="C487">
        <v>70</v>
      </c>
      <c r="D487">
        <v>1</v>
      </c>
      <c r="E487">
        <v>0</v>
      </c>
      <c r="F487">
        <v>0</v>
      </c>
      <c r="G487">
        <v>1</v>
      </c>
      <c r="H487">
        <v>650</v>
      </c>
      <c r="I487">
        <f t="shared" si="82"/>
        <v>477</v>
      </c>
      <c r="J487" s="6">
        <f t="array" aca="1" ref="J487:N487" ca="1">TRANSPOSE(ols(OFFSET($C$2:$C$10,I487,0),OFFSET($D$2:$H$10,I487,0)))</f>
        <v>91.964285714284415</v>
      </c>
      <c r="K487" s="6">
        <f ca="1"/>
        <v>6.4285714285715585</v>
      </c>
      <c r="L487" s="6">
        <f ca="1"/>
        <v>0.7142857142853245</v>
      </c>
      <c r="M487" s="6">
        <f ca="1"/>
        <v>-0.3571428571422075</v>
      </c>
      <c r="N487" s="6">
        <f ca="1"/>
        <v>-3.2142857142861914E-2</v>
      </c>
      <c r="O487" s="6">
        <f t="shared" ca="1" si="74"/>
        <v>70.714285714281971</v>
      </c>
      <c r="P487" t="str">
        <f t="shared" si="75"/>
        <v>NA</v>
      </c>
      <c r="Q487" s="10">
        <f t="shared" ca="1" si="76"/>
        <v>81.071428571425855</v>
      </c>
      <c r="R487" s="10">
        <f t="shared" ca="1" si="77"/>
        <v>91.607142857142208</v>
      </c>
      <c r="S487" s="10">
        <f t="shared" ca="1" si="78"/>
        <v>-10.535714285716352</v>
      </c>
      <c r="T487" s="10">
        <f t="shared" ca="1" si="79"/>
        <v>327.7777777777934</v>
      </c>
      <c r="U487" s="10">
        <f t="shared" ca="1" si="80"/>
        <v>327.7777777777934</v>
      </c>
      <c r="V487">
        <f t="shared" si="81"/>
        <v>4</v>
      </c>
    </row>
    <row r="488" spans="1:22" x14ac:dyDescent="0.25">
      <c r="A488">
        <v>55</v>
      </c>
      <c r="B488">
        <v>1</v>
      </c>
      <c r="C488">
        <v>0</v>
      </c>
      <c r="D488">
        <v>1</v>
      </c>
      <c r="E488">
        <v>0</v>
      </c>
      <c r="F488">
        <v>1</v>
      </c>
      <c r="G488">
        <v>0</v>
      </c>
      <c r="H488">
        <v>250</v>
      </c>
      <c r="I488">
        <f t="shared" si="82"/>
        <v>486</v>
      </c>
      <c r="J488" s="6">
        <f t="array" aca="1" ref="J488:N488" ca="1">TRANSPOSE(ols(OFFSET($C$2:$C$10,I488,0),OFFSET($D$2:$H$10,I488,0)))</f>
        <v>32.738095238094502</v>
      </c>
      <c r="K488" s="6">
        <f ca="1"/>
        <v>-2.8571428571428896</v>
      </c>
      <c r="L488" s="6">
        <f ca="1"/>
        <v>-14.761904761905043</v>
      </c>
      <c r="M488" s="6">
        <f ca="1"/>
        <v>77.380952380952522</v>
      </c>
      <c r="N488" s="6">
        <f ca="1"/>
        <v>-6.904761904761969E-2</v>
      </c>
      <c r="O488" s="6">
        <f t="shared" ca="1" si="74"/>
        <v>0.7142857142845358</v>
      </c>
      <c r="P488" t="str">
        <f t="shared" si="75"/>
        <v>NA</v>
      </c>
      <c r="Q488" s="10">
        <f t="shared" ca="1" si="76"/>
        <v>71.190476190475096</v>
      </c>
      <c r="R488" s="10">
        <f t="shared" ca="1" si="77"/>
        <v>17.976190476189458</v>
      </c>
      <c r="S488" s="10">
        <f t="shared" ca="1" si="78"/>
        <v>53.214285714285637</v>
      </c>
      <c r="T488" s="10">
        <f t="shared" ca="1" si="79"/>
        <v>-770.68965517240554</v>
      </c>
      <c r="U488" s="10" t="str">
        <f t="shared" ca="1" si="80"/>
        <v>OR</v>
      </c>
      <c r="V488">
        <f t="shared" si="81"/>
        <v>3</v>
      </c>
    </row>
    <row r="489" spans="1:22" x14ac:dyDescent="0.25">
      <c r="A489">
        <v>55</v>
      </c>
      <c r="B489">
        <v>2</v>
      </c>
      <c r="C489">
        <v>0</v>
      </c>
      <c r="D489">
        <v>1</v>
      </c>
      <c r="E489">
        <v>1</v>
      </c>
      <c r="F489">
        <v>0</v>
      </c>
      <c r="G489">
        <v>0</v>
      </c>
      <c r="H489">
        <v>350</v>
      </c>
      <c r="I489">
        <f t="shared" si="82"/>
        <v>486</v>
      </c>
      <c r="J489" s="6">
        <f t="array" aca="1" ref="J489:N489" ca="1">TRANSPOSE(ols(OFFSET($C$2:$C$10,I489,0),OFFSET($D$2:$H$10,I489,0)))</f>
        <v>32.738095238094502</v>
      </c>
      <c r="K489" s="6">
        <f ca="1"/>
        <v>-2.8571428571428896</v>
      </c>
      <c r="L489" s="6">
        <f ca="1"/>
        <v>-14.761904761905043</v>
      </c>
      <c r="M489" s="6">
        <f ca="1"/>
        <v>77.380952380952522</v>
      </c>
      <c r="N489" s="6">
        <f ca="1"/>
        <v>-6.904761904761969E-2</v>
      </c>
      <c r="O489" s="6">
        <f t="shared" ca="1" si="74"/>
        <v>5.7142857142847205</v>
      </c>
      <c r="P489" t="str">
        <f t="shared" si="75"/>
        <v>NA</v>
      </c>
      <c r="Q489" s="10">
        <f t="shared" ca="1" si="76"/>
        <v>71.190476190475096</v>
      </c>
      <c r="R489" s="10">
        <f t="shared" ca="1" si="77"/>
        <v>29.880952380951612</v>
      </c>
      <c r="S489" s="10">
        <f t="shared" ca="1" si="78"/>
        <v>41.309523809523483</v>
      </c>
      <c r="T489" s="10">
        <f t="shared" ca="1" si="79"/>
        <v>-598.27586206895523</v>
      </c>
      <c r="U489" s="10" t="str">
        <f t="shared" ca="1" si="80"/>
        <v>OR</v>
      </c>
      <c r="V489">
        <f t="shared" si="81"/>
        <v>2</v>
      </c>
    </row>
    <row r="490" spans="1:22" x14ac:dyDescent="0.25">
      <c r="A490">
        <v>55</v>
      </c>
      <c r="B490">
        <v>3</v>
      </c>
      <c r="C490">
        <v>0</v>
      </c>
      <c r="D490">
        <v>1</v>
      </c>
      <c r="E490">
        <v>1</v>
      </c>
      <c r="F490">
        <v>0</v>
      </c>
      <c r="G490">
        <v>0</v>
      </c>
      <c r="H490">
        <v>450</v>
      </c>
      <c r="I490">
        <f t="shared" si="82"/>
        <v>486</v>
      </c>
      <c r="J490" s="6">
        <f t="array" aca="1" ref="J490:N490" ca="1">TRANSPOSE(ols(OFFSET($C$2:$C$10,I490,0),OFFSET($D$2:$H$10,I490,0)))</f>
        <v>32.738095238094502</v>
      </c>
      <c r="K490" s="6">
        <f ca="1"/>
        <v>-2.8571428571428896</v>
      </c>
      <c r="L490" s="6">
        <f ca="1"/>
        <v>-14.761904761905043</v>
      </c>
      <c r="M490" s="6">
        <f ca="1"/>
        <v>77.380952380952522</v>
      </c>
      <c r="N490" s="6">
        <f ca="1"/>
        <v>-6.904761904761969E-2</v>
      </c>
      <c r="O490" s="6">
        <f t="shared" ca="1" si="74"/>
        <v>-1.1904761904772485</v>
      </c>
      <c r="P490" t="str">
        <f t="shared" si="75"/>
        <v>NA</v>
      </c>
      <c r="Q490" s="10">
        <f t="shared" ca="1" si="76"/>
        <v>71.190476190475096</v>
      </c>
      <c r="R490" s="10">
        <f t="shared" ca="1" si="77"/>
        <v>29.880952380951612</v>
      </c>
      <c r="S490" s="10">
        <f t="shared" ca="1" si="78"/>
        <v>41.309523809523483</v>
      </c>
      <c r="T490" s="10">
        <f t="shared" ca="1" si="79"/>
        <v>-598.27586206895523</v>
      </c>
      <c r="U490" s="10" t="str">
        <f t="shared" ca="1" si="80"/>
        <v>OR</v>
      </c>
      <c r="V490">
        <f t="shared" si="81"/>
        <v>2</v>
      </c>
    </row>
    <row r="491" spans="1:22" x14ac:dyDescent="0.25">
      <c r="A491">
        <v>55</v>
      </c>
      <c r="B491">
        <v>4</v>
      </c>
      <c r="C491">
        <v>0</v>
      </c>
      <c r="D491">
        <v>1</v>
      </c>
      <c r="E491">
        <v>0</v>
      </c>
      <c r="F491">
        <v>0</v>
      </c>
      <c r="G491">
        <v>0</v>
      </c>
      <c r="H491">
        <v>550</v>
      </c>
      <c r="I491">
        <f t="shared" si="82"/>
        <v>486</v>
      </c>
      <c r="J491" s="6">
        <f t="array" aca="1" ref="J491:N491" ca="1">TRANSPOSE(ols(OFFSET($C$2:$C$10,I491,0),OFFSET($D$2:$H$10,I491,0)))</f>
        <v>32.738095238094502</v>
      </c>
      <c r="K491" s="6">
        <f ca="1"/>
        <v>-2.8571428571428896</v>
      </c>
      <c r="L491" s="6">
        <f ca="1"/>
        <v>-14.761904761905043</v>
      </c>
      <c r="M491" s="6">
        <f ca="1"/>
        <v>77.380952380952522</v>
      </c>
      <c r="N491" s="6">
        <f ca="1"/>
        <v>-6.904761904761969E-2</v>
      </c>
      <c r="O491" s="6">
        <f t="shared" ca="1" si="74"/>
        <v>-5.2380952380963279</v>
      </c>
      <c r="P491" t="str">
        <f t="shared" si="75"/>
        <v>NA</v>
      </c>
      <c r="Q491" s="10">
        <f t="shared" ca="1" si="76"/>
        <v>71.190476190475096</v>
      </c>
      <c r="R491" s="10">
        <f t="shared" ca="1" si="77"/>
        <v>32.738095238094502</v>
      </c>
      <c r="S491" s="10">
        <f t="shared" ca="1" si="78"/>
        <v>38.452380952380594</v>
      </c>
      <c r="T491" s="10">
        <f t="shared" ca="1" si="79"/>
        <v>-556.89655172412756</v>
      </c>
      <c r="U491" s="10" t="str">
        <f t="shared" ca="1" si="80"/>
        <v>OR</v>
      </c>
      <c r="V491">
        <f t="shared" si="81"/>
        <v>1</v>
      </c>
    </row>
    <row r="492" spans="1:22" x14ac:dyDescent="0.25">
      <c r="A492">
        <v>55</v>
      </c>
      <c r="B492">
        <v>5</v>
      </c>
      <c r="C492">
        <v>80</v>
      </c>
      <c r="D492">
        <v>1</v>
      </c>
      <c r="E492">
        <v>0</v>
      </c>
      <c r="F492">
        <v>1</v>
      </c>
      <c r="G492">
        <v>1</v>
      </c>
      <c r="H492">
        <v>250</v>
      </c>
      <c r="I492">
        <f t="shared" si="82"/>
        <v>486</v>
      </c>
      <c r="J492" s="6">
        <f t="array" aca="1" ref="J492:N492" ca="1">TRANSPOSE(ols(OFFSET($C$2:$C$10,I492,0),OFFSET($D$2:$H$10,I492,0)))</f>
        <v>32.738095238094502</v>
      </c>
      <c r="K492" s="6">
        <f ca="1"/>
        <v>-2.8571428571428896</v>
      </c>
      <c r="L492" s="6">
        <f ca="1"/>
        <v>-14.761904761905043</v>
      </c>
      <c r="M492" s="6">
        <f ca="1"/>
        <v>77.380952380952522</v>
      </c>
      <c r="N492" s="6">
        <f ca="1"/>
        <v>-6.904761904761969E-2</v>
      </c>
      <c r="O492" s="6">
        <f t="shared" ca="1" si="74"/>
        <v>78.09523809523705</v>
      </c>
      <c r="P492" t="str">
        <f t="shared" si="75"/>
        <v>NA</v>
      </c>
      <c r="Q492" s="10">
        <f t="shared" ca="1" si="76"/>
        <v>71.190476190475096</v>
      </c>
      <c r="R492" s="10">
        <f t="shared" ca="1" si="77"/>
        <v>95.35714285714198</v>
      </c>
      <c r="S492" s="10">
        <f t="shared" ca="1" si="78"/>
        <v>-24.166666666666885</v>
      </c>
      <c r="T492" s="10">
        <f t="shared" ca="1" si="79"/>
        <v>349.99999999999989</v>
      </c>
      <c r="U492" s="10">
        <f t="shared" ca="1" si="80"/>
        <v>349.99999999999989</v>
      </c>
      <c r="V492">
        <f t="shared" si="81"/>
        <v>6</v>
      </c>
    </row>
    <row r="493" spans="1:22" x14ac:dyDescent="0.25">
      <c r="A493">
        <v>55</v>
      </c>
      <c r="B493">
        <v>6</v>
      </c>
      <c r="C493">
        <v>70</v>
      </c>
      <c r="D493">
        <v>1</v>
      </c>
      <c r="E493">
        <v>0</v>
      </c>
      <c r="F493">
        <v>1</v>
      </c>
      <c r="G493">
        <v>1</v>
      </c>
      <c r="H493">
        <v>350</v>
      </c>
      <c r="I493">
        <f t="shared" si="82"/>
        <v>486</v>
      </c>
      <c r="J493" s="6">
        <f t="array" aca="1" ref="J493:N493" ca="1">TRANSPOSE(ols(OFFSET($C$2:$C$10,I493,0),OFFSET($D$2:$H$10,I493,0)))</f>
        <v>32.738095238094502</v>
      </c>
      <c r="K493" s="6">
        <f ca="1"/>
        <v>-2.8571428571428896</v>
      </c>
      <c r="L493" s="6">
        <f ca="1"/>
        <v>-14.761904761905043</v>
      </c>
      <c r="M493" s="6">
        <f ca="1"/>
        <v>77.380952380952522</v>
      </c>
      <c r="N493" s="6">
        <f ca="1"/>
        <v>-6.904761904761969E-2</v>
      </c>
      <c r="O493" s="6">
        <f t="shared" ca="1" si="74"/>
        <v>71.190476190475096</v>
      </c>
      <c r="P493">
        <f t="shared" ca="1" si="75"/>
        <v>71.190476190475096</v>
      </c>
      <c r="Q493" s="10">
        <f t="shared" ca="1" si="76"/>
        <v>71.190476190475096</v>
      </c>
      <c r="R493" s="10">
        <f t="shared" ca="1" si="77"/>
        <v>95.35714285714198</v>
      </c>
      <c r="S493" s="10">
        <f t="shared" ca="1" si="78"/>
        <v>-24.166666666666885</v>
      </c>
      <c r="T493" s="10">
        <f t="shared" ca="1" si="79"/>
        <v>349.99999999999989</v>
      </c>
      <c r="U493" s="10">
        <f t="shared" ca="1" si="80"/>
        <v>349.99999999999989</v>
      </c>
      <c r="V493">
        <f t="shared" si="81"/>
        <v>6</v>
      </c>
    </row>
    <row r="494" spans="1:22" x14ac:dyDescent="0.25">
      <c r="A494">
        <v>55</v>
      </c>
      <c r="B494">
        <v>7</v>
      </c>
      <c r="C494">
        <v>80</v>
      </c>
      <c r="D494">
        <v>1</v>
      </c>
      <c r="E494">
        <v>1</v>
      </c>
      <c r="F494">
        <v>0</v>
      </c>
      <c r="G494">
        <v>1</v>
      </c>
      <c r="H494">
        <v>450</v>
      </c>
      <c r="I494">
        <f t="shared" si="82"/>
        <v>486</v>
      </c>
      <c r="J494" s="6">
        <f t="array" aca="1" ref="J494:N494" ca="1">TRANSPOSE(ols(OFFSET($C$2:$C$10,I494,0),OFFSET($D$2:$H$10,I494,0)))</f>
        <v>32.738095238094502</v>
      </c>
      <c r="K494" s="6">
        <f ca="1"/>
        <v>-2.8571428571428896</v>
      </c>
      <c r="L494" s="6">
        <f ca="1"/>
        <v>-14.761904761905043</v>
      </c>
      <c r="M494" s="6">
        <f ca="1"/>
        <v>77.380952380952522</v>
      </c>
      <c r="N494" s="6">
        <f ca="1"/>
        <v>-6.904761904761969E-2</v>
      </c>
      <c r="O494" s="6">
        <f t="shared" ca="1" si="74"/>
        <v>76.190476190475266</v>
      </c>
      <c r="P494" t="str">
        <f t="shared" si="75"/>
        <v>NA</v>
      </c>
      <c r="Q494" s="10">
        <f t="shared" ca="1" si="76"/>
        <v>71.190476190475096</v>
      </c>
      <c r="R494" s="10">
        <f t="shared" ca="1" si="77"/>
        <v>107.26190476190413</v>
      </c>
      <c r="S494" s="10">
        <f t="shared" ca="1" si="78"/>
        <v>-36.071428571429038</v>
      </c>
      <c r="T494" s="10">
        <f t="shared" ca="1" si="79"/>
        <v>522.41379310345019</v>
      </c>
      <c r="U494" s="10">
        <f t="shared" ca="1" si="80"/>
        <v>522.41379310345019</v>
      </c>
      <c r="V494">
        <f t="shared" si="81"/>
        <v>5</v>
      </c>
    </row>
    <row r="495" spans="1:22" x14ac:dyDescent="0.25">
      <c r="A495">
        <v>55</v>
      </c>
      <c r="B495">
        <v>8</v>
      </c>
      <c r="C495">
        <v>70</v>
      </c>
      <c r="D495">
        <v>1</v>
      </c>
      <c r="E495">
        <v>1</v>
      </c>
      <c r="F495">
        <v>0</v>
      </c>
      <c r="G495">
        <v>1</v>
      </c>
      <c r="H495">
        <v>550</v>
      </c>
      <c r="I495">
        <f t="shared" si="82"/>
        <v>486</v>
      </c>
      <c r="J495" s="6">
        <f t="array" aca="1" ref="J495:N495" ca="1">TRANSPOSE(ols(OFFSET($C$2:$C$10,I495,0),OFFSET($D$2:$H$10,I495,0)))</f>
        <v>32.738095238094502</v>
      </c>
      <c r="K495" s="6">
        <f ca="1"/>
        <v>-2.8571428571428896</v>
      </c>
      <c r="L495" s="6">
        <f ca="1"/>
        <v>-14.761904761905043</v>
      </c>
      <c r="M495" s="6">
        <f ca="1"/>
        <v>77.380952380952522</v>
      </c>
      <c r="N495" s="6">
        <f ca="1"/>
        <v>-6.904761904761969E-2</v>
      </c>
      <c r="O495" s="6">
        <f t="shared" ca="1" si="74"/>
        <v>69.285714285713311</v>
      </c>
      <c r="P495" t="str">
        <f t="shared" si="75"/>
        <v>NA</v>
      </c>
      <c r="Q495" s="10">
        <f t="shared" ca="1" si="76"/>
        <v>71.190476190475096</v>
      </c>
      <c r="R495" s="10">
        <f t="shared" ca="1" si="77"/>
        <v>107.26190476190413</v>
      </c>
      <c r="S495" s="10">
        <f t="shared" ca="1" si="78"/>
        <v>-36.071428571429038</v>
      </c>
      <c r="T495" s="10">
        <f t="shared" ca="1" si="79"/>
        <v>522.41379310345019</v>
      </c>
      <c r="U495" s="10">
        <f t="shared" ca="1" si="80"/>
        <v>522.41379310345019</v>
      </c>
      <c r="V495">
        <f t="shared" si="81"/>
        <v>5</v>
      </c>
    </row>
    <row r="496" spans="1:22" x14ac:dyDescent="0.25">
      <c r="A496">
        <v>55</v>
      </c>
      <c r="B496">
        <v>9</v>
      </c>
      <c r="C496">
        <v>60</v>
      </c>
      <c r="D496">
        <v>1</v>
      </c>
      <c r="E496">
        <v>0</v>
      </c>
      <c r="F496">
        <v>0</v>
      </c>
      <c r="G496">
        <v>1</v>
      </c>
      <c r="H496">
        <v>650</v>
      </c>
      <c r="I496">
        <f t="shared" si="82"/>
        <v>486</v>
      </c>
      <c r="J496" s="6">
        <f t="array" aca="1" ref="J496:N496" ca="1">TRANSPOSE(ols(OFFSET($C$2:$C$10,I496,0),OFFSET($D$2:$H$10,I496,0)))</f>
        <v>32.738095238094502</v>
      </c>
      <c r="K496" s="6">
        <f ca="1"/>
        <v>-2.8571428571428896</v>
      </c>
      <c r="L496" s="6">
        <f ca="1"/>
        <v>-14.761904761905043</v>
      </c>
      <c r="M496" s="6">
        <f ca="1"/>
        <v>77.380952380952522</v>
      </c>
      <c r="N496" s="6">
        <f ca="1"/>
        <v>-6.904761904761969E-2</v>
      </c>
      <c r="O496" s="6">
        <f t="shared" ca="1" si="74"/>
        <v>65.238095238094218</v>
      </c>
      <c r="P496" t="str">
        <f t="shared" si="75"/>
        <v>NA</v>
      </c>
      <c r="Q496" s="10">
        <f t="shared" ca="1" si="76"/>
        <v>71.190476190475096</v>
      </c>
      <c r="R496" s="10">
        <f t="shared" ca="1" si="77"/>
        <v>110.11904761904702</v>
      </c>
      <c r="S496" s="10">
        <f t="shared" ca="1" si="78"/>
        <v>-38.928571428571928</v>
      </c>
      <c r="T496" s="10">
        <f t="shared" ca="1" si="79"/>
        <v>563.79310344827786</v>
      </c>
      <c r="U496" s="10">
        <f t="shared" ca="1" si="80"/>
        <v>563.79310344827786</v>
      </c>
      <c r="V496">
        <f t="shared" si="81"/>
        <v>4</v>
      </c>
    </row>
    <row r="497" spans="1:22" x14ac:dyDescent="0.25">
      <c r="A497">
        <v>56</v>
      </c>
      <c r="B497">
        <v>1</v>
      </c>
      <c r="C497">
        <v>65</v>
      </c>
      <c r="D497">
        <v>1</v>
      </c>
      <c r="E497">
        <v>0</v>
      </c>
      <c r="F497">
        <v>1</v>
      </c>
      <c r="G497">
        <v>0</v>
      </c>
      <c r="H497">
        <v>250</v>
      </c>
      <c r="I497">
        <f t="shared" si="82"/>
        <v>495</v>
      </c>
      <c r="J497" s="6">
        <f t="array" aca="1" ref="J497:N497" ca="1">TRANSPOSE(ols(OFFSET($C$2:$C$10,I497,0),OFFSET($D$2:$H$10,I497,0)))</f>
        <v>130.02976190475874</v>
      </c>
      <c r="K497" s="6">
        <f ca="1"/>
        <v>7.1428571428575651</v>
      </c>
      <c r="L497" s="6">
        <f ca="1"/>
        <v>-0.59523809523761884</v>
      </c>
      <c r="M497" s="6">
        <f ca="1"/>
        <v>27.79761904761915</v>
      </c>
      <c r="N497" s="6">
        <f ca="1"/>
        <v>-0.23988095238095219</v>
      </c>
      <c r="O497" s="6">
        <f t="shared" ca="1" si="74"/>
        <v>69.464285714283079</v>
      </c>
      <c r="P497" t="str">
        <f t="shared" si="75"/>
        <v>NA</v>
      </c>
      <c r="Q497" s="10">
        <f t="shared" ca="1" si="76"/>
        <v>73.273809523807003</v>
      </c>
      <c r="R497" s="10">
        <f t="shared" ca="1" si="77"/>
        <v>129.43452380952112</v>
      </c>
      <c r="S497" s="10">
        <f t="shared" ca="1" si="78"/>
        <v>-56.160714285714121</v>
      </c>
      <c r="T497" s="10">
        <f t="shared" ca="1" si="79"/>
        <v>234.11910669975137</v>
      </c>
      <c r="U497" s="10" t="str">
        <f t="shared" ca="1" si="80"/>
        <v>OR</v>
      </c>
      <c r="V497">
        <f t="shared" si="81"/>
        <v>3</v>
      </c>
    </row>
    <row r="498" spans="1:22" x14ac:dyDescent="0.25">
      <c r="A498">
        <v>56</v>
      </c>
      <c r="B498">
        <v>2</v>
      </c>
      <c r="C498">
        <v>50</v>
      </c>
      <c r="D498">
        <v>1</v>
      </c>
      <c r="E498">
        <v>1</v>
      </c>
      <c r="F498">
        <v>0</v>
      </c>
      <c r="G498">
        <v>0</v>
      </c>
      <c r="H498">
        <v>350</v>
      </c>
      <c r="I498">
        <f t="shared" si="82"/>
        <v>495</v>
      </c>
      <c r="J498" s="6">
        <f t="array" aca="1" ref="J498:N498" ca="1">TRANSPOSE(ols(OFFSET($C$2:$C$10,I498,0),OFFSET($D$2:$H$10,I498,0)))</f>
        <v>130.02976190475874</v>
      </c>
      <c r="K498" s="6">
        <f ca="1"/>
        <v>7.1428571428575651</v>
      </c>
      <c r="L498" s="6">
        <f ca="1"/>
        <v>-0.59523809523761884</v>
      </c>
      <c r="M498" s="6">
        <f ca="1"/>
        <v>27.79761904761915</v>
      </c>
      <c r="N498" s="6">
        <f ca="1"/>
        <v>-0.23988095238095219</v>
      </c>
      <c r="O498" s="6">
        <f t="shared" ca="1" si="74"/>
        <v>53.214285714283037</v>
      </c>
      <c r="P498" t="str">
        <f t="shared" si="75"/>
        <v>NA</v>
      </c>
      <c r="Q498" s="10">
        <f t="shared" ca="1" si="76"/>
        <v>73.273809523807003</v>
      </c>
      <c r="R498" s="10">
        <f t="shared" ca="1" si="77"/>
        <v>137.17261904761631</v>
      </c>
      <c r="S498" s="10">
        <f t="shared" ca="1" si="78"/>
        <v>-63.898809523809305</v>
      </c>
      <c r="T498" s="10">
        <f t="shared" ca="1" si="79"/>
        <v>266.3771712158802</v>
      </c>
      <c r="U498" s="10">
        <f t="shared" ca="1" si="80"/>
        <v>266.3771712158802</v>
      </c>
      <c r="V498">
        <f t="shared" si="81"/>
        <v>2</v>
      </c>
    </row>
    <row r="499" spans="1:22" x14ac:dyDescent="0.25">
      <c r="A499">
        <v>56</v>
      </c>
      <c r="B499">
        <v>3</v>
      </c>
      <c r="C499">
        <v>35</v>
      </c>
      <c r="D499">
        <v>1</v>
      </c>
      <c r="E499">
        <v>1</v>
      </c>
      <c r="F499">
        <v>0</v>
      </c>
      <c r="G499">
        <v>0</v>
      </c>
      <c r="H499">
        <v>450</v>
      </c>
      <c r="I499">
        <f t="shared" si="82"/>
        <v>495</v>
      </c>
      <c r="J499" s="6">
        <f t="array" aca="1" ref="J499:N499" ca="1">TRANSPOSE(ols(OFFSET($C$2:$C$10,I499,0),OFFSET($D$2:$H$10,I499,0)))</f>
        <v>130.02976190475874</v>
      </c>
      <c r="K499" s="6">
        <f ca="1"/>
        <v>7.1428571428575651</v>
      </c>
      <c r="L499" s="6">
        <f ca="1"/>
        <v>-0.59523809523761884</v>
      </c>
      <c r="M499" s="6">
        <f ca="1"/>
        <v>27.79761904761915</v>
      </c>
      <c r="N499" s="6">
        <f ca="1"/>
        <v>-0.23988095238095219</v>
      </c>
      <c r="O499" s="6">
        <f t="shared" ca="1" si="74"/>
        <v>29.226190476187824</v>
      </c>
      <c r="P499" t="str">
        <f t="shared" si="75"/>
        <v>NA</v>
      </c>
      <c r="Q499" s="10">
        <f t="shared" ca="1" si="76"/>
        <v>73.273809523807003</v>
      </c>
      <c r="R499" s="10">
        <f t="shared" ca="1" si="77"/>
        <v>137.17261904761631</v>
      </c>
      <c r="S499" s="10">
        <f t="shared" ca="1" si="78"/>
        <v>-63.898809523809305</v>
      </c>
      <c r="T499" s="10">
        <f t="shared" ca="1" si="79"/>
        <v>266.3771712158802</v>
      </c>
      <c r="U499" s="10">
        <f t="shared" ca="1" si="80"/>
        <v>266.3771712158802</v>
      </c>
      <c r="V499">
        <f t="shared" si="81"/>
        <v>2</v>
      </c>
    </row>
    <row r="500" spans="1:22" x14ac:dyDescent="0.25">
      <c r="A500">
        <v>56</v>
      </c>
      <c r="B500">
        <v>4</v>
      </c>
      <c r="C500">
        <v>0</v>
      </c>
      <c r="D500">
        <v>1</v>
      </c>
      <c r="E500">
        <v>0</v>
      </c>
      <c r="F500">
        <v>0</v>
      </c>
      <c r="G500">
        <v>0</v>
      </c>
      <c r="H500">
        <v>550</v>
      </c>
      <c r="I500">
        <f t="shared" si="82"/>
        <v>495</v>
      </c>
      <c r="J500" s="6">
        <f t="array" aca="1" ref="J500:N500" ca="1">TRANSPOSE(ols(OFFSET($C$2:$C$10,I500,0),OFFSET($D$2:$H$10,I500,0)))</f>
        <v>130.02976190475874</v>
      </c>
      <c r="K500" s="6">
        <f ca="1"/>
        <v>7.1428571428575651</v>
      </c>
      <c r="L500" s="6">
        <f ca="1"/>
        <v>-0.59523809523761884</v>
      </c>
      <c r="M500" s="6">
        <f ca="1"/>
        <v>27.79761904761915</v>
      </c>
      <c r="N500" s="6">
        <f ca="1"/>
        <v>-0.23988095238095219</v>
      </c>
      <c r="O500" s="6">
        <f t="shared" ca="1" si="74"/>
        <v>-1.9047619047649675</v>
      </c>
      <c r="P500" t="str">
        <f t="shared" si="75"/>
        <v>NA</v>
      </c>
      <c r="Q500" s="10">
        <f t="shared" ca="1" si="76"/>
        <v>73.273809523807003</v>
      </c>
      <c r="R500" s="10">
        <f t="shared" ca="1" si="77"/>
        <v>130.02976190475874</v>
      </c>
      <c r="S500" s="10">
        <f t="shared" ca="1" si="78"/>
        <v>-56.75595238095174</v>
      </c>
      <c r="T500" s="10">
        <f t="shared" ca="1" si="79"/>
        <v>236.60049627791315</v>
      </c>
      <c r="U500" s="10" t="str">
        <f t="shared" ca="1" si="80"/>
        <v>OR</v>
      </c>
      <c r="V500">
        <f t="shared" si="81"/>
        <v>1</v>
      </c>
    </row>
    <row r="501" spans="1:22" x14ac:dyDescent="0.25">
      <c r="A501">
        <v>56</v>
      </c>
      <c r="B501">
        <v>5</v>
      </c>
      <c r="C501">
        <v>90</v>
      </c>
      <c r="D501">
        <v>1</v>
      </c>
      <c r="E501">
        <v>0</v>
      </c>
      <c r="F501">
        <v>1</v>
      </c>
      <c r="G501">
        <v>1</v>
      </c>
      <c r="H501">
        <v>250</v>
      </c>
      <c r="I501">
        <f t="shared" si="82"/>
        <v>495</v>
      </c>
      <c r="J501" s="6">
        <f t="array" aca="1" ref="J501:N501" ca="1">TRANSPOSE(ols(OFFSET($C$2:$C$10,I501,0),OFFSET($D$2:$H$10,I501,0)))</f>
        <v>130.02976190475874</v>
      </c>
      <c r="K501" s="6">
        <f ca="1"/>
        <v>7.1428571428575651</v>
      </c>
      <c r="L501" s="6">
        <f ca="1"/>
        <v>-0.59523809523761884</v>
      </c>
      <c r="M501" s="6">
        <f ca="1"/>
        <v>27.79761904761915</v>
      </c>
      <c r="N501" s="6">
        <f ca="1"/>
        <v>-0.23988095238095219</v>
      </c>
      <c r="O501" s="6">
        <f t="shared" ca="1" si="74"/>
        <v>97.26190476190223</v>
      </c>
      <c r="P501" t="str">
        <f t="shared" si="75"/>
        <v>NA</v>
      </c>
      <c r="Q501" s="10">
        <f t="shared" ca="1" si="76"/>
        <v>73.273809523807003</v>
      </c>
      <c r="R501" s="10">
        <f t="shared" ca="1" si="77"/>
        <v>157.23214285714027</v>
      </c>
      <c r="S501" s="10">
        <f t="shared" ca="1" si="78"/>
        <v>-83.958333333333272</v>
      </c>
      <c r="T501" s="10">
        <f t="shared" ca="1" si="79"/>
        <v>350</v>
      </c>
      <c r="U501" s="10">
        <f t="shared" ca="1" si="80"/>
        <v>350</v>
      </c>
      <c r="V501">
        <f t="shared" si="81"/>
        <v>6</v>
      </c>
    </row>
    <row r="502" spans="1:22" x14ac:dyDescent="0.25">
      <c r="A502">
        <v>56</v>
      </c>
      <c r="B502">
        <v>6</v>
      </c>
      <c r="C502">
        <v>85</v>
      </c>
      <c r="D502">
        <v>1</v>
      </c>
      <c r="E502">
        <v>0</v>
      </c>
      <c r="F502">
        <v>1</v>
      </c>
      <c r="G502">
        <v>1</v>
      </c>
      <c r="H502">
        <v>350</v>
      </c>
      <c r="I502">
        <f t="shared" si="82"/>
        <v>495</v>
      </c>
      <c r="J502" s="6">
        <f t="array" aca="1" ref="J502:N502" ca="1">TRANSPOSE(ols(OFFSET($C$2:$C$10,I502,0),OFFSET($D$2:$H$10,I502,0)))</f>
        <v>130.02976190475874</v>
      </c>
      <c r="K502" s="6">
        <f ca="1"/>
        <v>7.1428571428575651</v>
      </c>
      <c r="L502" s="6">
        <f ca="1"/>
        <v>-0.59523809523761884</v>
      </c>
      <c r="M502" s="6">
        <f ca="1"/>
        <v>27.79761904761915</v>
      </c>
      <c r="N502" s="6">
        <f ca="1"/>
        <v>-0.23988095238095219</v>
      </c>
      <c r="O502" s="6">
        <f t="shared" ca="1" si="74"/>
        <v>73.273809523807003</v>
      </c>
      <c r="P502">
        <f t="shared" ca="1" si="75"/>
        <v>73.273809523807003</v>
      </c>
      <c r="Q502" s="10">
        <f t="shared" ca="1" si="76"/>
        <v>73.273809523807003</v>
      </c>
      <c r="R502" s="10">
        <f t="shared" ca="1" si="77"/>
        <v>157.23214285714027</v>
      </c>
      <c r="S502" s="10">
        <f t="shared" ca="1" si="78"/>
        <v>-83.958333333333272</v>
      </c>
      <c r="T502" s="10">
        <f t="shared" ca="1" si="79"/>
        <v>350</v>
      </c>
      <c r="U502" s="10">
        <f t="shared" ca="1" si="80"/>
        <v>350</v>
      </c>
      <c r="V502">
        <f t="shared" si="81"/>
        <v>6</v>
      </c>
    </row>
    <row r="503" spans="1:22" x14ac:dyDescent="0.25">
      <c r="A503">
        <v>56</v>
      </c>
      <c r="B503">
        <v>7</v>
      </c>
      <c r="C503">
        <v>67.5</v>
      </c>
      <c r="D503">
        <v>1</v>
      </c>
      <c r="E503">
        <v>1</v>
      </c>
      <c r="F503">
        <v>0</v>
      </c>
      <c r="G503">
        <v>1</v>
      </c>
      <c r="H503">
        <v>450</v>
      </c>
      <c r="I503">
        <f t="shared" si="82"/>
        <v>495</v>
      </c>
      <c r="J503" s="6">
        <f t="array" aca="1" ref="J503:N503" ca="1">TRANSPOSE(ols(OFFSET($C$2:$C$10,I503,0),OFFSET($D$2:$H$10,I503,0)))</f>
        <v>130.02976190475874</v>
      </c>
      <c r="K503" s="6">
        <f ca="1"/>
        <v>7.1428571428575651</v>
      </c>
      <c r="L503" s="6">
        <f ca="1"/>
        <v>-0.59523809523761884</v>
      </c>
      <c r="M503" s="6">
        <f ca="1"/>
        <v>27.79761904761915</v>
      </c>
      <c r="N503" s="6">
        <f ca="1"/>
        <v>-0.23988095238095219</v>
      </c>
      <c r="O503" s="6">
        <f t="shared" ca="1" si="74"/>
        <v>57.023809523806975</v>
      </c>
      <c r="P503" t="str">
        <f t="shared" si="75"/>
        <v>NA</v>
      </c>
      <c r="Q503" s="10">
        <f t="shared" ca="1" si="76"/>
        <v>73.273809523807003</v>
      </c>
      <c r="R503" s="10">
        <f t="shared" ca="1" si="77"/>
        <v>164.97023809523546</v>
      </c>
      <c r="S503" s="10">
        <f t="shared" ca="1" si="78"/>
        <v>-91.696428571428456</v>
      </c>
      <c r="T503" s="10">
        <f t="shared" ca="1" si="79"/>
        <v>382.25806451612885</v>
      </c>
      <c r="U503" s="10">
        <f t="shared" ca="1" si="80"/>
        <v>382.25806451612885</v>
      </c>
      <c r="V503">
        <f t="shared" si="81"/>
        <v>5</v>
      </c>
    </row>
    <row r="504" spans="1:22" x14ac:dyDescent="0.25">
      <c r="A504">
        <v>56</v>
      </c>
      <c r="B504">
        <v>8</v>
      </c>
      <c r="C504">
        <v>20</v>
      </c>
      <c r="D504">
        <v>1</v>
      </c>
      <c r="E504">
        <v>1</v>
      </c>
      <c r="F504">
        <v>0</v>
      </c>
      <c r="G504">
        <v>1</v>
      </c>
      <c r="H504">
        <v>550</v>
      </c>
      <c r="I504">
        <f t="shared" si="82"/>
        <v>495</v>
      </c>
      <c r="J504" s="6">
        <f t="array" aca="1" ref="J504:N504" ca="1">TRANSPOSE(ols(OFFSET($C$2:$C$10,I504,0),OFFSET($D$2:$H$10,I504,0)))</f>
        <v>130.02976190475874</v>
      </c>
      <c r="K504" s="6">
        <f ca="1"/>
        <v>7.1428571428575651</v>
      </c>
      <c r="L504" s="6">
        <f ca="1"/>
        <v>-0.59523809523761884</v>
      </c>
      <c r="M504" s="6">
        <f ca="1"/>
        <v>27.79761904761915</v>
      </c>
      <c r="N504" s="6">
        <f ca="1"/>
        <v>-0.23988095238095219</v>
      </c>
      <c r="O504" s="6">
        <f t="shared" ca="1" si="74"/>
        <v>33.035714285711748</v>
      </c>
      <c r="P504" t="str">
        <f t="shared" si="75"/>
        <v>NA</v>
      </c>
      <c r="Q504" s="10">
        <f t="shared" ca="1" si="76"/>
        <v>73.273809523807003</v>
      </c>
      <c r="R504" s="10">
        <f t="shared" ca="1" si="77"/>
        <v>164.97023809523546</v>
      </c>
      <c r="S504" s="10">
        <f t="shared" ca="1" si="78"/>
        <v>-91.696428571428456</v>
      </c>
      <c r="T504" s="10">
        <f t="shared" ca="1" si="79"/>
        <v>382.25806451612885</v>
      </c>
      <c r="U504" s="10">
        <f t="shared" ca="1" si="80"/>
        <v>382.25806451612885</v>
      </c>
      <c r="V504">
        <f t="shared" si="81"/>
        <v>5</v>
      </c>
    </row>
    <row r="505" spans="1:22" x14ac:dyDescent="0.25">
      <c r="A505">
        <v>56</v>
      </c>
      <c r="B505">
        <v>9</v>
      </c>
      <c r="C505">
        <v>0</v>
      </c>
      <c r="D505">
        <v>1</v>
      </c>
      <c r="E505">
        <v>0</v>
      </c>
      <c r="F505">
        <v>0</v>
      </c>
      <c r="G505">
        <v>1</v>
      </c>
      <c r="H505">
        <v>650</v>
      </c>
      <c r="I505">
        <f t="shared" si="82"/>
        <v>495</v>
      </c>
      <c r="J505" s="6">
        <f t="array" aca="1" ref="J505:N505" ca="1">TRANSPOSE(ols(OFFSET($C$2:$C$10,I505,0),OFFSET($D$2:$H$10,I505,0)))</f>
        <v>130.02976190475874</v>
      </c>
      <c r="K505" s="6">
        <f ca="1"/>
        <v>7.1428571428575651</v>
      </c>
      <c r="L505" s="6">
        <f ca="1"/>
        <v>-0.59523809523761884</v>
      </c>
      <c r="M505" s="6">
        <f ca="1"/>
        <v>27.79761904761915</v>
      </c>
      <c r="N505" s="6">
        <f ca="1"/>
        <v>-0.23988095238095219</v>
      </c>
      <c r="O505" s="6">
        <f t="shared" ca="1" si="74"/>
        <v>1.9047619047589706</v>
      </c>
      <c r="P505" t="str">
        <f t="shared" si="75"/>
        <v>NA</v>
      </c>
      <c r="Q505" s="10">
        <f t="shared" ca="1" si="76"/>
        <v>73.273809523807003</v>
      </c>
      <c r="R505" s="10">
        <f t="shared" ca="1" si="77"/>
        <v>157.82738095237789</v>
      </c>
      <c r="S505" s="10">
        <f t="shared" ca="1" si="78"/>
        <v>-84.553571428570891</v>
      </c>
      <c r="T505" s="10">
        <f t="shared" ca="1" si="79"/>
        <v>352.48138957816178</v>
      </c>
      <c r="U505" s="10">
        <f t="shared" ca="1" si="80"/>
        <v>352.48138957816178</v>
      </c>
      <c r="V505">
        <f t="shared" si="81"/>
        <v>4</v>
      </c>
    </row>
    <row r="506" spans="1:22" x14ac:dyDescent="0.25">
      <c r="A506">
        <v>57</v>
      </c>
      <c r="B506">
        <v>1</v>
      </c>
      <c r="C506">
        <v>95</v>
      </c>
      <c r="D506">
        <v>1</v>
      </c>
      <c r="E506">
        <v>0</v>
      </c>
      <c r="F506">
        <v>1</v>
      </c>
      <c r="G506">
        <v>0</v>
      </c>
      <c r="H506">
        <v>250</v>
      </c>
      <c r="I506">
        <f t="shared" si="82"/>
        <v>504</v>
      </c>
      <c r="J506" s="6">
        <f t="array" aca="1" ref="J506:N506" ca="1">TRANSPOSE(ols(OFFSET($C$2:$C$10,I506,0),OFFSET($D$2:$H$10,I506,0)))</f>
        <v>121.01190476190459</v>
      </c>
      <c r="K506" s="6">
        <f ca="1"/>
        <v>-2.1428571428577925</v>
      </c>
      <c r="L506" s="6">
        <f ca="1"/>
        <v>-10.238095238095411</v>
      </c>
      <c r="M506" s="6">
        <f ca="1"/>
        <v>5.1190476190486152</v>
      </c>
      <c r="N506" s="6">
        <f ca="1"/>
        <v>-5.5952380952390968E-2</v>
      </c>
      <c r="O506" s="6">
        <f t="shared" ca="1" si="74"/>
        <v>96.785714285711435</v>
      </c>
      <c r="P506" t="str">
        <f t="shared" si="75"/>
        <v>NA</v>
      </c>
      <c r="Q506" s="10">
        <f t="shared" ca="1" si="76"/>
        <v>96.309523809520954</v>
      </c>
      <c r="R506" s="10">
        <f t="shared" ca="1" si="77"/>
        <v>110.77380952380918</v>
      </c>
      <c r="S506" s="10">
        <f t="shared" ca="1" si="78"/>
        <v>-14.464285714288224</v>
      </c>
      <c r="T506" s="10">
        <f t="shared" ca="1" si="79"/>
        <v>258.51063829787091</v>
      </c>
      <c r="U506" s="10">
        <f t="shared" ca="1" si="80"/>
        <v>258.51063829787091</v>
      </c>
      <c r="V506">
        <f t="shared" si="81"/>
        <v>3</v>
      </c>
    </row>
    <row r="507" spans="1:22" x14ac:dyDescent="0.25">
      <c r="A507">
        <v>57</v>
      </c>
      <c r="B507">
        <v>2</v>
      </c>
      <c r="C507">
        <v>100</v>
      </c>
      <c r="D507">
        <v>1</v>
      </c>
      <c r="E507">
        <v>1</v>
      </c>
      <c r="F507">
        <v>0</v>
      </c>
      <c r="G507">
        <v>0</v>
      </c>
      <c r="H507">
        <v>350</v>
      </c>
      <c r="I507">
        <f t="shared" si="82"/>
        <v>504</v>
      </c>
      <c r="J507" s="6">
        <f t="array" aca="1" ref="J507:N507" ca="1">TRANSPOSE(ols(OFFSET($C$2:$C$10,I507,0),OFFSET($D$2:$H$10,I507,0)))</f>
        <v>121.01190476190459</v>
      </c>
      <c r="K507" s="6">
        <f ca="1"/>
        <v>-2.1428571428577925</v>
      </c>
      <c r="L507" s="6">
        <f ca="1"/>
        <v>-10.238095238095411</v>
      </c>
      <c r="M507" s="6">
        <f ca="1"/>
        <v>5.1190476190486152</v>
      </c>
      <c r="N507" s="6">
        <f ca="1"/>
        <v>-5.5952380952390968E-2</v>
      </c>
      <c r="O507" s="6">
        <f t="shared" ca="1" si="74"/>
        <v>99.285714285709957</v>
      </c>
      <c r="P507" t="str">
        <f t="shared" si="75"/>
        <v>NA</v>
      </c>
      <c r="Q507" s="10">
        <f t="shared" ca="1" si="76"/>
        <v>96.309523809520954</v>
      </c>
      <c r="R507" s="10">
        <f t="shared" ca="1" si="77"/>
        <v>118.8690476190468</v>
      </c>
      <c r="S507" s="10">
        <f t="shared" ca="1" si="78"/>
        <v>-22.559523809525842</v>
      </c>
      <c r="T507" s="10">
        <f t="shared" ca="1" si="79"/>
        <v>403.1914893616663</v>
      </c>
      <c r="U507" s="10">
        <f t="shared" ca="1" si="80"/>
        <v>403.1914893616663</v>
      </c>
      <c r="V507">
        <f t="shared" si="81"/>
        <v>2</v>
      </c>
    </row>
    <row r="508" spans="1:22" x14ac:dyDescent="0.25">
      <c r="A508">
        <v>57</v>
      </c>
      <c r="B508">
        <v>3</v>
      </c>
      <c r="C508">
        <v>95</v>
      </c>
      <c r="D508">
        <v>1</v>
      </c>
      <c r="E508">
        <v>1</v>
      </c>
      <c r="F508">
        <v>0</v>
      </c>
      <c r="G508">
        <v>0</v>
      </c>
      <c r="H508">
        <v>450</v>
      </c>
      <c r="I508">
        <f t="shared" si="82"/>
        <v>504</v>
      </c>
      <c r="J508" s="6">
        <f t="array" aca="1" ref="J508:N508" ca="1">TRANSPOSE(ols(OFFSET($C$2:$C$10,I508,0),OFFSET($D$2:$H$10,I508,0)))</f>
        <v>121.01190476190459</v>
      </c>
      <c r="K508" s="6">
        <f ca="1"/>
        <v>-2.1428571428577925</v>
      </c>
      <c r="L508" s="6">
        <f ca="1"/>
        <v>-10.238095238095411</v>
      </c>
      <c r="M508" s="6">
        <f ca="1"/>
        <v>5.1190476190486152</v>
      </c>
      <c r="N508" s="6">
        <f ca="1"/>
        <v>-5.5952380952390968E-2</v>
      </c>
      <c r="O508" s="6">
        <f t="shared" ca="1" si="74"/>
        <v>93.690476190470861</v>
      </c>
      <c r="P508" t="str">
        <f t="shared" si="75"/>
        <v>NA</v>
      </c>
      <c r="Q508" s="10">
        <f t="shared" ca="1" si="76"/>
        <v>96.309523809520954</v>
      </c>
      <c r="R508" s="10">
        <f t="shared" ca="1" si="77"/>
        <v>118.8690476190468</v>
      </c>
      <c r="S508" s="10">
        <f t="shared" ca="1" si="78"/>
        <v>-22.559523809525842</v>
      </c>
      <c r="T508" s="10">
        <f t="shared" ca="1" si="79"/>
        <v>403.1914893616663</v>
      </c>
      <c r="U508" s="10">
        <f t="shared" ca="1" si="80"/>
        <v>403.1914893616663</v>
      </c>
      <c r="V508">
        <f t="shared" si="81"/>
        <v>2</v>
      </c>
    </row>
    <row r="509" spans="1:22" x14ac:dyDescent="0.25">
      <c r="A509">
        <v>57</v>
      </c>
      <c r="B509">
        <v>4</v>
      </c>
      <c r="C509">
        <v>90</v>
      </c>
      <c r="D509">
        <v>1</v>
      </c>
      <c r="E509">
        <v>0</v>
      </c>
      <c r="F509">
        <v>0</v>
      </c>
      <c r="G509">
        <v>0</v>
      </c>
      <c r="H509">
        <v>550</v>
      </c>
      <c r="I509">
        <f t="shared" si="82"/>
        <v>504</v>
      </c>
      <c r="J509" s="6">
        <f t="array" aca="1" ref="J509:N509" ca="1">TRANSPOSE(ols(OFFSET($C$2:$C$10,I509,0),OFFSET($D$2:$H$10,I509,0)))</f>
        <v>121.01190476190459</v>
      </c>
      <c r="K509" s="6">
        <f ca="1"/>
        <v>-2.1428571428577925</v>
      </c>
      <c r="L509" s="6">
        <f ca="1"/>
        <v>-10.238095238095411</v>
      </c>
      <c r="M509" s="6">
        <f ca="1"/>
        <v>5.1190476190486152</v>
      </c>
      <c r="N509" s="6">
        <f ca="1"/>
        <v>-5.5952380952390968E-2</v>
      </c>
      <c r="O509" s="6">
        <f t="shared" ca="1" si="74"/>
        <v>90.238095238089556</v>
      </c>
      <c r="P509" t="str">
        <f t="shared" si="75"/>
        <v>NA</v>
      </c>
      <c r="Q509" s="10">
        <f t="shared" ca="1" si="76"/>
        <v>96.309523809520954</v>
      </c>
      <c r="R509" s="10">
        <f t="shared" ca="1" si="77"/>
        <v>121.01190476190459</v>
      </c>
      <c r="S509" s="10">
        <f t="shared" ca="1" si="78"/>
        <v>-24.702380952383635</v>
      </c>
      <c r="T509" s="10">
        <f t="shared" ca="1" si="79"/>
        <v>441.48936170209657</v>
      </c>
      <c r="U509" s="10">
        <f t="shared" ca="1" si="80"/>
        <v>441.48936170209657</v>
      </c>
      <c r="V509">
        <f t="shared" si="81"/>
        <v>1</v>
      </c>
    </row>
    <row r="510" spans="1:22" x14ac:dyDescent="0.25">
      <c r="A510">
        <v>57</v>
      </c>
      <c r="B510">
        <v>5</v>
      </c>
      <c r="C510">
        <v>100</v>
      </c>
      <c r="D510">
        <v>1</v>
      </c>
      <c r="E510">
        <v>0</v>
      </c>
      <c r="F510">
        <v>1</v>
      </c>
      <c r="G510">
        <v>1</v>
      </c>
      <c r="H510">
        <v>250</v>
      </c>
      <c r="I510">
        <f t="shared" si="82"/>
        <v>504</v>
      </c>
      <c r="J510" s="6">
        <f t="array" aca="1" ref="J510:N510" ca="1">TRANSPOSE(ols(OFFSET($C$2:$C$10,I510,0),OFFSET($D$2:$H$10,I510,0)))</f>
        <v>121.01190476190459</v>
      </c>
      <c r="K510" s="6">
        <f ca="1"/>
        <v>-2.1428571428577925</v>
      </c>
      <c r="L510" s="6">
        <f ca="1"/>
        <v>-10.238095238095411</v>
      </c>
      <c r="M510" s="6">
        <f ca="1"/>
        <v>5.1190476190486152</v>
      </c>
      <c r="N510" s="6">
        <f ca="1"/>
        <v>-5.5952380952390968E-2</v>
      </c>
      <c r="O510" s="6">
        <f t="shared" ca="1" si="74"/>
        <v>101.90476190476005</v>
      </c>
      <c r="P510" t="str">
        <f t="shared" si="75"/>
        <v>NA</v>
      </c>
      <c r="Q510" s="10">
        <f t="shared" ca="1" si="76"/>
        <v>96.309523809520954</v>
      </c>
      <c r="R510" s="10">
        <f t="shared" ca="1" si="77"/>
        <v>115.89285714285779</v>
      </c>
      <c r="S510" s="10">
        <f t="shared" ca="1" si="78"/>
        <v>-19.583333333336839</v>
      </c>
      <c r="T510" s="10">
        <f t="shared" ca="1" si="79"/>
        <v>350</v>
      </c>
      <c r="U510" s="10">
        <f t="shared" ca="1" si="80"/>
        <v>350</v>
      </c>
      <c r="V510">
        <f t="shared" si="81"/>
        <v>6</v>
      </c>
    </row>
    <row r="511" spans="1:22" x14ac:dyDescent="0.25">
      <c r="A511">
        <v>57</v>
      </c>
      <c r="B511">
        <v>6</v>
      </c>
      <c r="C511">
        <v>100</v>
      </c>
      <c r="D511">
        <v>1</v>
      </c>
      <c r="E511">
        <v>0</v>
      </c>
      <c r="F511">
        <v>1</v>
      </c>
      <c r="G511">
        <v>1</v>
      </c>
      <c r="H511">
        <v>350</v>
      </c>
      <c r="I511">
        <f t="shared" si="82"/>
        <v>504</v>
      </c>
      <c r="J511" s="6">
        <f t="array" aca="1" ref="J511:N511" ca="1">TRANSPOSE(ols(OFFSET($C$2:$C$10,I511,0),OFFSET($D$2:$H$10,I511,0)))</f>
        <v>121.01190476190459</v>
      </c>
      <c r="K511" s="6">
        <f ca="1"/>
        <v>-2.1428571428577925</v>
      </c>
      <c r="L511" s="6">
        <f ca="1"/>
        <v>-10.238095238095411</v>
      </c>
      <c r="M511" s="6">
        <f ca="1"/>
        <v>5.1190476190486152</v>
      </c>
      <c r="N511" s="6">
        <f ca="1"/>
        <v>-5.5952380952390968E-2</v>
      </c>
      <c r="O511" s="6">
        <f t="shared" ca="1" si="74"/>
        <v>96.309523809520954</v>
      </c>
      <c r="P511">
        <f t="shared" ca="1" si="75"/>
        <v>96.309523809520954</v>
      </c>
      <c r="Q511" s="10">
        <f t="shared" ca="1" si="76"/>
        <v>96.309523809520954</v>
      </c>
      <c r="R511" s="10">
        <f t="shared" ca="1" si="77"/>
        <v>115.89285714285779</v>
      </c>
      <c r="S511" s="10">
        <f t="shared" ca="1" si="78"/>
        <v>-19.583333333336839</v>
      </c>
      <c r="T511" s="10">
        <f t="shared" ca="1" si="79"/>
        <v>350</v>
      </c>
      <c r="U511" s="10">
        <f t="shared" ca="1" si="80"/>
        <v>350</v>
      </c>
      <c r="V511">
        <f t="shared" si="81"/>
        <v>6</v>
      </c>
    </row>
    <row r="512" spans="1:22" x14ac:dyDescent="0.25">
      <c r="A512">
        <v>57</v>
      </c>
      <c r="B512">
        <v>7</v>
      </c>
      <c r="C512">
        <v>100</v>
      </c>
      <c r="D512">
        <v>1</v>
      </c>
      <c r="E512">
        <v>1</v>
      </c>
      <c r="F512">
        <v>0</v>
      </c>
      <c r="G512">
        <v>1</v>
      </c>
      <c r="H512">
        <v>450</v>
      </c>
      <c r="I512">
        <f t="shared" si="82"/>
        <v>504</v>
      </c>
      <c r="J512" s="6">
        <f t="array" aca="1" ref="J512:N512" ca="1">TRANSPOSE(ols(OFFSET($C$2:$C$10,I512,0),OFFSET($D$2:$H$10,I512,0)))</f>
        <v>121.01190476190459</v>
      </c>
      <c r="K512" s="6">
        <f ca="1"/>
        <v>-2.1428571428577925</v>
      </c>
      <c r="L512" s="6">
        <f ca="1"/>
        <v>-10.238095238095411</v>
      </c>
      <c r="M512" s="6">
        <f ca="1"/>
        <v>5.1190476190486152</v>
      </c>
      <c r="N512" s="6">
        <f ca="1"/>
        <v>-5.5952380952390968E-2</v>
      </c>
      <c r="O512" s="6">
        <f t="shared" ca="1" si="74"/>
        <v>98.809523809519476</v>
      </c>
      <c r="P512" t="str">
        <f t="shared" si="75"/>
        <v>NA</v>
      </c>
      <c r="Q512" s="10">
        <f t="shared" ca="1" si="76"/>
        <v>96.309523809520954</v>
      </c>
      <c r="R512" s="10">
        <f t="shared" ca="1" si="77"/>
        <v>123.98809523809541</v>
      </c>
      <c r="S512" s="10">
        <f t="shared" ca="1" si="78"/>
        <v>-27.678571428574458</v>
      </c>
      <c r="T512" s="10">
        <f t="shared" ca="1" si="79"/>
        <v>494.68085106379539</v>
      </c>
      <c r="U512" s="10">
        <f t="shared" ca="1" si="80"/>
        <v>494.68085106379539</v>
      </c>
      <c r="V512">
        <f t="shared" si="81"/>
        <v>5</v>
      </c>
    </row>
    <row r="513" spans="1:22" x14ac:dyDescent="0.25">
      <c r="A513">
        <v>57</v>
      </c>
      <c r="B513">
        <v>8</v>
      </c>
      <c r="C513">
        <v>90</v>
      </c>
      <c r="D513">
        <v>1</v>
      </c>
      <c r="E513">
        <v>1</v>
      </c>
      <c r="F513">
        <v>0</v>
      </c>
      <c r="G513">
        <v>1</v>
      </c>
      <c r="H513">
        <v>550</v>
      </c>
      <c r="I513">
        <f t="shared" si="82"/>
        <v>504</v>
      </c>
      <c r="J513" s="6">
        <f t="array" aca="1" ref="J513:N513" ca="1">TRANSPOSE(ols(OFFSET($C$2:$C$10,I513,0),OFFSET($D$2:$H$10,I513,0)))</f>
        <v>121.01190476190459</v>
      </c>
      <c r="K513" s="6">
        <f ca="1"/>
        <v>-2.1428571428577925</v>
      </c>
      <c r="L513" s="6">
        <f ca="1"/>
        <v>-10.238095238095411</v>
      </c>
      <c r="M513" s="6">
        <f ca="1"/>
        <v>5.1190476190486152</v>
      </c>
      <c r="N513" s="6">
        <f ca="1"/>
        <v>-5.5952380952390968E-2</v>
      </c>
      <c r="O513" s="6">
        <f t="shared" ca="1" si="74"/>
        <v>93.214285714280379</v>
      </c>
      <c r="P513" t="str">
        <f t="shared" si="75"/>
        <v>NA</v>
      </c>
      <c r="Q513" s="10">
        <f t="shared" ca="1" si="76"/>
        <v>96.309523809520954</v>
      </c>
      <c r="R513" s="10">
        <f t="shared" ca="1" si="77"/>
        <v>123.98809523809541</v>
      </c>
      <c r="S513" s="10">
        <f t="shared" ca="1" si="78"/>
        <v>-27.678571428574458</v>
      </c>
      <c r="T513" s="10">
        <f t="shared" ca="1" si="79"/>
        <v>494.68085106379539</v>
      </c>
      <c r="U513" s="10">
        <f t="shared" ca="1" si="80"/>
        <v>494.68085106379539</v>
      </c>
      <c r="V513">
        <f t="shared" si="81"/>
        <v>5</v>
      </c>
    </row>
    <row r="514" spans="1:22" x14ac:dyDescent="0.25">
      <c r="A514">
        <v>57</v>
      </c>
      <c r="B514">
        <v>9</v>
      </c>
      <c r="C514">
        <v>90</v>
      </c>
      <c r="D514">
        <v>1</v>
      </c>
      <c r="E514">
        <v>0</v>
      </c>
      <c r="F514">
        <v>0</v>
      </c>
      <c r="G514">
        <v>1</v>
      </c>
      <c r="H514">
        <v>650</v>
      </c>
      <c r="I514">
        <f t="shared" si="82"/>
        <v>504</v>
      </c>
      <c r="J514" s="6">
        <f t="array" aca="1" ref="J514:N514" ca="1">TRANSPOSE(ols(OFFSET($C$2:$C$10,I514,0),OFFSET($D$2:$H$10,I514,0)))</f>
        <v>121.01190476190459</v>
      </c>
      <c r="K514" s="6">
        <f ca="1"/>
        <v>-2.1428571428577925</v>
      </c>
      <c r="L514" s="6">
        <f ca="1"/>
        <v>-10.238095238095411</v>
      </c>
      <c r="M514" s="6">
        <f ca="1"/>
        <v>5.1190476190486152</v>
      </c>
      <c r="N514" s="6">
        <f ca="1"/>
        <v>-5.5952380952390968E-2</v>
      </c>
      <c r="O514" s="6">
        <f t="shared" ca="1" si="74"/>
        <v>89.761904761899075</v>
      </c>
      <c r="P514" t="str">
        <f t="shared" si="75"/>
        <v>NA</v>
      </c>
      <c r="Q514" s="10">
        <f t="shared" ca="1" si="76"/>
        <v>96.309523809520954</v>
      </c>
      <c r="R514" s="10">
        <f t="shared" ca="1" si="77"/>
        <v>126.1309523809532</v>
      </c>
      <c r="S514" s="10">
        <f t="shared" ca="1" si="78"/>
        <v>-29.82142857143225</v>
      </c>
      <c r="T514" s="10">
        <f t="shared" ca="1" si="79"/>
        <v>532.97872340422566</v>
      </c>
      <c r="U514" s="10">
        <f t="shared" ca="1" si="80"/>
        <v>532.97872340422566</v>
      </c>
      <c r="V514">
        <f t="shared" si="81"/>
        <v>4</v>
      </c>
    </row>
    <row r="515" spans="1:22" x14ac:dyDescent="0.25">
      <c r="A515">
        <v>58</v>
      </c>
      <c r="B515">
        <v>1</v>
      </c>
      <c r="C515">
        <v>65</v>
      </c>
      <c r="D515">
        <v>1</v>
      </c>
      <c r="E515">
        <v>0</v>
      </c>
      <c r="F515">
        <v>1</v>
      </c>
      <c r="G515">
        <v>0</v>
      </c>
      <c r="H515">
        <v>250</v>
      </c>
      <c r="I515">
        <f t="shared" si="82"/>
        <v>513</v>
      </c>
      <c r="J515" s="6">
        <f t="array" aca="1" ref="J515:N515" ca="1">TRANSPOSE(ols(OFFSET($C$2:$C$10,I515,0),OFFSET($D$2:$H$10,I515,0)))</f>
        <v>125.15476190475965</v>
      </c>
      <c r="K515" s="6">
        <f ca="1"/>
        <v>-11.357142857143117</v>
      </c>
      <c r="L515" s="6">
        <f ca="1"/>
        <v>-38.095238095237619</v>
      </c>
      <c r="M515" s="6">
        <f ca="1"/>
        <v>-1.9523809523800537</v>
      </c>
      <c r="N515" s="6">
        <f ca="1"/>
        <v>-6.7380952380958092E-2</v>
      </c>
      <c r="O515" s="6">
        <f t="shared" ref="O515:O578" ca="1" si="83">SUMPRODUCT(J515:N515,D515:H515)</f>
        <v>70.214285714282511</v>
      </c>
      <c r="P515" t="str">
        <f t="shared" ref="P515:P578" si="84">IF(AND(F515=1,G515=1,H515=350),O515,"NA")</f>
        <v>NA</v>
      </c>
      <c r="Q515" s="10">
        <f t="shared" ref="Q515:Q578" ca="1" si="85">AVERAGEIF($A$2:$A$5383,A515,$P$2:$P$5383)</f>
        <v>61.523809523806648</v>
      </c>
      <c r="R515" s="10">
        <f t="shared" ref="R515:R578" ca="1" si="86">O515-N515*H515</f>
        <v>87.059523809522034</v>
      </c>
      <c r="S515" s="10">
        <f t="shared" ref="S515:S578" ca="1" si="87">Q515-R515</f>
        <v>-25.535714285715386</v>
      </c>
      <c r="T515" s="10">
        <f t="shared" ref="T515:T578" ca="1" si="88">S515/N515</f>
        <v>378.97526501765208</v>
      </c>
      <c r="U515" s="10">
        <f t="shared" ref="U515:U578" ca="1" si="89">IF(OR(T515&lt;250,T515&gt;650),"OR",T515)</f>
        <v>378.97526501765208</v>
      </c>
      <c r="V515">
        <f t="shared" ref="V515:V578" si="90">IF(AND(E515=1,G515=0),2,IF(AND(F515=1,G515=0),3,IF(AND(E515=1,G515=1),5,IF(AND(F515=1,G515=1),6,IF(G515=0,1,IF(G515=1,4))))))</f>
        <v>3</v>
      </c>
    </row>
    <row r="516" spans="1:22" x14ac:dyDescent="0.25">
      <c r="A516">
        <v>58</v>
      </c>
      <c r="B516">
        <v>2</v>
      </c>
      <c r="C516">
        <v>90</v>
      </c>
      <c r="D516">
        <v>1</v>
      </c>
      <c r="E516">
        <v>1</v>
      </c>
      <c r="F516">
        <v>0</v>
      </c>
      <c r="G516">
        <v>0</v>
      </c>
      <c r="H516">
        <v>350</v>
      </c>
      <c r="I516">
        <f t="shared" si="82"/>
        <v>513</v>
      </c>
      <c r="J516" s="6">
        <f t="array" aca="1" ref="J516:N516" ca="1">TRANSPOSE(ols(OFFSET($C$2:$C$10,I516,0),OFFSET($D$2:$H$10,I516,0)))</f>
        <v>125.15476190475965</v>
      </c>
      <c r="K516" s="6">
        <f ca="1"/>
        <v>-11.357142857143117</v>
      </c>
      <c r="L516" s="6">
        <f ca="1"/>
        <v>-38.095238095237619</v>
      </c>
      <c r="M516" s="6">
        <f ca="1"/>
        <v>-1.9523809523800537</v>
      </c>
      <c r="N516" s="6">
        <f ca="1"/>
        <v>-6.7380952380958092E-2</v>
      </c>
      <c r="O516" s="6">
        <f t="shared" ca="1" si="83"/>
        <v>90.214285714281203</v>
      </c>
      <c r="P516" t="str">
        <f t="shared" si="84"/>
        <v>NA</v>
      </c>
      <c r="Q516" s="10">
        <f t="shared" ca="1" si="85"/>
        <v>61.523809523806648</v>
      </c>
      <c r="R516" s="10">
        <f t="shared" ca="1" si="86"/>
        <v>113.79761904761654</v>
      </c>
      <c r="S516" s="10">
        <f t="shared" ca="1" si="87"/>
        <v>-52.273809523809888</v>
      </c>
      <c r="T516" s="10">
        <f t="shared" ca="1" si="88"/>
        <v>775.79505300347319</v>
      </c>
      <c r="U516" s="10" t="str">
        <f t="shared" ca="1" si="89"/>
        <v>OR</v>
      </c>
      <c r="V516">
        <f t="shared" si="90"/>
        <v>2</v>
      </c>
    </row>
    <row r="517" spans="1:22" x14ac:dyDescent="0.25">
      <c r="A517">
        <v>58</v>
      </c>
      <c r="B517">
        <v>3</v>
      </c>
      <c r="C517">
        <v>85</v>
      </c>
      <c r="D517">
        <v>1</v>
      </c>
      <c r="E517">
        <v>1</v>
      </c>
      <c r="F517">
        <v>0</v>
      </c>
      <c r="G517">
        <v>0</v>
      </c>
      <c r="H517">
        <v>450</v>
      </c>
      <c r="I517">
        <f t="shared" si="82"/>
        <v>513</v>
      </c>
      <c r="J517" s="6">
        <f t="array" aca="1" ref="J517:N517" ca="1">TRANSPOSE(ols(OFFSET($C$2:$C$10,I517,0),OFFSET($D$2:$H$10,I517,0)))</f>
        <v>125.15476190475965</v>
      </c>
      <c r="K517" s="6">
        <f ca="1"/>
        <v>-11.357142857143117</v>
      </c>
      <c r="L517" s="6">
        <f ca="1"/>
        <v>-38.095238095237619</v>
      </c>
      <c r="M517" s="6">
        <f ca="1"/>
        <v>-1.9523809523800537</v>
      </c>
      <c r="N517" s="6">
        <f ca="1"/>
        <v>-6.7380952380958092E-2</v>
      </c>
      <c r="O517" s="6">
        <f t="shared" ca="1" si="83"/>
        <v>83.476190476185394</v>
      </c>
      <c r="P517" t="str">
        <f t="shared" si="84"/>
        <v>NA</v>
      </c>
      <c r="Q517" s="10">
        <f t="shared" ca="1" si="85"/>
        <v>61.523809523806648</v>
      </c>
      <c r="R517" s="10">
        <f t="shared" ca="1" si="86"/>
        <v>113.79761904761654</v>
      </c>
      <c r="S517" s="10">
        <f t="shared" ca="1" si="87"/>
        <v>-52.273809523809888</v>
      </c>
      <c r="T517" s="10">
        <f t="shared" ca="1" si="88"/>
        <v>775.79505300347319</v>
      </c>
      <c r="U517" s="10" t="str">
        <f t="shared" ca="1" si="89"/>
        <v>OR</v>
      </c>
      <c r="V517">
        <f t="shared" si="90"/>
        <v>2</v>
      </c>
    </row>
    <row r="518" spans="1:22" x14ac:dyDescent="0.25">
      <c r="A518">
        <v>58</v>
      </c>
      <c r="B518">
        <v>4</v>
      </c>
      <c r="C518">
        <v>92</v>
      </c>
      <c r="D518">
        <v>1</v>
      </c>
      <c r="E518">
        <v>0</v>
      </c>
      <c r="F518">
        <v>0</v>
      </c>
      <c r="G518">
        <v>0</v>
      </c>
      <c r="H518">
        <v>550</v>
      </c>
      <c r="I518">
        <f t="shared" si="82"/>
        <v>513</v>
      </c>
      <c r="J518" s="6">
        <f t="array" aca="1" ref="J518:N518" ca="1">TRANSPOSE(ols(OFFSET($C$2:$C$10,I518,0),OFFSET($D$2:$H$10,I518,0)))</f>
        <v>125.15476190475965</v>
      </c>
      <c r="K518" s="6">
        <f ca="1"/>
        <v>-11.357142857143117</v>
      </c>
      <c r="L518" s="6">
        <f ca="1"/>
        <v>-38.095238095237619</v>
      </c>
      <c r="M518" s="6">
        <f ca="1"/>
        <v>-1.9523809523800537</v>
      </c>
      <c r="N518" s="6">
        <f ca="1"/>
        <v>-6.7380952380958092E-2</v>
      </c>
      <c r="O518" s="6">
        <f t="shared" ca="1" si="83"/>
        <v>88.095238095232702</v>
      </c>
      <c r="P518" t="str">
        <f t="shared" si="84"/>
        <v>NA</v>
      </c>
      <c r="Q518" s="10">
        <f t="shared" ca="1" si="85"/>
        <v>61.523809523806648</v>
      </c>
      <c r="R518" s="10">
        <f t="shared" ca="1" si="86"/>
        <v>125.15476190475965</v>
      </c>
      <c r="S518" s="10">
        <f t="shared" ca="1" si="87"/>
        <v>-63.630952380953005</v>
      </c>
      <c r="T518" s="10">
        <f t="shared" ca="1" si="88"/>
        <v>944.34628975257942</v>
      </c>
      <c r="U518" s="10" t="str">
        <f t="shared" ca="1" si="89"/>
        <v>OR</v>
      </c>
      <c r="V518">
        <f t="shared" si="90"/>
        <v>1</v>
      </c>
    </row>
    <row r="519" spans="1:22" x14ac:dyDescent="0.25">
      <c r="A519">
        <v>58</v>
      </c>
      <c r="B519">
        <v>5</v>
      </c>
      <c r="C519">
        <v>70</v>
      </c>
      <c r="D519">
        <v>1</v>
      </c>
      <c r="E519">
        <v>0</v>
      </c>
      <c r="F519">
        <v>1</v>
      </c>
      <c r="G519">
        <v>1</v>
      </c>
      <c r="H519">
        <v>250</v>
      </c>
      <c r="I519">
        <f t="shared" si="82"/>
        <v>513</v>
      </c>
      <c r="J519" s="6">
        <f t="array" aca="1" ref="J519:N519" ca="1">TRANSPOSE(ols(OFFSET($C$2:$C$10,I519,0),OFFSET($D$2:$H$10,I519,0)))</f>
        <v>125.15476190475965</v>
      </c>
      <c r="K519" s="6">
        <f ca="1"/>
        <v>-11.357142857143117</v>
      </c>
      <c r="L519" s="6">
        <f ca="1"/>
        <v>-38.095238095237619</v>
      </c>
      <c r="M519" s="6">
        <f ca="1"/>
        <v>-1.9523809523800537</v>
      </c>
      <c r="N519" s="6">
        <f ca="1"/>
        <v>-6.7380952380958092E-2</v>
      </c>
      <c r="O519" s="6">
        <f t="shared" ca="1" si="83"/>
        <v>68.261904761902457</v>
      </c>
      <c r="P519" t="str">
        <f t="shared" si="84"/>
        <v>NA</v>
      </c>
      <c r="Q519" s="10">
        <f t="shared" ca="1" si="85"/>
        <v>61.523809523806648</v>
      </c>
      <c r="R519" s="10">
        <f t="shared" ca="1" si="86"/>
        <v>85.10714285714198</v>
      </c>
      <c r="S519" s="10">
        <f t="shared" ca="1" si="87"/>
        <v>-23.583333333335332</v>
      </c>
      <c r="T519" s="10">
        <f t="shared" ca="1" si="88"/>
        <v>350</v>
      </c>
      <c r="U519" s="10">
        <f t="shared" ca="1" si="89"/>
        <v>350</v>
      </c>
      <c r="V519">
        <f t="shared" si="90"/>
        <v>6</v>
      </c>
    </row>
    <row r="520" spans="1:22" x14ac:dyDescent="0.25">
      <c r="A520">
        <v>58</v>
      </c>
      <c r="B520">
        <v>6</v>
      </c>
      <c r="C520">
        <v>65</v>
      </c>
      <c r="D520">
        <v>1</v>
      </c>
      <c r="E520">
        <v>0</v>
      </c>
      <c r="F520">
        <v>1</v>
      </c>
      <c r="G520">
        <v>1</v>
      </c>
      <c r="H520">
        <v>350</v>
      </c>
      <c r="I520">
        <f t="shared" si="82"/>
        <v>513</v>
      </c>
      <c r="J520" s="6">
        <f t="array" aca="1" ref="J520:N520" ca="1">TRANSPOSE(ols(OFFSET($C$2:$C$10,I520,0),OFFSET($D$2:$H$10,I520,0)))</f>
        <v>125.15476190475965</v>
      </c>
      <c r="K520" s="6">
        <f ca="1"/>
        <v>-11.357142857143117</v>
      </c>
      <c r="L520" s="6">
        <f ca="1"/>
        <v>-38.095238095237619</v>
      </c>
      <c r="M520" s="6">
        <f ca="1"/>
        <v>-1.9523809523800537</v>
      </c>
      <c r="N520" s="6">
        <f ca="1"/>
        <v>-6.7380952380958092E-2</v>
      </c>
      <c r="O520" s="6">
        <f t="shared" ca="1" si="83"/>
        <v>61.523809523806648</v>
      </c>
      <c r="P520">
        <f t="shared" ca="1" si="84"/>
        <v>61.523809523806648</v>
      </c>
      <c r="Q520" s="10">
        <f t="shared" ca="1" si="85"/>
        <v>61.523809523806648</v>
      </c>
      <c r="R520" s="10">
        <f t="shared" ca="1" si="86"/>
        <v>85.10714285714198</v>
      </c>
      <c r="S520" s="10">
        <f t="shared" ca="1" si="87"/>
        <v>-23.583333333335332</v>
      </c>
      <c r="T520" s="10">
        <f t="shared" ca="1" si="88"/>
        <v>350</v>
      </c>
      <c r="U520" s="10">
        <f t="shared" ca="1" si="89"/>
        <v>350</v>
      </c>
      <c r="V520">
        <f t="shared" si="90"/>
        <v>6</v>
      </c>
    </row>
    <row r="521" spans="1:22" x14ac:dyDescent="0.25">
      <c r="A521">
        <v>58</v>
      </c>
      <c r="B521">
        <v>7</v>
      </c>
      <c r="C521">
        <v>80</v>
      </c>
      <c r="D521">
        <v>1</v>
      </c>
      <c r="E521">
        <v>1</v>
      </c>
      <c r="F521">
        <v>0</v>
      </c>
      <c r="G521">
        <v>1</v>
      </c>
      <c r="H521">
        <v>450</v>
      </c>
      <c r="I521">
        <f t="shared" si="82"/>
        <v>513</v>
      </c>
      <c r="J521" s="6">
        <f t="array" aca="1" ref="J521:N521" ca="1">TRANSPOSE(ols(OFFSET($C$2:$C$10,I521,0),OFFSET($D$2:$H$10,I521,0)))</f>
        <v>125.15476190475965</v>
      </c>
      <c r="K521" s="6">
        <f ca="1"/>
        <v>-11.357142857143117</v>
      </c>
      <c r="L521" s="6">
        <f ca="1"/>
        <v>-38.095238095237619</v>
      </c>
      <c r="M521" s="6">
        <f ca="1"/>
        <v>-1.9523809523800537</v>
      </c>
      <c r="N521" s="6">
        <f ca="1"/>
        <v>-6.7380952380958092E-2</v>
      </c>
      <c r="O521" s="6">
        <f t="shared" ca="1" si="83"/>
        <v>81.52380952380534</v>
      </c>
      <c r="P521" t="str">
        <f t="shared" si="84"/>
        <v>NA</v>
      </c>
      <c r="Q521" s="10">
        <f t="shared" ca="1" si="85"/>
        <v>61.523809523806648</v>
      </c>
      <c r="R521" s="10">
        <f t="shared" ca="1" si="86"/>
        <v>111.84523809523648</v>
      </c>
      <c r="S521" s="10">
        <f t="shared" ca="1" si="87"/>
        <v>-50.321428571429834</v>
      </c>
      <c r="T521" s="10">
        <f t="shared" ca="1" si="88"/>
        <v>746.81978798582111</v>
      </c>
      <c r="U521" s="10" t="str">
        <f t="shared" ca="1" si="89"/>
        <v>OR</v>
      </c>
      <c r="V521">
        <f t="shared" si="90"/>
        <v>5</v>
      </c>
    </row>
    <row r="522" spans="1:22" x14ac:dyDescent="0.25">
      <c r="A522">
        <v>58</v>
      </c>
      <c r="B522">
        <v>8</v>
      </c>
      <c r="C522">
        <v>75</v>
      </c>
      <c r="D522">
        <v>1</v>
      </c>
      <c r="E522">
        <v>1</v>
      </c>
      <c r="F522">
        <v>0</v>
      </c>
      <c r="G522">
        <v>1</v>
      </c>
      <c r="H522">
        <v>550</v>
      </c>
      <c r="I522">
        <f t="shared" si="82"/>
        <v>513</v>
      </c>
      <c r="J522" s="6">
        <f t="array" aca="1" ref="J522:N522" ca="1">TRANSPOSE(ols(OFFSET($C$2:$C$10,I522,0),OFFSET($D$2:$H$10,I522,0)))</f>
        <v>125.15476190475965</v>
      </c>
      <c r="K522" s="6">
        <f ca="1"/>
        <v>-11.357142857143117</v>
      </c>
      <c r="L522" s="6">
        <f ca="1"/>
        <v>-38.095238095237619</v>
      </c>
      <c r="M522" s="6">
        <f ca="1"/>
        <v>-1.9523809523800537</v>
      </c>
      <c r="N522" s="6">
        <f ca="1"/>
        <v>-6.7380952380958092E-2</v>
      </c>
      <c r="O522" s="6">
        <f t="shared" ca="1" si="83"/>
        <v>74.785714285709531</v>
      </c>
      <c r="P522" t="str">
        <f t="shared" si="84"/>
        <v>NA</v>
      </c>
      <c r="Q522" s="10">
        <f t="shared" ca="1" si="85"/>
        <v>61.523809523806648</v>
      </c>
      <c r="R522" s="10">
        <f t="shared" ca="1" si="86"/>
        <v>111.84523809523648</v>
      </c>
      <c r="S522" s="10">
        <f t="shared" ca="1" si="87"/>
        <v>-50.321428571429834</v>
      </c>
      <c r="T522" s="10">
        <f t="shared" ca="1" si="88"/>
        <v>746.81978798582111</v>
      </c>
      <c r="U522" s="10" t="str">
        <f t="shared" ca="1" si="89"/>
        <v>OR</v>
      </c>
      <c r="V522">
        <f t="shared" si="90"/>
        <v>5</v>
      </c>
    </row>
    <row r="523" spans="1:22" x14ac:dyDescent="0.25">
      <c r="A523">
        <v>58</v>
      </c>
      <c r="B523">
        <v>9</v>
      </c>
      <c r="C523">
        <v>75.5</v>
      </c>
      <c r="D523">
        <v>1</v>
      </c>
      <c r="E523">
        <v>0</v>
      </c>
      <c r="F523">
        <v>0</v>
      </c>
      <c r="G523">
        <v>1</v>
      </c>
      <c r="H523">
        <v>650</v>
      </c>
      <c r="I523">
        <f t="shared" si="82"/>
        <v>513</v>
      </c>
      <c r="J523" s="6">
        <f t="array" aca="1" ref="J523:N523" ca="1">TRANSPOSE(ols(OFFSET($C$2:$C$10,I523,0),OFFSET($D$2:$H$10,I523,0)))</f>
        <v>125.15476190475965</v>
      </c>
      <c r="K523" s="6">
        <f ca="1"/>
        <v>-11.357142857143117</v>
      </c>
      <c r="L523" s="6">
        <f ca="1"/>
        <v>-38.095238095237619</v>
      </c>
      <c r="M523" s="6">
        <f ca="1"/>
        <v>-1.9523809523800537</v>
      </c>
      <c r="N523" s="6">
        <f ca="1"/>
        <v>-6.7380952380958092E-2</v>
      </c>
      <c r="O523" s="6">
        <f t="shared" ca="1" si="83"/>
        <v>79.404761904756839</v>
      </c>
      <c r="P523" t="str">
        <f t="shared" si="84"/>
        <v>NA</v>
      </c>
      <c r="Q523" s="10">
        <f t="shared" ca="1" si="85"/>
        <v>61.523809523806648</v>
      </c>
      <c r="R523" s="10">
        <f t="shared" ca="1" si="86"/>
        <v>123.2023809523796</v>
      </c>
      <c r="S523" s="10">
        <f t="shared" ca="1" si="87"/>
        <v>-61.678571428572951</v>
      </c>
      <c r="T523" s="10">
        <f t="shared" ca="1" si="88"/>
        <v>915.37102473492735</v>
      </c>
      <c r="U523" s="10" t="str">
        <f t="shared" ca="1" si="89"/>
        <v>OR</v>
      </c>
      <c r="V523">
        <f t="shared" si="90"/>
        <v>4</v>
      </c>
    </row>
    <row r="524" spans="1:22" x14ac:dyDescent="0.25">
      <c r="A524">
        <v>59</v>
      </c>
      <c r="B524">
        <v>1</v>
      </c>
      <c r="C524">
        <v>50</v>
      </c>
      <c r="D524">
        <v>1</v>
      </c>
      <c r="E524">
        <v>0</v>
      </c>
      <c r="F524">
        <v>1</v>
      </c>
      <c r="G524">
        <v>0</v>
      </c>
      <c r="H524">
        <v>250</v>
      </c>
      <c r="I524">
        <f t="shared" ref="I524:I587" si="91">IF(A524&gt;A523,I523+9,I523)</f>
        <v>522</v>
      </c>
      <c r="J524" s="6">
        <f t="array" aca="1" ref="J524:N524" ca="1">TRANSPOSE(ols(OFFSET($C$2:$C$10,I524,0),OFFSET($D$2:$H$10,I524,0)))</f>
        <v>79.642857142856428</v>
      </c>
      <c r="K524" s="6">
        <f ca="1"/>
        <v>1.7857142857144481</v>
      </c>
      <c r="L524" s="6">
        <f ca="1"/>
        <v>-2.8571428571426623</v>
      </c>
      <c r="M524" s="6">
        <f ca="1"/>
        <v>11.428571428571445</v>
      </c>
      <c r="N524" s="6">
        <f ca="1"/>
        <v>-0.121428571428571</v>
      </c>
      <c r="O524" s="6">
        <f t="shared" ca="1" si="83"/>
        <v>46.428571428571018</v>
      </c>
      <c r="P524" t="str">
        <f t="shared" si="84"/>
        <v>NA</v>
      </c>
      <c r="Q524" s="10">
        <f t="shared" ca="1" si="85"/>
        <v>45.71428571428536</v>
      </c>
      <c r="R524" s="10">
        <f t="shared" ca="1" si="86"/>
        <v>76.785714285713766</v>
      </c>
      <c r="S524" s="10">
        <f t="shared" ca="1" si="87"/>
        <v>-31.071428571428406</v>
      </c>
      <c r="T524" s="10">
        <f t="shared" ca="1" si="88"/>
        <v>255.88235294117601</v>
      </c>
      <c r="U524" s="10">
        <f t="shared" ca="1" si="89"/>
        <v>255.88235294117601</v>
      </c>
      <c r="V524">
        <f t="shared" si="90"/>
        <v>3</v>
      </c>
    </row>
    <row r="525" spans="1:22" x14ac:dyDescent="0.25">
      <c r="A525">
        <v>59</v>
      </c>
      <c r="B525">
        <v>2</v>
      </c>
      <c r="C525">
        <v>35</v>
      </c>
      <c r="D525">
        <v>1</v>
      </c>
      <c r="E525">
        <v>1</v>
      </c>
      <c r="F525">
        <v>0</v>
      </c>
      <c r="G525">
        <v>0</v>
      </c>
      <c r="H525">
        <v>350</v>
      </c>
      <c r="I525">
        <f t="shared" si="91"/>
        <v>522</v>
      </c>
      <c r="J525" s="6">
        <f t="array" aca="1" ref="J525:N525" ca="1">TRANSPOSE(ols(OFFSET($C$2:$C$10,I525,0),OFFSET($D$2:$H$10,I525,0)))</f>
        <v>79.642857142856428</v>
      </c>
      <c r="K525" s="6">
        <f ca="1"/>
        <v>1.7857142857144481</v>
      </c>
      <c r="L525" s="6">
        <f ca="1"/>
        <v>-2.8571428571426623</v>
      </c>
      <c r="M525" s="6">
        <f ca="1"/>
        <v>11.428571428571445</v>
      </c>
      <c r="N525" s="6">
        <f ca="1"/>
        <v>-0.121428571428571</v>
      </c>
      <c r="O525" s="6">
        <f t="shared" ca="1" si="83"/>
        <v>38.928571428571026</v>
      </c>
      <c r="P525" t="str">
        <f t="shared" si="84"/>
        <v>NA</v>
      </c>
      <c r="Q525" s="10">
        <f t="shared" ca="1" si="85"/>
        <v>45.71428571428536</v>
      </c>
      <c r="R525" s="10">
        <f t="shared" ca="1" si="86"/>
        <v>81.428571428570876</v>
      </c>
      <c r="S525" s="10">
        <f t="shared" ca="1" si="87"/>
        <v>-35.714285714285516</v>
      </c>
      <c r="T525" s="10">
        <f t="shared" ca="1" si="88"/>
        <v>294.11764705882297</v>
      </c>
      <c r="U525" s="10">
        <f t="shared" ca="1" si="89"/>
        <v>294.11764705882297</v>
      </c>
      <c r="V525">
        <f t="shared" si="90"/>
        <v>2</v>
      </c>
    </row>
    <row r="526" spans="1:22" x14ac:dyDescent="0.25">
      <c r="A526">
        <v>59</v>
      </c>
      <c r="B526">
        <v>3</v>
      </c>
      <c r="C526">
        <v>25</v>
      </c>
      <c r="D526">
        <v>1</v>
      </c>
      <c r="E526">
        <v>1</v>
      </c>
      <c r="F526">
        <v>0</v>
      </c>
      <c r="G526">
        <v>0</v>
      </c>
      <c r="H526">
        <v>450</v>
      </c>
      <c r="I526">
        <f t="shared" si="91"/>
        <v>522</v>
      </c>
      <c r="J526" s="6">
        <f t="array" aca="1" ref="J526:N526" ca="1">TRANSPOSE(ols(OFFSET($C$2:$C$10,I526,0),OFFSET($D$2:$H$10,I526,0)))</f>
        <v>79.642857142856428</v>
      </c>
      <c r="K526" s="6">
        <f ca="1"/>
        <v>1.7857142857144481</v>
      </c>
      <c r="L526" s="6">
        <f ca="1"/>
        <v>-2.8571428571426623</v>
      </c>
      <c r="M526" s="6">
        <f ca="1"/>
        <v>11.428571428571445</v>
      </c>
      <c r="N526" s="6">
        <f ca="1"/>
        <v>-0.121428571428571</v>
      </c>
      <c r="O526" s="6">
        <f t="shared" ca="1" si="83"/>
        <v>26.785714285713929</v>
      </c>
      <c r="P526" t="str">
        <f t="shared" si="84"/>
        <v>NA</v>
      </c>
      <c r="Q526" s="10">
        <f t="shared" ca="1" si="85"/>
        <v>45.71428571428536</v>
      </c>
      <c r="R526" s="10">
        <f t="shared" ca="1" si="86"/>
        <v>81.428571428570876</v>
      </c>
      <c r="S526" s="10">
        <f t="shared" ca="1" si="87"/>
        <v>-35.714285714285516</v>
      </c>
      <c r="T526" s="10">
        <f t="shared" ca="1" si="88"/>
        <v>294.11764705882297</v>
      </c>
      <c r="U526" s="10">
        <f t="shared" ca="1" si="89"/>
        <v>294.11764705882297</v>
      </c>
      <c r="V526">
        <f t="shared" si="90"/>
        <v>2</v>
      </c>
    </row>
    <row r="527" spans="1:22" x14ac:dyDescent="0.25">
      <c r="A527">
        <v>59</v>
      </c>
      <c r="B527">
        <v>4</v>
      </c>
      <c r="C527">
        <v>15</v>
      </c>
      <c r="D527">
        <v>1</v>
      </c>
      <c r="E527">
        <v>0</v>
      </c>
      <c r="F527">
        <v>0</v>
      </c>
      <c r="G527">
        <v>0</v>
      </c>
      <c r="H527">
        <v>550</v>
      </c>
      <c r="I527">
        <f t="shared" si="91"/>
        <v>522</v>
      </c>
      <c r="J527" s="6">
        <f t="array" aca="1" ref="J527:N527" ca="1">TRANSPOSE(ols(OFFSET($C$2:$C$10,I527,0),OFFSET($D$2:$H$10,I527,0)))</f>
        <v>79.642857142856428</v>
      </c>
      <c r="K527" s="6">
        <f ca="1"/>
        <v>1.7857142857144481</v>
      </c>
      <c r="L527" s="6">
        <f ca="1"/>
        <v>-2.8571428571426623</v>
      </c>
      <c r="M527" s="6">
        <f ca="1"/>
        <v>11.428571428571445</v>
      </c>
      <c r="N527" s="6">
        <f ca="1"/>
        <v>-0.121428571428571</v>
      </c>
      <c r="O527" s="6">
        <f t="shared" ca="1" si="83"/>
        <v>12.857142857142378</v>
      </c>
      <c r="P527" t="str">
        <f t="shared" si="84"/>
        <v>NA</v>
      </c>
      <c r="Q527" s="10">
        <f t="shared" ca="1" si="85"/>
        <v>45.71428571428536</v>
      </c>
      <c r="R527" s="10">
        <f t="shared" ca="1" si="86"/>
        <v>79.642857142856428</v>
      </c>
      <c r="S527" s="10">
        <f t="shared" ca="1" si="87"/>
        <v>-33.928571428571068</v>
      </c>
      <c r="T527" s="10">
        <f t="shared" ca="1" si="88"/>
        <v>279.41176470588039</v>
      </c>
      <c r="U527" s="10">
        <f t="shared" ca="1" si="89"/>
        <v>279.41176470588039</v>
      </c>
      <c r="V527">
        <f t="shared" si="90"/>
        <v>1</v>
      </c>
    </row>
    <row r="528" spans="1:22" x14ac:dyDescent="0.25">
      <c r="A528">
        <v>59</v>
      </c>
      <c r="B528">
        <v>5</v>
      </c>
      <c r="C528">
        <v>50</v>
      </c>
      <c r="D528">
        <v>1</v>
      </c>
      <c r="E528">
        <v>0</v>
      </c>
      <c r="F528">
        <v>1</v>
      </c>
      <c r="G528">
        <v>1</v>
      </c>
      <c r="H528">
        <v>250</v>
      </c>
      <c r="I528">
        <f t="shared" si="91"/>
        <v>522</v>
      </c>
      <c r="J528" s="6">
        <f t="array" aca="1" ref="J528:N528" ca="1">TRANSPOSE(ols(OFFSET($C$2:$C$10,I528,0),OFFSET($D$2:$H$10,I528,0)))</f>
        <v>79.642857142856428</v>
      </c>
      <c r="K528" s="6">
        <f ca="1"/>
        <v>1.7857142857144481</v>
      </c>
      <c r="L528" s="6">
        <f ca="1"/>
        <v>-2.8571428571426623</v>
      </c>
      <c r="M528" s="6">
        <f ca="1"/>
        <v>11.428571428571445</v>
      </c>
      <c r="N528" s="6">
        <f ca="1"/>
        <v>-0.121428571428571</v>
      </c>
      <c r="O528" s="6">
        <f t="shared" ca="1" si="83"/>
        <v>57.857142857142463</v>
      </c>
      <c r="P528" t="str">
        <f t="shared" si="84"/>
        <v>NA</v>
      </c>
      <c r="Q528" s="10">
        <f t="shared" ca="1" si="85"/>
        <v>45.71428571428536</v>
      </c>
      <c r="R528" s="10">
        <f t="shared" ca="1" si="86"/>
        <v>88.214285714285211</v>
      </c>
      <c r="S528" s="10">
        <f t="shared" ca="1" si="87"/>
        <v>-42.499999999999851</v>
      </c>
      <c r="T528" s="10">
        <f t="shared" ca="1" si="88"/>
        <v>350</v>
      </c>
      <c r="U528" s="10">
        <f t="shared" ca="1" si="89"/>
        <v>350</v>
      </c>
      <c r="V528">
        <f t="shared" si="90"/>
        <v>6</v>
      </c>
    </row>
    <row r="529" spans="1:22" x14ac:dyDescent="0.25">
      <c r="A529">
        <v>59</v>
      </c>
      <c r="B529">
        <v>6</v>
      </c>
      <c r="C529">
        <v>50</v>
      </c>
      <c r="D529">
        <v>1</v>
      </c>
      <c r="E529">
        <v>0</v>
      </c>
      <c r="F529">
        <v>1</v>
      </c>
      <c r="G529">
        <v>1</v>
      </c>
      <c r="H529">
        <v>350</v>
      </c>
      <c r="I529">
        <f t="shared" si="91"/>
        <v>522</v>
      </c>
      <c r="J529" s="6">
        <f t="array" aca="1" ref="J529:N529" ca="1">TRANSPOSE(ols(OFFSET($C$2:$C$10,I529,0),OFFSET($D$2:$H$10,I529,0)))</f>
        <v>79.642857142856428</v>
      </c>
      <c r="K529" s="6">
        <f ca="1"/>
        <v>1.7857142857144481</v>
      </c>
      <c r="L529" s="6">
        <f ca="1"/>
        <v>-2.8571428571426623</v>
      </c>
      <c r="M529" s="6">
        <f ca="1"/>
        <v>11.428571428571445</v>
      </c>
      <c r="N529" s="6">
        <f ca="1"/>
        <v>-0.121428571428571</v>
      </c>
      <c r="O529" s="6">
        <f t="shared" ca="1" si="83"/>
        <v>45.71428571428536</v>
      </c>
      <c r="P529">
        <f t="shared" ca="1" si="84"/>
        <v>45.71428571428536</v>
      </c>
      <c r="Q529" s="10">
        <f t="shared" ca="1" si="85"/>
        <v>45.71428571428536</v>
      </c>
      <c r="R529" s="10">
        <f t="shared" ca="1" si="86"/>
        <v>88.214285714285211</v>
      </c>
      <c r="S529" s="10">
        <f t="shared" ca="1" si="87"/>
        <v>-42.499999999999851</v>
      </c>
      <c r="T529" s="10">
        <f t="shared" ca="1" si="88"/>
        <v>350</v>
      </c>
      <c r="U529" s="10">
        <f t="shared" ca="1" si="89"/>
        <v>350</v>
      </c>
      <c r="V529">
        <f t="shared" si="90"/>
        <v>6</v>
      </c>
    </row>
    <row r="530" spans="1:22" x14ac:dyDescent="0.25">
      <c r="A530">
        <v>59</v>
      </c>
      <c r="B530">
        <v>7</v>
      </c>
      <c r="C530">
        <v>50</v>
      </c>
      <c r="D530">
        <v>1</v>
      </c>
      <c r="E530">
        <v>1</v>
      </c>
      <c r="F530">
        <v>0</v>
      </c>
      <c r="G530">
        <v>1</v>
      </c>
      <c r="H530">
        <v>450</v>
      </c>
      <c r="I530">
        <f t="shared" si="91"/>
        <v>522</v>
      </c>
      <c r="J530" s="6">
        <f t="array" aca="1" ref="J530:N530" ca="1">TRANSPOSE(ols(OFFSET($C$2:$C$10,I530,0),OFFSET($D$2:$H$10,I530,0)))</f>
        <v>79.642857142856428</v>
      </c>
      <c r="K530" s="6">
        <f ca="1"/>
        <v>1.7857142857144481</v>
      </c>
      <c r="L530" s="6">
        <f ca="1"/>
        <v>-2.8571428571426623</v>
      </c>
      <c r="M530" s="6">
        <f ca="1"/>
        <v>11.428571428571445</v>
      </c>
      <c r="N530" s="6">
        <f ca="1"/>
        <v>-0.121428571428571</v>
      </c>
      <c r="O530" s="6">
        <f t="shared" ca="1" si="83"/>
        <v>38.214285714285374</v>
      </c>
      <c r="P530" t="str">
        <f t="shared" si="84"/>
        <v>NA</v>
      </c>
      <c r="Q530" s="10">
        <f t="shared" ca="1" si="85"/>
        <v>45.71428571428536</v>
      </c>
      <c r="R530" s="10">
        <f t="shared" ca="1" si="86"/>
        <v>92.857142857142321</v>
      </c>
      <c r="S530" s="10">
        <f t="shared" ca="1" si="87"/>
        <v>-47.142857142856961</v>
      </c>
      <c r="T530" s="10">
        <f t="shared" ca="1" si="88"/>
        <v>388.23529411764696</v>
      </c>
      <c r="U530" s="10">
        <f t="shared" ca="1" si="89"/>
        <v>388.23529411764696</v>
      </c>
      <c r="V530">
        <f t="shared" si="90"/>
        <v>5</v>
      </c>
    </row>
    <row r="531" spans="1:22" x14ac:dyDescent="0.25">
      <c r="A531">
        <v>59</v>
      </c>
      <c r="B531">
        <v>8</v>
      </c>
      <c r="C531">
        <v>20</v>
      </c>
      <c r="D531">
        <v>1</v>
      </c>
      <c r="E531">
        <v>1</v>
      </c>
      <c r="F531">
        <v>0</v>
      </c>
      <c r="G531">
        <v>1</v>
      </c>
      <c r="H531">
        <v>550</v>
      </c>
      <c r="I531">
        <f t="shared" si="91"/>
        <v>522</v>
      </c>
      <c r="J531" s="6">
        <f t="array" aca="1" ref="J531:N531" ca="1">TRANSPOSE(ols(OFFSET($C$2:$C$10,I531,0),OFFSET($D$2:$H$10,I531,0)))</f>
        <v>79.642857142856428</v>
      </c>
      <c r="K531" s="6">
        <f ca="1"/>
        <v>1.7857142857144481</v>
      </c>
      <c r="L531" s="6">
        <f ca="1"/>
        <v>-2.8571428571426623</v>
      </c>
      <c r="M531" s="6">
        <f ca="1"/>
        <v>11.428571428571445</v>
      </c>
      <c r="N531" s="6">
        <f ca="1"/>
        <v>-0.121428571428571</v>
      </c>
      <c r="O531" s="6">
        <f t="shared" ca="1" si="83"/>
        <v>26.071428571428271</v>
      </c>
      <c r="P531" t="str">
        <f t="shared" si="84"/>
        <v>NA</v>
      </c>
      <c r="Q531" s="10">
        <f t="shared" ca="1" si="85"/>
        <v>45.71428571428536</v>
      </c>
      <c r="R531" s="10">
        <f t="shared" ca="1" si="86"/>
        <v>92.857142857142321</v>
      </c>
      <c r="S531" s="10">
        <f t="shared" ca="1" si="87"/>
        <v>-47.142857142856961</v>
      </c>
      <c r="T531" s="10">
        <f t="shared" ca="1" si="88"/>
        <v>388.23529411764696</v>
      </c>
      <c r="U531" s="10">
        <f t="shared" ca="1" si="89"/>
        <v>388.23529411764696</v>
      </c>
      <c r="V531">
        <f t="shared" si="90"/>
        <v>5</v>
      </c>
    </row>
    <row r="532" spans="1:22" x14ac:dyDescent="0.25">
      <c r="A532">
        <v>59</v>
      </c>
      <c r="B532">
        <v>9</v>
      </c>
      <c r="C532">
        <v>10</v>
      </c>
      <c r="D532">
        <v>1</v>
      </c>
      <c r="E532">
        <v>0</v>
      </c>
      <c r="F532">
        <v>0</v>
      </c>
      <c r="G532">
        <v>1</v>
      </c>
      <c r="H532">
        <v>650</v>
      </c>
      <c r="I532">
        <f t="shared" si="91"/>
        <v>522</v>
      </c>
      <c r="J532" s="6">
        <f t="array" aca="1" ref="J532:N532" ca="1">TRANSPOSE(ols(OFFSET($C$2:$C$10,I532,0),OFFSET($D$2:$H$10,I532,0)))</f>
        <v>79.642857142856428</v>
      </c>
      <c r="K532" s="6">
        <f ca="1"/>
        <v>1.7857142857144481</v>
      </c>
      <c r="L532" s="6">
        <f ca="1"/>
        <v>-2.8571428571426623</v>
      </c>
      <c r="M532" s="6">
        <f ca="1"/>
        <v>11.428571428571445</v>
      </c>
      <c r="N532" s="6">
        <f ca="1"/>
        <v>-0.121428571428571</v>
      </c>
      <c r="O532" s="6">
        <f t="shared" ca="1" si="83"/>
        <v>12.142857142856727</v>
      </c>
      <c r="P532" t="str">
        <f t="shared" si="84"/>
        <v>NA</v>
      </c>
      <c r="Q532" s="10">
        <f t="shared" ca="1" si="85"/>
        <v>45.71428571428536</v>
      </c>
      <c r="R532" s="10">
        <f t="shared" ca="1" si="86"/>
        <v>91.071428571427873</v>
      </c>
      <c r="S532" s="10">
        <f t="shared" ca="1" si="87"/>
        <v>-45.357142857142513</v>
      </c>
      <c r="T532" s="10">
        <f t="shared" ca="1" si="88"/>
        <v>373.52941176470438</v>
      </c>
      <c r="U532" s="10">
        <f t="shared" ca="1" si="89"/>
        <v>373.52941176470438</v>
      </c>
      <c r="V532">
        <f t="shared" si="90"/>
        <v>4</v>
      </c>
    </row>
    <row r="533" spans="1:22" x14ac:dyDescent="0.25">
      <c r="A533">
        <v>60</v>
      </c>
      <c r="B533">
        <v>1</v>
      </c>
      <c r="C533">
        <v>80</v>
      </c>
      <c r="D533">
        <v>1</v>
      </c>
      <c r="E533">
        <v>0</v>
      </c>
      <c r="F533">
        <v>1</v>
      </c>
      <c r="G533">
        <v>0</v>
      </c>
      <c r="H533">
        <v>250</v>
      </c>
      <c r="I533">
        <f t="shared" si="91"/>
        <v>531</v>
      </c>
      <c r="J533" s="6">
        <f t="array" aca="1" ref="J533:N533" ca="1">TRANSPOSE(ols(OFFSET($C$2:$C$10,I533,0),OFFSET($D$2:$H$10,I533,0)))</f>
        <v>81.904761904761472</v>
      </c>
      <c r="K533" s="6">
        <f ca="1"/>
        <v>17.14285714285711</v>
      </c>
      <c r="L533" s="6">
        <f ca="1"/>
        <v>11.904761904760562</v>
      </c>
      <c r="M533" s="6">
        <f ca="1"/>
        <v>-20.952380952380736</v>
      </c>
      <c r="N533" s="6">
        <f ca="1"/>
        <v>-5.2380952380953971E-2</v>
      </c>
      <c r="O533" s="6">
        <f t="shared" ca="1" si="83"/>
        <v>80.714285714283534</v>
      </c>
      <c r="P533" t="str">
        <f t="shared" si="84"/>
        <v>NA</v>
      </c>
      <c r="Q533" s="10">
        <f t="shared" ca="1" si="85"/>
        <v>54.523809523807408</v>
      </c>
      <c r="R533" s="10">
        <f t="shared" ca="1" si="86"/>
        <v>93.809523809522034</v>
      </c>
      <c r="S533" s="10">
        <f t="shared" ca="1" si="87"/>
        <v>-39.285714285714626</v>
      </c>
      <c r="T533" s="10">
        <f t="shared" ca="1" si="88"/>
        <v>749.99999999998374</v>
      </c>
      <c r="U533" s="10" t="str">
        <f t="shared" ca="1" si="89"/>
        <v>OR</v>
      </c>
      <c r="V533">
        <f t="shared" si="90"/>
        <v>3</v>
      </c>
    </row>
    <row r="534" spans="1:22" x14ac:dyDescent="0.25">
      <c r="A534">
        <v>60</v>
      </c>
      <c r="B534">
        <v>2</v>
      </c>
      <c r="C534">
        <v>80</v>
      </c>
      <c r="D534">
        <v>1</v>
      </c>
      <c r="E534">
        <v>1</v>
      </c>
      <c r="F534">
        <v>0</v>
      </c>
      <c r="G534">
        <v>0</v>
      </c>
      <c r="H534">
        <v>350</v>
      </c>
      <c r="I534">
        <f t="shared" si="91"/>
        <v>531</v>
      </c>
      <c r="J534" s="6">
        <f t="array" aca="1" ref="J534:N534" ca="1">TRANSPOSE(ols(OFFSET($C$2:$C$10,I534,0),OFFSET($D$2:$H$10,I534,0)))</f>
        <v>81.904761904761472</v>
      </c>
      <c r="K534" s="6">
        <f ca="1"/>
        <v>17.14285714285711</v>
      </c>
      <c r="L534" s="6">
        <f ca="1"/>
        <v>11.904761904760562</v>
      </c>
      <c r="M534" s="6">
        <f ca="1"/>
        <v>-20.952380952380736</v>
      </c>
      <c r="N534" s="6">
        <f ca="1"/>
        <v>-5.2380952380953971E-2</v>
      </c>
      <c r="O534" s="6">
        <f t="shared" ca="1" si="83"/>
        <v>80.714285714284699</v>
      </c>
      <c r="P534" t="str">
        <f t="shared" si="84"/>
        <v>NA</v>
      </c>
      <c r="Q534" s="10">
        <f t="shared" ca="1" si="85"/>
        <v>54.523809523807408</v>
      </c>
      <c r="R534" s="10">
        <f t="shared" ca="1" si="86"/>
        <v>99.047619047618582</v>
      </c>
      <c r="S534" s="10">
        <f t="shared" ca="1" si="87"/>
        <v>-44.523809523811174</v>
      </c>
      <c r="T534" s="10">
        <f t="shared" ca="1" si="88"/>
        <v>850.00000000000568</v>
      </c>
      <c r="U534" s="10" t="str">
        <f t="shared" ca="1" si="89"/>
        <v>OR</v>
      </c>
      <c r="V534">
        <f t="shared" si="90"/>
        <v>2</v>
      </c>
    </row>
    <row r="535" spans="1:22" x14ac:dyDescent="0.25">
      <c r="A535">
        <v>60</v>
      </c>
      <c r="B535">
        <v>3</v>
      </c>
      <c r="C535">
        <v>70</v>
      </c>
      <c r="D535">
        <v>1</v>
      </c>
      <c r="E535">
        <v>1</v>
      </c>
      <c r="F535">
        <v>0</v>
      </c>
      <c r="G535">
        <v>0</v>
      </c>
      <c r="H535">
        <v>450</v>
      </c>
      <c r="I535">
        <f t="shared" si="91"/>
        <v>531</v>
      </c>
      <c r="J535" s="6">
        <f t="array" aca="1" ref="J535:N535" ca="1">TRANSPOSE(ols(OFFSET($C$2:$C$10,I535,0),OFFSET($D$2:$H$10,I535,0)))</f>
        <v>81.904761904761472</v>
      </c>
      <c r="K535" s="6">
        <f ca="1"/>
        <v>17.14285714285711</v>
      </c>
      <c r="L535" s="6">
        <f ca="1"/>
        <v>11.904761904760562</v>
      </c>
      <c r="M535" s="6">
        <f ca="1"/>
        <v>-20.952380952380736</v>
      </c>
      <c r="N535" s="6">
        <f ca="1"/>
        <v>-5.2380952380953971E-2</v>
      </c>
      <c r="O535" s="6">
        <f t="shared" ca="1" si="83"/>
        <v>75.476190476189288</v>
      </c>
      <c r="P535" t="str">
        <f t="shared" si="84"/>
        <v>NA</v>
      </c>
      <c r="Q535" s="10">
        <f t="shared" ca="1" si="85"/>
        <v>54.523809523807408</v>
      </c>
      <c r="R535" s="10">
        <f t="shared" ca="1" si="86"/>
        <v>99.047619047618582</v>
      </c>
      <c r="S535" s="10">
        <f t="shared" ca="1" si="87"/>
        <v>-44.523809523811174</v>
      </c>
      <c r="T535" s="10">
        <f t="shared" ca="1" si="88"/>
        <v>850.00000000000568</v>
      </c>
      <c r="U535" s="10" t="str">
        <f t="shared" ca="1" si="89"/>
        <v>OR</v>
      </c>
      <c r="V535">
        <f t="shared" si="90"/>
        <v>2</v>
      </c>
    </row>
    <row r="536" spans="1:22" x14ac:dyDescent="0.25">
      <c r="A536">
        <v>60</v>
      </c>
      <c r="B536">
        <v>4</v>
      </c>
      <c r="C536">
        <v>60</v>
      </c>
      <c r="D536">
        <v>1</v>
      </c>
      <c r="E536">
        <v>0</v>
      </c>
      <c r="F536">
        <v>0</v>
      </c>
      <c r="G536">
        <v>0</v>
      </c>
      <c r="H536">
        <v>550</v>
      </c>
      <c r="I536">
        <f t="shared" si="91"/>
        <v>531</v>
      </c>
      <c r="J536" s="6">
        <f t="array" aca="1" ref="J536:N536" ca="1">TRANSPOSE(ols(OFFSET($C$2:$C$10,I536,0),OFFSET($D$2:$H$10,I536,0)))</f>
        <v>81.904761904761472</v>
      </c>
      <c r="K536" s="6">
        <f ca="1"/>
        <v>17.14285714285711</v>
      </c>
      <c r="L536" s="6">
        <f ca="1"/>
        <v>11.904761904760562</v>
      </c>
      <c r="M536" s="6">
        <f ca="1"/>
        <v>-20.952380952380736</v>
      </c>
      <c r="N536" s="6">
        <f ca="1"/>
        <v>-5.2380952380953971E-2</v>
      </c>
      <c r="O536" s="6">
        <f t="shared" ca="1" si="83"/>
        <v>53.095238095236788</v>
      </c>
      <c r="P536" t="str">
        <f t="shared" si="84"/>
        <v>NA</v>
      </c>
      <c r="Q536" s="10">
        <f t="shared" ca="1" si="85"/>
        <v>54.523809523807408</v>
      </c>
      <c r="R536" s="10">
        <f t="shared" ca="1" si="86"/>
        <v>81.904761904761472</v>
      </c>
      <c r="S536" s="10">
        <f t="shared" ca="1" si="87"/>
        <v>-27.380952380954064</v>
      </c>
      <c r="T536" s="10">
        <f t="shared" ca="1" si="88"/>
        <v>522.72727272728901</v>
      </c>
      <c r="U536" s="10">
        <f t="shared" ca="1" si="89"/>
        <v>522.72727272728901</v>
      </c>
      <c r="V536">
        <f t="shared" si="90"/>
        <v>1</v>
      </c>
    </row>
    <row r="537" spans="1:22" x14ac:dyDescent="0.25">
      <c r="A537">
        <v>60</v>
      </c>
      <c r="B537">
        <v>5</v>
      </c>
      <c r="C537">
        <v>60</v>
      </c>
      <c r="D537">
        <v>1</v>
      </c>
      <c r="E537">
        <v>0</v>
      </c>
      <c r="F537">
        <v>1</v>
      </c>
      <c r="G537">
        <v>1</v>
      </c>
      <c r="H537">
        <v>250</v>
      </c>
      <c r="I537">
        <f t="shared" si="91"/>
        <v>531</v>
      </c>
      <c r="J537" s="6">
        <f t="array" aca="1" ref="J537:N537" ca="1">TRANSPOSE(ols(OFFSET($C$2:$C$10,I537,0),OFFSET($D$2:$H$10,I537,0)))</f>
        <v>81.904761904761472</v>
      </c>
      <c r="K537" s="6">
        <f ca="1"/>
        <v>17.14285714285711</v>
      </c>
      <c r="L537" s="6">
        <f ca="1"/>
        <v>11.904761904760562</v>
      </c>
      <c r="M537" s="6">
        <f ca="1"/>
        <v>-20.952380952380736</v>
      </c>
      <c r="N537" s="6">
        <f ca="1"/>
        <v>-5.2380952380953971E-2</v>
      </c>
      <c r="O537" s="6">
        <f t="shared" ca="1" si="83"/>
        <v>59.761904761902805</v>
      </c>
      <c r="P537" t="str">
        <f t="shared" si="84"/>
        <v>NA</v>
      </c>
      <c r="Q537" s="10">
        <f t="shared" ca="1" si="85"/>
        <v>54.523809523807408</v>
      </c>
      <c r="R537" s="10">
        <f t="shared" ca="1" si="86"/>
        <v>72.857142857141298</v>
      </c>
      <c r="S537" s="10">
        <f t="shared" ca="1" si="87"/>
        <v>-18.33333333333389</v>
      </c>
      <c r="T537" s="10">
        <f t="shared" ca="1" si="88"/>
        <v>350</v>
      </c>
      <c r="U537" s="10">
        <f t="shared" ca="1" si="89"/>
        <v>350</v>
      </c>
      <c r="V537">
        <f t="shared" si="90"/>
        <v>6</v>
      </c>
    </row>
    <row r="538" spans="1:22" x14ac:dyDescent="0.25">
      <c r="A538">
        <v>60</v>
      </c>
      <c r="B538">
        <v>6</v>
      </c>
      <c r="C538">
        <v>55</v>
      </c>
      <c r="D538">
        <v>1</v>
      </c>
      <c r="E538">
        <v>0</v>
      </c>
      <c r="F538">
        <v>1</v>
      </c>
      <c r="G538">
        <v>1</v>
      </c>
      <c r="H538">
        <v>350</v>
      </c>
      <c r="I538">
        <f t="shared" si="91"/>
        <v>531</v>
      </c>
      <c r="J538" s="6">
        <f t="array" aca="1" ref="J538:N538" ca="1">TRANSPOSE(ols(OFFSET($C$2:$C$10,I538,0),OFFSET($D$2:$H$10,I538,0)))</f>
        <v>81.904761904761472</v>
      </c>
      <c r="K538" s="6">
        <f ca="1"/>
        <v>17.14285714285711</v>
      </c>
      <c r="L538" s="6">
        <f ca="1"/>
        <v>11.904761904760562</v>
      </c>
      <c r="M538" s="6">
        <f ca="1"/>
        <v>-20.952380952380736</v>
      </c>
      <c r="N538" s="6">
        <f ca="1"/>
        <v>-5.2380952380953971E-2</v>
      </c>
      <c r="O538" s="6">
        <f t="shared" ca="1" si="83"/>
        <v>54.523809523807408</v>
      </c>
      <c r="P538">
        <f t="shared" ca="1" si="84"/>
        <v>54.523809523807408</v>
      </c>
      <c r="Q538" s="10">
        <f t="shared" ca="1" si="85"/>
        <v>54.523809523807408</v>
      </c>
      <c r="R538" s="10">
        <f t="shared" ca="1" si="86"/>
        <v>72.857142857141298</v>
      </c>
      <c r="S538" s="10">
        <f t="shared" ca="1" si="87"/>
        <v>-18.33333333333389</v>
      </c>
      <c r="T538" s="10">
        <f t="shared" ca="1" si="88"/>
        <v>350</v>
      </c>
      <c r="U538" s="10">
        <f t="shared" ca="1" si="89"/>
        <v>350</v>
      </c>
      <c r="V538">
        <f t="shared" si="90"/>
        <v>6</v>
      </c>
    </row>
    <row r="539" spans="1:22" x14ac:dyDescent="0.25">
      <c r="A539">
        <v>60</v>
      </c>
      <c r="B539">
        <v>7</v>
      </c>
      <c r="C539">
        <v>55</v>
      </c>
      <c r="D539">
        <v>1</v>
      </c>
      <c r="E539">
        <v>1</v>
      </c>
      <c r="F539">
        <v>0</v>
      </c>
      <c r="G539">
        <v>1</v>
      </c>
      <c r="H539">
        <v>450</v>
      </c>
      <c r="I539">
        <f t="shared" si="91"/>
        <v>531</v>
      </c>
      <c r="J539" s="6">
        <f t="array" aca="1" ref="J539:N539" ca="1">TRANSPOSE(ols(OFFSET($C$2:$C$10,I539,0),OFFSET($D$2:$H$10,I539,0)))</f>
        <v>81.904761904761472</v>
      </c>
      <c r="K539" s="6">
        <f ca="1"/>
        <v>17.14285714285711</v>
      </c>
      <c r="L539" s="6">
        <f ca="1"/>
        <v>11.904761904760562</v>
      </c>
      <c r="M539" s="6">
        <f ca="1"/>
        <v>-20.952380952380736</v>
      </c>
      <c r="N539" s="6">
        <f ca="1"/>
        <v>-5.2380952380953971E-2</v>
      </c>
      <c r="O539" s="6">
        <f t="shared" ca="1" si="83"/>
        <v>54.523809523808559</v>
      </c>
      <c r="P539" t="str">
        <f t="shared" si="84"/>
        <v>NA</v>
      </c>
      <c r="Q539" s="10">
        <f t="shared" ca="1" si="85"/>
        <v>54.523809523807408</v>
      </c>
      <c r="R539" s="10">
        <f t="shared" ca="1" si="86"/>
        <v>78.095238095237846</v>
      </c>
      <c r="S539" s="10">
        <f t="shared" ca="1" si="87"/>
        <v>-23.571428571430438</v>
      </c>
      <c r="T539" s="10">
        <f t="shared" ca="1" si="88"/>
        <v>450.000000000022</v>
      </c>
      <c r="U539" s="10">
        <f t="shared" ca="1" si="89"/>
        <v>450.000000000022</v>
      </c>
      <c r="V539">
        <f t="shared" si="90"/>
        <v>5</v>
      </c>
    </row>
    <row r="540" spans="1:22" x14ac:dyDescent="0.25">
      <c r="A540">
        <v>60</v>
      </c>
      <c r="B540">
        <v>8</v>
      </c>
      <c r="C540">
        <v>55</v>
      </c>
      <c r="D540">
        <v>1</v>
      </c>
      <c r="E540">
        <v>1</v>
      </c>
      <c r="F540">
        <v>0</v>
      </c>
      <c r="G540">
        <v>1</v>
      </c>
      <c r="H540">
        <v>550</v>
      </c>
      <c r="I540">
        <f t="shared" si="91"/>
        <v>531</v>
      </c>
      <c r="J540" s="6">
        <f t="array" aca="1" ref="J540:N540" ca="1">TRANSPOSE(ols(OFFSET($C$2:$C$10,I540,0),OFFSET($D$2:$H$10,I540,0)))</f>
        <v>81.904761904761472</v>
      </c>
      <c r="K540" s="6">
        <f ca="1"/>
        <v>17.14285714285711</v>
      </c>
      <c r="L540" s="6">
        <f ca="1"/>
        <v>11.904761904760562</v>
      </c>
      <c r="M540" s="6">
        <f ca="1"/>
        <v>-20.952380952380736</v>
      </c>
      <c r="N540" s="6">
        <f ca="1"/>
        <v>-5.2380952380953971E-2</v>
      </c>
      <c r="O540" s="6">
        <f t="shared" ca="1" si="83"/>
        <v>49.285714285713162</v>
      </c>
      <c r="P540" t="str">
        <f t="shared" si="84"/>
        <v>NA</v>
      </c>
      <c r="Q540" s="10">
        <f t="shared" ca="1" si="85"/>
        <v>54.523809523807408</v>
      </c>
      <c r="R540" s="10">
        <f t="shared" ca="1" si="86"/>
        <v>78.095238095237846</v>
      </c>
      <c r="S540" s="10">
        <f t="shared" ca="1" si="87"/>
        <v>-23.571428571430438</v>
      </c>
      <c r="T540" s="10">
        <f t="shared" ca="1" si="88"/>
        <v>450.000000000022</v>
      </c>
      <c r="U540" s="10">
        <f t="shared" ca="1" si="89"/>
        <v>450.000000000022</v>
      </c>
      <c r="V540">
        <f t="shared" si="90"/>
        <v>5</v>
      </c>
    </row>
    <row r="541" spans="1:22" x14ac:dyDescent="0.25">
      <c r="A541">
        <v>60</v>
      </c>
      <c r="B541">
        <v>9</v>
      </c>
      <c r="C541">
        <v>20</v>
      </c>
      <c r="D541">
        <v>1</v>
      </c>
      <c r="E541">
        <v>0</v>
      </c>
      <c r="F541">
        <v>0</v>
      </c>
      <c r="G541">
        <v>1</v>
      </c>
      <c r="H541">
        <v>650</v>
      </c>
      <c r="I541">
        <f t="shared" si="91"/>
        <v>531</v>
      </c>
      <c r="J541" s="6">
        <f t="array" aca="1" ref="J541:N541" ca="1">TRANSPOSE(ols(OFFSET($C$2:$C$10,I541,0),OFFSET($D$2:$H$10,I541,0)))</f>
        <v>81.904761904761472</v>
      </c>
      <c r="K541" s="6">
        <f ca="1"/>
        <v>17.14285714285711</v>
      </c>
      <c r="L541" s="6">
        <f ca="1"/>
        <v>11.904761904760562</v>
      </c>
      <c r="M541" s="6">
        <f ca="1"/>
        <v>-20.952380952380736</v>
      </c>
      <c r="N541" s="6">
        <f ca="1"/>
        <v>-5.2380952380953971E-2</v>
      </c>
      <c r="O541" s="6">
        <f t="shared" ca="1" si="83"/>
        <v>26.904761904760655</v>
      </c>
      <c r="P541" t="str">
        <f t="shared" si="84"/>
        <v>NA</v>
      </c>
      <c r="Q541" s="10">
        <f t="shared" ca="1" si="85"/>
        <v>54.523809523807408</v>
      </c>
      <c r="R541" s="10">
        <f t="shared" ca="1" si="86"/>
        <v>60.952380952380736</v>
      </c>
      <c r="S541" s="10">
        <f t="shared" ca="1" si="87"/>
        <v>-6.4285714285733278</v>
      </c>
      <c r="T541" s="10">
        <f t="shared" ca="1" si="88"/>
        <v>122.72727272730526</v>
      </c>
      <c r="U541" s="10" t="str">
        <f t="shared" ca="1" si="89"/>
        <v>OR</v>
      </c>
      <c r="V541">
        <f t="shared" si="90"/>
        <v>4</v>
      </c>
    </row>
    <row r="542" spans="1:22" x14ac:dyDescent="0.25">
      <c r="A542">
        <v>61</v>
      </c>
      <c r="B542">
        <v>1</v>
      </c>
      <c r="C542">
        <v>15</v>
      </c>
      <c r="D542">
        <v>1</v>
      </c>
      <c r="E542">
        <v>0</v>
      </c>
      <c r="F542">
        <v>1</v>
      </c>
      <c r="G542">
        <v>0</v>
      </c>
      <c r="H542">
        <v>250</v>
      </c>
      <c r="I542">
        <f t="shared" si="91"/>
        <v>540</v>
      </c>
      <c r="J542" s="6">
        <f t="array" aca="1" ref="J542:N542" ca="1">TRANSPOSE(ols(OFFSET($C$2:$C$10,I542,0),OFFSET($D$2:$H$10,I542,0)))</f>
        <v>63.357142857142208</v>
      </c>
      <c r="K542" s="6">
        <f ca="1"/>
        <v>-3.7857142857141071</v>
      </c>
      <c r="L542" s="6">
        <f ca="1"/>
        <v>-22.142857142856428</v>
      </c>
      <c r="M542" s="6">
        <f ca="1"/>
        <v>28.571428571428612</v>
      </c>
      <c r="N542" s="6">
        <f ca="1"/>
        <v>-0.10857142857142854</v>
      </c>
      <c r="O542" s="6">
        <f t="shared" ca="1" si="83"/>
        <v>14.071428571428644</v>
      </c>
      <c r="P542" t="str">
        <f t="shared" si="84"/>
        <v>NA</v>
      </c>
      <c r="Q542" s="10">
        <f t="shared" ca="1" si="85"/>
        <v>31.785714285714405</v>
      </c>
      <c r="R542" s="10">
        <f t="shared" ca="1" si="86"/>
        <v>41.214285714285779</v>
      </c>
      <c r="S542" s="10">
        <f t="shared" ca="1" si="87"/>
        <v>-9.4285714285713738</v>
      </c>
      <c r="T542" s="10">
        <f t="shared" ca="1" si="88"/>
        <v>86.842105263157421</v>
      </c>
      <c r="U542" s="10" t="str">
        <f t="shared" ca="1" si="89"/>
        <v>OR</v>
      </c>
      <c r="V542">
        <f t="shared" si="90"/>
        <v>3</v>
      </c>
    </row>
    <row r="543" spans="1:22" x14ac:dyDescent="0.25">
      <c r="A543">
        <v>61</v>
      </c>
      <c r="B543">
        <v>2</v>
      </c>
      <c r="C543">
        <v>15</v>
      </c>
      <c r="D543">
        <v>1</v>
      </c>
      <c r="E543">
        <v>1</v>
      </c>
      <c r="F543">
        <v>0</v>
      </c>
      <c r="G543">
        <v>0</v>
      </c>
      <c r="H543">
        <v>350</v>
      </c>
      <c r="I543">
        <f t="shared" si="91"/>
        <v>540</v>
      </c>
      <c r="J543" s="6">
        <f t="array" aca="1" ref="J543:N543" ca="1">TRANSPOSE(ols(OFFSET($C$2:$C$10,I543,0),OFFSET($D$2:$H$10,I543,0)))</f>
        <v>63.357142857142208</v>
      </c>
      <c r="K543" s="6">
        <f ca="1"/>
        <v>-3.7857142857141071</v>
      </c>
      <c r="L543" s="6">
        <f ca="1"/>
        <v>-22.142857142856428</v>
      </c>
      <c r="M543" s="6">
        <f ca="1"/>
        <v>28.571428571428612</v>
      </c>
      <c r="N543" s="6">
        <f ca="1"/>
        <v>-0.10857142857142854</v>
      </c>
      <c r="O543" s="6">
        <f t="shared" ca="1" si="83"/>
        <v>21.571428571428115</v>
      </c>
      <c r="P543" t="str">
        <f t="shared" si="84"/>
        <v>NA</v>
      </c>
      <c r="Q543" s="10">
        <f t="shared" ca="1" si="85"/>
        <v>31.785714285714405</v>
      </c>
      <c r="R543" s="10">
        <f t="shared" ca="1" si="86"/>
        <v>59.5714285714281</v>
      </c>
      <c r="S543" s="10">
        <f t="shared" ca="1" si="87"/>
        <v>-27.785714285713695</v>
      </c>
      <c r="T543" s="10">
        <f t="shared" ca="1" si="88"/>
        <v>255.92105263157359</v>
      </c>
      <c r="U543" s="10">
        <f t="shared" ca="1" si="89"/>
        <v>255.92105263157359</v>
      </c>
      <c r="V543">
        <f t="shared" si="90"/>
        <v>2</v>
      </c>
    </row>
    <row r="544" spans="1:22" x14ac:dyDescent="0.25">
      <c r="A544">
        <v>61</v>
      </c>
      <c r="B544">
        <v>3</v>
      </c>
      <c r="C544">
        <v>10</v>
      </c>
      <c r="D544">
        <v>1</v>
      </c>
      <c r="E544">
        <v>1</v>
      </c>
      <c r="F544">
        <v>0</v>
      </c>
      <c r="G544">
        <v>0</v>
      </c>
      <c r="H544">
        <v>450</v>
      </c>
      <c r="I544">
        <f t="shared" si="91"/>
        <v>540</v>
      </c>
      <c r="J544" s="6">
        <f t="array" aca="1" ref="J544:N544" ca="1">TRANSPOSE(ols(OFFSET($C$2:$C$10,I544,0),OFFSET($D$2:$H$10,I544,0)))</f>
        <v>63.357142857142208</v>
      </c>
      <c r="K544" s="6">
        <f ca="1"/>
        <v>-3.7857142857141071</v>
      </c>
      <c r="L544" s="6">
        <f ca="1"/>
        <v>-22.142857142856428</v>
      </c>
      <c r="M544" s="6">
        <f ca="1"/>
        <v>28.571428571428612</v>
      </c>
      <c r="N544" s="6">
        <f ca="1"/>
        <v>-0.10857142857142854</v>
      </c>
      <c r="O544" s="6">
        <f t="shared" ca="1" si="83"/>
        <v>10.714285714285253</v>
      </c>
      <c r="P544" t="str">
        <f t="shared" si="84"/>
        <v>NA</v>
      </c>
      <c r="Q544" s="10">
        <f t="shared" ca="1" si="85"/>
        <v>31.785714285714405</v>
      </c>
      <c r="R544" s="10">
        <f t="shared" ca="1" si="86"/>
        <v>59.5714285714281</v>
      </c>
      <c r="S544" s="10">
        <f t="shared" ca="1" si="87"/>
        <v>-27.785714285713695</v>
      </c>
      <c r="T544" s="10">
        <f t="shared" ca="1" si="88"/>
        <v>255.92105263157359</v>
      </c>
      <c r="U544" s="10">
        <f t="shared" ca="1" si="89"/>
        <v>255.92105263157359</v>
      </c>
      <c r="V544">
        <f t="shared" si="90"/>
        <v>2</v>
      </c>
    </row>
    <row r="545" spans="1:22" x14ac:dyDescent="0.25">
      <c r="A545">
        <v>61</v>
      </c>
      <c r="B545">
        <v>4</v>
      </c>
      <c r="C545">
        <v>10</v>
      </c>
      <c r="D545">
        <v>1</v>
      </c>
      <c r="E545">
        <v>0</v>
      </c>
      <c r="F545">
        <v>0</v>
      </c>
      <c r="G545">
        <v>0</v>
      </c>
      <c r="H545">
        <v>550</v>
      </c>
      <c r="I545">
        <f t="shared" si="91"/>
        <v>540</v>
      </c>
      <c r="J545" s="6">
        <f t="array" aca="1" ref="J545:N545" ca="1">TRANSPOSE(ols(OFFSET($C$2:$C$10,I545,0),OFFSET($D$2:$H$10,I545,0)))</f>
        <v>63.357142857142208</v>
      </c>
      <c r="K545" s="6">
        <f ca="1"/>
        <v>-3.7857142857141071</v>
      </c>
      <c r="L545" s="6">
        <f ca="1"/>
        <v>-22.142857142856428</v>
      </c>
      <c r="M545" s="6">
        <f ca="1"/>
        <v>28.571428571428612</v>
      </c>
      <c r="N545" s="6">
        <f ca="1"/>
        <v>-0.10857142857142854</v>
      </c>
      <c r="O545" s="6">
        <f t="shared" ca="1" si="83"/>
        <v>3.6428571428565135</v>
      </c>
      <c r="P545" t="str">
        <f t="shared" si="84"/>
        <v>NA</v>
      </c>
      <c r="Q545" s="10">
        <f t="shared" ca="1" si="85"/>
        <v>31.785714285714405</v>
      </c>
      <c r="R545" s="10">
        <f t="shared" ca="1" si="86"/>
        <v>63.357142857142208</v>
      </c>
      <c r="S545" s="10">
        <f t="shared" ca="1" si="87"/>
        <v>-31.571428571427802</v>
      </c>
      <c r="T545" s="10">
        <f t="shared" ca="1" si="88"/>
        <v>290.78947368420353</v>
      </c>
      <c r="U545" s="10">
        <f t="shared" ca="1" si="89"/>
        <v>290.78947368420353</v>
      </c>
      <c r="V545">
        <f t="shared" si="90"/>
        <v>1</v>
      </c>
    </row>
    <row r="546" spans="1:22" x14ac:dyDescent="0.25">
      <c r="A546">
        <v>61</v>
      </c>
      <c r="B546">
        <v>5</v>
      </c>
      <c r="C546">
        <v>41</v>
      </c>
      <c r="D546">
        <v>1</v>
      </c>
      <c r="E546">
        <v>0</v>
      </c>
      <c r="F546">
        <v>1</v>
      </c>
      <c r="G546">
        <v>1</v>
      </c>
      <c r="H546">
        <v>250</v>
      </c>
      <c r="I546">
        <f t="shared" si="91"/>
        <v>540</v>
      </c>
      <c r="J546" s="6">
        <f t="array" aca="1" ref="J546:N546" ca="1">TRANSPOSE(ols(OFFSET($C$2:$C$10,I546,0),OFFSET($D$2:$H$10,I546,0)))</f>
        <v>63.357142857142208</v>
      </c>
      <c r="K546" s="6">
        <f ca="1"/>
        <v>-3.7857142857141071</v>
      </c>
      <c r="L546" s="6">
        <f ca="1"/>
        <v>-22.142857142856428</v>
      </c>
      <c r="M546" s="6">
        <f ca="1"/>
        <v>28.571428571428612</v>
      </c>
      <c r="N546" s="6">
        <f ca="1"/>
        <v>-0.10857142857142854</v>
      </c>
      <c r="O546" s="6">
        <f t="shared" ca="1" si="83"/>
        <v>42.642857142857252</v>
      </c>
      <c r="P546" t="str">
        <f t="shared" si="84"/>
        <v>NA</v>
      </c>
      <c r="Q546" s="10">
        <f t="shared" ca="1" si="85"/>
        <v>31.785714285714405</v>
      </c>
      <c r="R546" s="10">
        <f t="shared" ca="1" si="86"/>
        <v>69.785714285714391</v>
      </c>
      <c r="S546" s="10">
        <f t="shared" ca="1" si="87"/>
        <v>-37.999999999999986</v>
      </c>
      <c r="T546" s="10">
        <f t="shared" ca="1" si="88"/>
        <v>349.99999999999994</v>
      </c>
      <c r="U546" s="10">
        <f t="shared" ca="1" si="89"/>
        <v>349.99999999999994</v>
      </c>
      <c r="V546">
        <f t="shared" si="90"/>
        <v>6</v>
      </c>
    </row>
    <row r="547" spans="1:22" x14ac:dyDescent="0.25">
      <c r="A547">
        <v>61</v>
      </c>
      <c r="B547">
        <v>6</v>
      </c>
      <c r="C547">
        <v>32.5</v>
      </c>
      <c r="D547">
        <v>1</v>
      </c>
      <c r="E547">
        <v>0</v>
      </c>
      <c r="F547">
        <v>1</v>
      </c>
      <c r="G547">
        <v>1</v>
      </c>
      <c r="H547">
        <v>350</v>
      </c>
      <c r="I547">
        <f t="shared" si="91"/>
        <v>540</v>
      </c>
      <c r="J547" s="6">
        <f t="array" aca="1" ref="J547:N547" ca="1">TRANSPOSE(ols(OFFSET($C$2:$C$10,I547,0),OFFSET($D$2:$H$10,I547,0)))</f>
        <v>63.357142857142208</v>
      </c>
      <c r="K547" s="6">
        <f ca="1"/>
        <v>-3.7857142857141071</v>
      </c>
      <c r="L547" s="6">
        <f ca="1"/>
        <v>-22.142857142856428</v>
      </c>
      <c r="M547" s="6">
        <f ca="1"/>
        <v>28.571428571428612</v>
      </c>
      <c r="N547" s="6">
        <f ca="1"/>
        <v>-0.10857142857142854</v>
      </c>
      <c r="O547" s="6">
        <f t="shared" ca="1" si="83"/>
        <v>31.785714285714405</v>
      </c>
      <c r="P547">
        <f t="shared" ca="1" si="84"/>
        <v>31.785714285714405</v>
      </c>
      <c r="Q547" s="10">
        <f t="shared" ca="1" si="85"/>
        <v>31.785714285714405</v>
      </c>
      <c r="R547" s="10">
        <f t="shared" ca="1" si="86"/>
        <v>69.785714285714391</v>
      </c>
      <c r="S547" s="10">
        <f t="shared" ca="1" si="87"/>
        <v>-37.999999999999986</v>
      </c>
      <c r="T547" s="10">
        <f t="shared" ca="1" si="88"/>
        <v>349.99999999999994</v>
      </c>
      <c r="U547" s="10">
        <f t="shared" ca="1" si="89"/>
        <v>349.99999999999994</v>
      </c>
      <c r="V547">
        <f t="shared" si="90"/>
        <v>6</v>
      </c>
    </row>
    <row r="548" spans="1:22" x14ac:dyDescent="0.25">
      <c r="A548">
        <v>61</v>
      </c>
      <c r="B548">
        <v>7</v>
      </c>
      <c r="C548">
        <v>47.5</v>
      </c>
      <c r="D548">
        <v>1</v>
      </c>
      <c r="E548">
        <v>1</v>
      </c>
      <c r="F548">
        <v>0</v>
      </c>
      <c r="G548">
        <v>1</v>
      </c>
      <c r="H548">
        <v>450</v>
      </c>
      <c r="I548">
        <f t="shared" si="91"/>
        <v>540</v>
      </c>
      <c r="J548" s="6">
        <f t="array" aca="1" ref="J548:N548" ca="1">TRANSPOSE(ols(OFFSET($C$2:$C$10,I548,0),OFFSET($D$2:$H$10,I548,0)))</f>
        <v>63.357142857142208</v>
      </c>
      <c r="K548" s="6">
        <f ca="1"/>
        <v>-3.7857142857141071</v>
      </c>
      <c r="L548" s="6">
        <f ca="1"/>
        <v>-22.142857142856428</v>
      </c>
      <c r="M548" s="6">
        <f ca="1"/>
        <v>28.571428571428612</v>
      </c>
      <c r="N548" s="6">
        <f ca="1"/>
        <v>-0.10857142857142854</v>
      </c>
      <c r="O548" s="6">
        <f t="shared" ca="1" si="83"/>
        <v>39.285714285713865</v>
      </c>
      <c r="P548" t="str">
        <f t="shared" si="84"/>
        <v>NA</v>
      </c>
      <c r="Q548" s="10">
        <f t="shared" ca="1" si="85"/>
        <v>31.785714285714405</v>
      </c>
      <c r="R548" s="10">
        <f t="shared" ca="1" si="86"/>
        <v>88.142857142856712</v>
      </c>
      <c r="S548" s="10">
        <f t="shared" ca="1" si="87"/>
        <v>-56.357142857142307</v>
      </c>
      <c r="T548" s="10">
        <f t="shared" ca="1" si="88"/>
        <v>519.07894736841615</v>
      </c>
      <c r="U548" s="10">
        <f t="shared" ca="1" si="89"/>
        <v>519.07894736841615</v>
      </c>
      <c r="V548">
        <f t="shared" si="90"/>
        <v>5</v>
      </c>
    </row>
    <row r="549" spans="1:22" x14ac:dyDescent="0.25">
      <c r="A549">
        <v>61</v>
      </c>
      <c r="B549">
        <v>8</v>
      </c>
      <c r="C549">
        <v>27.5</v>
      </c>
      <c r="D549">
        <v>1</v>
      </c>
      <c r="E549">
        <v>1</v>
      </c>
      <c r="F549">
        <v>0</v>
      </c>
      <c r="G549">
        <v>1</v>
      </c>
      <c r="H549">
        <v>550</v>
      </c>
      <c r="I549">
        <f t="shared" si="91"/>
        <v>540</v>
      </c>
      <c r="J549" s="6">
        <f t="array" aca="1" ref="J549:N549" ca="1">TRANSPOSE(ols(OFFSET($C$2:$C$10,I549,0),OFFSET($D$2:$H$10,I549,0)))</f>
        <v>63.357142857142208</v>
      </c>
      <c r="K549" s="6">
        <f ca="1"/>
        <v>-3.7857142857141071</v>
      </c>
      <c r="L549" s="6">
        <f ca="1"/>
        <v>-22.142857142856428</v>
      </c>
      <c r="M549" s="6">
        <f ca="1"/>
        <v>28.571428571428612</v>
      </c>
      <c r="N549" s="6">
        <f ca="1"/>
        <v>-0.10857142857142854</v>
      </c>
      <c r="O549" s="6">
        <f t="shared" ca="1" si="83"/>
        <v>28.428571428571018</v>
      </c>
      <c r="P549" t="str">
        <f t="shared" si="84"/>
        <v>NA</v>
      </c>
      <c r="Q549" s="10">
        <f t="shared" ca="1" si="85"/>
        <v>31.785714285714405</v>
      </c>
      <c r="R549" s="10">
        <f t="shared" ca="1" si="86"/>
        <v>88.142857142856712</v>
      </c>
      <c r="S549" s="10">
        <f t="shared" ca="1" si="87"/>
        <v>-56.357142857142307</v>
      </c>
      <c r="T549" s="10">
        <f t="shared" ca="1" si="88"/>
        <v>519.07894736841615</v>
      </c>
      <c r="U549" s="10">
        <f t="shared" ca="1" si="89"/>
        <v>519.07894736841615</v>
      </c>
      <c r="V549">
        <f t="shared" si="90"/>
        <v>5</v>
      </c>
    </row>
    <row r="550" spans="1:22" x14ac:dyDescent="0.25">
      <c r="A550">
        <v>61</v>
      </c>
      <c r="B550">
        <v>9</v>
      </c>
      <c r="C550">
        <v>15</v>
      </c>
      <c r="D550">
        <v>1</v>
      </c>
      <c r="E550">
        <v>0</v>
      </c>
      <c r="F550">
        <v>0</v>
      </c>
      <c r="G550">
        <v>1</v>
      </c>
      <c r="H550">
        <v>650</v>
      </c>
      <c r="I550">
        <f t="shared" si="91"/>
        <v>540</v>
      </c>
      <c r="J550" s="6">
        <f t="array" aca="1" ref="J550:N550" ca="1">TRANSPOSE(ols(OFFSET($C$2:$C$10,I550,0),OFFSET($D$2:$H$10,I550,0)))</f>
        <v>63.357142857142208</v>
      </c>
      <c r="K550" s="6">
        <f ca="1"/>
        <v>-3.7857142857141071</v>
      </c>
      <c r="L550" s="6">
        <f ca="1"/>
        <v>-22.142857142856428</v>
      </c>
      <c r="M550" s="6">
        <f ca="1"/>
        <v>28.571428571428612</v>
      </c>
      <c r="N550" s="6">
        <f ca="1"/>
        <v>-0.10857142857142854</v>
      </c>
      <c r="O550" s="6">
        <f t="shared" ca="1" si="83"/>
        <v>21.357142857142264</v>
      </c>
      <c r="P550" t="str">
        <f t="shared" si="84"/>
        <v>NA</v>
      </c>
      <c r="Q550" s="10">
        <f t="shared" ca="1" si="85"/>
        <v>31.785714285714405</v>
      </c>
      <c r="R550" s="10">
        <f t="shared" ca="1" si="86"/>
        <v>91.92857142857082</v>
      </c>
      <c r="S550" s="10">
        <f t="shared" ca="1" si="87"/>
        <v>-60.142857142856414</v>
      </c>
      <c r="T550" s="10">
        <f t="shared" ca="1" si="88"/>
        <v>553.94736842104612</v>
      </c>
      <c r="U550" s="10">
        <f t="shared" ca="1" si="89"/>
        <v>553.94736842104612</v>
      </c>
      <c r="V550">
        <f t="shared" si="90"/>
        <v>4</v>
      </c>
    </row>
    <row r="551" spans="1:22" x14ac:dyDescent="0.25">
      <c r="A551">
        <v>62</v>
      </c>
      <c r="B551">
        <v>1</v>
      </c>
      <c r="C551">
        <v>20</v>
      </c>
      <c r="D551">
        <v>1</v>
      </c>
      <c r="E551">
        <v>0</v>
      </c>
      <c r="F551">
        <v>1</v>
      </c>
      <c r="G551">
        <v>0</v>
      </c>
      <c r="H551">
        <v>250</v>
      </c>
      <c r="I551">
        <f t="shared" si="91"/>
        <v>549</v>
      </c>
      <c r="J551" s="6">
        <f t="array" aca="1" ref="J551:N551" ca="1">TRANSPOSE(ols(OFFSET($C$2:$C$10,I551,0),OFFSET($D$2:$H$10,I551,0)))</f>
        <v>42.142857142856656</v>
      </c>
      <c r="K551" s="6">
        <f ca="1"/>
        <v>-0.71428571428560872</v>
      </c>
      <c r="L551" s="6">
        <f ca="1"/>
        <v>-2.8571428571427759</v>
      </c>
      <c r="M551" s="6">
        <f ca="1"/>
        <v>1.4285714285714164</v>
      </c>
      <c r="N551" s="6">
        <f ca="1"/>
        <v>-7.1428571428571175E-2</v>
      </c>
      <c r="O551" s="6">
        <f t="shared" ca="1" si="83"/>
        <v>21.428571428571086</v>
      </c>
      <c r="P551" t="str">
        <f t="shared" si="84"/>
        <v>NA</v>
      </c>
      <c r="Q551" s="10">
        <f t="shared" ca="1" si="85"/>
        <v>15.714285714285385</v>
      </c>
      <c r="R551" s="10">
        <f t="shared" ca="1" si="86"/>
        <v>39.28571428571388</v>
      </c>
      <c r="S551" s="10">
        <f t="shared" ca="1" si="87"/>
        <v>-23.571428571428495</v>
      </c>
      <c r="T551" s="10">
        <f t="shared" ca="1" si="88"/>
        <v>330.00000000000011</v>
      </c>
      <c r="U551" s="10">
        <f t="shared" ca="1" si="89"/>
        <v>330.00000000000011</v>
      </c>
      <c r="V551">
        <f t="shared" si="90"/>
        <v>3</v>
      </c>
    </row>
    <row r="552" spans="1:22" x14ac:dyDescent="0.25">
      <c r="A552">
        <v>62</v>
      </c>
      <c r="B552">
        <v>2</v>
      </c>
      <c r="C552">
        <v>20</v>
      </c>
      <c r="D552">
        <v>1</v>
      </c>
      <c r="E552">
        <v>1</v>
      </c>
      <c r="F552">
        <v>0</v>
      </c>
      <c r="G552">
        <v>0</v>
      </c>
      <c r="H552">
        <v>350</v>
      </c>
      <c r="I552">
        <f t="shared" si="91"/>
        <v>549</v>
      </c>
      <c r="J552" s="6">
        <f t="array" aca="1" ref="J552:N552" ca="1">TRANSPOSE(ols(OFFSET($C$2:$C$10,I552,0),OFFSET($D$2:$H$10,I552,0)))</f>
        <v>42.142857142856656</v>
      </c>
      <c r="K552" s="6">
        <f ca="1"/>
        <v>-0.71428571428560872</v>
      </c>
      <c r="L552" s="6">
        <f ca="1"/>
        <v>-2.8571428571427759</v>
      </c>
      <c r="M552" s="6">
        <f ca="1"/>
        <v>1.4285714285714164</v>
      </c>
      <c r="N552" s="6">
        <f ca="1"/>
        <v>-7.1428571428571175E-2</v>
      </c>
      <c r="O552" s="6">
        <f t="shared" ca="1" si="83"/>
        <v>16.428571428571136</v>
      </c>
      <c r="P552" t="str">
        <f t="shared" si="84"/>
        <v>NA</v>
      </c>
      <c r="Q552" s="10">
        <f t="shared" ca="1" si="85"/>
        <v>15.714285714285385</v>
      </c>
      <c r="R552" s="10">
        <f t="shared" ca="1" si="86"/>
        <v>41.428571428571047</v>
      </c>
      <c r="S552" s="10">
        <f t="shared" ca="1" si="87"/>
        <v>-25.714285714285662</v>
      </c>
      <c r="T552" s="10">
        <f t="shared" ca="1" si="88"/>
        <v>360.00000000000057</v>
      </c>
      <c r="U552" s="10">
        <f t="shared" ca="1" si="89"/>
        <v>360.00000000000057</v>
      </c>
      <c r="V552">
        <f t="shared" si="90"/>
        <v>2</v>
      </c>
    </row>
    <row r="553" spans="1:22" x14ac:dyDescent="0.25">
      <c r="A553">
        <v>62</v>
      </c>
      <c r="B553">
        <v>3</v>
      </c>
      <c r="C553">
        <v>10</v>
      </c>
      <c r="D553">
        <v>1</v>
      </c>
      <c r="E553">
        <v>1</v>
      </c>
      <c r="F553">
        <v>0</v>
      </c>
      <c r="G553">
        <v>0</v>
      </c>
      <c r="H553">
        <v>450</v>
      </c>
      <c r="I553">
        <f t="shared" si="91"/>
        <v>549</v>
      </c>
      <c r="J553" s="6">
        <f t="array" aca="1" ref="J553:N553" ca="1">TRANSPOSE(ols(OFFSET($C$2:$C$10,I553,0),OFFSET($D$2:$H$10,I553,0)))</f>
        <v>42.142857142856656</v>
      </c>
      <c r="K553" s="6">
        <f ca="1"/>
        <v>-0.71428571428560872</v>
      </c>
      <c r="L553" s="6">
        <f ca="1"/>
        <v>-2.8571428571427759</v>
      </c>
      <c r="M553" s="6">
        <f ca="1"/>
        <v>1.4285714285714164</v>
      </c>
      <c r="N553" s="6">
        <f ca="1"/>
        <v>-7.1428571428571175E-2</v>
      </c>
      <c r="O553" s="6">
        <f t="shared" ca="1" si="83"/>
        <v>9.2857142857140218</v>
      </c>
      <c r="P553" t="str">
        <f t="shared" si="84"/>
        <v>NA</v>
      </c>
      <c r="Q553" s="10">
        <f t="shared" ca="1" si="85"/>
        <v>15.714285714285385</v>
      </c>
      <c r="R553" s="10">
        <f t="shared" ca="1" si="86"/>
        <v>41.428571428571047</v>
      </c>
      <c r="S553" s="10">
        <f t="shared" ca="1" si="87"/>
        <v>-25.714285714285662</v>
      </c>
      <c r="T553" s="10">
        <f t="shared" ca="1" si="88"/>
        <v>360.00000000000057</v>
      </c>
      <c r="U553" s="10">
        <f t="shared" ca="1" si="89"/>
        <v>360.00000000000057</v>
      </c>
      <c r="V553">
        <f t="shared" si="90"/>
        <v>2</v>
      </c>
    </row>
    <row r="554" spans="1:22" x14ac:dyDescent="0.25">
      <c r="A554">
        <v>62</v>
      </c>
      <c r="B554">
        <v>4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550</v>
      </c>
      <c r="I554">
        <f t="shared" si="91"/>
        <v>549</v>
      </c>
      <c r="J554" s="6">
        <f t="array" aca="1" ref="J554:N554" ca="1">TRANSPOSE(ols(OFFSET($C$2:$C$10,I554,0),OFFSET($D$2:$H$10,I554,0)))</f>
        <v>42.142857142856656</v>
      </c>
      <c r="K554" s="6">
        <f ca="1"/>
        <v>-0.71428571428560872</v>
      </c>
      <c r="L554" s="6">
        <f ca="1"/>
        <v>-2.8571428571427759</v>
      </c>
      <c r="M554" s="6">
        <f ca="1"/>
        <v>1.4285714285714164</v>
      </c>
      <c r="N554" s="6">
        <f ca="1"/>
        <v>-7.1428571428571175E-2</v>
      </c>
      <c r="O554" s="6">
        <f t="shared" ca="1" si="83"/>
        <v>2.8571428571425059</v>
      </c>
      <c r="P554" t="str">
        <f t="shared" si="84"/>
        <v>NA</v>
      </c>
      <c r="Q554" s="10">
        <f t="shared" ca="1" si="85"/>
        <v>15.714285714285385</v>
      </c>
      <c r="R554" s="10">
        <f t="shared" ca="1" si="86"/>
        <v>42.142857142856656</v>
      </c>
      <c r="S554" s="10">
        <f t="shared" ca="1" si="87"/>
        <v>-26.428571428571271</v>
      </c>
      <c r="T554" s="10">
        <f t="shared" ca="1" si="88"/>
        <v>369.99999999999909</v>
      </c>
      <c r="U554" s="10">
        <f t="shared" ca="1" si="89"/>
        <v>369.99999999999909</v>
      </c>
      <c r="V554">
        <f t="shared" si="90"/>
        <v>1</v>
      </c>
    </row>
    <row r="555" spans="1:22" x14ac:dyDescent="0.25">
      <c r="A555">
        <v>62</v>
      </c>
      <c r="B555">
        <v>5</v>
      </c>
      <c r="C555">
        <v>20</v>
      </c>
      <c r="D555">
        <v>1</v>
      </c>
      <c r="E555">
        <v>0</v>
      </c>
      <c r="F555">
        <v>1</v>
      </c>
      <c r="G555">
        <v>1</v>
      </c>
      <c r="H555">
        <v>250</v>
      </c>
      <c r="I555">
        <f t="shared" si="91"/>
        <v>549</v>
      </c>
      <c r="J555" s="6">
        <f t="array" aca="1" ref="J555:N555" ca="1">TRANSPOSE(ols(OFFSET($C$2:$C$10,I555,0),OFFSET($D$2:$H$10,I555,0)))</f>
        <v>42.142857142856656</v>
      </c>
      <c r="K555" s="6">
        <f ca="1"/>
        <v>-0.71428571428560872</v>
      </c>
      <c r="L555" s="6">
        <f ca="1"/>
        <v>-2.8571428571427759</v>
      </c>
      <c r="M555" s="6">
        <f ca="1"/>
        <v>1.4285714285714164</v>
      </c>
      <c r="N555" s="6">
        <f ca="1"/>
        <v>-7.1428571428571175E-2</v>
      </c>
      <c r="O555" s="6">
        <f t="shared" ca="1" si="83"/>
        <v>22.857142857142502</v>
      </c>
      <c r="P555" t="str">
        <f t="shared" si="84"/>
        <v>NA</v>
      </c>
      <c r="Q555" s="10">
        <f t="shared" ca="1" si="85"/>
        <v>15.714285714285385</v>
      </c>
      <c r="R555" s="10">
        <f t="shared" ca="1" si="86"/>
        <v>40.714285714285296</v>
      </c>
      <c r="S555" s="10">
        <f t="shared" ca="1" si="87"/>
        <v>-24.999999999999911</v>
      </c>
      <c r="T555" s="10">
        <f t="shared" ca="1" si="88"/>
        <v>350</v>
      </c>
      <c r="U555" s="10">
        <f t="shared" ca="1" si="89"/>
        <v>350</v>
      </c>
      <c r="V555">
        <f t="shared" si="90"/>
        <v>6</v>
      </c>
    </row>
    <row r="556" spans="1:22" x14ac:dyDescent="0.25">
      <c r="A556">
        <v>62</v>
      </c>
      <c r="B556">
        <v>6</v>
      </c>
      <c r="C556">
        <v>20</v>
      </c>
      <c r="D556">
        <v>1</v>
      </c>
      <c r="E556">
        <v>0</v>
      </c>
      <c r="F556">
        <v>1</v>
      </c>
      <c r="G556">
        <v>1</v>
      </c>
      <c r="H556">
        <v>350</v>
      </c>
      <c r="I556">
        <f t="shared" si="91"/>
        <v>549</v>
      </c>
      <c r="J556" s="6">
        <f t="array" aca="1" ref="J556:N556" ca="1">TRANSPOSE(ols(OFFSET($C$2:$C$10,I556,0),OFFSET($D$2:$H$10,I556,0)))</f>
        <v>42.142857142856656</v>
      </c>
      <c r="K556" s="6">
        <f ca="1"/>
        <v>-0.71428571428560872</v>
      </c>
      <c r="L556" s="6">
        <f ca="1"/>
        <v>-2.8571428571427759</v>
      </c>
      <c r="M556" s="6">
        <f ca="1"/>
        <v>1.4285714285714164</v>
      </c>
      <c r="N556" s="6">
        <f ca="1"/>
        <v>-7.1428571428571175E-2</v>
      </c>
      <c r="O556" s="6">
        <f t="shared" ca="1" si="83"/>
        <v>15.714285714285385</v>
      </c>
      <c r="P556">
        <f t="shared" ca="1" si="84"/>
        <v>15.714285714285385</v>
      </c>
      <c r="Q556" s="10">
        <f t="shared" ca="1" si="85"/>
        <v>15.714285714285385</v>
      </c>
      <c r="R556" s="10">
        <f t="shared" ca="1" si="86"/>
        <v>40.714285714285296</v>
      </c>
      <c r="S556" s="10">
        <f t="shared" ca="1" si="87"/>
        <v>-24.999999999999911</v>
      </c>
      <c r="T556" s="10">
        <f t="shared" ca="1" si="88"/>
        <v>350</v>
      </c>
      <c r="U556" s="10">
        <f t="shared" ca="1" si="89"/>
        <v>350</v>
      </c>
      <c r="V556">
        <f t="shared" si="90"/>
        <v>6</v>
      </c>
    </row>
    <row r="557" spans="1:22" x14ac:dyDescent="0.25">
      <c r="A557">
        <v>62</v>
      </c>
      <c r="B557">
        <v>7</v>
      </c>
      <c r="C557">
        <v>10</v>
      </c>
      <c r="D557">
        <v>1</v>
      </c>
      <c r="E557">
        <v>1</v>
      </c>
      <c r="F557">
        <v>0</v>
      </c>
      <c r="G557">
        <v>1</v>
      </c>
      <c r="H557">
        <v>450</v>
      </c>
      <c r="I557">
        <f t="shared" si="91"/>
        <v>549</v>
      </c>
      <c r="J557" s="6">
        <f t="array" aca="1" ref="J557:N557" ca="1">TRANSPOSE(ols(OFFSET($C$2:$C$10,I557,0),OFFSET($D$2:$H$10,I557,0)))</f>
        <v>42.142857142856656</v>
      </c>
      <c r="K557" s="6">
        <f ca="1"/>
        <v>-0.71428571428560872</v>
      </c>
      <c r="L557" s="6">
        <f ca="1"/>
        <v>-2.8571428571427759</v>
      </c>
      <c r="M557" s="6">
        <f ca="1"/>
        <v>1.4285714285714164</v>
      </c>
      <c r="N557" s="6">
        <f ca="1"/>
        <v>-7.1428571428571175E-2</v>
      </c>
      <c r="O557" s="6">
        <f t="shared" ca="1" si="83"/>
        <v>10.714285714285438</v>
      </c>
      <c r="P557" t="str">
        <f t="shared" si="84"/>
        <v>NA</v>
      </c>
      <c r="Q557" s="10">
        <f t="shared" ca="1" si="85"/>
        <v>15.714285714285385</v>
      </c>
      <c r="R557" s="10">
        <f t="shared" ca="1" si="86"/>
        <v>42.857142857142463</v>
      </c>
      <c r="S557" s="10">
        <f t="shared" ca="1" si="87"/>
        <v>-27.142857142857078</v>
      </c>
      <c r="T557" s="10">
        <f t="shared" ca="1" si="88"/>
        <v>380.00000000000045</v>
      </c>
      <c r="U557" s="10">
        <f t="shared" ca="1" si="89"/>
        <v>380.00000000000045</v>
      </c>
      <c r="V557">
        <f t="shared" si="90"/>
        <v>5</v>
      </c>
    </row>
    <row r="558" spans="1:22" x14ac:dyDescent="0.25">
      <c r="A558">
        <v>62</v>
      </c>
      <c r="B558">
        <v>8</v>
      </c>
      <c r="C558">
        <v>0</v>
      </c>
      <c r="D558">
        <v>1</v>
      </c>
      <c r="E558">
        <v>1</v>
      </c>
      <c r="F558">
        <v>0</v>
      </c>
      <c r="G558">
        <v>1</v>
      </c>
      <c r="H558">
        <v>550</v>
      </c>
      <c r="I558">
        <f t="shared" si="91"/>
        <v>549</v>
      </c>
      <c r="J558" s="6">
        <f t="array" aca="1" ref="J558:N558" ca="1">TRANSPOSE(ols(OFFSET($C$2:$C$10,I558,0),OFFSET($D$2:$H$10,I558,0)))</f>
        <v>42.142857142856656</v>
      </c>
      <c r="K558" s="6">
        <f ca="1"/>
        <v>-0.71428571428560872</v>
      </c>
      <c r="L558" s="6">
        <f ca="1"/>
        <v>-2.8571428571427759</v>
      </c>
      <c r="M558" s="6">
        <f ca="1"/>
        <v>1.4285714285714164</v>
      </c>
      <c r="N558" s="6">
        <f ca="1"/>
        <v>-7.1428571428571175E-2</v>
      </c>
      <c r="O558" s="6">
        <f t="shared" ca="1" si="83"/>
        <v>3.5714285714283136</v>
      </c>
      <c r="P558" t="str">
        <f t="shared" si="84"/>
        <v>NA</v>
      </c>
      <c r="Q558" s="10">
        <f t="shared" ca="1" si="85"/>
        <v>15.714285714285385</v>
      </c>
      <c r="R558" s="10">
        <f t="shared" ca="1" si="86"/>
        <v>42.857142857142463</v>
      </c>
      <c r="S558" s="10">
        <f t="shared" ca="1" si="87"/>
        <v>-27.142857142857078</v>
      </c>
      <c r="T558" s="10">
        <f t="shared" ca="1" si="88"/>
        <v>380.00000000000045</v>
      </c>
      <c r="U558" s="10">
        <f t="shared" ca="1" si="89"/>
        <v>380.00000000000045</v>
      </c>
      <c r="V558">
        <f t="shared" si="90"/>
        <v>5</v>
      </c>
    </row>
    <row r="559" spans="1:22" x14ac:dyDescent="0.25">
      <c r="A559">
        <v>62</v>
      </c>
      <c r="B559">
        <v>9</v>
      </c>
      <c r="C559">
        <v>0</v>
      </c>
      <c r="D559">
        <v>1</v>
      </c>
      <c r="E559">
        <v>0</v>
      </c>
      <c r="F559">
        <v>0</v>
      </c>
      <c r="G559">
        <v>1</v>
      </c>
      <c r="H559">
        <v>650</v>
      </c>
      <c r="I559">
        <f t="shared" si="91"/>
        <v>549</v>
      </c>
      <c r="J559" s="6">
        <f t="array" aca="1" ref="J559:N559" ca="1">TRANSPOSE(ols(OFFSET($C$2:$C$10,I559,0),OFFSET($D$2:$H$10,I559,0)))</f>
        <v>42.142857142856656</v>
      </c>
      <c r="K559" s="6">
        <f ca="1"/>
        <v>-0.71428571428560872</v>
      </c>
      <c r="L559" s="6">
        <f ca="1"/>
        <v>-2.8571428571427759</v>
      </c>
      <c r="M559" s="6">
        <f ca="1"/>
        <v>1.4285714285714164</v>
      </c>
      <c r="N559" s="6">
        <f ca="1"/>
        <v>-7.1428571428571175E-2</v>
      </c>
      <c r="O559" s="6">
        <f t="shared" ca="1" si="83"/>
        <v>-2.8571428571431881</v>
      </c>
      <c r="P559" t="str">
        <f t="shared" si="84"/>
        <v>NA</v>
      </c>
      <c r="Q559" s="10">
        <f t="shared" ca="1" si="85"/>
        <v>15.714285714285385</v>
      </c>
      <c r="R559" s="10">
        <f t="shared" ca="1" si="86"/>
        <v>43.571428571428072</v>
      </c>
      <c r="S559" s="10">
        <f t="shared" ca="1" si="87"/>
        <v>-27.857142857142687</v>
      </c>
      <c r="T559" s="10">
        <f t="shared" ca="1" si="88"/>
        <v>389.99999999999898</v>
      </c>
      <c r="U559" s="10">
        <f t="shared" ca="1" si="89"/>
        <v>389.99999999999898</v>
      </c>
      <c r="V559">
        <f t="shared" si="90"/>
        <v>4</v>
      </c>
    </row>
    <row r="560" spans="1:22" x14ac:dyDescent="0.25">
      <c r="A560">
        <v>63</v>
      </c>
      <c r="B560">
        <v>1</v>
      </c>
      <c r="C560">
        <v>40</v>
      </c>
      <c r="D560">
        <v>1</v>
      </c>
      <c r="E560">
        <v>0</v>
      </c>
      <c r="F560">
        <v>1</v>
      </c>
      <c r="G560">
        <v>0</v>
      </c>
      <c r="H560">
        <v>250</v>
      </c>
      <c r="I560">
        <f t="shared" si="91"/>
        <v>558</v>
      </c>
      <c r="J560" s="6">
        <f t="array" aca="1" ref="J560:N560" ca="1">TRANSPOSE(ols(OFFSET($C$2:$C$10,I560,0),OFFSET($D$2:$H$10,I560,0)))</f>
        <v>108.69047619047524</v>
      </c>
      <c r="K560" s="6">
        <f ca="1"/>
        <v>3.2142857142855519</v>
      </c>
      <c r="L560" s="6">
        <f ca="1"/>
        <v>-28.809523809523853</v>
      </c>
      <c r="M560" s="6">
        <f ca="1"/>
        <v>16.904761904762267</v>
      </c>
      <c r="N560" s="6">
        <f ca="1"/>
        <v>-0.14523809523809383</v>
      </c>
      <c r="O560" s="6">
        <f t="shared" ca="1" si="83"/>
        <v>43.57142857142793</v>
      </c>
      <c r="P560" t="str">
        <f t="shared" si="84"/>
        <v>NA</v>
      </c>
      <c r="Q560" s="10">
        <f t="shared" ca="1" si="85"/>
        <v>45.952380952380807</v>
      </c>
      <c r="R560" s="10">
        <f t="shared" ca="1" si="86"/>
        <v>79.880952380951385</v>
      </c>
      <c r="S560" s="10">
        <f t="shared" ca="1" si="87"/>
        <v>-33.928571428570578</v>
      </c>
      <c r="T560" s="10">
        <f t="shared" ca="1" si="88"/>
        <v>233.60655737704559</v>
      </c>
      <c r="U560" s="10" t="str">
        <f t="shared" ca="1" si="89"/>
        <v>OR</v>
      </c>
      <c r="V560">
        <f t="shared" si="90"/>
        <v>3</v>
      </c>
    </row>
    <row r="561" spans="1:22" x14ac:dyDescent="0.25">
      <c r="A561">
        <v>63</v>
      </c>
      <c r="B561">
        <v>2</v>
      </c>
      <c r="C561">
        <v>55</v>
      </c>
      <c r="D561">
        <v>1</v>
      </c>
      <c r="E561">
        <v>1</v>
      </c>
      <c r="F561">
        <v>0</v>
      </c>
      <c r="G561">
        <v>0</v>
      </c>
      <c r="H561">
        <v>350</v>
      </c>
      <c r="I561">
        <f t="shared" si="91"/>
        <v>558</v>
      </c>
      <c r="J561" s="6">
        <f t="array" aca="1" ref="J561:N561" ca="1">TRANSPOSE(ols(OFFSET($C$2:$C$10,I561,0),OFFSET($D$2:$H$10,I561,0)))</f>
        <v>108.69047619047524</v>
      </c>
      <c r="K561" s="6">
        <f ca="1"/>
        <v>3.2142857142855519</v>
      </c>
      <c r="L561" s="6">
        <f ca="1"/>
        <v>-28.809523809523853</v>
      </c>
      <c r="M561" s="6">
        <f ca="1"/>
        <v>16.904761904762267</v>
      </c>
      <c r="N561" s="6">
        <f ca="1"/>
        <v>-0.14523809523809383</v>
      </c>
      <c r="O561" s="6">
        <f t="shared" ca="1" si="83"/>
        <v>61.071428571427944</v>
      </c>
      <c r="P561" t="str">
        <f t="shared" si="84"/>
        <v>NA</v>
      </c>
      <c r="Q561" s="10">
        <f t="shared" ca="1" si="85"/>
        <v>45.952380952380807</v>
      </c>
      <c r="R561" s="10">
        <f t="shared" ca="1" si="86"/>
        <v>111.90476190476079</v>
      </c>
      <c r="S561" s="10">
        <f t="shared" ca="1" si="87"/>
        <v>-65.952380952379983</v>
      </c>
      <c r="T561" s="10">
        <f t="shared" ca="1" si="88"/>
        <v>454.09836065573541</v>
      </c>
      <c r="U561" s="10">
        <f t="shared" ca="1" si="89"/>
        <v>454.09836065573541</v>
      </c>
      <c r="V561">
        <f t="shared" si="90"/>
        <v>2</v>
      </c>
    </row>
    <row r="562" spans="1:22" x14ac:dyDescent="0.25">
      <c r="A562">
        <v>63</v>
      </c>
      <c r="B562">
        <v>3</v>
      </c>
      <c r="C562">
        <v>45</v>
      </c>
      <c r="D562">
        <v>1</v>
      </c>
      <c r="E562">
        <v>1</v>
      </c>
      <c r="F562">
        <v>0</v>
      </c>
      <c r="G562">
        <v>0</v>
      </c>
      <c r="H562">
        <v>450</v>
      </c>
      <c r="I562">
        <f t="shared" si="91"/>
        <v>558</v>
      </c>
      <c r="J562" s="6">
        <f t="array" aca="1" ref="J562:N562" ca="1">TRANSPOSE(ols(OFFSET($C$2:$C$10,I562,0),OFFSET($D$2:$H$10,I562,0)))</f>
        <v>108.69047619047524</v>
      </c>
      <c r="K562" s="6">
        <f ca="1"/>
        <v>3.2142857142855519</v>
      </c>
      <c r="L562" s="6">
        <f ca="1"/>
        <v>-28.809523809523853</v>
      </c>
      <c r="M562" s="6">
        <f ca="1"/>
        <v>16.904761904762267</v>
      </c>
      <c r="N562" s="6">
        <f ca="1"/>
        <v>-0.14523809523809383</v>
      </c>
      <c r="O562" s="6">
        <f t="shared" ca="1" si="83"/>
        <v>46.547619047618568</v>
      </c>
      <c r="P562" t="str">
        <f t="shared" si="84"/>
        <v>NA</v>
      </c>
      <c r="Q562" s="10">
        <f t="shared" ca="1" si="85"/>
        <v>45.952380952380807</v>
      </c>
      <c r="R562" s="10">
        <f t="shared" ca="1" si="86"/>
        <v>111.90476190476079</v>
      </c>
      <c r="S562" s="10">
        <f t="shared" ca="1" si="87"/>
        <v>-65.952380952379983</v>
      </c>
      <c r="T562" s="10">
        <f t="shared" ca="1" si="88"/>
        <v>454.09836065573541</v>
      </c>
      <c r="U562" s="10">
        <f t="shared" ca="1" si="89"/>
        <v>454.09836065573541</v>
      </c>
      <c r="V562">
        <f t="shared" si="90"/>
        <v>2</v>
      </c>
    </row>
    <row r="563" spans="1:22" x14ac:dyDescent="0.25">
      <c r="A563">
        <v>63</v>
      </c>
      <c r="B563">
        <v>4</v>
      </c>
      <c r="C563">
        <v>40</v>
      </c>
      <c r="D563">
        <v>1</v>
      </c>
      <c r="E563">
        <v>0</v>
      </c>
      <c r="F563">
        <v>0</v>
      </c>
      <c r="G563">
        <v>0</v>
      </c>
      <c r="H563">
        <v>550</v>
      </c>
      <c r="I563">
        <f t="shared" si="91"/>
        <v>558</v>
      </c>
      <c r="J563" s="6">
        <f t="array" aca="1" ref="J563:N563" ca="1">TRANSPOSE(ols(OFFSET($C$2:$C$10,I563,0),OFFSET($D$2:$H$10,I563,0)))</f>
        <v>108.69047619047524</v>
      </c>
      <c r="K563" s="6">
        <f ca="1"/>
        <v>3.2142857142855519</v>
      </c>
      <c r="L563" s="6">
        <f ca="1"/>
        <v>-28.809523809523853</v>
      </c>
      <c r="M563" s="6">
        <f ca="1"/>
        <v>16.904761904762267</v>
      </c>
      <c r="N563" s="6">
        <f ca="1"/>
        <v>-0.14523809523809383</v>
      </c>
      <c r="O563" s="6">
        <f t="shared" ca="1" si="83"/>
        <v>28.809523809523625</v>
      </c>
      <c r="P563" t="str">
        <f t="shared" si="84"/>
        <v>NA</v>
      </c>
      <c r="Q563" s="10">
        <f t="shared" ca="1" si="85"/>
        <v>45.952380952380807</v>
      </c>
      <c r="R563" s="10">
        <f t="shared" ca="1" si="86"/>
        <v>108.69047619047524</v>
      </c>
      <c r="S563" s="10">
        <f t="shared" ca="1" si="87"/>
        <v>-62.738095238094431</v>
      </c>
      <c r="T563" s="10">
        <f t="shared" ca="1" si="88"/>
        <v>431.96721311475272</v>
      </c>
      <c r="U563" s="10">
        <f t="shared" ca="1" si="89"/>
        <v>431.96721311475272</v>
      </c>
      <c r="V563">
        <f t="shared" si="90"/>
        <v>1</v>
      </c>
    </row>
    <row r="564" spans="1:22" x14ac:dyDescent="0.25">
      <c r="A564">
        <v>63</v>
      </c>
      <c r="B564">
        <v>5</v>
      </c>
      <c r="C564">
        <v>60</v>
      </c>
      <c r="D564">
        <v>1</v>
      </c>
      <c r="E564">
        <v>0</v>
      </c>
      <c r="F564">
        <v>1</v>
      </c>
      <c r="G564">
        <v>1</v>
      </c>
      <c r="H564">
        <v>250</v>
      </c>
      <c r="I564">
        <f t="shared" si="91"/>
        <v>558</v>
      </c>
      <c r="J564" s="6">
        <f t="array" aca="1" ref="J564:N564" ca="1">TRANSPOSE(ols(OFFSET($C$2:$C$10,I564,0),OFFSET($D$2:$H$10,I564,0)))</f>
        <v>108.69047619047524</v>
      </c>
      <c r="K564" s="6">
        <f ca="1"/>
        <v>3.2142857142855519</v>
      </c>
      <c r="L564" s="6">
        <f ca="1"/>
        <v>-28.809523809523853</v>
      </c>
      <c r="M564" s="6">
        <f ca="1"/>
        <v>16.904761904762267</v>
      </c>
      <c r="N564" s="6">
        <f ca="1"/>
        <v>-0.14523809523809383</v>
      </c>
      <c r="O564" s="6">
        <f t="shared" ca="1" si="83"/>
        <v>60.476190476190197</v>
      </c>
      <c r="P564" t="str">
        <f t="shared" si="84"/>
        <v>NA</v>
      </c>
      <c r="Q564" s="10">
        <f t="shared" ca="1" si="85"/>
        <v>45.952380952380807</v>
      </c>
      <c r="R564" s="10">
        <f t="shared" ca="1" si="86"/>
        <v>96.785714285713652</v>
      </c>
      <c r="S564" s="10">
        <f t="shared" ca="1" si="87"/>
        <v>-50.833333333332845</v>
      </c>
      <c r="T564" s="10">
        <f t="shared" ca="1" si="88"/>
        <v>350</v>
      </c>
      <c r="U564" s="10">
        <f t="shared" ca="1" si="89"/>
        <v>350</v>
      </c>
      <c r="V564">
        <f t="shared" si="90"/>
        <v>6</v>
      </c>
    </row>
    <row r="565" spans="1:22" x14ac:dyDescent="0.25">
      <c r="A565">
        <v>63</v>
      </c>
      <c r="B565">
        <v>6</v>
      </c>
      <c r="C565">
        <v>50</v>
      </c>
      <c r="D565">
        <v>1</v>
      </c>
      <c r="E565">
        <v>0</v>
      </c>
      <c r="F565">
        <v>1</v>
      </c>
      <c r="G565">
        <v>1</v>
      </c>
      <c r="H565">
        <v>350</v>
      </c>
      <c r="I565">
        <f t="shared" si="91"/>
        <v>558</v>
      </c>
      <c r="J565" s="6">
        <f t="array" aca="1" ref="J565:N565" ca="1">TRANSPOSE(ols(OFFSET($C$2:$C$10,I565,0),OFFSET($D$2:$H$10,I565,0)))</f>
        <v>108.69047619047524</v>
      </c>
      <c r="K565" s="6">
        <f ca="1"/>
        <v>3.2142857142855519</v>
      </c>
      <c r="L565" s="6">
        <f ca="1"/>
        <v>-28.809523809523853</v>
      </c>
      <c r="M565" s="6">
        <f ca="1"/>
        <v>16.904761904762267</v>
      </c>
      <c r="N565" s="6">
        <f ca="1"/>
        <v>-0.14523809523809383</v>
      </c>
      <c r="O565" s="6">
        <f t="shared" ca="1" si="83"/>
        <v>45.952380952380807</v>
      </c>
      <c r="P565">
        <f t="shared" ca="1" si="84"/>
        <v>45.952380952380807</v>
      </c>
      <c r="Q565" s="10">
        <f t="shared" ca="1" si="85"/>
        <v>45.952380952380807</v>
      </c>
      <c r="R565" s="10">
        <f t="shared" ca="1" si="86"/>
        <v>96.785714285713652</v>
      </c>
      <c r="S565" s="10">
        <f t="shared" ca="1" si="87"/>
        <v>-50.833333333332845</v>
      </c>
      <c r="T565" s="10">
        <f t="shared" ca="1" si="88"/>
        <v>350</v>
      </c>
      <c r="U565" s="10">
        <f t="shared" ca="1" si="89"/>
        <v>350</v>
      </c>
      <c r="V565">
        <f t="shared" si="90"/>
        <v>6</v>
      </c>
    </row>
    <row r="566" spans="1:22" x14ac:dyDescent="0.25">
      <c r="A566">
        <v>63</v>
      </c>
      <c r="B566">
        <v>7</v>
      </c>
      <c r="C566">
        <v>70</v>
      </c>
      <c r="D566">
        <v>1</v>
      </c>
      <c r="E566">
        <v>1</v>
      </c>
      <c r="F566">
        <v>0</v>
      </c>
      <c r="G566">
        <v>1</v>
      </c>
      <c r="H566">
        <v>450</v>
      </c>
      <c r="I566">
        <f t="shared" si="91"/>
        <v>558</v>
      </c>
      <c r="J566" s="6">
        <f t="array" aca="1" ref="J566:N566" ca="1">TRANSPOSE(ols(OFFSET($C$2:$C$10,I566,0),OFFSET($D$2:$H$10,I566,0)))</f>
        <v>108.69047619047524</v>
      </c>
      <c r="K566" s="6">
        <f ca="1"/>
        <v>3.2142857142855519</v>
      </c>
      <c r="L566" s="6">
        <f ca="1"/>
        <v>-28.809523809523853</v>
      </c>
      <c r="M566" s="6">
        <f ca="1"/>
        <v>16.904761904762267</v>
      </c>
      <c r="N566" s="6">
        <f ca="1"/>
        <v>-0.14523809523809383</v>
      </c>
      <c r="O566" s="6">
        <f t="shared" ca="1" si="83"/>
        <v>63.452380952380835</v>
      </c>
      <c r="P566" t="str">
        <f t="shared" si="84"/>
        <v>NA</v>
      </c>
      <c r="Q566" s="10">
        <f t="shared" ca="1" si="85"/>
        <v>45.952380952380807</v>
      </c>
      <c r="R566" s="10">
        <f t="shared" ca="1" si="86"/>
        <v>128.80952380952306</v>
      </c>
      <c r="S566" s="10">
        <f t="shared" ca="1" si="87"/>
        <v>-82.85714285714225</v>
      </c>
      <c r="T566" s="10">
        <f t="shared" ca="1" si="88"/>
        <v>570.49180327868987</v>
      </c>
      <c r="U566" s="10">
        <f t="shared" ca="1" si="89"/>
        <v>570.49180327868987</v>
      </c>
      <c r="V566">
        <f t="shared" si="90"/>
        <v>5</v>
      </c>
    </row>
    <row r="567" spans="1:22" x14ac:dyDescent="0.25">
      <c r="A567">
        <v>63</v>
      </c>
      <c r="B567">
        <v>8</v>
      </c>
      <c r="C567">
        <v>50</v>
      </c>
      <c r="D567">
        <v>1</v>
      </c>
      <c r="E567">
        <v>1</v>
      </c>
      <c r="F567">
        <v>0</v>
      </c>
      <c r="G567">
        <v>1</v>
      </c>
      <c r="H567">
        <v>550</v>
      </c>
      <c r="I567">
        <f t="shared" si="91"/>
        <v>558</v>
      </c>
      <c r="J567" s="6">
        <f t="array" aca="1" ref="J567:N567" ca="1">TRANSPOSE(ols(OFFSET($C$2:$C$10,I567,0),OFFSET($D$2:$H$10,I567,0)))</f>
        <v>108.69047619047524</v>
      </c>
      <c r="K567" s="6">
        <f ca="1"/>
        <v>3.2142857142855519</v>
      </c>
      <c r="L567" s="6">
        <f ca="1"/>
        <v>-28.809523809523853</v>
      </c>
      <c r="M567" s="6">
        <f ca="1"/>
        <v>16.904761904762267</v>
      </c>
      <c r="N567" s="6">
        <f ca="1"/>
        <v>-0.14523809523809383</v>
      </c>
      <c r="O567" s="6">
        <f t="shared" ca="1" si="83"/>
        <v>48.928571428571445</v>
      </c>
      <c r="P567" t="str">
        <f t="shared" si="84"/>
        <v>NA</v>
      </c>
      <c r="Q567" s="10">
        <f t="shared" ca="1" si="85"/>
        <v>45.952380952380807</v>
      </c>
      <c r="R567" s="10">
        <f t="shared" ca="1" si="86"/>
        <v>128.80952380952306</v>
      </c>
      <c r="S567" s="10">
        <f t="shared" ca="1" si="87"/>
        <v>-82.85714285714225</v>
      </c>
      <c r="T567" s="10">
        <f t="shared" ca="1" si="88"/>
        <v>570.49180327868987</v>
      </c>
      <c r="U567" s="10">
        <f t="shared" ca="1" si="89"/>
        <v>570.49180327868987</v>
      </c>
      <c r="V567">
        <f t="shared" si="90"/>
        <v>5</v>
      </c>
    </row>
    <row r="568" spans="1:22" x14ac:dyDescent="0.25">
      <c r="A568">
        <v>63</v>
      </c>
      <c r="B568">
        <v>9</v>
      </c>
      <c r="C568">
        <v>20</v>
      </c>
      <c r="D568">
        <v>1</v>
      </c>
      <c r="E568">
        <v>0</v>
      </c>
      <c r="F568">
        <v>0</v>
      </c>
      <c r="G568">
        <v>1</v>
      </c>
      <c r="H568">
        <v>650</v>
      </c>
      <c r="I568">
        <f t="shared" si="91"/>
        <v>558</v>
      </c>
      <c r="J568" s="6">
        <f t="array" aca="1" ref="J568:N568" ca="1">TRANSPOSE(ols(OFFSET($C$2:$C$10,I568,0),OFFSET($D$2:$H$10,I568,0)))</f>
        <v>108.69047619047524</v>
      </c>
      <c r="K568" s="6">
        <f ca="1"/>
        <v>3.2142857142855519</v>
      </c>
      <c r="L568" s="6">
        <f ca="1"/>
        <v>-28.809523809523853</v>
      </c>
      <c r="M568" s="6">
        <f ca="1"/>
        <v>16.904761904762267</v>
      </c>
      <c r="N568" s="6">
        <f ca="1"/>
        <v>-0.14523809523809383</v>
      </c>
      <c r="O568" s="6">
        <f t="shared" ca="1" si="83"/>
        <v>31.190476190476517</v>
      </c>
      <c r="P568" t="str">
        <f t="shared" si="84"/>
        <v>NA</v>
      </c>
      <c r="Q568" s="10">
        <f t="shared" ca="1" si="85"/>
        <v>45.952380952380807</v>
      </c>
      <c r="R568" s="10">
        <f t="shared" ca="1" si="86"/>
        <v>125.59523809523751</v>
      </c>
      <c r="S568" s="10">
        <f t="shared" ca="1" si="87"/>
        <v>-79.642857142856698</v>
      </c>
      <c r="T568" s="10">
        <f t="shared" ca="1" si="88"/>
        <v>548.36065573770713</v>
      </c>
      <c r="U568" s="10">
        <f t="shared" ca="1" si="89"/>
        <v>548.36065573770713</v>
      </c>
      <c r="V568">
        <f t="shared" si="90"/>
        <v>4</v>
      </c>
    </row>
    <row r="569" spans="1:22" x14ac:dyDescent="0.25">
      <c r="A569">
        <v>64</v>
      </c>
      <c r="B569">
        <v>1</v>
      </c>
      <c r="C569">
        <v>50</v>
      </c>
      <c r="D569">
        <v>1</v>
      </c>
      <c r="E569">
        <v>0</v>
      </c>
      <c r="F569">
        <v>1</v>
      </c>
      <c r="G569">
        <v>0</v>
      </c>
      <c r="H569">
        <v>250</v>
      </c>
      <c r="I569">
        <f t="shared" si="91"/>
        <v>567</v>
      </c>
      <c r="J569" s="6">
        <f t="array" aca="1" ref="J569:N569" ca="1">TRANSPOSE(ols(OFFSET($C$2:$C$10,I569,0),OFFSET($D$2:$H$10,I569,0)))</f>
        <v>145.17857142856974</v>
      </c>
      <c r="K569" s="6">
        <f ca="1"/>
        <v>-4.6428571428571104</v>
      </c>
      <c r="L569" s="6">
        <f ca="1"/>
        <v>-33.571428571428442</v>
      </c>
      <c r="M569" s="6">
        <f ca="1"/>
        <v>1.7857142857144481</v>
      </c>
      <c r="N569" s="6">
        <f ca="1"/>
        <v>-0.18928571428571495</v>
      </c>
      <c r="O569" s="6">
        <f t="shared" ca="1" si="83"/>
        <v>64.285714285712558</v>
      </c>
      <c r="P569" t="str">
        <f t="shared" si="84"/>
        <v>NA</v>
      </c>
      <c r="Q569" s="10">
        <f t="shared" ca="1" si="85"/>
        <v>47.142857142855519</v>
      </c>
      <c r="R569" s="10">
        <f t="shared" ca="1" si="86"/>
        <v>111.6071428571413</v>
      </c>
      <c r="S569" s="10">
        <f t="shared" ca="1" si="87"/>
        <v>-64.464285714285779</v>
      </c>
      <c r="T569" s="10">
        <f t="shared" ca="1" si="88"/>
        <v>340.56603773584823</v>
      </c>
      <c r="U569" s="10">
        <f t="shared" ca="1" si="89"/>
        <v>340.56603773584823</v>
      </c>
      <c r="V569">
        <f t="shared" si="90"/>
        <v>3</v>
      </c>
    </row>
    <row r="570" spans="1:22" x14ac:dyDescent="0.25">
      <c r="A570">
        <v>64</v>
      </c>
      <c r="B570">
        <v>2</v>
      </c>
      <c r="C570">
        <v>70</v>
      </c>
      <c r="D570">
        <v>1</v>
      </c>
      <c r="E570">
        <v>1</v>
      </c>
      <c r="F570">
        <v>0</v>
      </c>
      <c r="G570">
        <v>0</v>
      </c>
      <c r="H570">
        <v>350</v>
      </c>
      <c r="I570">
        <f t="shared" si="91"/>
        <v>567</v>
      </c>
      <c r="J570" s="6">
        <f t="array" aca="1" ref="J570:N570" ca="1">TRANSPOSE(ols(OFFSET($C$2:$C$10,I570,0),OFFSET($D$2:$H$10,I570,0)))</f>
        <v>145.17857142856974</v>
      </c>
      <c r="K570" s="6">
        <f ca="1"/>
        <v>-4.6428571428571104</v>
      </c>
      <c r="L570" s="6">
        <f ca="1"/>
        <v>-33.571428571428442</v>
      </c>
      <c r="M570" s="6">
        <f ca="1"/>
        <v>1.7857142857144481</v>
      </c>
      <c r="N570" s="6">
        <f ca="1"/>
        <v>-0.18928571428571495</v>
      </c>
      <c r="O570" s="6">
        <f t="shared" ca="1" si="83"/>
        <v>74.285714285712402</v>
      </c>
      <c r="P570" t="str">
        <f t="shared" si="84"/>
        <v>NA</v>
      </c>
      <c r="Q570" s="10">
        <f t="shared" ca="1" si="85"/>
        <v>47.142857142855519</v>
      </c>
      <c r="R570" s="10">
        <f t="shared" ca="1" si="86"/>
        <v>140.53571428571263</v>
      </c>
      <c r="S570" s="10">
        <f t="shared" ca="1" si="87"/>
        <v>-93.39285714285711</v>
      </c>
      <c r="T570" s="10">
        <f t="shared" ca="1" si="88"/>
        <v>493.39622641509243</v>
      </c>
      <c r="U570" s="10">
        <f t="shared" ca="1" si="89"/>
        <v>493.39622641509243</v>
      </c>
      <c r="V570">
        <f t="shared" si="90"/>
        <v>2</v>
      </c>
    </row>
    <row r="571" spans="1:22" x14ac:dyDescent="0.25">
      <c r="A571">
        <v>64</v>
      </c>
      <c r="B571">
        <v>3</v>
      </c>
      <c r="C571">
        <v>50</v>
      </c>
      <c r="D571">
        <v>1</v>
      </c>
      <c r="E571">
        <v>1</v>
      </c>
      <c r="F571">
        <v>0</v>
      </c>
      <c r="G571">
        <v>0</v>
      </c>
      <c r="H571">
        <v>450</v>
      </c>
      <c r="I571">
        <f t="shared" si="91"/>
        <v>567</v>
      </c>
      <c r="J571" s="6">
        <f t="array" aca="1" ref="J571:N571" ca="1">TRANSPOSE(ols(OFFSET($C$2:$C$10,I571,0),OFFSET($D$2:$H$10,I571,0)))</f>
        <v>145.17857142856974</v>
      </c>
      <c r="K571" s="6">
        <f ca="1"/>
        <v>-4.6428571428571104</v>
      </c>
      <c r="L571" s="6">
        <f ca="1"/>
        <v>-33.571428571428442</v>
      </c>
      <c r="M571" s="6">
        <f ca="1"/>
        <v>1.7857142857144481</v>
      </c>
      <c r="N571" s="6">
        <f ca="1"/>
        <v>-0.18928571428571495</v>
      </c>
      <c r="O571" s="6">
        <f t="shared" ca="1" si="83"/>
        <v>55.3571428571409</v>
      </c>
      <c r="P571" t="str">
        <f t="shared" si="84"/>
        <v>NA</v>
      </c>
      <c r="Q571" s="10">
        <f t="shared" ca="1" si="85"/>
        <v>47.142857142855519</v>
      </c>
      <c r="R571" s="10">
        <f t="shared" ca="1" si="86"/>
        <v>140.53571428571263</v>
      </c>
      <c r="S571" s="10">
        <f t="shared" ca="1" si="87"/>
        <v>-93.39285714285711</v>
      </c>
      <c r="T571" s="10">
        <f t="shared" ca="1" si="88"/>
        <v>493.39622641509243</v>
      </c>
      <c r="U571" s="10">
        <f t="shared" ca="1" si="89"/>
        <v>493.39622641509243</v>
      </c>
      <c r="V571">
        <f t="shared" si="90"/>
        <v>2</v>
      </c>
    </row>
    <row r="572" spans="1:22" x14ac:dyDescent="0.25">
      <c r="A572">
        <v>64</v>
      </c>
      <c r="B572">
        <v>4</v>
      </c>
      <c r="C572">
        <v>65</v>
      </c>
      <c r="D572">
        <v>1</v>
      </c>
      <c r="E572">
        <v>0</v>
      </c>
      <c r="F572">
        <v>0</v>
      </c>
      <c r="G572">
        <v>0</v>
      </c>
      <c r="H572">
        <v>550</v>
      </c>
      <c r="I572">
        <f t="shared" si="91"/>
        <v>567</v>
      </c>
      <c r="J572" s="6">
        <f t="array" aca="1" ref="J572:N572" ca="1">TRANSPOSE(ols(OFFSET($C$2:$C$10,I572,0),OFFSET($D$2:$H$10,I572,0)))</f>
        <v>145.17857142856974</v>
      </c>
      <c r="K572" s="6">
        <f ca="1"/>
        <v>-4.6428571428571104</v>
      </c>
      <c r="L572" s="6">
        <f ca="1"/>
        <v>-33.571428571428442</v>
      </c>
      <c r="M572" s="6">
        <f ca="1"/>
        <v>1.7857142857144481</v>
      </c>
      <c r="N572" s="6">
        <f ca="1"/>
        <v>-0.18928571428571495</v>
      </c>
      <c r="O572" s="6">
        <f t="shared" ca="1" si="83"/>
        <v>41.071428571426523</v>
      </c>
      <c r="P572" t="str">
        <f t="shared" si="84"/>
        <v>NA</v>
      </c>
      <c r="Q572" s="10">
        <f t="shared" ca="1" si="85"/>
        <v>47.142857142855519</v>
      </c>
      <c r="R572" s="10">
        <f t="shared" ca="1" si="86"/>
        <v>145.17857142856974</v>
      </c>
      <c r="S572" s="10">
        <f t="shared" ca="1" si="87"/>
        <v>-98.035714285714221</v>
      </c>
      <c r="T572" s="10">
        <f t="shared" ca="1" si="88"/>
        <v>517.92452830188461</v>
      </c>
      <c r="U572" s="10">
        <f t="shared" ca="1" si="89"/>
        <v>517.92452830188461</v>
      </c>
      <c r="V572">
        <f t="shared" si="90"/>
        <v>1</v>
      </c>
    </row>
    <row r="573" spans="1:22" x14ac:dyDescent="0.25">
      <c r="A573">
        <v>64</v>
      </c>
      <c r="B573">
        <v>5</v>
      </c>
      <c r="C573">
        <v>72.5</v>
      </c>
      <c r="D573">
        <v>1</v>
      </c>
      <c r="E573">
        <v>0</v>
      </c>
      <c r="F573">
        <v>1</v>
      </c>
      <c r="G573">
        <v>1</v>
      </c>
      <c r="H573">
        <v>250</v>
      </c>
      <c r="I573">
        <f t="shared" si="91"/>
        <v>567</v>
      </c>
      <c r="J573" s="6">
        <f t="array" aca="1" ref="J573:N573" ca="1">TRANSPOSE(ols(OFFSET($C$2:$C$10,I573,0),OFFSET($D$2:$H$10,I573,0)))</f>
        <v>145.17857142856974</v>
      </c>
      <c r="K573" s="6">
        <f ca="1"/>
        <v>-4.6428571428571104</v>
      </c>
      <c r="L573" s="6">
        <f ca="1"/>
        <v>-33.571428571428442</v>
      </c>
      <c r="M573" s="6">
        <f ca="1"/>
        <v>1.7857142857144481</v>
      </c>
      <c r="N573" s="6">
        <f ca="1"/>
        <v>-0.18928571428571495</v>
      </c>
      <c r="O573" s="6">
        <f t="shared" ca="1" si="83"/>
        <v>66.071428571427006</v>
      </c>
      <c r="P573" t="str">
        <f t="shared" si="84"/>
        <v>NA</v>
      </c>
      <c r="Q573" s="10">
        <f t="shared" ca="1" si="85"/>
        <v>47.142857142855519</v>
      </c>
      <c r="R573" s="10">
        <f t="shared" ca="1" si="86"/>
        <v>113.39285714285575</v>
      </c>
      <c r="S573" s="10">
        <f t="shared" ca="1" si="87"/>
        <v>-66.250000000000227</v>
      </c>
      <c r="T573" s="10">
        <f t="shared" ca="1" si="88"/>
        <v>350</v>
      </c>
      <c r="U573" s="10">
        <f t="shared" ca="1" si="89"/>
        <v>350</v>
      </c>
      <c r="V573">
        <f t="shared" si="90"/>
        <v>6</v>
      </c>
    </row>
    <row r="574" spans="1:22" x14ac:dyDescent="0.25">
      <c r="A574">
        <v>64</v>
      </c>
      <c r="B574">
        <v>6</v>
      </c>
      <c r="C574">
        <v>55</v>
      </c>
      <c r="D574">
        <v>1</v>
      </c>
      <c r="E574">
        <v>0</v>
      </c>
      <c r="F574">
        <v>1</v>
      </c>
      <c r="G574">
        <v>1</v>
      </c>
      <c r="H574">
        <v>350</v>
      </c>
      <c r="I574">
        <f t="shared" si="91"/>
        <v>567</v>
      </c>
      <c r="J574" s="6">
        <f t="array" aca="1" ref="J574:N574" ca="1">TRANSPOSE(ols(OFFSET($C$2:$C$10,I574,0),OFFSET($D$2:$H$10,I574,0)))</f>
        <v>145.17857142856974</v>
      </c>
      <c r="K574" s="6">
        <f ca="1"/>
        <v>-4.6428571428571104</v>
      </c>
      <c r="L574" s="6">
        <f ca="1"/>
        <v>-33.571428571428442</v>
      </c>
      <c r="M574" s="6">
        <f ca="1"/>
        <v>1.7857142857144481</v>
      </c>
      <c r="N574" s="6">
        <f ca="1"/>
        <v>-0.18928571428571495</v>
      </c>
      <c r="O574" s="6">
        <f t="shared" ca="1" si="83"/>
        <v>47.142857142855519</v>
      </c>
      <c r="P574">
        <f t="shared" ca="1" si="84"/>
        <v>47.142857142855519</v>
      </c>
      <c r="Q574" s="10">
        <f t="shared" ca="1" si="85"/>
        <v>47.142857142855519</v>
      </c>
      <c r="R574" s="10">
        <f t="shared" ca="1" si="86"/>
        <v>113.39285714285575</v>
      </c>
      <c r="S574" s="10">
        <f t="shared" ca="1" si="87"/>
        <v>-66.250000000000227</v>
      </c>
      <c r="T574" s="10">
        <f t="shared" ca="1" si="88"/>
        <v>350</v>
      </c>
      <c r="U574" s="10">
        <f t="shared" ca="1" si="89"/>
        <v>350</v>
      </c>
      <c r="V574">
        <f t="shared" si="90"/>
        <v>6</v>
      </c>
    </row>
    <row r="575" spans="1:22" x14ac:dyDescent="0.25">
      <c r="A575">
        <v>64</v>
      </c>
      <c r="B575">
        <v>7</v>
      </c>
      <c r="C575">
        <v>55</v>
      </c>
      <c r="D575">
        <v>1</v>
      </c>
      <c r="E575">
        <v>1</v>
      </c>
      <c r="F575">
        <v>0</v>
      </c>
      <c r="G575">
        <v>1</v>
      </c>
      <c r="H575">
        <v>450</v>
      </c>
      <c r="I575">
        <f t="shared" si="91"/>
        <v>567</v>
      </c>
      <c r="J575" s="6">
        <f t="array" aca="1" ref="J575:N575" ca="1">TRANSPOSE(ols(OFFSET($C$2:$C$10,I575,0),OFFSET($D$2:$H$10,I575,0)))</f>
        <v>145.17857142856974</v>
      </c>
      <c r="K575" s="6">
        <f ca="1"/>
        <v>-4.6428571428571104</v>
      </c>
      <c r="L575" s="6">
        <f ca="1"/>
        <v>-33.571428571428442</v>
      </c>
      <c r="M575" s="6">
        <f ca="1"/>
        <v>1.7857142857144481</v>
      </c>
      <c r="N575" s="6">
        <f ca="1"/>
        <v>-0.18928571428571495</v>
      </c>
      <c r="O575" s="6">
        <f t="shared" ca="1" si="83"/>
        <v>57.142857142855348</v>
      </c>
      <c r="P575" t="str">
        <f t="shared" si="84"/>
        <v>NA</v>
      </c>
      <c r="Q575" s="10">
        <f t="shared" ca="1" si="85"/>
        <v>47.142857142855519</v>
      </c>
      <c r="R575" s="10">
        <f t="shared" ca="1" si="86"/>
        <v>142.32142857142708</v>
      </c>
      <c r="S575" s="10">
        <f t="shared" ca="1" si="87"/>
        <v>-95.178571428571558</v>
      </c>
      <c r="T575" s="10">
        <f t="shared" ca="1" si="88"/>
        <v>502.8301886792442</v>
      </c>
      <c r="U575" s="10">
        <f t="shared" ca="1" si="89"/>
        <v>502.8301886792442</v>
      </c>
      <c r="V575">
        <f t="shared" si="90"/>
        <v>5</v>
      </c>
    </row>
    <row r="576" spans="1:22" x14ac:dyDescent="0.25">
      <c r="A576">
        <v>64</v>
      </c>
      <c r="B576">
        <v>8</v>
      </c>
      <c r="C576">
        <v>50</v>
      </c>
      <c r="D576">
        <v>1</v>
      </c>
      <c r="E576">
        <v>1</v>
      </c>
      <c r="F576">
        <v>0</v>
      </c>
      <c r="G576">
        <v>1</v>
      </c>
      <c r="H576">
        <v>550</v>
      </c>
      <c r="I576">
        <f t="shared" si="91"/>
        <v>567</v>
      </c>
      <c r="J576" s="6">
        <f t="array" aca="1" ref="J576:N576" ca="1">TRANSPOSE(ols(OFFSET($C$2:$C$10,I576,0),OFFSET($D$2:$H$10,I576,0)))</f>
        <v>145.17857142856974</v>
      </c>
      <c r="K576" s="6">
        <f ca="1"/>
        <v>-4.6428571428571104</v>
      </c>
      <c r="L576" s="6">
        <f ca="1"/>
        <v>-33.571428571428442</v>
      </c>
      <c r="M576" s="6">
        <f ca="1"/>
        <v>1.7857142857144481</v>
      </c>
      <c r="N576" s="6">
        <f ca="1"/>
        <v>-0.18928571428571495</v>
      </c>
      <c r="O576" s="6">
        <f t="shared" ca="1" si="83"/>
        <v>38.214285714283861</v>
      </c>
      <c r="P576" t="str">
        <f t="shared" si="84"/>
        <v>NA</v>
      </c>
      <c r="Q576" s="10">
        <f t="shared" ca="1" si="85"/>
        <v>47.142857142855519</v>
      </c>
      <c r="R576" s="10">
        <f t="shared" ca="1" si="86"/>
        <v>142.32142857142708</v>
      </c>
      <c r="S576" s="10">
        <f t="shared" ca="1" si="87"/>
        <v>-95.178571428571558</v>
      </c>
      <c r="T576" s="10">
        <f t="shared" ca="1" si="88"/>
        <v>502.8301886792442</v>
      </c>
      <c r="U576" s="10">
        <f t="shared" ca="1" si="89"/>
        <v>502.8301886792442</v>
      </c>
      <c r="V576">
        <f t="shared" si="90"/>
        <v>5</v>
      </c>
    </row>
    <row r="577" spans="1:22" x14ac:dyDescent="0.25">
      <c r="A577">
        <v>64</v>
      </c>
      <c r="B577">
        <v>9</v>
      </c>
      <c r="C577">
        <v>0</v>
      </c>
      <c r="D577">
        <v>1</v>
      </c>
      <c r="E577">
        <v>0</v>
      </c>
      <c r="F577">
        <v>0</v>
      </c>
      <c r="G577">
        <v>1</v>
      </c>
      <c r="H577">
        <v>650</v>
      </c>
      <c r="I577">
        <f t="shared" si="91"/>
        <v>567</v>
      </c>
      <c r="J577" s="6">
        <f t="array" aca="1" ref="J577:N577" ca="1">TRANSPOSE(ols(OFFSET($C$2:$C$10,I577,0),OFFSET($D$2:$H$10,I577,0)))</f>
        <v>145.17857142856974</v>
      </c>
      <c r="K577" s="6">
        <f ca="1"/>
        <v>-4.6428571428571104</v>
      </c>
      <c r="L577" s="6">
        <f ca="1"/>
        <v>-33.571428571428442</v>
      </c>
      <c r="M577" s="6">
        <f ca="1"/>
        <v>1.7857142857144481</v>
      </c>
      <c r="N577" s="6">
        <f ca="1"/>
        <v>-0.18928571428571495</v>
      </c>
      <c r="O577" s="6">
        <f t="shared" ca="1" si="83"/>
        <v>23.92857142856947</v>
      </c>
      <c r="P577" t="str">
        <f t="shared" si="84"/>
        <v>NA</v>
      </c>
      <c r="Q577" s="10">
        <f t="shared" ca="1" si="85"/>
        <v>47.142857142855519</v>
      </c>
      <c r="R577" s="10">
        <f t="shared" ca="1" si="86"/>
        <v>146.96428571428419</v>
      </c>
      <c r="S577" s="10">
        <f t="shared" ca="1" si="87"/>
        <v>-99.821428571428669</v>
      </c>
      <c r="T577" s="10">
        <f t="shared" ca="1" si="88"/>
        <v>527.35849056603638</v>
      </c>
      <c r="U577" s="10">
        <f t="shared" ca="1" si="89"/>
        <v>527.35849056603638</v>
      </c>
      <c r="V577">
        <f t="shared" si="90"/>
        <v>4</v>
      </c>
    </row>
    <row r="578" spans="1:22" x14ac:dyDescent="0.25">
      <c r="A578">
        <v>65</v>
      </c>
      <c r="B578">
        <v>1</v>
      </c>
      <c r="C578">
        <v>10</v>
      </c>
      <c r="D578">
        <v>1</v>
      </c>
      <c r="E578">
        <v>0</v>
      </c>
      <c r="F578">
        <v>1</v>
      </c>
      <c r="G578">
        <v>0</v>
      </c>
      <c r="H578">
        <v>250</v>
      </c>
      <c r="I578">
        <f t="shared" si="91"/>
        <v>576</v>
      </c>
      <c r="J578" s="6">
        <f t="array" aca="1" ref="J578:N578" ca="1">TRANSPOSE(ols(OFFSET($C$2:$C$10,I578,0),OFFSET($D$2:$H$10,I578,0)))</f>
        <v>48.571428571427873</v>
      </c>
      <c r="K578" s="6">
        <f ca="1"/>
        <v>-7.8571428571426054</v>
      </c>
      <c r="L578" s="6">
        <f ca="1"/>
        <v>-11.428571428571104</v>
      </c>
      <c r="M578" s="6">
        <f ca="1"/>
        <v>5.7142857142856656</v>
      </c>
      <c r="N578" s="6">
        <f ca="1"/>
        <v>-8.5714285714285188E-2</v>
      </c>
      <c r="O578" s="6">
        <f t="shared" ca="1" si="83"/>
        <v>15.714285714285474</v>
      </c>
      <c r="P578" t="str">
        <f t="shared" si="84"/>
        <v>NA</v>
      </c>
      <c r="Q578" s="10">
        <f t="shared" ca="1" si="85"/>
        <v>12.85714285714262</v>
      </c>
      <c r="R578" s="10">
        <f t="shared" ca="1" si="86"/>
        <v>37.142857142856769</v>
      </c>
      <c r="S578" s="10">
        <f t="shared" ca="1" si="87"/>
        <v>-24.28571428571415</v>
      </c>
      <c r="T578" s="10">
        <f t="shared" ca="1" si="88"/>
        <v>283.33333333333348</v>
      </c>
      <c r="U578" s="10">
        <f t="shared" ca="1" si="89"/>
        <v>283.33333333333348</v>
      </c>
      <c r="V578">
        <f t="shared" si="90"/>
        <v>3</v>
      </c>
    </row>
    <row r="579" spans="1:22" x14ac:dyDescent="0.25">
      <c r="A579">
        <v>65</v>
      </c>
      <c r="B579">
        <v>2</v>
      </c>
      <c r="C579">
        <v>15</v>
      </c>
      <c r="D579">
        <v>1</v>
      </c>
      <c r="E579">
        <v>1</v>
      </c>
      <c r="F579">
        <v>0</v>
      </c>
      <c r="G579">
        <v>0</v>
      </c>
      <c r="H579">
        <v>350</v>
      </c>
      <c r="I579">
        <f t="shared" si="91"/>
        <v>576</v>
      </c>
      <c r="J579" s="6">
        <f t="array" aca="1" ref="J579:N579" ca="1">TRANSPOSE(ols(OFFSET($C$2:$C$10,I579,0),OFFSET($D$2:$H$10,I579,0)))</f>
        <v>48.571428571427873</v>
      </c>
      <c r="K579" s="6">
        <f ca="1"/>
        <v>-7.8571428571426054</v>
      </c>
      <c r="L579" s="6">
        <f ca="1"/>
        <v>-11.428571428571104</v>
      </c>
      <c r="M579" s="6">
        <f ca="1"/>
        <v>5.7142857142856656</v>
      </c>
      <c r="N579" s="6">
        <f ca="1"/>
        <v>-8.5714285714285188E-2</v>
      </c>
      <c r="O579" s="6">
        <f t="shared" ref="O579:O642" ca="1" si="92">SUMPRODUCT(J579:N579,D579:H579)</f>
        <v>10.714285714285452</v>
      </c>
      <c r="P579" t="str">
        <f t="shared" ref="P579:P642" si="93">IF(AND(F579=1,G579=1,H579=350),O579,"NA")</f>
        <v>NA</v>
      </c>
      <c r="Q579" s="10">
        <f t="shared" ref="Q579:Q642" ca="1" si="94">AVERAGEIF($A$2:$A$5383,A579,$P$2:$P$5383)</f>
        <v>12.85714285714262</v>
      </c>
      <c r="R579" s="10">
        <f t="shared" ref="R579:R642" ca="1" si="95">O579-N579*H579</f>
        <v>40.714285714285268</v>
      </c>
      <c r="S579" s="10">
        <f t="shared" ref="S579:S642" ca="1" si="96">Q579-R579</f>
        <v>-27.857142857142648</v>
      </c>
      <c r="T579" s="10">
        <f t="shared" ref="T579:T642" ca="1" si="97">S579/N579</f>
        <v>324.99999999999955</v>
      </c>
      <c r="U579" s="10">
        <f t="shared" ref="U579:U642" ca="1" si="98">IF(OR(T579&lt;250,T579&gt;650),"OR",T579)</f>
        <v>324.99999999999955</v>
      </c>
      <c r="V579">
        <f t="shared" ref="V579:V642" si="99">IF(AND(E579=1,G579=0),2,IF(AND(F579=1,G579=0),3,IF(AND(E579=1,G579=1),5,IF(AND(F579=1,G579=1),6,IF(G579=0,1,IF(G579=1,4))))))</f>
        <v>2</v>
      </c>
    </row>
    <row r="580" spans="1:22" x14ac:dyDescent="0.25">
      <c r="A580">
        <v>65</v>
      </c>
      <c r="B580">
        <v>3</v>
      </c>
      <c r="C580">
        <v>5</v>
      </c>
      <c r="D580">
        <v>1</v>
      </c>
      <c r="E580">
        <v>1</v>
      </c>
      <c r="F580">
        <v>0</v>
      </c>
      <c r="G580">
        <v>0</v>
      </c>
      <c r="H580">
        <v>450</v>
      </c>
      <c r="I580">
        <f t="shared" si="91"/>
        <v>576</v>
      </c>
      <c r="J580" s="6">
        <f t="array" aca="1" ref="J580:N580" ca="1">TRANSPOSE(ols(OFFSET($C$2:$C$10,I580,0),OFFSET($D$2:$H$10,I580,0)))</f>
        <v>48.571428571427873</v>
      </c>
      <c r="K580" s="6">
        <f ca="1"/>
        <v>-7.8571428571426054</v>
      </c>
      <c r="L580" s="6">
        <f ca="1"/>
        <v>-11.428571428571104</v>
      </c>
      <c r="M580" s="6">
        <f ca="1"/>
        <v>5.7142857142856656</v>
      </c>
      <c r="N580" s="6">
        <f ca="1"/>
        <v>-8.5714285714285188E-2</v>
      </c>
      <c r="O580" s="6">
        <f t="shared" ca="1" si="92"/>
        <v>2.1428571428569327</v>
      </c>
      <c r="P580" t="str">
        <f t="shared" si="93"/>
        <v>NA</v>
      </c>
      <c r="Q580" s="10">
        <f t="shared" ca="1" si="94"/>
        <v>12.85714285714262</v>
      </c>
      <c r="R580" s="10">
        <f t="shared" ca="1" si="95"/>
        <v>40.714285714285268</v>
      </c>
      <c r="S580" s="10">
        <f t="shared" ca="1" si="96"/>
        <v>-27.857142857142648</v>
      </c>
      <c r="T580" s="10">
        <f t="shared" ca="1" si="97"/>
        <v>324.99999999999955</v>
      </c>
      <c r="U580" s="10">
        <f t="shared" ca="1" si="98"/>
        <v>324.99999999999955</v>
      </c>
      <c r="V580">
        <f t="shared" si="99"/>
        <v>2</v>
      </c>
    </row>
    <row r="581" spans="1:22" x14ac:dyDescent="0.25">
      <c r="A581">
        <v>65</v>
      </c>
      <c r="B581">
        <v>4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550</v>
      </c>
      <c r="I581">
        <f t="shared" si="91"/>
        <v>576</v>
      </c>
      <c r="J581" s="6">
        <f t="array" aca="1" ref="J581:N581" ca="1">TRANSPOSE(ols(OFFSET($C$2:$C$10,I581,0),OFFSET($D$2:$H$10,I581,0)))</f>
        <v>48.571428571427873</v>
      </c>
      <c r="K581" s="6">
        <f ca="1"/>
        <v>-7.8571428571426054</v>
      </c>
      <c r="L581" s="6">
        <f ca="1"/>
        <v>-11.428571428571104</v>
      </c>
      <c r="M581" s="6">
        <f ca="1"/>
        <v>5.7142857142856656</v>
      </c>
      <c r="N581" s="6">
        <f ca="1"/>
        <v>-8.5714285714285188E-2</v>
      </c>
      <c r="O581" s="6">
        <f t="shared" ca="1" si="92"/>
        <v>1.4285714285710185</v>
      </c>
      <c r="P581" t="str">
        <f t="shared" si="93"/>
        <v>NA</v>
      </c>
      <c r="Q581" s="10">
        <f t="shared" ca="1" si="94"/>
        <v>12.85714285714262</v>
      </c>
      <c r="R581" s="10">
        <f t="shared" ca="1" si="95"/>
        <v>48.571428571427873</v>
      </c>
      <c r="S581" s="10">
        <f t="shared" ca="1" si="96"/>
        <v>-35.714285714285253</v>
      </c>
      <c r="T581" s="10">
        <f t="shared" ca="1" si="97"/>
        <v>416.66666666666384</v>
      </c>
      <c r="U581" s="10">
        <f t="shared" ca="1" si="98"/>
        <v>416.66666666666384</v>
      </c>
      <c r="V581">
        <f t="shared" si="99"/>
        <v>1</v>
      </c>
    </row>
    <row r="582" spans="1:22" x14ac:dyDescent="0.25">
      <c r="A582">
        <v>65</v>
      </c>
      <c r="B582">
        <v>5</v>
      </c>
      <c r="C582">
        <v>25</v>
      </c>
      <c r="D582">
        <v>1</v>
      </c>
      <c r="E582">
        <v>0</v>
      </c>
      <c r="F582">
        <v>1</v>
      </c>
      <c r="G582">
        <v>1</v>
      </c>
      <c r="H582">
        <v>250</v>
      </c>
      <c r="I582">
        <f t="shared" si="91"/>
        <v>576</v>
      </c>
      <c r="J582" s="6">
        <f t="array" aca="1" ref="J582:N582" ca="1">TRANSPOSE(ols(OFFSET($C$2:$C$10,I582,0),OFFSET($D$2:$H$10,I582,0)))</f>
        <v>48.571428571427873</v>
      </c>
      <c r="K582" s="6">
        <f ca="1"/>
        <v>-7.8571428571426054</v>
      </c>
      <c r="L582" s="6">
        <f ca="1"/>
        <v>-11.428571428571104</v>
      </c>
      <c r="M582" s="6">
        <f ca="1"/>
        <v>5.7142857142856656</v>
      </c>
      <c r="N582" s="6">
        <f ca="1"/>
        <v>-8.5714285714285188E-2</v>
      </c>
      <c r="O582" s="6">
        <f t="shared" ca="1" si="92"/>
        <v>21.428571428571139</v>
      </c>
      <c r="P582" t="str">
        <f t="shared" si="93"/>
        <v>NA</v>
      </c>
      <c r="Q582" s="10">
        <f t="shared" ca="1" si="94"/>
        <v>12.85714285714262</v>
      </c>
      <c r="R582" s="10">
        <f t="shared" ca="1" si="95"/>
        <v>42.857142857142435</v>
      </c>
      <c r="S582" s="10">
        <f t="shared" ca="1" si="96"/>
        <v>-29.999999999999815</v>
      </c>
      <c r="T582" s="10">
        <f t="shared" ca="1" si="97"/>
        <v>350</v>
      </c>
      <c r="U582" s="10">
        <f t="shared" ca="1" si="98"/>
        <v>350</v>
      </c>
      <c r="V582">
        <f t="shared" si="99"/>
        <v>6</v>
      </c>
    </row>
    <row r="583" spans="1:22" x14ac:dyDescent="0.25">
      <c r="A583">
        <v>65</v>
      </c>
      <c r="B583">
        <v>6</v>
      </c>
      <c r="C583">
        <v>15</v>
      </c>
      <c r="D583">
        <v>1</v>
      </c>
      <c r="E583">
        <v>0</v>
      </c>
      <c r="F583">
        <v>1</v>
      </c>
      <c r="G583">
        <v>1</v>
      </c>
      <c r="H583">
        <v>350</v>
      </c>
      <c r="I583">
        <f t="shared" si="91"/>
        <v>576</v>
      </c>
      <c r="J583" s="6">
        <f t="array" aca="1" ref="J583:N583" ca="1">TRANSPOSE(ols(OFFSET($C$2:$C$10,I583,0),OFFSET($D$2:$H$10,I583,0)))</f>
        <v>48.571428571427873</v>
      </c>
      <c r="K583" s="6">
        <f ca="1"/>
        <v>-7.8571428571426054</v>
      </c>
      <c r="L583" s="6">
        <f ca="1"/>
        <v>-11.428571428571104</v>
      </c>
      <c r="M583" s="6">
        <f ca="1"/>
        <v>5.7142857142856656</v>
      </c>
      <c r="N583" s="6">
        <f ca="1"/>
        <v>-8.5714285714285188E-2</v>
      </c>
      <c r="O583" s="6">
        <f t="shared" ca="1" si="92"/>
        <v>12.85714285714262</v>
      </c>
      <c r="P583">
        <f t="shared" ca="1" si="93"/>
        <v>12.85714285714262</v>
      </c>
      <c r="Q583" s="10">
        <f t="shared" ca="1" si="94"/>
        <v>12.85714285714262</v>
      </c>
      <c r="R583" s="10">
        <f t="shared" ca="1" si="95"/>
        <v>42.857142857142435</v>
      </c>
      <c r="S583" s="10">
        <f t="shared" ca="1" si="96"/>
        <v>-29.999999999999815</v>
      </c>
      <c r="T583" s="10">
        <f t="shared" ca="1" si="97"/>
        <v>350</v>
      </c>
      <c r="U583" s="10">
        <f t="shared" ca="1" si="98"/>
        <v>350</v>
      </c>
      <c r="V583">
        <f t="shared" si="99"/>
        <v>6</v>
      </c>
    </row>
    <row r="584" spans="1:22" x14ac:dyDescent="0.25">
      <c r="A584">
        <v>65</v>
      </c>
      <c r="B584">
        <v>7</v>
      </c>
      <c r="C584">
        <v>0</v>
      </c>
      <c r="D584">
        <v>1</v>
      </c>
      <c r="E584">
        <v>1</v>
      </c>
      <c r="F584">
        <v>0</v>
      </c>
      <c r="G584">
        <v>1</v>
      </c>
      <c r="H584">
        <v>450</v>
      </c>
      <c r="I584">
        <f t="shared" si="91"/>
        <v>576</v>
      </c>
      <c r="J584" s="6">
        <f t="array" aca="1" ref="J584:N584" ca="1">TRANSPOSE(ols(OFFSET($C$2:$C$10,I584,0),OFFSET($D$2:$H$10,I584,0)))</f>
        <v>48.571428571427873</v>
      </c>
      <c r="K584" s="6">
        <f ca="1"/>
        <v>-7.8571428571426054</v>
      </c>
      <c r="L584" s="6">
        <f ca="1"/>
        <v>-11.428571428571104</v>
      </c>
      <c r="M584" s="6">
        <f ca="1"/>
        <v>5.7142857142856656</v>
      </c>
      <c r="N584" s="6">
        <f ca="1"/>
        <v>-8.5714285714285188E-2</v>
      </c>
      <c r="O584" s="6">
        <f t="shared" ca="1" si="92"/>
        <v>7.8571428571425983</v>
      </c>
      <c r="P584" t="str">
        <f t="shared" si="93"/>
        <v>NA</v>
      </c>
      <c r="Q584" s="10">
        <f t="shared" ca="1" si="94"/>
        <v>12.85714285714262</v>
      </c>
      <c r="R584" s="10">
        <f t="shared" ca="1" si="95"/>
        <v>46.428571428570933</v>
      </c>
      <c r="S584" s="10">
        <f t="shared" ca="1" si="96"/>
        <v>-33.571428571428314</v>
      </c>
      <c r="T584" s="10">
        <f t="shared" ca="1" si="97"/>
        <v>391.66666666666606</v>
      </c>
      <c r="U584" s="10">
        <f t="shared" ca="1" si="98"/>
        <v>391.66666666666606</v>
      </c>
      <c r="V584">
        <f t="shared" si="99"/>
        <v>5</v>
      </c>
    </row>
    <row r="585" spans="1:22" x14ac:dyDescent="0.25">
      <c r="A585">
        <v>65</v>
      </c>
      <c r="B585">
        <v>8</v>
      </c>
      <c r="C585">
        <v>0</v>
      </c>
      <c r="D585">
        <v>1</v>
      </c>
      <c r="E585">
        <v>1</v>
      </c>
      <c r="F585">
        <v>0</v>
      </c>
      <c r="G585">
        <v>1</v>
      </c>
      <c r="H585">
        <v>550</v>
      </c>
      <c r="I585">
        <f t="shared" si="91"/>
        <v>576</v>
      </c>
      <c r="J585" s="6">
        <f t="array" aca="1" ref="J585:N585" ca="1">TRANSPOSE(ols(OFFSET($C$2:$C$10,I585,0),OFFSET($D$2:$H$10,I585,0)))</f>
        <v>48.571428571427873</v>
      </c>
      <c r="K585" s="6">
        <f ca="1"/>
        <v>-7.8571428571426054</v>
      </c>
      <c r="L585" s="6">
        <f ca="1"/>
        <v>-11.428571428571104</v>
      </c>
      <c r="M585" s="6">
        <f ca="1"/>
        <v>5.7142857142856656</v>
      </c>
      <c r="N585" s="6">
        <f ca="1"/>
        <v>-8.5714285714285188E-2</v>
      </c>
      <c r="O585" s="6">
        <f t="shared" ca="1" si="92"/>
        <v>-0.71428571428592136</v>
      </c>
      <c r="P585" t="str">
        <f t="shared" si="93"/>
        <v>NA</v>
      </c>
      <c r="Q585" s="10">
        <f t="shared" ca="1" si="94"/>
        <v>12.85714285714262</v>
      </c>
      <c r="R585" s="10">
        <f t="shared" ca="1" si="95"/>
        <v>46.428571428570933</v>
      </c>
      <c r="S585" s="10">
        <f t="shared" ca="1" si="96"/>
        <v>-33.571428571428314</v>
      </c>
      <c r="T585" s="10">
        <f t="shared" ca="1" si="97"/>
        <v>391.66666666666606</v>
      </c>
      <c r="U585" s="10">
        <f t="shared" ca="1" si="98"/>
        <v>391.66666666666606</v>
      </c>
      <c r="V585">
        <f t="shared" si="99"/>
        <v>5</v>
      </c>
    </row>
    <row r="586" spans="1:22" x14ac:dyDescent="0.25">
      <c r="A586">
        <v>65</v>
      </c>
      <c r="B586">
        <v>9</v>
      </c>
      <c r="C586">
        <v>0</v>
      </c>
      <c r="D586">
        <v>1</v>
      </c>
      <c r="E586">
        <v>0</v>
      </c>
      <c r="F586">
        <v>0</v>
      </c>
      <c r="G586">
        <v>1</v>
      </c>
      <c r="H586">
        <v>650</v>
      </c>
      <c r="I586">
        <f t="shared" si="91"/>
        <v>576</v>
      </c>
      <c r="J586" s="6">
        <f t="array" aca="1" ref="J586:N586" ca="1">TRANSPOSE(ols(OFFSET($C$2:$C$10,I586,0),OFFSET($D$2:$H$10,I586,0)))</f>
        <v>48.571428571427873</v>
      </c>
      <c r="K586" s="6">
        <f ca="1"/>
        <v>-7.8571428571426054</v>
      </c>
      <c r="L586" s="6">
        <f ca="1"/>
        <v>-11.428571428571104</v>
      </c>
      <c r="M586" s="6">
        <f ca="1"/>
        <v>5.7142857142856656</v>
      </c>
      <c r="N586" s="6">
        <f ca="1"/>
        <v>-8.5714285714285188E-2</v>
      </c>
      <c r="O586" s="6">
        <f t="shared" ca="1" si="92"/>
        <v>-1.4285714285718356</v>
      </c>
      <c r="P586" t="str">
        <f t="shared" si="93"/>
        <v>NA</v>
      </c>
      <c r="Q586" s="10">
        <f t="shared" ca="1" si="94"/>
        <v>12.85714285714262</v>
      </c>
      <c r="R586" s="10">
        <f t="shared" ca="1" si="95"/>
        <v>54.285714285713539</v>
      </c>
      <c r="S586" s="10">
        <f t="shared" ca="1" si="96"/>
        <v>-41.428571428570919</v>
      </c>
      <c r="T586" s="10">
        <f t="shared" ca="1" si="97"/>
        <v>483.33333333333036</v>
      </c>
      <c r="U586" s="10">
        <f t="shared" ca="1" si="98"/>
        <v>483.33333333333036</v>
      </c>
      <c r="V586">
        <f t="shared" si="99"/>
        <v>4</v>
      </c>
    </row>
    <row r="587" spans="1:22" x14ac:dyDescent="0.25">
      <c r="A587">
        <v>66</v>
      </c>
      <c r="B587">
        <v>1</v>
      </c>
      <c r="C587">
        <v>30</v>
      </c>
      <c r="D587">
        <v>1</v>
      </c>
      <c r="E587">
        <v>0</v>
      </c>
      <c r="F587">
        <v>1</v>
      </c>
      <c r="G587">
        <v>0</v>
      </c>
      <c r="H587">
        <v>250</v>
      </c>
      <c r="I587">
        <f t="shared" si="91"/>
        <v>585</v>
      </c>
      <c r="J587" s="6">
        <f t="array" aca="1" ref="J587:N587" ca="1">TRANSPOSE(ols(OFFSET($C$2:$C$10,I587,0),OFFSET($D$2:$H$10,I587,0)))</f>
        <v>61.785714285713766</v>
      </c>
      <c r="K587" s="6">
        <f ca="1"/>
        <v>16.071428571428669</v>
      </c>
      <c r="L587" s="6">
        <f ca="1"/>
        <v>-0.71428571428577925</v>
      </c>
      <c r="M587" s="6">
        <f ca="1"/>
        <v>37.857142857143117</v>
      </c>
      <c r="N587" s="6">
        <f ca="1"/>
        <v>-9.2857142857145192E-2</v>
      </c>
      <c r="O587" s="6">
        <f t="shared" ca="1" si="92"/>
        <v>37.857142857141689</v>
      </c>
      <c r="P587" t="str">
        <f t="shared" si="93"/>
        <v>NA</v>
      </c>
      <c r="Q587" s="10">
        <f t="shared" ca="1" si="94"/>
        <v>66.42857142857028</v>
      </c>
      <c r="R587" s="10">
        <f t="shared" ca="1" si="95"/>
        <v>61.071428571427987</v>
      </c>
      <c r="S587" s="10">
        <f t="shared" ca="1" si="96"/>
        <v>5.3571428571422928</v>
      </c>
      <c r="T587" s="10">
        <f t="shared" ca="1" si="97"/>
        <v>-57.692307692300162</v>
      </c>
      <c r="U587" s="10" t="str">
        <f t="shared" ca="1" si="98"/>
        <v>OR</v>
      </c>
      <c r="V587">
        <f t="shared" si="99"/>
        <v>3</v>
      </c>
    </row>
    <row r="588" spans="1:22" x14ac:dyDescent="0.25">
      <c r="A588">
        <v>66</v>
      </c>
      <c r="B588">
        <v>2</v>
      </c>
      <c r="C588">
        <v>50</v>
      </c>
      <c r="D588">
        <v>1</v>
      </c>
      <c r="E588">
        <v>1</v>
      </c>
      <c r="F588">
        <v>0</v>
      </c>
      <c r="G588">
        <v>0</v>
      </c>
      <c r="H588">
        <v>350</v>
      </c>
      <c r="I588">
        <f t="shared" ref="I588:I651" si="100">IF(A588&gt;A587,I587+9,I587)</f>
        <v>585</v>
      </c>
      <c r="J588" s="6">
        <f t="array" aca="1" ref="J588:N588" ca="1">TRANSPOSE(ols(OFFSET($C$2:$C$10,I588,0),OFFSET($D$2:$H$10,I588,0)))</f>
        <v>61.785714285713766</v>
      </c>
      <c r="K588" s="6">
        <f ca="1"/>
        <v>16.071428571428669</v>
      </c>
      <c r="L588" s="6">
        <f ca="1"/>
        <v>-0.71428571428577925</v>
      </c>
      <c r="M588" s="6">
        <f ca="1"/>
        <v>37.857142857143117</v>
      </c>
      <c r="N588" s="6">
        <f ca="1"/>
        <v>-9.2857142857145192E-2</v>
      </c>
      <c r="O588" s="6">
        <f t="shared" ca="1" si="92"/>
        <v>45.357142857141618</v>
      </c>
      <c r="P588" t="str">
        <f t="shared" si="93"/>
        <v>NA</v>
      </c>
      <c r="Q588" s="10">
        <f t="shared" ca="1" si="94"/>
        <v>66.42857142857028</v>
      </c>
      <c r="R588" s="10">
        <f t="shared" ca="1" si="95"/>
        <v>77.857142857142435</v>
      </c>
      <c r="S588" s="10">
        <f t="shared" ca="1" si="96"/>
        <v>-11.428571428572155</v>
      </c>
      <c r="T588" s="10">
        <f t="shared" ca="1" si="97"/>
        <v>123.07692307692781</v>
      </c>
      <c r="U588" s="10" t="str">
        <f t="shared" ca="1" si="98"/>
        <v>OR</v>
      </c>
      <c r="V588">
        <f t="shared" si="99"/>
        <v>2</v>
      </c>
    </row>
    <row r="589" spans="1:22" x14ac:dyDescent="0.25">
      <c r="A589">
        <v>66</v>
      </c>
      <c r="B589">
        <v>3</v>
      </c>
      <c r="C589">
        <v>50</v>
      </c>
      <c r="D589">
        <v>1</v>
      </c>
      <c r="E589">
        <v>1</v>
      </c>
      <c r="F589">
        <v>0</v>
      </c>
      <c r="G589">
        <v>0</v>
      </c>
      <c r="H589">
        <v>450</v>
      </c>
      <c r="I589">
        <f t="shared" si="100"/>
        <v>585</v>
      </c>
      <c r="J589" s="6">
        <f t="array" aca="1" ref="J589:N589" ca="1">TRANSPOSE(ols(OFFSET($C$2:$C$10,I589,0),OFFSET($D$2:$H$10,I589,0)))</f>
        <v>61.785714285713766</v>
      </c>
      <c r="K589" s="6">
        <f ca="1"/>
        <v>16.071428571428669</v>
      </c>
      <c r="L589" s="6">
        <f ca="1"/>
        <v>-0.71428571428577925</v>
      </c>
      <c r="M589" s="6">
        <f ca="1"/>
        <v>37.857142857143117</v>
      </c>
      <c r="N589" s="6">
        <f ca="1"/>
        <v>-9.2857142857145192E-2</v>
      </c>
      <c r="O589" s="6">
        <f t="shared" ca="1" si="92"/>
        <v>36.071428571427099</v>
      </c>
      <c r="P589" t="str">
        <f t="shared" si="93"/>
        <v>NA</v>
      </c>
      <c r="Q589" s="10">
        <f t="shared" ca="1" si="94"/>
        <v>66.42857142857028</v>
      </c>
      <c r="R589" s="10">
        <f t="shared" ca="1" si="95"/>
        <v>77.857142857142435</v>
      </c>
      <c r="S589" s="10">
        <f t="shared" ca="1" si="96"/>
        <v>-11.428571428572155</v>
      </c>
      <c r="T589" s="10">
        <f t="shared" ca="1" si="97"/>
        <v>123.07692307692781</v>
      </c>
      <c r="U589" s="10" t="str">
        <f t="shared" ca="1" si="98"/>
        <v>OR</v>
      </c>
      <c r="V589">
        <f t="shared" si="99"/>
        <v>2</v>
      </c>
    </row>
    <row r="590" spans="1:22" x14ac:dyDescent="0.25">
      <c r="A590">
        <v>66</v>
      </c>
      <c r="B590">
        <v>4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550</v>
      </c>
      <c r="I590">
        <f t="shared" si="100"/>
        <v>585</v>
      </c>
      <c r="J590" s="6">
        <f t="array" aca="1" ref="J590:N590" ca="1">TRANSPOSE(ols(OFFSET($C$2:$C$10,I590,0),OFFSET($D$2:$H$10,I590,0)))</f>
        <v>61.785714285713766</v>
      </c>
      <c r="K590" s="6">
        <f ca="1"/>
        <v>16.071428571428669</v>
      </c>
      <c r="L590" s="6">
        <f ca="1"/>
        <v>-0.71428571428577925</v>
      </c>
      <c r="M590" s="6">
        <f ca="1"/>
        <v>37.857142857143117</v>
      </c>
      <c r="N590" s="6">
        <f ca="1"/>
        <v>-9.2857142857145192E-2</v>
      </c>
      <c r="O590" s="6">
        <f t="shared" ca="1" si="92"/>
        <v>10.714285714283911</v>
      </c>
      <c r="P590" t="str">
        <f t="shared" si="93"/>
        <v>NA</v>
      </c>
      <c r="Q590" s="10">
        <f t="shared" ca="1" si="94"/>
        <v>66.42857142857028</v>
      </c>
      <c r="R590" s="10">
        <f t="shared" ca="1" si="95"/>
        <v>61.785714285713766</v>
      </c>
      <c r="S590" s="10">
        <f t="shared" ca="1" si="96"/>
        <v>4.6428571428565135</v>
      </c>
      <c r="T590" s="10">
        <f t="shared" ca="1" si="97"/>
        <v>-49.999999999991964</v>
      </c>
      <c r="U590" s="10" t="str">
        <f t="shared" ca="1" si="98"/>
        <v>OR</v>
      </c>
      <c r="V590">
        <f t="shared" si="99"/>
        <v>1</v>
      </c>
    </row>
    <row r="591" spans="1:22" x14ac:dyDescent="0.25">
      <c r="A591">
        <v>66</v>
      </c>
      <c r="B591">
        <v>5</v>
      </c>
      <c r="C591">
        <v>75</v>
      </c>
      <c r="D591">
        <v>1</v>
      </c>
      <c r="E591">
        <v>0</v>
      </c>
      <c r="F591">
        <v>1</v>
      </c>
      <c r="G591">
        <v>1</v>
      </c>
      <c r="H591">
        <v>250</v>
      </c>
      <c r="I591">
        <f t="shared" si="100"/>
        <v>585</v>
      </c>
      <c r="J591" s="6">
        <f t="array" aca="1" ref="J591:N591" ca="1">TRANSPOSE(ols(OFFSET($C$2:$C$10,I591,0),OFFSET($D$2:$H$10,I591,0)))</f>
        <v>61.785714285713766</v>
      </c>
      <c r="K591" s="6">
        <f ca="1"/>
        <v>16.071428571428669</v>
      </c>
      <c r="L591" s="6">
        <f ca="1"/>
        <v>-0.71428571428577925</v>
      </c>
      <c r="M591" s="6">
        <f ca="1"/>
        <v>37.857142857143117</v>
      </c>
      <c r="N591" s="6">
        <f ca="1"/>
        <v>-9.2857142857145192E-2</v>
      </c>
      <c r="O591" s="6">
        <f t="shared" ca="1" si="92"/>
        <v>75.714285714284813</v>
      </c>
      <c r="P591" t="str">
        <f t="shared" si="93"/>
        <v>NA</v>
      </c>
      <c r="Q591" s="10">
        <f t="shared" ca="1" si="94"/>
        <v>66.42857142857028</v>
      </c>
      <c r="R591" s="10">
        <f t="shared" ca="1" si="95"/>
        <v>98.928571428571104</v>
      </c>
      <c r="S591" s="10">
        <f t="shared" ca="1" si="96"/>
        <v>-32.500000000000824</v>
      </c>
      <c r="T591" s="10">
        <f t="shared" ca="1" si="97"/>
        <v>350.00000000000006</v>
      </c>
      <c r="U591" s="10">
        <f t="shared" ca="1" si="98"/>
        <v>350.00000000000006</v>
      </c>
      <c r="V591">
        <f t="shared" si="99"/>
        <v>6</v>
      </c>
    </row>
    <row r="592" spans="1:22" x14ac:dyDescent="0.25">
      <c r="A592">
        <v>66</v>
      </c>
      <c r="B592">
        <v>6</v>
      </c>
      <c r="C592">
        <v>75</v>
      </c>
      <c r="D592">
        <v>1</v>
      </c>
      <c r="E592">
        <v>0</v>
      </c>
      <c r="F592">
        <v>1</v>
      </c>
      <c r="G592">
        <v>1</v>
      </c>
      <c r="H592">
        <v>350</v>
      </c>
      <c r="I592">
        <f t="shared" si="100"/>
        <v>585</v>
      </c>
      <c r="J592" s="6">
        <f t="array" aca="1" ref="J592:N592" ca="1">TRANSPOSE(ols(OFFSET($C$2:$C$10,I592,0),OFFSET($D$2:$H$10,I592,0)))</f>
        <v>61.785714285713766</v>
      </c>
      <c r="K592" s="6">
        <f ca="1"/>
        <v>16.071428571428669</v>
      </c>
      <c r="L592" s="6">
        <f ca="1"/>
        <v>-0.71428571428577925</v>
      </c>
      <c r="M592" s="6">
        <f ca="1"/>
        <v>37.857142857143117</v>
      </c>
      <c r="N592" s="6">
        <f ca="1"/>
        <v>-9.2857142857145192E-2</v>
      </c>
      <c r="O592" s="6">
        <f t="shared" ca="1" si="92"/>
        <v>66.42857142857028</v>
      </c>
      <c r="P592">
        <f t="shared" ca="1" si="93"/>
        <v>66.42857142857028</v>
      </c>
      <c r="Q592" s="10">
        <f t="shared" ca="1" si="94"/>
        <v>66.42857142857028</v>
      </c>
      <c r="R592" s="10">
        <f t="shared" ca="1" si="95"/>
        <v>98.928571428571104</v>
      </c>
      <c r="S592" s="10">
        <f t="shared" ca="1" si="96"/>
        <v>-32.500000000000824</v>
      </c>
      <c r="T592" s="10">
        <f t="shared" ca="1" si="97"/>
        <v>350.00000000000006</v>
      </c>
      <c r="U592" s="10">
        <f t="shared" ca="1" si="98"/>
        <v>350.00000000000006</v>
      </c>
      <c r="V592">
        <f t="shared" si="99"/>
        <v>6</v>
      </c>
    </row>
    <row r="593" spans="1:22" x14ac:dyDescent="0.25">
      <c r="A593">
        <v>66</v>
      </c>
      <c r="B593">
        <v>7</v>
      </c>
      <c r="C593">
        <v>70</v>
      </c>
      <c r="D593">
        <v>1</v>
      </c>
      <c r="E593">
        <v>1</v>
      </c>
      <c r="F593">
        <v>0</v>
      </c>
      <c r="G593">
        <v>1</v>
      </c>
      <c r="H593">
        <v>450</v>
      </c>
      <c r="I593">
        <f t="shared" si="100"/>
        <v>585</v>
      </c>
      <c r="J593" s="6">
        <f t="array" aca="1" ref="J593:N593" ca="1">TRANSPOSE(ols(OFFSET($C$2:$C$10,I593,0),OFFSET($D$2:$H$10,I593,0)))</f>
        <v>61.785714285713766</v>
      </c>
      <c r="K593" s="6">
        <f ca="1"/>
        <v>16.071428571428669</v>
      </c>
      <c r="L593" s="6">
        <f ca="1"/>
        <v>-0.71428571428577925</v>
      </c>
      <c r="M593" s="6">
        <f ca="1"/>
        <v>37.857142857143117</v>
      </c>
      <c r="N593" s="6">
        <f ca="1"/>
        <v>-9.2857142857145192E-2</v>
      </c>
      <c r="O593" s="6">
        <f t="shared" ca="1" si="92"/>
        <v>73.928571428570223</v>
      </c>
      <c r="P593" t="str">
        <f t="shared" si="93"/>
        <v>NA</v>
      </c>
      <c r="Q593" s="10">
        <f t="shared" ca="1" si="94"/>
        <v>66.42857142857028</v>
      </c>
      <c r="R593" s="10">
        <f t="shared" ca="1" si="95"/>
        <v>115.71428571428555</v>
      </c>
      <c r="S593" s="10">
        <f t="shared" ca="1" si="96"/>
        <v>-49.285714285715272</v>
      </c>
      <c r="T593" s="10">
        <f t="shared" ca="1" si="97"/>
        <v>530.7692307692281</v>
      </c>
      <c r="U593" s="10">
        <f t="shared" ca="1" si="98"/>
        <v>530.7692307692281</v>
      </c>
      <c r="V593">
        <f t="shared" si="99"/>
        <v>5</v>
      </c>
    </row>
    <row r="594" spans="1:22" x14ac:dyDescent="0.25">
      <c r="A594">
        <v>66</v>
      </c>
      <c r="B594">
        <v>8</v>
      </c>
      <c r="C594">
        <v>50</v>
      </c>
      <c r="D594">
        <v>1</v>
      </c>
      <c r="E594">
        <v>1</v>
      </c>
      <c r="F594">
        <v>0</v>
      </c>
      <c r="G594">
        <v>1</v>
      </c>
      <c r="H594">
        <v>550</v>
      </c>
      <c r="I594">
        <f t="shared" si="100"/>
        <v>585</v>
      </c>
      <c r="J594" s="6">
        <f t="array" aca="1" ref="J594:N594" ca="1">TRANSPOSE(ols(OFFSET($C$2:$C$10,I594,0),OFFSET($D$2:$H$10,I594,0)))</f>
        <v>61.785714285713766</v>
      </c>
      <c r="K594" s="6">
        <f ca="1"/>
        <v>16.071428571428669</v>
      </c>
      <c r="L594" s="6">
        <f ca="1"/>
        <v>-0.71428571428577925</v>
      </c>
      <c r="M594" s="6">
        <f ca="1"/>
        <v>37.857142857143117</v>
      </c>
      <c r="N594" s="6">
        <f ca="1"/>
        <v>-9.2857142857145192E-2</v>
      </c>
      <c r="O594" s="6">
        <f t="shared" ca="1" si="92"/>
        <v>64.642857142855689</v>
      </c>
      <c r="P594" t="str">
        <f t="shared" si="93"/>
        <v>NA</v>
      </c>
      <c r="Q594" s="10">
        <f t="shared" ca="1" si="94"/>
        <v>66.42857142857028</v>
      </c>
      <c r="R594" s="10">
        <f t="shared" ca="1" si="95"/>
        <v>115.71428571428555</v>
      </c>
      <c r="S594" s="10">
        <f t="shared" ca="1" si="96"/>
        <v>-49.285714285715272</v>
      </c>
      <c r="T594" s="10">
        <f t="shared" ca="1" si="97"/>
        <v>530.7692307692281</v>
      </c>
      <c r="U594" s="10">
        <f t="shared" ca="1" si="98"/>
        <v>530.7692307692281</v>
      </c>
      <c r="V594">
        <f t="shared" si="99"/>
        <v>5</v>
      </c>
    </row>
    <row r="595" spans="1:22" x14ac:dyDescent="0.25">
      <c r="A595">
        <v>66</v>
      </c>
      <c r="B595">
        <v>9</v>
      </c>
      <c r="C595">
        <v>50</v>
      </c>
      <c r="D595">
        <v>1</v>
      </c>
      <c r="E595">
        <v>0</v>
      </c>
      <c r="F595">
        <v>0</v>
      </c>
      <c r="G595">
        <v>1</v>
      </c>
      <c r="H595">
        <v>650</v>
      </c>
      <c r="I595">
        <f t="shared" si="100"/>
        <v>585</v>
      </c>
      <c r="J595" s="6">
        <f t="array" aca="1" ref="J595:N595" ca="1">TRANSPOSE(ols(OFFSET($C$2:$C$10,I595,0),OFFSET($D$2:$H$10,I595,0)))</f>
        <v>61.785714285713766</v>
      </c>
      <c r="K595" s="6">
        <f ca="1"/>
        <v>16.071428571428669</v>
      </c>
      <c r="L595" s="6">
        <f ca="1"/>
        <v>-0.71428571428577925</v>
      </c>
      <c r="M595" s="6">
        <f ca="1"/>
        <v>37.857142857143117</v>
      </c>
      <c r="N595" s="6">
        <f ca="1"/>
        <v>-9.2857142857145192E-2</v>
      </c>
      <c r="O595" s="6">
        <f t="shared" ca="1" si="92"/>
        <v>39.285714285712508</v>
      </c>
      <c r="P595" t="str">
        <f t="shared" si="93"/>
        <v>NA</v>
      </c>
      <c r="Q595" s="10">
        <f t="shared" ca="1" si="94"/>
        <v>66.42857142857028</v>
      </c>
      <c r="R595" s="10">
        <f t="shared" ca="1" si="95"/>
        <v>99.642857142856883</v>
      </c>
      <c r="S595" s="10">
        <f t="shared" ca="1" si="96"/>
        <v>-33.214285714286603</v>
      </c>
      <c r="T595" s="10">
        <f t="shared" ca="1" si="97"/>
        <v>357.69230769230825</v>
      </c>
      <c r="U595" s="10">
        <f t="shared" ca="1" si="98"/>
        <v>357.69230769230825</v>
      </c>
      <c r="V595">
        <f t="shared" si="99"/>
        <v>4</v>
      </c>
    </row>
    <row r="596" spans="1:22" x14ac:dyDescent="0.25">
      <c r="A596">
        <v>67</v>
      </c>
      <c r="B596">
        <v>1</v>
      </c>
      <c r="C596">
        <v>10</v>
      </c>
      <c r="D596">
        <v>1</v>
      </c>
      <c r="E596">
        <v>0</v>
      </c>
      <c r="F596">
        <v>1</v>
      </c>
      <c r="G596">
        <v>0</v>
      </c>
      <c r="H596">
        <v>250</v>
      </c>
      <c r="I596">
        <f t="shared" si="100"/>
        <v>594</v>
      </c>
      <c r="J596" s="6">
        <f t="array" aca="1" ref="J596:N596" ca="1">TRANSPOSE(ols(OFFSET($C$2:$C$10,I596,0),OFFSET($D$2:$H$10,I596,0)))</f>
        <v>95.833333333332121</v>
      </c>
      <c r="K596" s="6">
        <f ca="1"/>
        <v>-40.000000000000227</v>
      </c>
      <c r="L596" s="6">
        <f ca="1"/>
        <v>-86.666666666667425</v>
      </c>
      <c r="M596" s="6">
        <f ca="1"/>
        <v>-1.6666666666664014</v>
      </c>
      <c r="N596" s="6">
        <f ca="1"/>
        <v>-1.6666666666669272E-2</v>
      </c>
      <c r="O596" s="6">
        <f t="shared" ca="1" si="92"/>
        <v>4.9999999999973781</v>
      </c>
      <c r="P596" t="str">
        <f t="shared" si="93"/>
        <v>NA</v>
      </c>
      <c r="Q596" s="10">
        <f t="shared" ca="1" si="94"/>
        <v>1.6666666666640495</v>
      </c>
      <c r="R596" s="10">
        <f t="shared" ca="1" si="95"/>
        <v>9.1666666666646961</v>
      </c>
      <c r="S596" s="10">
        <f t="shared" ca="1" si="96"/>
        <v>-7.5000000000006466</v>
      </c>
      <c r="T596" s="10">
        <f t="shared" ca="1" si="97"/>
        <v>449.99999999996845</v>
      </c>
      <c r="U596" s="10">
        <f t="shared" ca="1" si="98"/>
        <v>449.99999999996845</v>
      </c>
      <c r="V596">
        <f t="shared" si="99"/>
        <v>3</v>
      </c>
    </row>
    <row r="597" spans="1:22" x14ac:dyDescent="0.25">
      <c r="A597">
        <v>67</v>
      </c>
      <c r="B597">
        <v>2</v>
      </c>
      <c r="C597">
        <v>50</v>
      </c>
      <c r="D597">
        <v>1</v>
      </c>
      <c r="E597">
        <v>1</v>
      </c>
      <c r="F597">
        <v>0</v>
      </c>
      <c r="G597">
        <v>0</v>
      </c>
      <c r="H597">
        <v>350</v>
      </c>
      <c r="I597">
        <f t="shared" si="100"/>
        <v>594</v>
      </c>
      <c r="J597" s="6">
        <f t="array" aca="1" ref="J597:N597" ca="1">TRANSPOSE(ols(OFFSET($C$2:$C$10,I597,0),OFFSET($D$2:$H$10,I597,0)))</f>
        <v>95.833333333332121</v>
      </c>
      <c r="K597" s="6">
        <f ca="1"/>
        <v>-40.000000000000227</v>
      </c>
      <c r="L597" s="6">
        <f ca="1"/>
        <v>-86.666666666667425</v>
      </c>
      <c r="M597" s="6">
        <f ca="1"/>
        <v>-1.6666666666664014</v>
      </c>
      <c r="N597" s="6">
        <f ca="1"/>
        <v>-1.6666666666669272E-2</v>
      </c>
      <c r="O597" s="6">
        <f t="shared" ca="1" si="92"/>
        <v>49.999999999997648</v>
      </c>
      <c r="P597" t="str">
        <f t="shared" si="93"/>
        <v>NA</v>
      </c>
      <c r="Q597" s="10">
        <f t="shared" ca="1" si="94"/>
        <v>1.6666666666640495</v>
      </c>
      <c r="R597" s="10">
        <f t="shared" ca="1" si="95"/>
        <v>55.833333333331893</v>
      </c>
      <c r="S597" s="10">
        <f t="shared" ca="1" si="96"/>
        <v>-54.166666666667844</v>
      </c>
      <c r="T597" s="10">
        <f t="shared" ca="1" si="97"/>
        <v>3249.9999999995625</v>
      </c>
      <c r="U597" s="10" t="str">
        <f t="shared" ca="1" si="98"/>
        <v>OR</v>
      </c>
      <c r="V597">
        <f t="shared" si="99"/>
        <v>2</v>
      </c>
    </row>
    <row r="598" spans="1:22" x14ac:dyDescent="0.25">
      <c r="A598">
        <v>67</v>
      </c>
      <c r="B598">
        <v>3</v>
      </c>
      <c r="C598">
        <v>45</v>
      </c>
      <c r="D598">
        <v>1</v>
      </c>
      <c r="E598">
        <v>1</v>
      </c>
      <c r="F598">
        <v>0</v>
      </c>
      <c r="G598">
        <v>0</v>
      </c>
      <c r="H598">
        <v>450</v>
      </c>
      <c r="I598">
        <f t="shared" si="100"/>
        <v>594</v>
      </c>
      <c r="J598" s="6">
        <f t="array" aca="1" ref="J598:N598" ca="1">TRANSPOSE(ols(OFFSET($C$2:$C$10,I598,0),OFFSET($D$2:$H$10,I598,0)))</f>
        <v>95.833333333332121</v>
      </c>
      <c r="K598" s="6">
        <f ca="1"/>
        <v>-40.000000000000227</v>
      </c>
      <c r="L598" s="6">
        <f ca="1"/>
        <v>-86.666666666667425</v>
      </c>
      <c r="M598" s="6">
        <f ca="1"/>
        <v>-1.6666666666664014</v>
      </c>
      <c r="N598" s="6">
        <f ca="1"/>
        <v>-1.6666666666669272E-2</v>
      </c>
      <c r="O598" s="6">
        <f t="shared" ca="1" si="92"/>
        <v>48.333333333330721</v>
      </c>
      <c r="P598" t="str">
        <f t="shared" si="93"/>
        <v>NA</v>
      </c>
      <c r="Q598" s="10">
        <f t="shared" ca="1" si="94"/>
        <v>1.6666666666640495</v>
      </c>
      <c r="R598" s="10">
        <f t="shared" ca="1" si="95"/>
        <v>55.833333333331893</v>
      </c>
      <c r="S598" s="10">
        <f t="shared" ca="1" si="96"/>
        <v>-54.166666666667844</v>
      </c>
      <c r="T598" s="10">
        <f t="shared" ca="1" si="97"/>
        <v>3249.9999999995625</v>
      </c>
      <c r="U598" s="10" t="str">
        <f t="shared" ca="1" si="98"/>
        <v>OR</v>
      </c>
      <c r="V598">
        <f t="shared" si="99"/>
        <v>2</v>
      </c>
    </row>
    <row r="599" spans="1:22" x14ac:dyDescent="0.25">
      <c r="A599">
        <v>67</v>
      </c>
      <c r="B599">
        <v>4</v>
      </c>
      <c r="C599">
        <v>85</v>
      </c>
      <c r="D599">
        <v>1</v>
      </c>
      <c r="E599">
        <v>0</v>
      </c>
      <c r="F599">
        <v>0</v>
      </c>
      <c r="G599">
        <v>0</v>
      </c>
      <c r="H599">
        <v>550</v>
      </c>
      <c r="I599">
        <f t="shared" si="100"/>
        <v>594</v>
      </c>
      <c r="J599" s="6">
        <f t="array" aca="1" ref="J599:N599" ca="1">TRANSPOSE(ols(OFFSET($C$2:$C$10,I599,0),OFFSET($D$2:$H$10,I599,0)))</f>
        <v>95.833333333332121</v>
      </c>
      <c r="K599" s="6">
        <f ca="1"/>
        <v>-40.000000000000227</v>
      </c>
      <c r="L599" s="6">
        <f ca="1"/>
        <v>-86.666666666667425</v>
      </c>
      <c r="M599" s="6">
        <f ca="1"/>
        <v>-1.6666666666664014</v>
      </c>
      <c r="N599" s="6">
        <f ca="1"/>
        <v>-1.6666666666669272E-2</v>
      </c>
      <c r="O599" s="6">
        <f t="shared" ca="1" si="92"/>
        <v>86.666666666664014</v>
      </c>
      <c r="P599" t="str">
        <f t="shared" si="93"/>
        <v>NA</v>
      </c>
      <c r="Q599" s="10">
        <f t="shared" ca="1" si="94"/>
        <v>1.6666666666640495</v>
      </c>
      <c r="R599" s="10">
        <f t="shared" ca="1" si="95"/>
        <v>95.833333333332121</v>
      </c>
      <c r="S599" s="10">
        <f t="shared" ca="1" si="96"/>
        <v>-94.166666666668078</v>
      </c>
      <c r="T599" s="10">
        <f t="shared" ca="1" si="97"/>
        <v>5649.9999999992015</v>
      </c>
      <c r="U599" s="10" t="str">
        <f t="shared" ca="1" si="98"/>
        <v>OR</v>
      </c>
      <c r="V599">
        <f t="shared" si="99"/>
        <v>1</v>
      </c>
    </row>
    <row r="600" spans="1:22" x14ac:dyDescent="0.25">
      <c r="A600">
        <v>67</v>
      </c>
      <c r="B600">
        <v>5</v>
      </c>
      <c r="C600">
        <v>0</v>
      </c>
      <c r="D600">
        <v>1</v>
      </c>
      <c r="E600">
        <v>0</v>
      </c>
      <c r="F600">
        <v>1</v>
      </c>
      <c r="G600">
        <v>1</v>
      </c>
      <c r="H600">
        <v>250</v>
      </c>
      <c r="I600">
        <f t="shared" si="100"/>
        <v>594</v>
      </c>
      <c r="J600" s="6">
        <f t="array" aca="1" ref="J600:N600" ca="1">TRANSPOSE(ols(OFFSET($C$2:$C$10,I600,0),OFFSET($D$2:$H$10,I600,0)))</f>
        <v>95.833333333332121</v>
      </c>
      <c r="K600" s="6">
        <f ca="1"/>
        <v>-40.000000000000227</v>
      </c>
      <c r="L600" s="6">
        <f ca="1"/>
        <v>-86.666666666667425</v>
      </c>
      <c r="M600" s="6">
        <f ca="1"/>
        <v>-1.6666666666664014</v>
      </c>
      <c r="N600" s="6">
        <f ca="1"/>
        <v>-1.6666666666669272E-2</v>
      </c>
      <c r="O600" s="6">
        <f t="shared" ca="1" si="92"/>
        <v>3.3333333333309767</v>
      </c>
      <c r="P600" t="str">
        <f t="shared" si="93"/>
        <v>NA</v>
      </c>
      <c r="Q600" s="10">
        <f t="shared" ca="1" si="94"/>
        <v>1.6666666666640495</v>
      </c>
      <c r="R600" s="10">
        <f t="shared" ca="1" si="95"/>
        <v>7.4999999999982947</v>
      </c>
      <c r="S600" s="10">
        <f t="shared" ca="1" si="96"/>
        <v>-5.8333333333342452</v>
      </c>
      <c r="T600" s="10">
        <f t="shared" ca="1" si="97"/>
        <v>350</v>
      </c>
      <c r="U600" s="10">
        <f t="shared" ca="1" si="98"/>
        <v>350</v>
      </c>
      <c r="V600">
        <f t="shared" si="99"/>
        <v>6</v>
      </c>
    </row>
    <row r="601" spans="1:22" x14ac:dyDescent="0.25">
      <c r="A601">
        <v>67</v>
      </c>
      <c r="B601">
        <v>6</v>
      </c>
      <c r="C601">
        <v>0</v>
      </c>
      <c r="D601">
        <v>1</v>
      </c>
      <c r="E601">
        <v>0</v>
      </c>
      <c r="F601">
        <v>1</v>
      </c>
      <c r="G601">
        <v>1</v>
      </c>
      <c r="H601">
        <v>350</v>
      </c>
      <c r="I601">
        <f t="shared" si="100"/>
        <v>594</v>
      </c>
      <c r="J601" s="6">
        <f t="array" aca="1" ref="J601:N601" ca="1">TRANSPOSE(ols(OFFSET($C$2:$C$10,I601,0),OFFSET($D$2:$H$10,I601,0)))</f>
        <v>95.833333333332121</v>
      </c>
      <c r="K601" s="6">
        <f ca="1"/>
        <v>-40.000000000000227</v>
      </c>
      <c r="L601" s="6">
        <f ca="1"/>
        <v>-86.666666666667425</v>
      </c>
      <c r="M601" s="6">
        <f ca="1"/>
        <v>-1.6666666666664014</v>
      </c>
      <c r="N601" s="6">
        <f ca="1"/>
        <v>-1.6666666666669272E-2</v>
      </c>
      <c r="O601" s="6">
        <f t="shared" ca="1" si="92"/>
        <v>1.6666666666640495</v>
      </c>
      <c r="P601">
        <f t="shared" ca="1" si="93"/>
        <v>1.6666666666640495</v>
      </c>
      <c r="Q601" s="10">
        <f t="shared" ca="1" si="94"/>
        <v>1.6666666666640495</v>
      </c>
      <c r="R601" s="10">
        <f t="shared" ca="1" si="95"/>
        <v>7.4999999999982947</v>
      </c>
      <c r="S601" s="10">
        <f t="shared" ca="1" si="96"/>
        <v>-5.8333333333342452</v>
      </c>
      <c r="T601" s="10">
        <f t="shared" ca="1" si="97"/>
        <v>350</v>
      </c>
      <c r="U601" s="10">
        <f t="shared" ca="1" si="98"/>
        <v>350</v>
      </c>
      <c r="V601">
        <f t="shared" si="99"/>
        <v>6</v>
      </c>
    </row>
    <row r="602" spans="1:22" x14ac:dyDescent="0.25">
      <c r="A602">
        <v>67</v>
      </c>
      <c r="B602">
        <v>7</v>
      </c>
      <c r="C602">
        <v>50</v>
      </c>
      <c r="D602">
        <v>1</v>
      </c>
      <c r="E602">
        <v>1</v>
      </c>
      <c r="F602">
        <v>0</v>
      </c>
      <c r="G602">
        <v>1</v>
      </c>
      <c r="H602">
        <v>450</v>
      </c>
      <c r="I602">
        <f t="shared" si="100"/>
        <v>594</v>
      </c>
      <c r="J602" s="6">
        <f t="array" aca="1" ref="J602:N602" ca="1">TRANSPOSE(ols(OFFSET($C$2:$C$10,I602,0),OFFSET($D$2:$H$10,I602,0)))</f>
        <v>95.833333333332121</v>
      </c>
      <c r="K602" s="6">
        <f ca="1"/>
        <v>-40.000000000000227</v>
      </c>
      <c r="L602" s="6">
        <f ca="1"/>
        <v>-86.666666666667425</v>
      </c>
      <c r="M602" s="6">
        <f ca="1"/>
        <v>-1.6666666666664014</v>
      </c>
      <c r="N602" s="6">
        <f ca="1"/>
        <v>-1.6666666666669272E-2</v>
      </c>
      <c r="O602" s="6">
        <f t="shared" ca="1" si="92"/>
        <v>46.66666666666432</v>
      </c>
      <c r="P602" t="str">
        <f t="shared" si="93"/>
        <v>NA</v>
      </c>
      <c r="Q602" s="10">
        <f t="shared" ca="1" si="94"/>
        <v>1.6666666666640495</v>
      </c>
      <c r="R602" s="10">
        <f t="shared" ca="1" si="95"/>
        <v>54.166666666665492</v>
      </c>
      <c r="S602" s="10">
        <f t="shared" ca="1" si="96"/>
        <v>-52.500000000001442</v>
      </c>
      <c r="T602" s="10">
        <f t="shared" ca="1" si="97"/>
        <v>3149.9999999995944</v>
      </c>
      <c r="U602" s="10" t="str">
        <f t="shared" ca="1" si="98"/>
        <v>OR</v>
      </c>
      <c r="V602">
        <f t="shared" si="99"/>
        <v>5</v>
      </c>
    </row>
    <row r="603" spans="1:22" x14ac:dyDescent="0.25">
      <c r="A603">
        <v>67</v>
      </c>
      <c r="B603">
        <v>8</v>
      </c>
      <c r="C603">
        <v>45</v>
      </c>
      <c r="D603">
        <v>1</v>
      </c>
      <c r="E603">
        <v>1</v>
      </c>
      <c r="F603">
        <v>0</v>
      </c>
      <c r="G603">
        <v>1</v>
      </c>
      <c r="H603">
        <v>550</v>
      </c>
      <c r="I603">
        <f t="shared" si="100"/>
        <v>594</v>
      </c>
      <c r="J603" s="6">
        <f t="array" aca="1" ref="J603:N603" ca="1">TRANSPOSE(ols(OFFSET($C$2:$C$10,I603,0),OFFSET($D$2:$H$10,I603,0)))</f>
        <v>95.833333333332121</v>
      </c>
      <c r="K603" s="6">
        <f ca="1"/>
        <v>-40.000000000000227</v>
      </c>
      <c r="L603" s="6">
        <f ca="1"/>
        <v>-86.666666666667425</v>
      </c>
      <c r="M603" s="6">
        <f ca="1"/>
        <v>-1.6666666666664014</v>
      </c>
      <c r="N603" s="6">
        <f ca="1"/>
        <v>-1.6666666666669272E-2</v>
      </c>
      <c r="O603" s="6">
        <f t="shared" ca="1" si="92"/>
        <v>44.999999999997392</v>
      </c>
      <c r="P603" t="str">
        <f t="shared" si="93"/>
        <v>NA</v>
      </c>
      <c r="Q603" s="10">
        <f t="shared" ca="1" si="94"/>
        <v>1.6666666666640495</v>
      </c>
      <c r="R603" s="10">
        <f t="shared" ca="1" si="95"/>
        <v>54.166666666665492</v>
      </c>
      <c r="S603" s="10">
        <f t="shared" ca="1" si="96"/>
        <v>-52.500000000001442</v>
      </c>
      <c r="T603" s="10">
        <f t="shared" ca="1" si="97"/>
        <v>3149.9999999995944</v>
      </c>
      <c r="U603" s="10" t="str">
        <f t="shared" ca="1" si="98"/>
        <v>OR</v>
      </c>
      <c r="V603">
        <f t="shared" si="99"/>
        <v>5</v>
      </c>
    </row>
    <row r="604" spans="1:22" x14ac:dyDescent="0.25">
      <c r="A604">
        <v>67</v>
      </c>
      <c r="B604">
        <v>9</v>
      </c>
      <c r="C604">
        <v>85</v>
      </c>
      <c r="D604">
        <v>1</v>
      </c>
      <c r="E604">
        <v>0</v>
      </c>
      <c r="F604">
        <v>0</v>
      </c>
      <c r="G604">
        <v>1</v>
      </c>
      <c r="H604">
        <v>650</v>
      </c>
      <c r="I604">
        <f t="shared" si="100"/>
        <v>594</v>
      </c>
      <c r="J604" s="6">
        <f t="array" aca="1" ref="J604:N604" ca="1">TRANSPOSE(ols(OFFSET($C$2:$C$10,I604,0),OFFSET($D$2:$H$10,I604,0)))</f>
        <v>95.833333333332121</v>
      </c>
      <c r="K604" s="6">
        <f ca="1"/>
        <v>-40.000000000000227</v>
      </c>
      <c r="L604" s="6">
        <f ca="1"/>
        <v>-86.666666666667425</v>
      </c>
      <c r="M604" s="6">
        <f ca="1"/>
        <v>-1.6666666666664014</v>
      </c>
      <c r="N604" s="6">
        <f ca="1"/>
        <v>-1.6666666666669272E-2</v>
      </c>
      <c r="O604" s="6">
        <f t="shared" ca="1" si="92"/>
        <v>83.3333333333307</v>
      </c>
      <c r="P604" t="str">
        <f t="shared" si="93"/>
        <v>NA</v>
      </c>
      <c r="Q604" s="10">
        <f t="shared" ca="1" si="94"/>
        <v>1.6666666666640495</v>
      </c>
      <c r="R604" s="10">
        <f t="shared" ca="1" si="95"/>
        <v>94.166666666665719</v>
      </c>
      <c r="S604" s="10">
        <f t="shared" ca="1" si="96"/>
        <v>-92.500000000001677</v>
      </c>
      <c r="T604" s="10">
        <f t="shared" ca="1" si="97"/>
        <v>5549.9999999992333</v>
      </c>
      <c r="U604" s="10" t="str">
        <f t="shared" ca="1" si="98"/>
        <v>OR</v>
      </c>
      <c r="V604">
        <f t="shared" si="99"/>
        <v>4</v>
      </c>
    </row>
    <row r="605" spans="1:22" x14ac:dyDescent="0.25">
      <c r="A605">
        <v>68</v>
      </c>
      <c r="B605">
        <v>1</v>
      </c>
      <c r="C605">
        <v>75</v>
      </c>
      <c r="D605">
        <v>1</v>
      </c>
      <c r="E605">
        <v>0</v>
      </c>
      <c r="F605">
        <v>1</v>
      </c>
      <c r="G605">
        <v>0</v>
      </c>
      <c r="H605">
        <v>250</v>
      </c>
      <c r="I605">
        <f t="shared" si="100"/>
        <v>603</v>
      </c>
      <c r="J605" s="6">
        <f t="array" aca="1" ref="J605:N605" ca="1">TRANSPOSE(ols(OFFSET($C$2:$C$10,I605,0),OFFSET($D$2:$H$10,I605,0)))</f>
        <v>146.24999999999818</v>
      </c>
      <c r="K605" s="6">
        <f ca="1"/>
        <v>-7.5000000000004547</v>
      </c>
      <c r="L605" s="6">
        <f ca="1"/>
        <v>-20</v>
      </c>
      <c r="M605" s="6">
        <f ca="1"/>
        <v>12.500000000000227</v>
      </c>
      <c r="N605" s="6">
        <f ca="1"/>
        <v>-0.17500000000000249</v>
      </c>
      <c r="O605" s="6">
        <f t="shared" ca="1" si="92"/>
        <v>82.499999999997556</v>
      </c>
      <c r="P605" t="str">
        <f t="shared" si="93"/>
        <v>NA</v>
      </c>
      <c r="Q605" s="10">
        <f t="shared" ca="1" si="94"/>
        <v>77.499999999997542</v>
      </c>
      <c r="R605" s="10">
        <f t="shared" ca="1" si="95"/>
        <v>126.24999999999818</v>
      </c>
      <c r="S605" s="10">
        <f t="shared" ca="1" si="96"/>
        <v>-48.750000000000639</v>
      </c>
      <c r="T605" s="10">
        <f t="shared" ca="1" si="97"/>
        <v>278.57142857142827</v>
      </c>
      <c r="U605" s="10">
        <f t="shared" ca="1" si="98"/>
        <v>278.57142857142827</v>
      </c>
      <c r="V605">
        <f t="shared" si="99"/>
        <v>3</v>
      </c>
    </row>
    <row r="606" spans="1:22" x14ac:dyDescent="0.25">
      <c r="A606">
        <v>68</v>
      </c>
      <c r="B606">
        <v>2</v>
      </c>
      <c r="C606">
        <v>75</v>
      </c>
      <c r="D606">
        <v>1</v>
      </c>
      <c r="E606">
        <v>1</v>
      </c>
      <c r="F606">
        <v>0</v>
      </c>
      <c r="G606">
        <v>0</v>
      </c>
      <c r="H606">
        <v>350</v>
      </c>
      <c r="I606">
        <f t="shared" si="100"/>
        <v>603</v>
      </c>
      <c r="J606" s="6">
        <f t="array" aca="1" ref="J606:N606" ca="1">TRANSPOSE(ols(OFFSET($C$2:$C$10,I606,0),OFFSET($D$2:$H$10,I606,0)))</f>
        <v>146.24999999999818</v>
      </c>
      <c r="K606" s="6">
        <f ca="1"/>
        <v>-7.5000000000004547</v>
      </c>
      <c r="L606" s="6">
        <f ca="1"/>
        <v>-20</v>
      </c>
      <c r="M606" s="6">
        <f ca="1"/>
        <v>12.500000000000227</v>
      </c>
      <c r="N606" s="6">
        <f ca="1"/>
        <v>-0.17500000000000249</v>
      </c>
      <c r="O606" s="6">
        <f t="shared" ca="1" si="92"/>
        <v>77.499999999996859</v>
      </c>
      <c r="P606" t="str">
        <f t="shared" si="93"/>
        <v>NA</v>
      </c>
      <c r="Q606" s="10">
        <f t="shared" ca="1" si="94"/>
        <v>77.499999999997542</v>
      </c>
      <c r="R606" s="10">
        <f t="shared" ca="1" si="95"/>
        <v>138.74999999999773</v>
      </c>
      <c r="S606" s="10">
        <f t="shared" ca="1" si="96"/>
        <v>-61.250000000000185</v>
      </c>
      <c r="T606" s="10">
        <f t="shared" ca="1" si="97"/>
        <v>349.99999999999608</v>
      </c>
      <c r="U606" s="10">
        <f t="shared" ca="1" si="98"/>
        <v>349.99999999999608</v>
      </c>
      <c r="V606">
        <f t="shared" si="99"/>
        <v>2</v>
      </c>
    </row>
    <row r="607" spans="1:22" x14ac:dyDescent="0.25">
      <c r="A607">
        <v>68</v>
      </c>
      <c r="B607">
        <v>3</v>
      </c>
      <c r="C607">
        <v>60</v>
      </c>
      <c r="D607">
        <v>1</v>
      </c>
      <c r="E607">
        <v>1</v>
      </c>
      <c r="F607">
        <v>0</v>
      </c>
      <c r="G607">
        <v>0</v>
      </c>
      <c r="H607">
        <v>450</v>
      </c>
      <c r="I607">
        <f t="shared" si="100"/>
        <v>603</v>
      </c>
      <c r="J607" s="6">
        <f t="array" aca="1" ref="J607:N607" ca="1">TRANSPOSE(ols(OFFSET($C$2:$C$10,I607,0),OFFSET($D$2:$H$10,I607,0)))</f>
        <v>146.24999999999818</v>
      </c>
      <c r="K607" s="6">
        <f ca="1"/>
        <v>-7.5000000000004547</v>
      </c>
      <c r="L607" s="6">
        <f ca="1"/>
        <v>-20</v>
      </c>
      <c r="M607" s="6">
        <f ca="1"/>
        <v>12.500000000000227</v>
      </c>
      <c r="N607" s="6">
        <f ca="1"/>
        <v>-0.17500000000000249</v>
      </c>
      <c r="O607" s="6">
        <f t="shared" ca="1" si="92"/>
        <v>59.999999999996604</v>
      </c>
      <c r="P607" t="str">
        <f t="shared" si="93"/>
        <v>NA</v>
      </c>
      <c r="Q607" s="10">
        <f t="shared" ca="1" si="94"/>
        <v>77.499999999997542</v>
      </c>
      <c r="R607" s="10">
        <f t="shared" ca="1" si="95"/>
        <v>138.74999999999773</v>
      </c>
      <c r="S607" s="10">
        <f t="shared" ca="1" si="96"/>
        <v>-61.250000000000185</v>
      </c>
      <c r="T607" s="10">
        <f t="shared" ca="1" si="97"/>
        <v>349.99999999999608</v>
      </c>
      <c r="U607" s="10">
        <f t="shared" ca="1" si="98"/>
        <v>349.99999999999608</v>
      </c>
      <c r="V607">
        <f t="shared" si="99"/>
        <v>2</v>
      </c>
    </row>
    <row r="608" spans="1:22" x14ac:dyDescent="0.25">
      <c r="A608">
        <v>68</v>
      </c>
      <c r="B608">
        <v>4</v>
      </c>
      <c r="C608">
        <v>60</v>
      </c>
      <c r="D608">
        <v>1</v>
      </c>
      <c r="E608">
        <v>0</v>
      </c>
      <c r="F608">
        <v>0</v>
      </c>
      <c r="G608">
        <v>0</v>
      </c>
      <c r="H608">
        <v>550</v>
      </c>
      <c r="I608">
        <f t="shared" si="100"/>
        <v>603</v>
      </c>
      <c r="J608" s="6">
        <f t="array" aca="1" ref="J608:N608" ca="1">TRANSPOSE(ols(OFFSET($C$2:$C$10,I608,0),OFFSET($D$2:$H$10,I608,0)))</f>
        <v>146.24999999999818</v>
      </c>
      <c r="K608" s="6">
        <f ca="1"/>
        <v>-7.5000000000004547</v>
      </c>
      <c r="L608" s="6">
        <f ca="1"/>
        <v>-20</v>
      </c>
      <c r="M608" s="6">
        <f ca="1"/>
        <v>12.500000000000227</v>
      </c>
      <c r="N608" s="6">
        <f ca="1"/>
        <v>-0.17500000000000249</v>
      </c>
      <c r="O608" s="6">
        <f t="shared" ca="1" si="92"/>
        <v>49.999999999996817</v>
      </c>
      <c r="P608" t="str">
        <f t="shared" si="93"/>
        <v>NA</v>
      </c>
      <c r="Q608" s="10">
        <f t="shared" ca="1" si="94"/>
        <v>77.499999999997542</v>
      </c>
      <c r="R608" s="10">
        <f t="shared" ca="1" si="95"/>
        <v>146.24999999999818</v>
      </c>
      <c r="S608" s="10">
        <f t="shared" ca="1" si="96"/>
        <v>-68.750000000000639</v>
      </c>
      <c r="T608" s="10">
        <f t="shared" ca="1" si="97"/>
        <v>392.85714285714096</v>
      </c>
      <c r="U608" s="10">
        <f t="shared" ca="1" si="98"/>
        <v>392.85714285714096</v>
      </c>
      <c r="V608">
        <f t="shared" si="99"/>
        <v>1</v>
      </c>
    </row>
    <row r="609" spans="1:22" x14ac:dyDescent="0.25">
      <c r="A609">
        <v>68</v>
      </c>
      <c r="B609">
        <v>5</v>
      </c>
      <c r="C609">
        <v>95</v>
      </c>
      <c r="D609">
        <v>1</v>
      </c>
      <c r="E609">
        <v>0</v>
      </c>
      <c r="F609">
        <v>1</v>
      </c>
      <c r="G609">
        <v>1</v>
      </c>
      <c r="H609">
        <v>250</v>
      </c>
      <c r="I609">
        <f t="shared" si="100"/>
        <v>603</v>
      </c>
      <c r="J609" s="6">
        <f t="array" aca="1" ref="J609:N609" ca="1">TRANSPOSE(ols(OFFSET($C$2:$C$10,I609,0),OFFSET($D$2:$H$10,I609,0)))</f>
        <v>146.24999999999818</v>
      </c>
      <c r="K609" s="6">
        <f ca="1"/>
        <v>-7.5000000000004547</v>
      </c>
      <c r="L609" s="6">
        <f ca="1"/>
        <v>-20</v>
      </c>
      <c r="M609" s="6">
        <f ca="1"/>
        <v>12.500000000000227</v>
      </c>
      <c r="N609" s="6">
        <f ca="1"/>
        <v>-0.17500000000000249</v>
      </c>
      <c r="O609" s="6">
        <f t="shared" ca="1" si="92"/>
        <v>94.999999999997783</v>
      </c>
      <c r="P609" t="str">
        <f t="shared" si="93"/>
        <v>NA</v>
      </c>
      <c r="Q609" s="10">
        <f t="shared" ca="1" si="94"/>
        <v>77.499999999997542</v>
      </c>
      <c r="R609" s="10">
        <f t="shared" ca="1" si="95"/>
        <v>138.74999999999841</v>
      </c>
      <c r="S609" s="10">
        <f t="shared" ca="1" si="96"/>
        <v>-61.250000000000867</v>
      </c>
      <c r="T609" s="10">
        <f t="shared" ca="1" si="97"/>
        <v>350</v>
      </c>
      <c r="U609" s="10">
        <f t="shared" ca="1" si="98"/>
        <v>350</v>
      </c>
      <c r="V609">
        <f t="shared" si="99"/>
        <v>6</v>
      </c>
    </row>
    <row r="610" spans="1:22" x14ac:dyDescent="0.25">
      <c r="A610">
        <v>68</v>
      </c>
      <c r="B610">
        <v>6</v>
      </c>
      <c r="C610">
        <v>85</v>
      </c>
      <c r="D610">
        <v>1</v>
      </c>
      <c r="E610">
        <v>0</v>
      </c>
      <c r="F610">
        <v>1</v>
      </c>
      <c r="G610">
        <v>1</v>
      </c>
      <c r="H610">
        <v>350</v>
      </c>
      <c r="I610">
        <f t="shared" si="100"/>
        <v>603</v>
      </c>
      <c r="J610" s="6">
        <f t="array" aca="1" ref="J610:N610" ca="1">TRANSPOSE(ols(OFFSET($C$2:$C$10,I610,0),OFFSET($D$2:$H$10,I610,0)))</f>
        <v>146.24999999999818</v>
      </c>
      <c r="K610" s="6">
        <f ca="1"/>
        <v>-7.5000000000004547</v>
      </c>
      <c r="L610" s="6">
        <f ca="1"/>
        <v>-20</v>
      </c>
      <c r="M610" s="6">
        <f ca="1"/>
        <v>12.500000000000227</v>
      </c>
      <c r="N610" s="6">
        <f ca="1"/>
        <v>-0.17500000000000249</v>
      </c>
      <c r="O610" s="6">
        <f t="shared" ca="1" si="92"/>
        <v>77.499999999997542</v>
      </c>
      <c r="P610">
        <f t="shared" ca="1" si="93"/>
        <v>77.499999999997542</v>
      </c>
      <c r="Q610" s="10">
        <f t="shared" ca="1" si="94"/>
        <v>77.499999999997542</v>
      </c>
      <c r="R610" s="10">
        <f t="shared" ca="1" si="95"/>
        <v>138.74999999999841</v>
      </c>
      <c r="S610" s="10">
        <f t="shared" ca="1" si="96"/>
        <v>-61.250000000000867</v>
      </c>
      <c r="T610" s="10">
        <f t="shared" ca="1" si="97"/>
        <v>350</v>
      </c>
      <c r="U610" s="10">
        <f t="shared" ca="1" si="98"/>
        <v>350</v>
      </c>
      <c r="V610">
        <f t="shared" si="99"/>
        <v>6</v>
      </c>
    </row>
    <row r="611" spans="1:22" x14ac:dyDescent="0.25">
      <c r="A611">
        <v>68</v>
      </c>
      <c r="B611">
        <v>7</v>
      </c>
      <c r="C611">
        <v>75</v>
      </c>
      <c r="D611">
        <v>1</v>
      </c>
      <c r="E611">
        <v>1</v>
      </c>
      <c r="F611">
        <v>0</v>
      </c>
      <c r="G611">
        <v>1</v>
      </c>
      <c r="H611">
        <v>450</v>
      </c>
      <c r="I611">
        <f t="shared" si="100"/>
        <v>603</v>
      </c>
      <c r="J611" s="6">
        <f t="array" aca="1" ref="J611:N611" ca="1">TRANSPOSE(ols(OFFSET($C$2:$C$10,I611,0),OFFSET($D$2:$H$10,I611,0)))</f>
        <v>146.24999999999818</v>
      </c>
      <c r="K611" s="6">
        <f ca="1"/>
        <v>-7.5000000000004547</v>
      </c>
      <c r="L611" s="6">
        <f ca="1"/>
        <v>-20</v>
      </c>
      <c r="M611" s="6">
        <f ca="1"/>
        <v>12.500000000000227</v>
      </c>
      <c r="N611" s="6">
        <f ca="1"/>
        <v>-0.17500000000000249</v>
      </c>
      <c r="O611" s="6">
        <f t="shared" ca="1" si="92"/>
        <v>72.499999999996831</v>
      </c>
      <c r="P611" t="str">
        <f t="shared" si="93"/>
        <v>NA</v>
      </c>
      <c r="Q611" s="10">
        <f t="shared" ca="1" si="94"/>
        <v>77.499999999997542</v>
      </c>
      <c r="R611" s="10">
        <f t="shared" ca="1" si="95"/>
        <v>151.24999999999795</v>
      </c>
      <c r="S611" s="10">
        <f t="shared" ca="1" si="96"/>
        <v>-73.750000000000412</v>
      </c>
      <c r="T611" s="10">
        <f t="shared" ca="1" si="97"/>
        <v>421.42857142856781</v>
      </c>
      <c r="U611" s="10">
        <f t="shared" ca="1" si="98"/>
        <v>421.42857142856781</v>
      </c>
      <c r="V611">
        <f t="shared" si="99"/>
        <v>5</v>
      </c>
    </row>
    <row r="612" spans="1:22" x14ac:dyDescent="0.25">
      <c r="A612">
        <v>68</v>
      </c>
      <c r="B612">
        <v>8</v>
      </c>
      <c r="C612">
        <v>55</v>
      </c>
      <c r="D612">
        <v>1</v>
      </c>
      <c r="E612">
        <v>1</v>
      </c>
      <c r="F612">
        <v>0</v>
      </c>
      <c r="G612">
        <v>1</v>
      </c>
      <c r="H612">
        <v>550</v>
      </c>
      <c r="I612">
        <f t="shared" si="100"/>
        <v>603</v>
      </c>
      <c r="J612" s="6">
        <f t="array" aca="1" ref="J612:N612" ca="1">TRANSPOSE(ols(OFFSET($C$2:$C$10,I612,0),OFFSET($D$2:$H$10,I612,0)))</f>
        <v>146.24999999999818</v>
      </c>
      <c r="K612" s="6">
        <f ca="1"/>
        <v>-7.5000000000004547</v>
      </c>
      <c r="L612" s="6">
        <f ca="1"/>
        <v>-20</v>
      </c>
      <c r="M612" s="6">
        <f ca="1"/>
        <v>12.500000000000227</v>
      </c>
      <c r="N612" s="6">
        <f ca="1"/>
        <v>-0.17500000000000249</v>
      </c>
      <c r="O612" s="6">
        <f t="shared" ca="1" si="92"/>
        <v>54.999999999996589</v>
      </c>
      <c r="P612" t="str">
        <f t="shared" si="93"/>
        <v>NA</v>
      </c>
      <c r="Q612" s="10">
        <f t="shared" ca="1" si="94"/>
        <v>77.499999999997542</v>
      </c>
      <c r="R612" s="10">
        <f t="shared" ca="1" si="95"/>
        <v>151.24999999999795</v>
      </c>
      <c r="S612" s="10">
        <f t="shared" ca="1" si="96"/>
        <v>-73.750000000000412</v>
      </c>
      <c r="T612" s="10">
        <f t="shared" ca="1" si="97"/>
        <v>421.42857142856781</v>
      </c>
      <c r="U612" s="10">
        <f t="shared" ca="1" si="98"/>
        <v>421.42857142856781</v>
      </c>
      <c r="V612">
        <f t="shared" si="99"/>
        <v>5</v>
      </c>
    </row>
    <row r="613" spans="1:22" x14ac:dyDescent="0.25">
      <c r="A613">
        <v>68</v>
      </c>
      <c r="B613">
        <v>9</v>
      </c>
      <c r="C613">
        <v>35</v>
      </c>
      <c r="D613">
        <v>1</v>
      </c>
      <c r="E613">
        <v>0</v>
      </c>
      <c r="F613">
        <v>0</v>
      </c>
      <c r="G613">
        <v>1</v>
      </c>
      <c r="H613">
        <v>650</v>
      </c>
      <c r="I613">
        <f t="shared" si="100"/>
        <v>603</v>
      </c>
      <c r="J613" s="6">
        <f t="array" aca="1" ref="J613:N613" ca="1">TRANSPOSE(ols(OFFSET($C$2:$C$10,I613,0),OFFSET($D$2:$H$10,I613,0)))</f>
        <v>146.24999999999818</v>
      </c>
      <c r="K613" s="6">
        <f ca="1"/>
        <v>-7.5000000000004547</v>
      </c>
      <c r="L613" s="6">
        <f ca="1"/>
        <v>-20</v>
      </c>
      <c r="M613" s="6">
        <f ca="1"/>
        <v>12.500000000000227</v>
      </c>
      <c r="N613" s="6">
        <f ca="1"/>
        <v>-0.17500000000000249</v>
      </c>
      <c r="O613" s="6">
        <f t="shared" ca="1" si="92"/>
        <v>44.999999999996788</v>
      </c>
      <c r="P613" t="str">
        <f t="shared" si="93"/>
        <v>NA</v>
      </c>
      <c r="Q613" s="10">
        <f t="shared" ca="1" si="94"/>
        <v>77.499999999997542</v>
      </c>
      <c r="R613" s="10">
        <f t="shared" ca="1" si="95"/>
        <v>158.74999999999841</v>
      </c>
      <c r="S613" s="10">
        <f t="shared" ca="1" si="96"/>
        <v>-81.250000000000867</v>
      </c>
      <c r="T613" s="10">
        <f t="shared" ca="1" si="97"/>
        <v>464.28571428571263</v>
      </c>
      <c r="U613" s="10">
        <f t="shared" ca="1" si="98"/>
        <v>464.28571428571263</v>
      </c>
      <c r="V613">
        <f t="shared" si="99"/>
        <v>4</v>
      </c>
    </row>
    <row r="614" spans="1:22" x14ac:dyDescent="0.25">
      <c r="A614">
        <v>69</v>
      </c>
      <c r="B614">
        <v>1</v>
      </c>
      <c r="C614">
        <v>38.5</v>
      </c>
      <c r="D614">
        <v>1</v>
      </c>
      <c r="E614">
        <v>0</v>
      </c>
      <c r="F614">
        <v>1</v>
      </c>
      <c r="G614">
        <v>0</v>
      </c>
      <c r="H614">
        <v>250</v>
      </c>
      <c r="I614">
        <f t="shared" si="100"/>
        <v>612</v>
      </c>
      <c r="J614" s="6">
        <f t="array" aca="1" ref="J614:N614" ca="1">TRANSPOSE(ols(OFFSET($C$2:$C$10,I614,0),OFFSET($D$2:$H$10,I614,0)))</f>
        <v>160.80357142856974</v>
      </c>
      <c r="K614" s="6">
        <f ca="1"/>
        <v>-21.142857142856883</v>
      </c>
      <c r="L614" s="6">
        <f ca="1"/>
        <v>-54.571428571428442</v>
      </c>
      <c r="M614" s="6">
        <f ca="1"/>
        <v>21.535714285714334</v>
      </c>
      <c r="N614" s="6">
        <f ca="1"/>
        <v>-0.22678571428571281</v>
      </c>
      <c r="O614" s="6">
        <f t="shared" ca="1" si="92"/>
        <v>49.535714285713098</v>
      </c>
      <c r="P614" t="str">
        <f t="shared" si="93"/>
        <v>NA</v>
      </c>
      <c r="Q614" s="10">
        <f t="shared" ca="1" si="94"/>
        <v>48.392857142856144</v>
      </c>
      <c r="R614" s="10">
        <f t="shared" ca="1" si="95"/>
        <v>106.2321428571413</v>
      </c>
      <c r="S614" s="10">
        <f t="shared" ca="1" si="96"/>
        <v>-57.839285714285154</v>
      </c>
      <c r="T614" s="10">
        <f t="shared" ca="1" si="97"/>
        <v>255.03937007873935</v>
      </c>
      <c r="U614" s="10">
        <f t="shared" ca="1" si="98"/>
        <v>255.03937007873935</v>
      </c>
      <c r="V614">
        <f t="shared" si="99"/>
        <v>3</v>
      </c>
    </row>
    <row r="615" spans="1:22" x14ac:dyDescent="0.25">
      <c r="A615">
        <v>69</v>
      </c>
      <c r="B615">
        <v>2</v>
      </c>
      <c r="C615">
        <v>59</v>
      </c>
      <c r="D615">
        <v>1</v>
      </c>
      <c r="E615">
        <v>1</v>
      </c>
      <c r="F615">
        <v>0</v>
      </c>
      <c r="G615">
        <v>0</v>
      </c>
      <c r="H615">
        <v>350</v>
      </c>
      <c r="I615">
        <f t="shared" si="100"/>
        <v>612</v>
      </c>
      <c r="J615" s="6">
        <f t="array" aca="1" ref="J615:N615" ca="1">TRANSPOSE(ols(OFFSET($C$2:$C$10,I615,0),OFFSET($D$2:$H$10,I615,0)))</f>
        <v>160.80357142856974</v>
      </c>
      <c r="K615" s="6">
        <f ca="1"/>
        <v>-21.142857142856883</v>
      </c>
      <c r="L615" s="6">
        <f ca="1"/>
        <v>-54.571428571428442</v>
      </c>
      <c r="M615" s="6">
        <f ca="1"/>
        <v>21.535714285714334</v>
      </c>
      <c r="N615" s="6">
        <f ca="1"/>
        <v>-0.22678571428571281</v>
      </c>
      <c r="O615" s="6">
        <f t="shared" ca="1" si="92"/>
        <v>60.285714285713368</v>
      </c>
      <c r="P615" t="str">
        <f t="shared" si="93"/>
        <v>NA</v>
      </c>
      <c r="Q615" s="10">
        <f t="shared" ca="1" si="94"/>
        <v>48.392857142856144</v>
      </c>
      <c r="R615" s="10">
        <f t="shared" ca="1" si="95"/>
        <v>139.66071428571286</v>
      </c>
      <c r="S615" s="10">
        <f t="shared" ca="1" si="96"/>
        <v>-91.267857142856712</v>
      </c>
      <c r="T615" s="10">
        <f t="shared" ca="1" si="97"/>
        <v>402.44094488189046</v>
      </c>
      <c r="U615" s="10">
        <f t="shared" ca="1" si="98"/>
        <v>402.44094488189046</v>
      </c>
      <c r="V615">
        <f t="shared" si="99"/>
        <v>2</v>
      </c>
    </row>
    <row r="616" spans="1:22" x14ac:dyDescent="0.25">
      <c r="A616">
        <v>69</v>
      </c>
      <c r="B616">
        <v>3</v>
      </c>
      <c r="C616">
        <v>28.5</v>
      </c>
      <c r="D616">
        <v>1</v>
      </c>
      <c r="E616">
        <v>1</v>
      </c>
      <c r="F616">
        <v>0</v>
      </c>
      <c r="G616">
        <v>0</v>
      </c>
      <c r="H616">
        <v>450</v>
      </c>
      <c r="I616">
        <f t="shared" si="100"/>
        <v>612</v>
      </c>
      <c r="J616" s="6">
        <f t="array" aca="1" ref="J616:N616" ca="1">TRANSPOSE(ols(OFFSET($C$2:$C$10,I616,0),OFFSET($D$2:$H$10,I616,0)))</f>
        <v>160.80357142856974</v>
      </c>
      <c r="K616" s="6">
        <f ca="1"/>
        <v>-21.142857142856883</v>
      </c>
      <c r="L616" s="6">
        <f ca="1"/>
        <v>-54.571428571428442</v>
      </c>
      <c r="M616" s="6">
        <f ca="1"/>
        <v>21.535714285714334</v>
      </c>
      <c r="N616" s="6">
        <f ca="1"/>
        <v>-0.22678571428571281</v>
      </c>
      <c r="O616" s="6">
        <f t="shared" ca="1" si="92"/>
        <v>37.607142857142094</v>
      </c>
      <c r="P616" t="str">
        <f t="shared" si="93"/>
        <v>NA</v>
      </c>
      <c r="Q616" s="10">
        <f t="shared" ca="1" si="94"/>
        <v>48.392857142856144</v>
      </c>
      <c r="R616" s="10">
        <f t="shared" ca="1" si="95"/>
        <v>139.66071428571286</v>
      </c>
      <c r="S616" s="10">
        <f t="shared" ca="1" si="96"/>
        <v>-91.267857142856712</v>
      </c>
      <c r="T616" s="10">
        <f t="shared" ca="1" si="97"/>
        <v>402.44094488189046</v>
      </c>
      <c r="U616" s="10">
        <f t="shared" ca="1" si="98"/>
        <v>402.44094488189046</v>
      </c>
      <c r="V616">
        <f t="shared" si="99"/>
        <v>2</v>
      </c>
    </row>
    <row r="617" spans="1:22" x14ac:dyDescent="0.25">
      <c r="A617">
        <v>69</v>
      </c>
      <c r="B617">
        <v>4</v>
      </c>
      <c r="C617">
        <v>57.5</v>
      </c>
      <c r="D617">
        <v>1</v>
      </c>
      <c r="E617">
        <v>0</v>
      </c>
      <c r="F617">
        <v>0</v>
      </c>
      <c r="G617">
        <v>0</v>
      </c>
      <c r="H617">
        <v>550</v>
      </c>
      <c r="I617">
        <f t="shared" si="100"/>
        <v>612</v>
      </c>
      <c r="J617" s="6">
        <f t="array" aca="1" ref="J617:N617" ca="1">TRANSPOSE(ols(OFFSET($C$2:$C$10,I617,0),OFFSET($D$2:$H$10,I617,0)))</f>
        <v>160.80357142856974</v>
      </c>
      <c r="K617" s="6">
        <f ca="1"/>
        <v>-21.142857142856883</v>
      </c>
      <c r="L617" s="6">
        <f ca="1"/>
        <v>-54.571428571428442</v>
      </c>
      <c r="M617" s="6">
        <f ca="1"/>
        <v>21.535714285714334</v>
      </c>
      <c r="N617" s="6">
        <f ca="1"/>
        <v>-0.22678571428571281</v>
      </c>
      <c r="O617" s="6">
        <f t="shared" ca="1" si="92"/>
        <v>36.071428571427688</v>
      </c>
      <c r="P617" t="str">
        <f t="shared" si="93"/>
        <v>NA</v>
      </c>
      <c r="Q617" s="10">
        <f t="shared" ca="1" si="94"/>
        <v>48.392857142856144</v>
      </c>
      <c r="R617" s="10">
        <f t="shared" ca="1" si="95"/>
        <v>160.80357142856974</v>
      </c>
      <c r="S617" s="10">
        <f t="shared" ca="1" si="96"/>
        <v>-112.4107142857136</v>
      </c>
      <c r="T617" s="10">
        <f t="shared" ca="1" si="97"/>
        <v>495.66929133858287</v>
      </c>
      <c r="U617" s="10">
        <f t="shared" ca="1" si="98"/>
        <v>495.66929133858287</v>
      </c>
      <c r="V617">
        <f t="shared" si="99"/>
        <v>1</v>
      </c>
    </row>
    <row r="618" spans="1:22" x14ac:dyDescent="0.25">
      <c r="A618">
        <v>69</v>
      </c>
      <c r="B618">
        <v>5</v>
      </c>
      <c r="C618">
        <v>73</v>
      </c>
      <c r="D618">
        <v>1</v>
      </c>
      <c r="E618">
        <v>0</v>
      </c>
      <c r="F618">
        <v>1</v>
      </c>
      <c r="G618">
        <v>1</v>
      </c>
      <c r="H618">
        <v>250</v>
      </c>
      <c r="I618">
        <f t="shared" si="100"/>
        <v>612</v>
      </c>
      <c r="J618" s="6">
        <f t="array" aca="1" ref="J618:N618" ca="1">TRANSPOSE(ols(OFFSET($C$2:$C$10,I618,0),OFFSET($D$2:$H$10,I618,0)))</f>
        <v>160.80357142856974</v>
      </c>
      <c r="K618" s="6">
        <f ca="1"/>
        <v>-21.142857142856883</v>
      </c>
      <c r="L618" s="6">
        <f ca="1"/>
        <v>-54.571428571428442</v>
      </c>
      <c r="M618" s="6">
        <f ca="1"/>
        <v>21.535714285714334</v>
      </c>
      <c r="N618" s="6">
        <f ca="1"/>
        <v>-0.22678571428571281</v>
      </c>
      <c r="O618" s="6">
        <f t="shared" ca="1" si="92"/>
        <v>71.071428571427433</v>
      </c>
      <c r="P618" t="str">
        <f t="shared" si="93"/>
        <v>NA</v>
      </c>
      <c r="Q618" s="10">
        <f t="shared" ca="1" si="94"/>
        <v>48.392857142856144</v>
      </c>
      <c r="R618" s="10">
        <f t="shared" ca="1" si="95"/>
        <v>127.76785714285563</v>
      </c>
      <c r="S618" s="10">
        <f t="shared" ca="1" si="96"/>
        <v>-79.374999999999488</v>
      </c>
      <c r="T618" s="10">
        <f t="shared" ca="1" si="97"/>
        <v>350</v>
      </c>
      <c r="U618" s="10">
        <f t="shared" ca="1" si="98"/>
        <v>350</v>
      </c>
      <c r="V618">
        <f t="shared" si="99"/>
        <v>6</v>
      </c>
    </row>
    <row r="619" spans="1:22" x14ac:dyDescent="0.25">
      <c r="A619">
        <v>69</v>
      </c>
      <c r="B619">
        <v>6</v>
      </c>
      <c r="C619">
        <v>57.5</v>
      </c>
      <c r="D619">
        <v>1</v>
      </c>
      <c r="E619">
        <v>0</v>
      </c>
      <c r="F619">
        <v>1</v>
      </c>
      <c r="G619">
        <v>1</v>
      </c>
      <c r="H619">
        <v>350</v>
      </c>
      <c r="I619">
        <f t="shared" si="100"/>
        <v>612</v>
      </c>
      <c r="J619" s="6">
        <f t="array" aca="1" ref="J619:N619" ca="1">TRANSPOSE(ols(OFFSET($C$2:$C$10,I619,0),OFFSET($D$2:$H$10,I619,0)))</f>
        <v>160.80357142856974</v>
      </c>
      <c r="K619" s="6">
        <f ca="1"/>
        <v>-21.142857142856883</v>
      </c>
      <c r="L619" s="6">
        <f ca="1"/>
        <v>-54.571428571428442</v>
      </c>
      <c r="M619" s="6">
        <f ca="1"/>
        <v>21.535714285714334</v>
      </c>
      <c r="N619" s="6">
        <f ca="1"/>
        <v>-0.22678571428571281</v>
      </c>
      <c r="O619" s="6">
        <f t="shared" ca="1" si="92"/>
        <v>48.392857142856144</v>
      </c>
      <c r="P619">
        <f t="shared" ca="1" si="93"/>
        <v>48.392857142856144</v>
      </c>
      <c r="Q619" s="10">
        <f t="shared" ca="1" si="94"/>
        <v>48.392857142856144</v>
      </c>
      <c r="R619" s="10">
        <f t="shared" ca="1" si="95"/>
        <v>127.76785714285563</v>
      </c>
      <c r="S619" s="10">
        <f t="shared" ca="1" si="96"/>
        <v>-79.374999999999488</v>
      </c>
      <c r="T619" s="10">
        <f t="shared" ca="1" si="97"/>
        <v>350</v>
      </c>
      <c r="U619" s="10">
        <f t="shared" ca="1" si="98"/>
        <v>350</v>
      </c>
      <c r="V619">
        <f t="shared" si="99"/>
        <v>6</v>
      </c>
    </row>
    <row r="620" spans="1:22" x14ac:dyDescent="0.25">
      <c r="A620">
        <v>69</v>
      </c>
      <c r="B620">
        <v>7</v>
      </c>
      <c r="C620">
        <v>58.5</v>
      </c>
      <c r="D620">
        <v>1</v>
      </c>
      <c r="E620">
        <v>1</v>
      </c>
      <c r="F620">
        <v>0</v>
      </c>
      <c r="G620">
        <v>1</v>
      </c>
      <c r="H620">
        <v>450</v>
      </c>
      <c r="I620">
        <f t="shared" si="100"/>
        <v>612</v>
      </c>
      <c r="J620" s="6">
        <f t="array" aca="1" ref="J620:N620" ca="1">TRANSPOSE(ols(OFFSET($C$2:$C$10,I620,0),OFFSET($D$2:$H$10,I620,0)))</f>
        <v>160.80357142856974</v>
      </c>
      <c r="K620" s="6">
        <f ca="1"/>
        <v>-21.142857142856883</v>
      </c>
      <c r="L620" s="6">
        <f ca="1"/>
        <v>-54.571428571428442</v>
      </c>
      <c r="M620" s="6">
        <f ca="1"/>
        <v>21.535714285714334</v>
      </c>
      <c r="N620" s="6">
        <f ca="1"/>
        <v>-0.22678571428571281</v>
      </c>
      <c r="O620" s="6">
        <f t="shared" ca="1" si="92"/>
        <v>59.142857142856428</v>
      </c>
      <c r="P620" t="str">
        <f t="shared" si="93"/>
        <v>NA</v>
      </c>
      <c r="Q620" s="10">
        <f t="shared" ca="1" si="94"/>
        <v>48.392857142856144</v>
      </c>
      <c r="R620" s="10">
        <f t="shared" ca="1" si="95"/>
        <v>161.19642857142719</v>
      </c>
      <c r="S620" s="10">
        <f t="shared" ca="1" si="96"/>
        <v>-112.80357142857105</v>
      </c>
      <c r="T620" s="10">
        <f t="shared" ca="1" si="97"/>
        <v>497.40157480315116</v>
      </c>
      <c r="U620" s="10">
        <f t="shared" ca="1" si="98"/>
        <v>497.40157480315116</v>
      </c>
      <c r="V620">
        <f t="shared" si="99"/>
        <v>5</v>
      </c>
    </row>
    <row r="621" spans="1:22" x14ac:dyDescent="0.25">
      <c r="A621">
        <v>69</v>
      </c>
      <c r="B621">
        <v>8</v>
      </c>
      <c r="C621">
        <v>47.5</v>
      </c>
      <c r="D621">
        <v>1</v>
      </c>
      <c r="E621">
        <v>1</v>
      </c>
      <c r="F621">
        <v>0</v>
      </c>
      <c r="G621">
        <v>1</v>
      </c>
      <c r="H621">
        <v>550</v>
      </c>
      <c r="I621">
        <f t="shared" si="100"/>
        <v>612</v>
      </c>
      <c r="J621" s="6">
        <f t="array" aca="1" ref="J621:N621" ca="1">TRANSPOSE(ols(OFFSET($C$2:$C$10,I621,0),OFFSET($D$2:$H$10,I621,0)))</f>
        <v>160.80357142856974</v>
      </c>
      <c r="K621" s="6">
        <f ca="1"/>
        <v>-21.142857142856883</v>
      </c>
      <c r="L621" s="6">
        <f ca="1"/>
        <v>-54.571428571428442</v>
      </c>
      <c r="M621" s="6">
        <f ca="1"/>
        <v>21.535714285714334</v>
      </c>
      <c r="N621" s="6">
        <f ca="1"/>
        <v>-0.22678571428571281</v>
      </c>
      <c r="O621" s="6">
        <f t="shared" ca="1" si="92"/>
        <v>36.46428571428514</v>
      </c>
      <c r="P621" t="str">
        <f t="shared" si="93"/>
        <v>NA</v>
      </c>
      <c r="Q621" s="10">
        <f t="shared" ca="1" si="94"/>
        <v>48.392857142856144</v>
      </c>
      <c r="R621" s="10">
        <f t="shared" ca="1" si="95"/>
        <v>161.19642857142719</v>
      </c>
      <c r="S621" s="10">
        <f t="shared" ca="1" si="96"/>
        <v>-112.80357142857105</v>
      </c>
      <c r="T621" s="10">
        <f t="shared" ca="1" si="97"/>
        <v>497.40157480315116</v>
      </c>
      <c r="U621" s="10">
        <f t="shared" ca="1" si="98"/>
        <v>497.40157480315116</v>
      </c>
      <c r="V621">
        <f t="shared" si="99"/>
        <v>5</v>
      </c>
    </row>
    <row r="622" spans="1:22" x14ac:dyDescent="0.25">
      <c r="A622">
        <v>69</v>
      </c>
      <c r="B622">
        <v>9</v>
      </c>
      <c r="C622">
        <v>13.5</v>
      </c>
      <c r="D622">
        <v>1</v>
      </c>
      <c r="E622">
        <v>0</v>
      </c>
      <c r="F622">
        <v>0</v>
      </c>
      <c r="G622">
        <v>1</v>
      </c>
      <c r="H622">
        <v>650</v>
      </c>
      <c r="I622">
        <f t="shared" si="100"/>
        <v>612</v>
      </c>
      <c r="J622" s="6">
        <f t="array" aca="1" ref="J622:N622" ca="1">TRANSPOSE(ols(OFFSET($C$2:$C$10,I622,0),OFFSET($D$2:$H$10,I622,0)))</f>
        <v>160.80357142856974</v>
      </c>
      <c r="K622" s="6">
        <f ca="1"/>
        <v>-21.142857142856883</v>
      </c>
      <c r="L622" s="6">
        <f ca="1"/>
        <v>-54.571428571428442</v>
      </c>
      <c r="M622" s="6">
        <f ca="1"/>
        <v>21.535714285714334</v>
      </c>
      <c r="N622" s="6">
        <f ca="1"/>
        <v>-0.22678571428571281</v>
      </c>
      <c r="O622" s="6">
        <f t="shared" ca="1" si="92"/>
        <v>34.928571428570734</v>
      </c>
      <c r="P622" t="str">
        <f t="shared" si="93"/>
        <v>NA</v>
      </c>
      <c r="Q622" s="10">
        <f t="shared" ca="1" si="94"/>
        <v>48.392857142856144</v>
      </c>
      <c r="R622" s="10">
        <f t="shared" ca="1" si="95"/>
        <v>182.33928571428407</v>
      </c>
      <c r="S622" s="10">
        <f t="shared" ca="1" si="96"/>
        <v>-133.94642857142793</v>
      </c>
      <c r="T622" s="10">
        <f t="shared" ca="1" si="97"/>
        <v>590.62992125984351</v>
      </c>
      <c r="U622" s="10">
        <f t="shared" ca="1" si="98"/>
        <v>590.62992125984351</v>
      </c>
      <c r="V622">
        <f t="shared" si="99"/>
        <v>4</v>
      </c>
    </row>
    <row r="623" spans="1:22" x14ac:dyDescent="0.25">
      <c r="A623">
        <v>70</v>
      </c>
      <c r="B623">
        <v>1</v>
      </c>
      <c r="C623">
        <v>35</v>
      </c>
      <c r="D623">
        <v>1</v>
      </c>
      <c r="E623">
        <v>0</v>
      </c>
      <c r="F623">
        <v>1</v>
      </c>
      <c r="G623">
        <v>0</v>
      </c>
      <c r="H623">
        <v>250</v>
      </c>
      <c r="I623">
        <f t="shared" si="100"/>
        <v>621</v>
      </c>
      <c r="J623" s="6">
        <f t="array" aca="1" ref="J623:N623" ca="1">TRANSPOSE(ols(OFFSET($C$2:$C$10,I623,0),OFFSET($D$2:$H$10,I623,0)))</f>
        <v>61.011904761904589</v>
      </c>
      <c r="K623" s="6">
        <f ca="1"/>
        <v>2.8571428571428896</v>
      </c>
      <c r="L623" s="6">
        <f ca="1"/>
        <v>-15.238095238095411</v>
      </c>
      <c r="M623" s="6">
        <f ca="1"/>
        <v>0.11904761904781935</v>
      </c>
      <c r="N623" s="6">
        <f ca="1"/>
        <v>-5.5952380952382974E-2</v>
      </c>
      <c r="O623" s="6">
        <f t="shared" ca="1" si="92"/>
        <v>31.785714285713432</v>
      </c>
      <c r="P623" t="str">
        <f t="shared" si="93"/>
        <v>NA</v>
      </c>
      <c r="Q623" s="10">
        <f t="shared" ca="1" si="94"/>
        <v>26.309523809522958</v>
      </c>
      <c r="R623" s="10">
        <f t="shared" ca="1" si="95"/>
        <v>45.773809523809177</v>
      </c>
      <c r="S623" s="10">
        <f t="shared" ca="1" si="96"/>
        <v>-19.46428571428622</v>
      </c>
      <c r="T623" s="10">
        <f t="shared" ca="1" si="97"/>
        <v>347.87234042552836</v>
      </c>
      <c r="U623" s="10">
        <f t="shared" ca="1" si="98"/>
        <v>347.87234042552836</v>
      </c>
      <c r="V623">
        <f t="shared" si="99"/>
        <v>3</v>
      </c>
    </row>
    <row r="624" spans="1:22" x14ac:dyDescent="0.25">
      <c r="A624">
        <v>70</v>
      </c>
      <c r="B624">
        <v>2</v>
      </c>
      <c r="C624">
        <v>50</v>
      </c>
      <c r="D624">
        <v>1</v>
      </c>
      <c r="E624">
        <v>1</v>
      </c>
      <c r="F624">
        <v>0</v>
      </c>
      <c r="G624">
        <v>0</v>
      </c>
      <c r="H624">
        <v>350</v>
      </c>
      <c r="I624">
        <f t="shared" si="100"/>
        <v>621</v>
      </c>
      <c r="J624" s="6">
        <f t="array" aca="1" ref="J624:N624" ca="1">TRANSPOSE(ols(OFFSET($C$2:$C$10,I624,0),OFFSET($D$2:$H$10,I624,0)))</f>
        <v>61.011904761904589</v>
      </c>
      <c r="K624" s="6">
        <f ca="1"/>
        <v>2.8571428571428896</v>
      </c>
      <c r="L624" s="6">
        <f ca="1"/>
        <v>-15.238095238095411</v>
      </c>
      <c r="M624" s="6">
        <f ca="1"/>
        <v>0.11904761904781935</v>
      </c>
      <c r="N624" s="6">
        <f ca="1"/>
        <v>-5.5952380952382974E-2</v>
      </c>
      <c r="O624" s="6">
        <f t="shared" ca="1" si="92"/>
        <v>44.285714285713439</v>
      </c>
      <c r="P624" t="str">
        <f t="shared" si="93"/>
        <v>NA</v>
      </c>
      <c r="Q624" s="10">
        <f t="shared" ca="1" si="94"/>
        <v>26.309523809522958</v>
      </c>
      <c r="R624" s="10">
        <f t="shared" ca="1" si="95"/>
        <v>63.869047619047478</v>
      </c>
      <c r="S624" s="10">
        <f t="shared" ca="1" si="96"/>
        <v>-37.559523809524521</v>
      </c>
      <c r="T624" s="10">
        <f t="shared" ca="1" si="97"/>
        <v>671.27659574466929</v>
      </c>
      <c r="U624" s="10" t="str">
        <f t="shared" ca="1" si="98"/>
        <v>OR</v>
      </c>
      <c r="V624">
        <f t="shared" si="99"/>
        <v>2</v>
      </c>
    </row>
    <row r="625" spans="1:22" x14ac:dyDescent="0.25">
      <c r="A625">
        <v>70</v>
      </c>
      <c r="B625">
        <v>3</v>
      </c>
      <c r="C625">
        <v>35</v>
      </c>
      <c r="D625">
        <v>1</v>
      </c>
      <c r="E625">
        <v>1</v>
      </c>
      <c r="F625">
        <v>0</v>
      </c>
      <c r="G625">
        <v>0</v>
      </c>
      <c r="H625">
        <v>450</v>
      </c>
      <c r="I625">
        <f t="shared" si="100"/>
        <v>621</v>
      </c>
      <c r="J625" s="6">
        <f t="array" aca="1" ref="J625:N625" ca="1">TRANSPOSE(ols(OFFSET($C$2:$C$10,I625,0),OFFSET($D$2:$H$10,I625,0)))</f>
        <v>61.011904761904589</v>
      </c>
      <c r="K625" s="6">
        <f ca="1"/>
        <v>2.8571428571428896</v>
      </c>
      <c r="L625" s="6">
        <f ca="1"/>
        <v>-15.238095238095411</v>
      </c>
      <c r="M625" s="6">
        <f ca="1"/>
        <v>0.11904761904781935</v>
      </c>
      <c r="N625" s="6">
        <f ca="1"/>
        <v>-5.5952380952382974E-2</v>
      </c>
      <c r="O625" s="6">
        <f t="shared" ca="1" si="92"/>
        <v>38.690476190475138</v>
      </c>
      <c r="P625" t="str">
        <f t="shared" si="93"/>
        <v>NA</v>
      </c>
      <c r="Q625" s="10">
        <f t="shared" ca="1" si="94"/>
        <v>26.309523809522958</v>
      </c>
      <c r="R625" s="10">
        <f t="shared" ca="1" si="95"/>
        <v>63.869047619047478</v>
      </c>
      <c r="S625" s="10">
        <f t="shared" ca="1" si="96"/>
        <v>-37.559523809524521</v>
      </c>
      <c r="T625" s="10">
        <f t="shared" ca="1" si="97"/>
        <v>671.27659574466929</v>
      </c>
      <c r="U625" s="10" t="str">
        <f t="shared" ca="1" si="98"/>
        <v>OR</v>
      </c>
      <c r="V625">
        <f t="shared" si="99"/>
        <v>2</v>
      </c>
    </row>
    <row r="626" spans="1:22" x14ac:dyDescent="0.25">
      <c r="A626">
        <v>70</v>
      </c>
      <c r="B626">
        <v>4</v>
      </c>
      <c r="C626">
        <v>25</v>
      </c>
      <c r="D626">
        <v>1</v>
      </c>
      <c r="E626">
        <v>0</v>
      </c>
      <c r="F626">
        <v>0</v>
      </c>
      <c r="G626">
        <v>0</v>
      </c>
      <c r="H626">
        <v>550</v>
      </c>
      <c r="I626">
        <f t="shared" si="100"/>
        <v>621</v>
      </c>
      <c r="J626" s="6">
        <f t="array" aca="1" ref="J626:N626" ca="1">TRANSPOSE(ols(OFFSET($C$2:$C$10,I626,0),OFFSET($D$2:$H$10,I626,0)))</f>
        <v>61.011904761904589</v>
      </c>
      <c r="K626" s="6">
        <f ca="1"/>
        <v>2.8571428571428896</v>
      </c>
      <c r="L626" s="6">
        <f ca="1"/>
        <v>-15.238095238095411</v>
      </c>
      <c r="M626" s="6">
        <f ca="1"/>
        <v>0.11904761904781935</v>
      </c>
      <c r="N626" s="6">
        <f ca="1"/>
        <v>-5.5952380952382974E-2</v>
      </c>
      <c r="O626" s="6">
        <f t="shared" ca="1" si="92"/>
        <v>30.238095238093955</v>
      </c>
      <c r="P626" t="str">
        <f t="shared" si="93"/>
        <v>NA</v>
      </c>
      <c r="Q626" s="10">
        <f t="shared" ca="1" si="94"/>
        <v>26.309523809522958</v>
      </c>
      <c r="R626" s="10">
        <f t="shared" ca="1" si="95"/>
        <v>61.011904761904589</v>
      </c>
      <c r="S626" s="10">
        <f t="shared" ca="1" si="96"/>
        <v>-34.702380952381631</v>
      </c>
      <c r="T626" s="10">
        <f t="shared" ca="1" si="97"/>
        <v>620.21276595743655</v>
      </c>
      <c r="U626" s="10">
        <f t="shared" ca="1" si="98"/>
        <v>620.21276595743655</v>
      </c>
      <c r="V626">
        <f t="shared" si="99"/>
        <v>1</v>
      </c>
    </row>
    <row r="627" spans="1:22" x14ac:dyDescent="0.25">
      <c r="A627">
        <v>70</v>
      </c>
      <c r="B627">
        <v>5</v>
      </c>
      <c r="C627">
        <v>30</v>
      </c>
      <c r="D627">
        <v>1</v>
      </c>
      <c r="E627">
        <v>0</v>
      </c>
      <c r="F627">
        <v>1</v>
      </c>
      <c r="G627">
        <v>1</v>
      </c>
      <c r="H627">
        <v>250</v>
      </c>
      <c r="I627">
        <f t="shared" si="100"/>
        <v>621</v>
      </c>
      <c r="J627" s="6">
        <f t="array" aca="1" ref="J627:N627" ca="1">TRANSPOSE(ols(OFFSET($C$2:$C$10,I627,0),OFFSET($D$2:$H$10,I627,0)))</f>
        <v>61.011904761904589</v>
      </c>
      <c r="K627" s="6">
        <f ca="1"/>
        <v>2.8571428571428896</v>
      </c>
      <c r="L627" s="6">
        <f ca="1"/>
        <v>-15.238095238095411</v>
      </c>
      <c r="M627" s="6">
        <f ca="1"/>
        <v>0.11904761904781935</v>
      </c>
      <c r="N627" s="6">
        <f ca="1"/>
        <v>-5.5952380952382974E-2</v>
      </c>
      <c r="O627" s="6">
        <f t="shared" ca="1" si="92"/>
        <v>31.904761904761251</v>
      </c>
      <c r="P627" t="str">
        <f t="shared" si="93"/>
        <v>NA</v>
      </c>
      <c r="Q627" s="10">
        <f t="shared" ca="1" si="94"/>
        <v>26.309523809522958</v>
      </c>
      <c r="R627" s="10">
        <f t="shared" ca="1" si="95"/>
        <v>45.892857142856997</v>
      </c>
      <c r="S627" s="10">
        <f t="shared" ca="1" si="96"/>
        <v>-19.583333333334039</v>
      </c>
      <c r="T627" s="10">
        <f t="shared" ca="1" si="97"/>
        <v>349.99999999999994</v>
      </c>
      <c r="U627" s="10">
        <f t="shared" ca="1" si="98"/>
        <v>349.99999999999994</v>
      </c>
      <c r="V627">
        <f t="shared" si="99"/>
        <v>6</v>
      </c>
    </row>
    <row r="628" spans="1:22" x14ac:dyDescent="0.25">
      <c r="A628">
        <v>70</v>
      </c>
      <c r="B628">
        <v>6</v>
      </c>
      <c r="C628">
        <v>25</v>
      </c>
      <c r="D628">
        <v>1</v>
      </c>
      <c r="E628">
        <v>0</v>
      </c>
      <c r="F628">
        <v>1</v>
      </c>
      <c r="G628">
        <v>1</v>
      </c>
      <c r="H628">
        <v>350</v>
      </c>
      <c r="I628">
        <f t="shared" si="100"/>
        <v>621</v>
      </c>
      <c r="J628" s="6">
        <f t="array" aca="1" ref="J628:N628" ca="1">TRANSPOSE(ols(OFFSET($C$2:$C$10,I628,0),OFFSET($D$2:$H$10,I628,0)))</f>
        <v>61.011904761904589</v>
      </c>
      <c r="K628" s="6">
        <f ca="1"/>
        <v>2.8571428571428896</v>
      </c>
      <c r="L628" s="6">
        <f ca="1"/>
        <v>-15.238095238095411</v>
      </c>
      <c r="M628" s="6">
        <f ca="1"/>
        <v>0.11904761904781935</v>
      </c>
      <c r="N628" s="6">
        <f ca="1"/>
        <v>-5.5952380952382974E-2</v>
      </c>
      <c r="O628" s="6">
        <f t="shared" ca="1" si="92"/>
        <v>26.309523809522958</v>
      </c>
      <c r="P628">
        <f t="shared" ca="1" si="93"/>
        <v>26.309523809522958</v>
      </c>
      <c r="Q628" s="10">
        <f t="shared" ca="1" si="94"/>
        <v>26.309523809522958</v>
      </c>
      <c r="R628" s="10">
        <f t="shared" ca="1" si="95"/>
        <v>45.892857142856997</v>
      </c>
      <c r="S628" s="10">
        <f t="shared" ca="1" si="96"/>
        <v>-19.583333333334039</v>
      </c>
      <c r="T628" s="10">
        <f t="shared" ca="1" si="97"/>
        <v>349.99999999999994</v>
      </c>
      <c r="U628" s="10">
        <f t="shared" ca="1" si="98"/>
        <v>349.99999999999994</v>
      </c>
      <c r="V628">
        <f t="shared" si="99"/>
        <v>6</v>
      </c>
    </row>
    <row r="629" spans="1:22" x14ac:dyDescent="0.25">
      <c r="A629">
        <v>70</v>
      </c>
      <c r="B629">
        <v>7</v>
      </c>
      <c r="C629">
        <v>35</v>
      </c>
      <c r="D629">
        <v>1</v>
      </c>
      <c r="E629">
        <v>1</v>
      </c>
      <c r="F629">
        <v>0</v>
      </c>
      <c r="G629">
        <v>1</v>
      </c>
      <c r="H629">
        <v>450</v>
      </c>
      <c r="I629">
        <f t="shared" si="100"/>
        <v>621</v>
      </c>
      <c r="J629" s="6">
        <f t="array" aca="1" ref="J629:N629" ca="1">TRANSPOSE(ols(OFFSET($C$2:$C$10,I629,0),OFFSET($D$2:$H$10,I629,0)))</f>
        <v>61.011904761904589</v>
      </c>
      <c r="K629" s="6">
        <f ca="1"/>
        <v>2.8571428571428896</v>
      </c>
      <c r="L629" s="6">
        <f ca="1"/>
        <v>-15.238095238095411</v>
      </c>
      <c r="M629" s="6">
        <f ca="1"/>
        <v>0.11904761904781935</v>
      </c>
      <c r="N629" s="6">
        <f ca="1"/>
        <v>-5.5952380952382974E-2</v>
      </c>
      <c r="O629" s="6">
        <f t="shared" ca="1" si="92"/>
        <v>38.809523809522958</v>
      </c>
      <c r="P629" t="str">
        <f t="shared" si="93"/>
        <v>NA</v>
      </c>
      <c r="Q629" s="10">
        <f t="shared" ca="1" si="94"/>
        <v>26.309523809522958</v>
      </c>
      <c r="R629" s="10">
        <f t="shared" ca="1" si="95"/>
        <v>63.988095238095298</v>
      </c>
      <c r="S629" s="10">
        <f t="shared" ca="1" si="96"/>
        <v>-37.67857142857234</v>
      </c>
      <c r="T629" s="10">
        <f t="shared" ca="1" si="97"/>
        <v>673.40425531914093</v>
      </c>
      <c r="U629" s="10" t="str">
        <f t="shared" ca="1" si="98"/>
        <v>OR</v>
      </c>
      <c r="V629">
        <f t="shared" si="99"/>
        <v>5</v>
      </c>
    </row>
    <row r="630" spans="1:22" x14ac:dyDescent="0.25">
      <c r="A630">
        <v>70</v>
      </c>
      <c r="B630">
        <v>8</v>
      </c>
      <c r="C630">
        <v>35</v>
      </c>
      <c r="D630">
        <v>1</v>
      </c>
      <c r="E630">
        <v>1</v>
      </c>
      <c r="F630">
        <v>0</v>
      </c>
      <c r="G630">
        <v>1</v>
      </c>
      <c r="H630">
        <v>550</v>
      </c>
      <c r="I630">
        <f t="shared" si="100"/>
        <v>621</v>
      </c>
      <c r="J630" s="6">
        <f t="array" aca="1" ref="J630:N630" ca="1">TRANSPOSE(ols(OFFSET($C$2:$C$10,I630,0),OFFSET($D$2:$H$10,I630,0)))</f>
        <v>61.011904761904589</v>
      </c>
      <c r="K630" s="6">
        <f ca="1"/>
        <v>2.8571428571428896</v>
      </c>
      <c r="L630" s="6">
        <f ca="1"/>
        <v>-15.238095238095411</v>
      </c>
      <c r="M630" s="6">
        <f ca="1"/>
        <v>0.11904761904781935</v>
      </c>
      <c r="N630" s="6">
        <f ca="1"/>
        <v>-5.5952380952382974E-2</v>
      </c>
      <c r="O630" s="6">
        <f t="shared" ca="1" si="92"/>
        <v>33.214285714284664</v>
      </c>
      <c r="P630" t="str">
        <f t="shared" si="93"/>
        <v>NA</v>
      </c>
      <c r="Q630" s="10">
        <f t="shared" ca="1" si="94"/>
        <v>26.309523809522958</v>
      </c>
      <c r="R630" s="10">
        <f t="shared" ca="1" si="95"/>
        <v>63.988095238095298</v>
      </c>
      <c r="S630" s="10">
        <f t="shared" ca="1" si="96"/>
        <v>-37.67857142857234</v>
      </c>
      <c r="T630" s="10">
        <f t="shared" ca="1" si="97"/>
        <v>673.40425531914093</v>
      </c>
      <c r="U630" s="10" t="str">
        <f t="shared" ca="1" si="98"/>
        <v>OR</v>
      </c>
      <c r="V630">
        <f t="shared" si="99"/>
        <v>5</v>
      </c>
    </row>
    <row r="631" spans="1:22" x14ac:dyDescent="0.25">
      <c r="A631">
        <v>70</v>
      </c>
      <c r="B631">
        <v>9</v>
      </c>
      <c r="C631">
        <v>30</v>
      </c>
      <c r="D631">
        <v>1</v>
      </c>
      <c r="E631">
        <v>0</v>
      </c>
      <c r="F631">
        <v>0</v>
      </c>
      <c r="G631">
        <v>1</v>
      </c>
      <c r="H631">
        <v>650</v>
      </c>
      <c r="I631">
        <f t="shared" si="100"/>
        <v>621</v>
      </c>
      <c r="J631" s="6">
        <f t="array" aca="1" ref="J631:N631" ca="1">TRANSPOSE(ols(OFFSET($C$2:$C$10,I631,0),OFFSET($D$2:$H$10,I631,0)))</f>
        <v>61.011904761904589</v>
      </c>
      <c r="K631" s="6">
        <f ca="1"/>
        <v>2.8571428571428896</v>
      </c>
      <c r="L631" s="6">
        <f ca="1"/>
        <v>-15.238095238095411</v>
      </c>
      <c r="M631" s="6">
        <f ca="1"/>
        <v>0.11904761904781935</v>
      </c>
      <c r="N631" s="6">
        <f ca="1"/>
        <v>-5.5952380952382974E-2</v>
      </c>
      <c r="O631" s="6">
        <f t="shared" ca="1" si="92"/>
        <v>24.761904761903473</v>
      </c>
      <c r="P631" t="str">
        <f t="shared" si="93"/>
        <v>NA</v>
      </c>
      <c r="Q631" s="10">
        <f t="shared" ca="1" si="94"/>
        <v>26.309523809522958</v>
      </c>
      <c r="R631" s="10">
        <f t="shared" ca="1" si="95"/>
        <v>61.130952380952408</v>
      </c>
      <c r="S631" s="10">
        <f t="shared" ca="1" si="96"/>
        <v>-34.82142857142945</v>
      </c>
      <c r="T631" s="10">
        <f t="shared" ca="1" si="97"/>
        <v>622.34042553190807</v>
      </c>
      <c r="U631" s="10">
        <f t="shared" ca="1" si="98"/>
        <v>622.34042553190807</v>
      </c>
      <c r="V631">
        <f t="shared" si="99"/>
        <v>4</v>
      </c>
    </row>
    <row r="632" spans="1:22" x14ac:dyDescent="0.25">
      <c r="A632">
        <v>71</v>
      </c>
      <c r="B632">
        <v>1</v>
      </c>
      <c r="C632">
        <v>15</v>
      </c>
      <c r="D632">
        <v>1</v>
      </c>
      <c r="E632">
        <v>0</v>
      </c>
      <c r="F632">
        <v>1</v>
      </c>
      <c r="G632">
        <v>0</v>
      </c>
      <c r="H632">
        <v>250</v>
      </c>
      <c r="I632">
        <f t="shared" si="100"/>
        <v>630</v>
      </c>
      <c r="J632" s="6">
        <f t="array" aca="1" ref="J632:N632" ca="1">TRANSPOSE(ols(OFFSET($C$2:$C$10,I632,0),OFFSET($D$2:$H$10,I632,0)))</f>
        <v>124.70238095237801</v>
      </c>
      <c r="K632" s="6">
        <f ca="1"/>
        <v>24.821428571428896</v>
      </c>
      <c r="L632" s="6">
        <f ca="1"/>
        <v>-54.047619047619264</v>
      </c>
      <c r="M632" s="6">
        <f ca="1"/>
        <v>17.023809523809632</v>
      </c>
      <c r="N632" s="6">
        <f ca="1"/>
        <v>-0.20119047619047414</v>
      </c>
      <c r="O632" s="6">
        <f t="shared" ca="1" si="92"/>
        <v>20.357142857140204</v>
      </c>
      <c r="P632" t="str">
        <f t="shared" si="93"/>
        <v>NA</v>
      </c>
      <c r="Q632" s="10">
        <f t="shared" ca="1" si="94"/>
        <v>17.261904761902429</v>
      </c>
      <c r="R632" s="10">
        <f t="shared" ca="1" si="95"/>
        <v>70.654761904758743</v>
      </c>
      <c r="S632" s="10">
        <f t="shared" ca="1" si="96"/>
        <v>-53.392857142856315</v>
      </c>
      <c r="T632" s="10">
        <f t="shared" ca="1" si="97"/>
        <v>265.38461538461399</v>
      </c>
      <c r="U632" s="10">
        <f t="shared" ca="1" si="98"/>
        <v>265.38461538461399</v>
      </c>
      <c r="V632">
        <f t="shared" si="99"/>
        <v>3</v>
      </c>
    </row>
    <row r="633" spans="1:22" x14ac:dyDescent="0.25">
      <c r="A633">
        <v>71</v>
      </c>
      <c r="B633">
        <v>2</v>
      </c>
      <c r="C633">
        <v>75</v>
      </c>
      <c r="D633">
        <v>1</v>
      </c>
      <c r="E633">
        <v>1</v>
      </c>
      <c r="F633">
        <v>0</v>
      </c>
      <c r="G633">
        <v>0</v>
      </c>
      <c r="H633">
        <v>350</v>
      </c>
      <c r="I633">
        <f t="shared" si="100"/>
        <v>630</v>
      </c>
      <c r="J633" s="6">
        <f t="array" aca="1" ref="J633:N633" ca="1">TRANSPOSE(ols(OFFSET($C$2:$C$10,I633,0),OFFSET($D$2:$H$10,I633,0)))</f>
        <v>124.70238095237801</v>
      </c>
      <c r="K633" s="6">
        <f ca="1"/>
        <v>24.821428571428896</v>
      </c>
      <c r="L633" s="6">
        <f ca="1"/>
        <v>-54.047619047619264</v>
      </c>
      <c r="M633" s="6">
        <f ca="1"/>
        <v>17.023809523809632</v>
      </c>
      <c r="N633" s="6">
        <f ca="1"/>
        <v>-0.20119047619047414</v>
      </c>
      <c r="O633" s="6">
        <f t="shared" ca="1" si="92"/>
        <v>79.107142857140957</v>
      </c>
      <c r="P633" t="str">
        <f t="shared" si="93"/>
        <v>NA</v>
      </c>
      <c r="Q633" s="10">
        <f t="shared" ca="1" si="94"/>
        <v>17.261904761902429</v>
      </c>
      <c r="R633" s="10">
        <f t="shared" ca="1" si="95"/>
        <v>149.5238095238069</v>
      </c>
      <c r="S633" s="10">
        <f t="shared" ca="1" si="96"/>
        <v>-132.26190476190447</v>
      </c>
      <c r="T633" s="10">
        <f t="shared" ca="1" si="97"/>
        <v>657.39644970414724</v>
      </c>
      <c r="U633" s="10" t="str">
        <f t="shared" ca="1" si="98"/>
        <v>OR</v>
      </c>
      <c r="V633">
        <f t="shared" si="99"/>
        <v>2</v>
      </c>
    </row>
    <row r="634" spans="1:22" x14ac:dyDescent="0.25">
      <c r="A634">
        <v>71</v>
      </c>
      <c r="B634">
        <v>3</v>
      </c>
      <c r="C634">
        <v>62.5</v>
      </c>
      <c r="D634">
        <v>1</v>
      </c>
      <c r="E634">
        <v>1</v>
      </c>
      <c r="F634">
        <v>0</v>
      </c>
      <c r="G634">
        <v>0</v>
      </c>
      <c r="H634">
        <v>450</v>
      </c>
      <c r="I634">
        <f t="shared" si="100"/>
        <v>630</v>
      </c>
      <c r="J634" s="6">
        <f t="array" aca="1" ref="J634:N634" ca="1">TRANSPOSE(ols(OFFSET($C$2:$C$10,I634,0),OFFSET($D$2:$H$10,I634,0)))</f>
        <v>124.70238095237801</v>
      </c>
      <c r="K634" s="6">
        <f ca="1"/>
        <v>24.821428571428896</v>
      </c>
      <c r="L634" s="6">
        <f ca="1"/>
        <v>-54.047619047619264</v>
      </c>
      <c r="M634" s="6">
        <f ca="1"/>
        <v>17.023809523809632</v>
      </c>
      <c r="N634" s="6">
        <f ca="1"/>
        <v>-0.20119047619047414</v>
      </c>
      <c r="O634" s="6">
        <f t="shared" ca="1" si="92"/>
        <v>58.988095238093535</v>
      </c>
      <c r="P634" t="str">
        <f t="shared" si="93"/>
        <v>NA</v>
      </c>
      <c r="Q634" s="10">
        <f t="shared" ca="1" si="94"/>
        <v>17.261904761902429</v>
      </c>
      <c r="R634" s="10">
        <f t="shared" ca="1" si="95"/>
        <v>149.5238095238069</v>
      </c>
      <c r="S634" s="10">
        <f t="shared" ca="1" si="96"/>
        <v>-132.26190476190447</v>
      </c>
      <c r="T634" s="10">
        <f t="shared" ca="1" si="97"/>
        <v>657.39644970414724</v>
      </c>
      <c r="U634" s="10" t="str">
        <f t="shared" ca="1" si="98"/>
        <v>OR</v>
      </c>
      <c r="V634">
        <f t="shared" si="99"/>
        <v>2</v>
      </c>
    </row>
    <row r="635" spans="1:22" x14ac:dyDescent="0.25">
      <c r="A635">
        <v>71</v>
      </c>
      <c r="B635">
        <v>4</v>
      </c>
      <c r="C635">
        <v>20</v>
      </c>
      <c r="D635">
        <v>1</v>
      </c>
      <c r="E635">
        <v>0</v>
      </c>
      <c r="F635">
        <v>0</v>
      </c>
      <c r="G635">
        <v>0</v>
      </c>
      <c r="H635">
        <v>550</v>
      </c>
      <c r="I635">
        <f t="shared" si="100"/>
        <v>630</v>
      </c>
      <c r="J635" s="6">
        <f t="array" aca="1" ref="J635:N635" ca="1">TRANSPOSE(ols(OFFSET($C$2:$C$10,I635,0),OFFSET($D$2:$H$10,I635,0)))</f>
        <v>124.70238095237801</v>
      </c>
      <c r="K635" s="6">
        <f ca="1"/>
        <v>24.821428571428896</v>
      </c>
      <c r="L635" s="6">
        <f ca="1"/>
        <v>-54.047619047619264</v>
      </c>
      <c r="M635" s="6">
        <f ca="1"/>
        <v>17.023809523809632</v>
      </c>
      <c r="N635" s="6">
        <f ca="1"/>
        <v>-0.20119047619047414</v>
      </c>
      <c r="O635" s="6">
        <f t="shared" ca="1" si="92"/>
        <v>14.047619047617232</v>
      </c>
      <c r="P635" t="str">
        <f t="shared" si="93"/>
        <v>NA</v>
      </c>
      <c r="Q635" s="10">
        <f t="shared" ca="1" si="94"/>
        <v>17.261904761902429</v>
      </c>
      <c r="R635" s="10">
        <f t="shared" ca="1" si="95"/>
        <v>124.70238095237801</v>
      </c>
      <c r="S635" s="10">
        <f t="shared" ca="1" si="96"/>
        <v>-107.44047619047558</v>
      </c>
      <c r="T635" s="10">
        <f t="shared" ca="1" si="97"/>
        <v>534.0236686390557</v>
      </c>
      <c r="U635" s="10">
        <f t="shared" ca="1" si="98"/>
        <v>534.0236686390557</v>
      </c>
      <c r="V635">
        <f t="shared" si="99"/>
        <v>1</v>
      </c>
    </row>
    <row r="636" spans="1:22" x14ac:dyDescent="0.25">
      <c r="A636">
        <v>71</v>
      </c>
      <c r="B636">
        <v>5</v>
      </c>
      <c r="C636">
        <v>30</v>
      </c>
      <c r="D636">
        <v>1</v>
      </c>
      <c r="E636">
        <v>0</v>
      </c>
      <c r="F636">
        <v>1</v>
      </c>
      <c r="G636">
        <v>1</v>
      </c>
      <c r="H636">
        <v>250</v>
      </c>
      <c r="I636">
        <f t="shared" si="100"/>
        <v>630</v>
      </c>
      <c r="J636" s="6">
        <f t="array" aca="1" ref="J636:N636" ca="1">TRANSPOSE(ols(OFFSET($C$2:$C$10,I636,0),OFFSET($D$2:$H$10,I636,0)))</f>
        <v>124.70238095237801</v>
      </c>
      <c r="K636" s="6">
        <f ca="1"/>
        <v>24.821428571428896</v>
      </c>
      <c r="L636" s="6">
        <f ca="1"/>
        <v>-54.047619047619264</v>
      </c>
      <c r="M636" s="6">
        <f ca="1"/>
        <v>17.023809523809632</v>
      </c>
      <c r="N636" s="6">
        <f ca="1"/>
        <v>-0.20119047619047414</v>
      </c>
      <c r="O636" s="6">
        <f t="shared" ca="1" si="92"/>
        <v>37.380952380949836</v>
      </c>
      <c r="P636" t="str">
        <f t="shared" si="93"/>
        <v>NA</v>
      </c>
      <c r="Q636" s="10">
        <f t="shared" ca="1" si="94"/>
        <v>17.261904761902429</v>
      </c>
      <c r="R636" s="10">
        <f t="shared" ca="1" si="95"/>
        <v>87.678571428568375</v>
      </c>
      <c r="S636" s="10">
        <f t="shared" ca="1" si="96"/>
        <v>-70.416666666665947</v>
      </c>
      <c r="T636" s="10">
        <f t="shared" ca="1" si="97"/>
        <v>350</v>
      </c>
      <c r="U636" s="10">
        <f t="shared" ca="1" si="98"/>
        <v>350</v>
      </c>
      <c r="V636">
        <f t="shared" si="99"/>
        <v>6</v>
      </c>
    </row>
    <row r="637" spans="1:22" x14ac:dyDescent="0.25">
      <c r="A637">
        <v>71</v>
      </c>
      <c r="B637">
        <v>6</v>
      </c>
      <c r="C637">
        <v>30</v>
      </c>
      <c r="D637">
        <v>1</v>
      </c>
      <c r="E637">
        <v>0</v>
      </c>
      <c r="F637">
        <v>1</v>
      </c>
      <c r="G637">
        <v>1</v>
      </c>
      <c r="H637">
        <v>350</v>
      </c>
      <c r="I637">
        <f t="shared" si="100"/>
        <v>630</v>
      </c>
      <c r="J637" s="6">
        <f t="array" aca="1" ref="J637:N637" ca="1">TRANSPOSE(ols(OFFSET($C$2:$C$10,I637,0),OFFSET($D$2:$H$10,I637,0)))</f>
        <v>124.70238095237801</v>
      </c>
      <c r="K637" s="6">
        <f ca="1"/>
        <v>24.821428571428896</v>
      </c>
      <c r="L637" s="6">
        <f ca="1"/>
        <v>-54.047619047619264</v>
      </c>
      <c r="M637" s="6">
        <f ca="1"/>
        <v>17.023809523809632</v>
      </c>
      <c r="N637" s="6">
        <f ca="1"/>
        <v>-0.20119047619047414</v>
      </c>
      <c r="O637" s="6">
        <f t="shared" ca="1" si="92"/>
        <v>17.261904761902429</v>
      </c>
      <c r="P637">
        <f t="shared" ca="1" si="93"/>
        <v>17.261904761902429</v>
      </c>
      <c r="Q637" s="10">
        <f t="shared" ca="1" si="94"/>
        <v>17.261904761902429</v>
      </c>
      <c r="R637" s="10">
        <f t="shared" ca="1" si="95"/>
        <v>87.678571428568375</v>
      </c>
      <c r="S637" s="10">
        <f t="shared" ca="1" si="96"/>
        <v>-70.416666666665947</v>
      </c>
      <c r="T637" s="10">
        <f t="shared" ca="1" si="97"/>
        <v>350</v>
      </c>
      <c r="U637" s="10">
        <f t="shared" ca="1" si="98"/>
        <v>350</v>
      </c>
      <c r="V637">
        <f t="shared" si="99"/>
        <v>6</v>
      </c>
    </row>
    <row r="638" spans="1:22" x14ac:dyDescent="0.25">
      <c r="A638">
        <v>71</v>
      </c>
      <c r="B638">
        <v>7</v>
      </c>
      <c r="C638">
        <v>87.5</v>
      </c>
      <c r="D638">
        <v>1</v>
      </c>
      <c r="E638">
        <v>1</v>
      </c>
      <c r="F638">
        <v>0</v>
      </c>
      <c r="G638">
        <v>1</v>
      </c>
      <c r="H638">
        <v>450</v>
      </c>
      <c r="I638">
        <f t="shared" si="100"/>
        <v>630</v>
      </c>
      <c r="J638" s="6">
        <f t="array" aca="1" ref="J638:N638" ca="1">TRANSPOSE(ols(OFFSET($C$2:$C$10,I638,0),OFFSET($D$2:$H$10,I638,0)))</f>
        <v>124.70238095237801</v>
      </c>
      <c r="K638" s="6">
        <f ca="1"/>
        <v>24.821428571428896</v>
      </c>
      <c r="L638" s="6">
        <f ca="1"/>
        <v>-54.047619047619264</v>
      </c>
      <c r="M638" s="6">
        <f ca="1"/>
        <v>17.023809523809632</v>
      </c>
      <c r="N638" s="6">
        <f ca="1"/>
        <v>-0.20119047619047414</v>
      </c>
      <c r="O638" s="6">
        <f t="shared" ca="1" si="92"/>
        <v>76.011904761903168</v>
      </c>
      <c r="P638" t="str">
        <f t="shared" si="93"/>
        <v>NA</v>
      </c>
      <c r="Q638" s="10">
        <f t="shared" ca="1" si="94"/>
        <v>17.261904761902429</v>
      </c>
      <c r="R638" s="10">
        <f t="shared" ca="1" si="95"/>
        <v>166.54761904761654</v>
      </c>
      <c r="S638" s="10">
        <f t="shared" ca="1" si="96"/>
        <v>-149.28571428571411</v>
      </c>
      <c r="T638" s="10">
        <f t="shared" ca="1" si="97"/>
        <v>742.01183431953325</v>
      </c>
      <c r="U638" s="10" t="str">
        <f t="shared" ca="1" si="98"/>
        <v>OR</v>
      </c>
      <c r="V638">
        <f t="shared" si="99"/>
        <v>5</v>
      </c>
    </row>
    <row r="639" spans="1:22" x14ac:dyDescent="0.25">
      <c r="A639">
        <v>71</v>
      </c>
      <c r="B639">
        <v>8</v>
      </c>
      <c r="C639">
        <v>45</v>
      </c>
      <c r="D639">
        <v>1</v>
      </c>
      <c r="E639">
        <v>1</v>
      </c>
      <c r="F639">
        <v>0</v>
      </c>
      <c r="G639">
        <v>1</v>
      </c>
      <c r="H639">
        <v>550</v>
      </c>
      <c r="I639">
        <f t="shared" si="100"/>
        <v>630</v>
      </c>
      <c r="J639" s="6">
        <f t="array" aca="1" ref="J639:N639" ca="1">TRANSPOSE(ols(OFFSET($C$2:$C$10,I639,0),OFFSET($D$2:$H$10,I639,0)))</f>
        <v>124.70238095237801</v>
      </c>
      <c r="K639" s="6">
        <f ca="1"/>
        <v>24.821428571428896</v>
      </c>
      <c r="L639" s="6">
        <f ca="1"/>
        <v>-54.047619047619264</v>
      </c>
      <c r="M639" s="6">
        <f ca="1"/>
        <v>17.023809523809632</v>
      </c>
      <c r="N639" s="6">
        <f ca="1"/>
        <v>-0.20119047619047414</v>
      </c>
      <c r="O639" s="6">
        <f t="shared" ca="1" si="92"/>
        <v>55.89285714285576</v>
      </c>
      <c r="P639" t="str">
        <f t="shared" si="93"/>
        <v>NA</v>
      </c>
      <c r="Q639" s="10">
        <f t="shared" ca="1" si="94"/>
        <v>17.261904761902429</v>
      </c>
      <c r="R639" s="10">
        <f t="shared" ca="1" si="95"/>
        <v>166.54761904761654</v>
      </c>
      <c r="S639" s="10">
        <f t="shared" ca="1" si="96"/>
        <v>-149.28571428571411</v>
      </c>
      <c r="T639" s="10">
        <f t="shared" ca="1" si="97"/>
        <v>742.01183431953325</v>
      </c>
      <c r="U639" s="10" t="str">
        <f t="shared" ca="1" si="98"/>
        <v>OR</v>
      </c>
      <c r="V639">
        <f t="shared" si="99"/>
        <v>5</v>
      </c>
    </row>
    <row r="640" spans="1:22" x14ac:dyDescent="0.25">
      <c r="A640">
        <v>71</v>
      </c>
      <c r="B640">
        <v>9</v>
      </c>
      <c r="C640">
        <v>5</v>
      </c>
      <c r="D640">
        <v>1</v>
      </c>
      <c r="E640">
        <v>0</v>
      </c>
      <c r="F640">
        <v>0</v>
      </c>
      <c r="G640">
        <v>1</v>
      </c>
      <c r="H640">
        <v>650</v>
      </c>
      <c r="I640">
        <f t="shared" si="100"/>
        <v>630</v>
      </c>
      <c r="J640" s="6">
        <f t="array" aca="1" ref="J640:N640" ca="1">TRANSPOSE(ols(OFFSET($C$2:$C$10,I640,0),OFFSET($D$2:$H$10,I640,0)))</f>
        <v>124.70238095237801</v>
      </c>
      <c r="K640" s="6">
        <f ca="1"/>
        <v>24.821428571428896</v>
      </c>
      <c r="L640" s="6">
        <f ca="1"/>
        <v>-54.047619047619264</v>
      </c>
      <c r="M640" s="6">
        <f ca="1"/>
        <v>17.023809523809632</v>
      </c>
      <c r="N640" s="6">
        <f ca="1"/>
        <v>-0.20119047619047414</v>
      </c>
      <c r="O640" s="6">
        <f t="shared" ca="1" si="92"/>
        <v>10.952380952379457</v>
      </c>
      <c r="P640" t="str">
        <f t="shared" si="93"/>
        <v>NA</v>
      </c>
      <c r="Q640" s="10">
        <f t="shared" ca="1" si="94"/>
        <v>17.261904761902429</v>
      </c>
      <c r="R640" s="10">
        <f t="shared" ca="1" si="95"/>
        <v>141.72619047618764</v>
      </c>
      <c r="S640" s="10">
        <f t="shared" ca="1" si="96"/>
        <v>-124.46428571428521</v>
      </c>
      <c r="T640" s="10">
        <f t="shared" ca="1" si="97"/>
        <v>618.63905325444171</v>
      </c>
      <c r="U640" s="10">
        <f t="shared" ca="1" si="98"/>
        <v>618.63905325444171</v>
      </c>
      <c r="V640">
        <f t="shared" si="99"/>
        <v>4</v>
      </c>
    </row>
    <row r="641" spans="1:22" x14ac:dyDescent="0.25">
      <c r="A641">
        <v>72</v>
      </c>
      <c r="B641">
        <v>1</v>
      </c>
      <c r="C641">
        <v>75</v>
      </c>
      <c r="D641">
        <v>1</v>
      </c>
      <c r="E641">
        <v>0</v>
      </c>
      <c r="F641">
        <v>1</v>
      </c>
      <c r="G641">
        <v>0</v>
      </c>
      <c r="H641">
        <v>250</v>
      </c>
      <c r="I641">
        <f t="shared" si="100"/>
        <v>639</v>
      </c>
      <c r="J641" s="6">
        <f t="array" aca="1" ref="J641:N641" ca="1">TRANSPOSE(ols(OFFSET($C$2:$C$10,I641,0),OFFSET($D$2:$H$10,I641,0)))</f>
        <v>93.273809523808268</v>
      </c>
      <c r="K641" s="6">
        <f ca="1"/>
        <v>0.71428571428555188</v>
      </c>
      <c r="L641" s="6">
        <f ca="1"/>
        <v>4.5238095238091773</v>
      </c>
      <c r="M641" s="6">
        <f ca="1"/>
        <v>-2.2619047619045887</v>
      </c>
      <c r="N641" s="6">
        <f ca="1"/>
        <v>-8.6904761904760264E-2</v>
      </c>
      <c r="O641" s="6">
        <f t="shared" ca="1" si="92"/>
        <v>76.071428571427376</v>
      </c>
      <c r="P641" t="str">
        <f t="shared" si="93"/>
        <v>NA</v>
      </c>
      <c r="Q641" s="10">
        <f t="shared" ca="1" si="94"/>
        <v>65.119047619046768</v>
      </c>
      <c r="R641" s="10">
        <f t="shared" ca="1" si="95"/>
        <v>97.797619047617445</v>
      </c>
      <c r="S641" s="10">
        <f t="shared" ca="1" si="96"/>
        <v>-32.678571428570677</v>
      </c>
      <c r="T641" s="10">
        <f t="shared" ca="1" si="97"/>
        <v>376.02739726027244</v>
      </c>
      <c r="U641" s="10">
        <f t="shared" ca="1" si="98"/>
        <v>376.02739726027244</v>
      </c>
      <c r="V641">
        <f t="shared" si="99"/>
        <v>3</v>
      </c>
    </row>
    <row r="642" spans="1:22" x14ac:dyDescent="0.25">
      <c r="A642">
        <v>72</v>
      </c>
      <c r="B642">
        <v>2</v>
      </c>
      <c r="C642">
        <v>65</v>
      </c>
      <c r="D642">
        <v>1</v>
      </c>
      <c r="E642">
        <v>1</v>
      </c>
      <c r="F642">
        <v>0</v>
      </c>
      <c r="G642">
        <v>0</v>
      </c>
      <c r="H642">
        <v>350</v>
      </c>
      <c r="I642">
        <f t="shared" si="100"/>
        <v>639</v>
      </c>
      <c r="J642" s="6">
        <f t="array" aca="1" ref="J642:N642" ca="1">TRANSPOSE(ols(OFFSET($C$2:$C$10,I642,0),OFFSET($D$2:$H$10,I642,0)))</f>
        <v>93.273809523808268</v>
      </c>
      <c r="K642" s="6">
        <f ca="1"/>
        <v>0.71428571428555188</v>
      </c>
      <c r="L642" s="6">
        <f ca="1"/>
        <v>4.5238095238091773</v>
      </c>
      <c r="M642" s="6">
        <f ca="1"/>
        <v>-2.2619047619045887</v>
      </c>
      <c r="N642" s="6">
        <f ca="1"/>
        <v>-8.6904761904760264E-2</v>
      </c>
      <c r="O642" s="6">
        <f t="shared" ca="1" si="92"/>
        <v>63.571428571427731</v>
      </c>
      <c r="P642" t="str">
        <f t="shared" si="93"/>
        <v>NA</v>
      </c>
      <c r="Q642" s="10">
        <f t="shared" ca="1" si="94"/>
        <v>65.119047619046768</v>
      </c>
      <c r="R642" s="10">
        <f t="shared" ca="1" si="95"/>
        <v>93.98809523809382</v>
      </c>
      <c r="S642" s="10">
        <f t="shared" ca="1" si="96"/>
        <v>-28.869047619047052</v>
      </c>
      <c r="T642" s="10">
        <f t="shared" ca="1" si="97"/>
        <v>332.19178082191758</v>
      </c>
      <c r="U642" s="10">
        <f t="shared" ca="1" si="98"/>
        <v>332.19178082191758</v>
      </c>
      <c r="V642">
        <f t="shared" si="99"/>
        <v>2</v>
      </c>
    </row>
    <row r="643" spans="1:22" x14ac:dyDescent="0.25">
      <c r="A643">
        <v>72</v>
      </c>
      <c r="B643">
        <v>3</v>
      </c>
      <c r="C643">
        <v>60</v>
      </c>
      <c r="D643">
        <v>1</v>
      </c>
      <c r="E643">
        <v>1</v>
      </c>
      <c r="F643">
        <v>0</v>
      </c>
      <c r="G643">
        <v>0</v>
      </c>
      <c r="H643">
        <v>450</v>
      </c>
      <c r="I643">
        <f t="shared" si="100"/>
        <v>639</v>
      </c>
      <c r="J643" s="6">
        <f t="array" aca="1" ref="J643:N643" ca="1">TRANSPOSE(ols(OFFSET($C$2:$C$10,I643,0),OFFSET($D$2:$H$10,I643,0)))</f>
        <v>93.273809523808268</v>
      </c>
      <c r="K643" s="6">
        <f ca="1"/>
        <v>0.71428571428555188</v>
      </c>
      <c r="L643" s="6">
        <f ca="1"/>
        <v>4.5238095238091773</v>
      </c>
      <c r="M643" s="6">
        <f ca="1"/>
        <v>-2.2619047619045887</v>
      </c>
      <c r="N643" s="6">
        <f ca="1"/>
        <v>-8.6904761904760264E-2</v>
      </c>
      <c r="O643" s="6">
        <f t="shared" ref="O643:O706" ca="1" si="101">SUMPRODUCT(J643:N643,D643:H643)</f>
        <v>54.880952380951697</v>
      </c>
      <c r="P643" t="str">
        <f t="shared" ref="P643:P706" si="102">IF(AND(F643=1,G643=1,H643=350),O643,"NA")</f>
        <v>NA</v>
      </c>
      <c r="Q643" s="10">
        <f t="shared" ref="Q643:Q706" ca="1" si="103">AVERAGEIF($A$2:$A$5383,A643,$P$2:$P$5383)</f>
        <v>65.119047619046768</v>
      </c>
      <c r="R643" s="10">
        <f t="shared" ref="R643:R706" ca="1" si="104">O643-N643*H643</f>
        <v>93.98809523809382</v>
      </c>
      <c r="S643" s="10">
        <f t="shared" ref="S643:S706" ca="1" si="105">Q643-R643</f>
        <v>-28.869047619047052</v>
      </c>
      <c r="T643" s="10">
        <f t="shared" ref="T643:T706" ca="1" si="106">S643/N643</f>
        <v>332.19178082191758</v>
      </c>
      <c r="U643" s="10">
        <f t="shared" ref="U643:U706" ca="1" si="107">IF(OR(T643&lt;250,T643&gt;650),"OR",T643)</f>
        <v>332.19178082191758</v>
      </c>
      <c r="V643">
        <f t="shared" ref="V643:V706" si="108">IF(AND(E643=1,G643=0),2,IF(AND(F643=1,G643=0),3,IF(AND(E643=1,G643=1),5,IF(AND(F643=1,G643=1),6,IF(G643=0,1,IF(G643=1,4))))))</f>
        <v>2</v>
      </c>
    </row>
    <row r="644" spans="1:22" x14ac:dyDescent="0.25">
      <c r="A644">
        <v>72</v>
      </c>
      <c r="B644">
        <v>4</v>
      </c>
      <c r="C644">
        <v>40</v>
      </c>
      <c r="D644">
        <v>1</v>
      </c>
      <c r="E644">
        <v>0</v>
      </c>
      <c r="F644">
        <v>0</v>
      </c>
      <c r="G644">
        <v>0</v>
      </c>
      <c r="H644">
        <v>550</v>
      </c>
      <c r="I644">
        <f t="shared" si="100"/>
        <v>639</v>
      </c>
      <c r="J644" s="6">
        <f t="array" aca="1" ref="J644:N644" ca="1">TRANSPOSE(ols(OFFSET($C$2:$C$10,I644,0),OFFSET($D$2:$H$10,I644,0)))</f>
        <v>93.273809523808268</v>
      </c>
      <c r="K644" s="6">
        <f ca="1"/>
        <v>0.71428571428555188</v>
      </c>
      <c r="L644" s="6">
        <f ca="1"/>
        <v>4.5238095238091773</v>
      </c>
      <c r="M644" s="6">
        <f ca="1"/>
        <v>-2.2619047619045887</v>
      </c>
      <c r="N644" s="6">
        <f ca="1"/>
        <v>-8.6904761904760264E-2</v>
      </c>
      <c r="O644" s="6">
        <f t="shared" ca="1" si="101"/>
        <v>45.476190476190126</v>
      </c>
      <c r="P644" t="str">
        <f t="shared" si="102"/>
        <v>NA</v>
      </c>
      <c r="Q644" s="10">
        <f t="shared" ca="1" si="103"/>
        <v>65.119047619046768</v>
      </c>
      <c r="R644" s="10">
        <f t="shared" ca="1" si="104"/>
        <v>93.273809523808268</v>
      </c>
      <c r="S644" s="10">
        <f t="shared" ca="1" si="105"/>
        <v>-28.1547619047615</v>
      </c>
      <c r="T644" s="10">
        <f t="shared" ca="1" si="106"/>
        <v>323.97260273972751</v>
      </c>
      <c r="U644" s="10">
        <f t="shared" ca="1" si="107"/>
        <v>323.97260273972751</v>
      </c>
      <c r="V644">
        <f t="shared" si="108"/>
        <v>1</v>
      </c>
    </row>
    <row r="645" spans="1:22" x14ac:dyDescent="0.25">
      <c r="A645">
        <v>72</v>
      </c>
      <c r="B645">
        <v>5</v>
      </c>
      <c r="C645">
        <v>75</v>
      </c>
      <c r="D645">
        <v>1</v>
      </c>
      <c r="E645">
        <v>0</v>
      </c>
      <c r="F645">
        <v>1</v>
      </c>
      <c r="G645">
        <v>1</v>
      </c>
      <c r="H645">
        <v>250</v>
      </c>
      <c r="I645">
        <f t="shared" si="100"/>
        <v>639</v>
      </c>
      <c r="J645" s="6">
        <f t="array" aca="1" ref="J645:N645" ca="1">TRANSPOSE(ols(OFFSET($C$2:$C$10,I645,0),OFFSET($D$2:$H$10,I645,0)))</f>
        <v>93.273809523808268</v>
      </c>
      <c r="K645" s="6">
        <f ca="1"/>
        <v>0.71428571428555188</v>
      </c>
      <c r="L645" s="6">
        <f ca="1"/>
        <v>4.5238095238091773</v>
      </c>
      <c r="M645" s="6">
        <f ca="1"/>
        <v>-2.2619047619045887</v>
      </c>
      <c r="N645" s="6">
        <f ca="1"/>
        <v>-8.6904761904760264E-2</v>
      </c>
      <c r="O645" s="6">
        <f t="shared" ca="1" si="101"/>
        <v>73.809523809522787</v>
      </c>
      <c r="P645" t="str">
        <f t="shared" si="102"/>
        <v>NA</v>
      </c>
      <c r="Q645" s="10">
        <f t="shared" ca="1" si="103"/>
        <v>65.119047619046768</v>
      </c>
      <c r="R645" s="10">
        <f t="shared" ca="1" si="104"/>
        <v>95.535714285712857</v>
      </c>
      <c r="S645" s="10">
        <f t="shared" ca="1" si="105"/>
        <v>-30.416666666666089</v>
      </c>
      <c r="T645" s="10">
        <f t="shared" ca="1" si="106"/>
        <v>349.99999999999994</v>
      </c>
      <c r="U645" s="10">
        <f t="shared" ca="1" si="107"/>
        <v>349.99999999999994</v>
      </c>
      <c r="V645">
        <f t="shared" si="108"/>
        <v>6</v>
      </c>
    </row>
    <row r="646" spans="1:22" x14ac:dyDescent="0.25">
      <c r="A646">
        <v>72</v>
      </c>
      <c r="B646">
        <v>6</v>
      </c>
      <c r="C646">
        <v>65</v>
      </c>
      <c r="D646">
        <v>1</v>
      </c>
      <c r="E646">
        <v>0</v>
      </c>
      <c r="F646">
        <v>1</v>
      </c>
      <c r="G646">
        <v>1</v>
      </c>
      <c r="H646">
        <v>350</v>
      </c>
      <c r="I646">
        <f t="shared" si="100"/>
        <v>639</v>
      </c>
      <c r="J646" s="6">
        <f t="array" aca="1" ref="J646:N646" ca="1">TRANSPOSE(ols(OFFSET($C$2:$C$10,I646,0),OFFSET($D$2:$H$10,I646,0)))</f>
        <v>93.273809523808268</v>
      </c>
      <c r="K646" s="6">
        <f ca="1"/>
        <v>0.71428571428555188</v>
      </c>
      <c r="L646" s="6">
        <f ca="1"/>
        <v>4.5238095238091773</v>
      </c>
      <c r="M646" s="6">
        <f ca="1"/>
        <v>-2.2619047619045887</v>
      </c>
      <c r="N646" s="6">
        <f ca="1"/>
        <v>-8.6904761904760264E-2</v>
      </c>
      <c r="O646" s="6">
        <f t="shared" ca="1" si="101"/>
        <v>65.119047619046768</v>
      </c>
      <c r="P646">
        <f t="shared" ca="1" si="102"/>
        <v>65.119047619046768</v>
      </c>
      <c r="Q646" s="10">
        <f t="shared" ca="1" si="103"/>
        <v>65.119047619046768</v>
      </c>
      <c r="R646" s="10">
        <f t="shared" ca="1" si="104"/>
        <v>95.535714285712857</v>
      </c>
      <c r="S646" s="10">
        <f t="shared" ca="1" si="105"/>
        <v>-30.416666666666089</v>
      </c>
      <c r="T646" s="10">
        <f t="shared" ca="1" si="106"/>
        <v>349.99999999999994</v>
      </c>
      <c r="U646" s="10">
        <f t="shared" ca="1" si="107"/>
        <v>349.99999999999994</v>
      </c>
      <c r="V646">
        <f t="shared" si="108"/>
        <v>6</v>
      </c>
    </row>
    <row r="647" spans="1:22" x14ac:dyDescent="0.25">
      <c r="A647">
        <v>72</v>
      </c>
      <c r="B647">
        <v>7</v>
      </c>
      <c r="C647">
        <v>50</v>
      </c>
      <c r="D647">
        <v>1</v>
      </c>
      <c r="E647">
        <v>1</v>
      </c>
      <c r="F647">
        <v>0</v>
      </c>
      <c r="G647">
        <v>1</v>
      </c>
      <c r="H647">
        <v>450</v>
      </c>
      <c r="I647">
        <f t="shared" si="100"/>
        <v>639</v>
      </c>
      <c r="J647" s="6">
        <f t="array" aca="1" ref="J647:N647" ca="1">TRANSPOSE(ols(OFFSET($C$2:$C$10,I647,0),OFFSET($D$2:$H$10,I647,0)))</f>
        <v>93.273809523808268</v>
      </c>
      <c r="K647" s="6">
        <f ca="1"/>
        <v>0.71428571428555188</v>
      </c>
      <c r="L647" s="6">
        <f ca="1"/>
        <v>4.5238095238091773</v>
      </c>
      <c r="M647" s="6">
        <f ca="1"/>
        <v>-2.2619047619045887</v>
      </c>
      <c r="N647" s="6">
        <f ca="1"/>
        <v>-8.6904761904760264E-2</v>
      </c>
      <c r="O647" s="6">
        <f t="shared" ca="1" si="101"/>
        <v>52.619047619047109</v>
      </c>
      <c r="P647" t="str">
        <f t="shared" si="102"/>
        <v>NA</v>
      </c>
      <c r="Q647" s="10">
        <f t="shared" ca="1" si="103"/>
        <v>65.119047619046768</v>
      </c>
      <c r="R647" s="10">
        <f t="shared" ca="1" si="104"/>
        <v>91.726190476189231</v>
      </c>
      <c r="S647" s="10">
        <f t="shared" ca="1" si="105"/>
        <v>-26.607142857142463</v>
      </c>
      <c r="T647" s="10">
        <f t="shared" ca="1" si="106"/>
        <v>306.16438356164508</v>
      </c>
      <c r="U647" s="10">
        <f t="shared" ca="1" si="107"/>
        <v>306.16438356164508</v>
      </c>
      <c r="V647">
        <f t="shared" si="108"/>
        <v>5</v>
      </c>
    </row>
    <row r="648" spans="1:22" x14ac:dyDescent="0.25">
      <c r="A648">
        <v>72</v>
      </c>
      <c r="B648">
        <v>8</v>
      </c>
      <c r="C648">
        <v>40</v>
      </c>
      <c r="D648">
        <v>1</v>
      </c>
      <c r="E648">
        <v>1</v>
      </c>
      <c r="F648">
        <v>0</v>
      </c>
      <c r="G648">
        <v>1</v>
      </c>
      <c r="H648">
        <v>550</v>
      </c>
      <c r="I648">
        <f t="shared" si="100"/>
        <v>639</v>
      </c>
      <c r="J648" s="6">
        <f t="array" aca="1" ref="J648:N648" ca="1">TRANSPOSE(ols(OFFSET($C$2:$C$10,I648,0),OFFSET($D$2:$H$10,I648,0)))</f>
        <v>93.273809523808268</v>
      </c>
      <c r="K648" s="6">
        <f ca="1"/>
        <v>0.71428571428555188</v>
      </c>
      <c r="L648" s="6">
        <f ca="1"/>
        <v>4.5238095238091773</v>
      </c>
      <c r="M648" s="6">
        <f ca="1"/>
        <v>-2.2619047619045887</v>
      </c>
      <c r="N648" s="6">
        <f ca="1"/>
        <v>-8.6904761904760264E-2</v>
      </c>
      <c r="O648" s="6">
        <f t="shared" ca="1" si="101"/>
        <v>43.92857142857109</v>
      </c>
      <c r="P648" t="str">
        <f t="shared" si="102"/>
        <v>NA</v>
      </c>
      <c r="Q648" s="10">
        <f t="shared" ca="1" si="103"/>
        <v>65.119047619046768</v>
      </c>
      <c r="R648" s="10">
        <f t="shared" ca="1" si="104"/>
        <v>91.726190476189231</v>
      </c>
      <c r="S648" s="10">
        <f t="shared" ca="1" si="105"/>
        <v>-26.607142857142463</v>
      </c>
      <c r="T648" s="10">
        <f t="shared" ca="1" si="106"/>
        <v>306.16438356164508</v>
      </c>
      <c r="U648" s="10">
        <f t="shared" ca="1" si="107"/>
        <v>306.16438356164508</v>
      </c>
      <c r="V648">
        <f t="shared" si="108"/>
        <v>5</v>
      </c>
    </row>
    <row r="649" spans="1:22" x14ac:dyDescent="0.25">
      <c r="A649">
        <v>72</v>
      </c>
      <c r="B649">
        <v>9</v>
      </c>
      <c r="C649">
        <v>40</v>
      </c>
      <c r="D649">
        <v>1</v>
      </c>
      <c r="E649">
        <v>0</v>
      </c>
      <c r="F649">
        <v>0</v>
      </c>
      <c r="G649">
        <v>1</v>
      </c>
      <c r="H649">
        <v>650</v>
      </c>
      <c r="I649">
        <f t="shared" si="100"/>
        <v>639</v>
      </c>
      <c r="J649" s="6">
        <f t="array" aca="1" ref="J649:N649" ca="1">TRANSPOSE(ols(OFFSET($C$2:$C$10,I649,0),OFFSET($D$2:$H$10,I649,0)))</f>
        <v>93.273809523808268</v>
      </c>
      <c r="K649" s="6">
        <f ca="1"/>
        <v>0.71428571428555188</v>
      </c>
      <c r="L649" s="6">
        <f ca="1"/>
        <v>4.5238095238091773</v>
      </c>
      <c r="M649" s="6">
        <f ca="1"/>
        <v>-2.2619047619045887</v>
      </c>
      <c r="N649" s="6">
        <f ca="1"/>
        <v>-8.6904761904760264E-2</v>
      </c>
      <c r="O649" s="6">
        <f t="shared" ca="1" si="101"/>
        <v>34.523809523809504</v>
      </c>
      <c r="P649" t="str">
        <f t="shared" si="102"/>
        <v>NA</v>
      </c>
      <c r="Q649" s="10">
        <f t="shared" ca="1" si="103"/>
        <v>65.119047619046768</v>
      </c>
      <c r="R649" s="10">
        <f t="shared" ca="1" si="104"/>
        <v>91.011904761903679</v>
      </c>
      <c r="S649" s="10">
        <f t="shared" ca="1" si="105"/>
        <v>-25.892857142856911</v>
      </c>
      <c r="T649" s="10">
        <f t="shared" ca="1" si="106"/>
        <v>297.94520547945501</v>
      </c>
      <c r="U649" s="10">
        <f t="shared" ca="1" si="107"/>
        <v>297.94520547945501</v>
      </c>
      <c r="V649">
        <f t="shared" si="108"/>
        <v>4</v>
      </c>
    </row>
    <row r="650" spans="1:22" x14ac:dyDescent="0.25">
      <c r="A650">
        <v>73</v>
      </c>
      <c r="B650">
        <v>1</v>
      </c>
      <c r="C650">
        <v>100</v>
      </c>
      <c r="D650">
        <v>1</v>
      </c>
      <c r="E650">
        <v>0</v>
      </c>
      <c r="F650">
        <v>1</v>
      </c>
      <c r="G650">
        <v>0</v>
      </c>
      <c r="H650">
        <v>250</v>
      </c>
      <c r="I650">
        <f t="shared" si="100"/>
        <v>648</v>
      </c>
      <c r="J650" s="6">
        <f t="array" aca="1" ref="J650:N650" ca="1">TRANSPOSE(ols(OFFSET($C$2:$C$10,I650,0),OFFSET($D$2:$H$10,I650,0)))</f>
        <v>81.994047619045887</v>
      </c>
      <c r="K650" s="6">
        <f ca="1"/>
        <v>47.321428571428442</v>
      </c>
      <c r="L650" s="6">
        <f ca="1"/>
        <v>47.619047619046796</v>
      </c>
      <c r="M650" s="6">
        <f ca="1"/>
        <v>7.4404761904768293</v>
      </c>
      <c r="N650" s="6">
        <f ca="1"/>
        <v>-0.1220238095238102</v>
      </c>
      <c r="O650" s="6">
        <f t="shared" ca="1" si="101"/>
        <v>99.107142857140133</v>
      </c>
      <c r="P650" t="str">
        <f t="shared" si="102"/>
        <v>NA</v>
      </c>
      <c r="Q650" s="10">
        <f t="shared" ca="1" si="103"/>
        <v>94.345238095235942</v>
      </c>
      <c r="R650" s="10">
        <f t="shared" ca="1" si="104"/>
        <v>129.61309523809268</v>
      </c>
      <c r="S650" s="10">
        <f t="shared" ca="1" si="105"/>
        <v>-35.267857142856741</v>
      </c>
      <c r="T650" s="10">
        <f t="shared" ca="1" si="106"/>
        <v>289.02439024389753</v>
      </c>
      <c r="U650" s="10">
        <f t="shared" ca="1" si="107"/>
        <v>289.02439024389753</v>
      </c>
      <c r="V650">
        <f t="shared" si="108"/>
        <v>3</v>
      </c>
    </row>
    <row r="651" spans="1:22" x14ac:dyDescent="0.25">
      <c r="A651">
        <v>73</v>
      </c>
      <c r="B651">
        <v>2</v>
      </c>
      <c r="C651">
        <v>75</v>
      </c>
      <c r="D651">
        <v>1</v>
      </c>
      <c r="E651">
        <v>1</v>
      </c>
      <c r="F651">
        <v>0</v>
      </c>
      <c r="G651">
        <v>0</v>
      </c>
      <c r="H651">
        <v>350</v>
      </c>
      <c r="I651">
        <f t="shared" si="100"/>
        <v>648</v>
      </c>
      <c r="J651" s="6">
        <f t="array" aca="1" ref="J651:N651" ca="1">TRANSPOSE(ols(OFFSET($C$2:$C$10,I651,0),OFFSET($D$2:$H$10,I651,0)))</f>
        <v>81.994047619045887</v>
      </c>
      <c r="K651" s="6">
        <f ca="1"/>
        <v>47.321428571428442</v>
      </c>
      <c r="L651" s="6">
        <f ca="1"/>
        <v>47.619047619046796</v>
      </c>
      <c r="M651" s="6">
        <f ca="1"/>
        <v>7.4404761904768293</v>
      </c>
      <c r="N651" s="6">
        <f ca="1"/>
        <v>-0.1220238095238102</v>
      </c>
      <c r="O651" s="6">
        <f t="shared" ca="1" si="101"/>
        <v>86.607142857140758</v>
      </c>
      <c r="P651" t="str">
        <f t="shared" si="102"/>
        <v>NA</v>
      </c>
      <c r="Q651" s="10">
        <f t="shared" ca="1" si="103"/>
        <v>94.345238095235942</v>
      </c>
      <c r="R651" s="10">
        <f t="shared" ca="1" si="104"/>
        <v>129.31547619047433</v>
      </c>
      <c r="S651" s="10">
        <f t="shared" ca="1" si="105"/>
        <v>-34.970238095238386</v>
      </c>
      <c r="T651" s="10">
        <f t="shared" ca="1" si="106"/>
        <v>286.58536585365931</v>
      </c>
      <c r="U651" s="10">
        <f t="shared" ca="1" si="107"/>
        <v>286.58536585365931</v>
      </c>
      <c r="V651">
        <f t="shared" si="108"/>
        <v>2</v>
      </c>
    </row>
    <row r="652" spans="1:22" x14ac:dyDescent="0.25">
      <c r="A652">
        <v>73</v>
      </c>
      <c r="B652">
        <v>3</v>
      </c>
      <c r="C652">
        <v>75</v>
      </c>
      <c r="D652">
        <v>1</v>
      </c>
      <c r="E652">
        <v>1</v>
      </c>
      <c r="F652">
        <v>0</v>
      </c>
      <c r="G652">
        <v>0</v>
      </c>
      <c r="H652">
        <v>450</v>
      </c>
      <c r="I652">
        <f t="shared" ref="I652:I715" si="109">IF(A652&gt;A651,I651+9,I651)</f>
        <v>648</v>
      </c>
      <c r="J652" s="6">
        <f t="array" aca="1" ref="J652:N652" ca="1">TRANSPOSE(ols(OFFSET($C$2:$C$10,I652,0),OFFSET($D$2:$H$10,I652,0)))</f>
        <v>81.994047619045887</v>
      </c>
      <c r="K652" s="6">
        <f ca="1"/>
        <v>47.321428571428442</v>
      </c>
      <c r="L652" s="6">
        <f ca="1"/>
        <v>47.619047619046796</v>
      </c>
      <c r="M652" s="6">
        <f ca="1"/>
        <v>7.4404761904768293</v>
      </c>
      <c r="N652" s="6">
        <f ca="1"/>
        <v>-0.1220238095238102</v>
      </c>
      <c r="O652" s="6">
        <f t="shared" ca="1" si="101"/>
        <v>74.404761904759738</v>
      </c>
      <c r="P652" t="str">
        <f t="shared" si="102"/>
        <v>NA</v>
      </c>
      <c r="Q652" s="10">
        <f t="shared" ca="1" si="103"/>
        <v>94.345238095235942</v>
      </c>
      <c r="R652" s="10">
        <f t="shared" ca="1" si="104"/>
        <v>129.31547619047433</v>
      </c>
      <c r="S652" s="10">
        <f t="shared" ca="1" si="105"/>
        <v>-34.970238095238386</v>
      </c>
      <c r="T652" s="10">
        <f t="shared" ca="1" si="106"/>
        <v>286.58536585365931</v>
      </c>
      <c r="U652" s="10">
        <f t="shared" ca="1" si="107"/>
        <v>286.58536585365931</v>
      </c>
      <c r="V652">
        <f t="shared" si="108"/>
        <v>2</v>
      </c>
    </row>
    <row r="653" spans="1:22" x14ac:dyDescent="0.25">
      <c r="A653">
        <v>73</v>
      </c>
      <c r="B653">
        <v>4</v>
      </c>
      <c r="C653">
        <v>25</v>
      </c>
      <c r="D653">
        <v>1</v>
      </c>
      <c r="E653">
        <v>0</v>
      </c>
      <c r="F653">
        <v>0</v>
      </c>
      <c r="G653">
        <v>0</v>
      </c>
      <c r="H653">
        <v>550</v>
      </c>
      <c r="I653">
        <f t="shared" si="109"/>
        <v>648</v>
      </c>
      <c r="J653" s="6">
        <f t="array" aca="1" ref="J653:N653" ca="1">TRANSPOSE(ols(OFFSET($C$2:$C$10,I653,0),OFFSET($D$2:$H$10,I653,0)))</f>
        <v>81.994047619045887</v>
      </c>
      <c r="K653" s="6">
        <f ca="1"/>
        <v>47.321428571428442</v>
      </c>
      <c r="L653" s="6">
        <f ca="1"/>
        <v>47.619047619046796</v>
      </c>
      <c r="M653" s="6">
        <f ca="1"/>
        <v>7.4404761904768293</v>
      </c>
      <c r="N653" s="6">
        <f ca="1"/>
        <v>-0.1220238095238102</v>
      </c>
      <c r="O653" s="6">
        <f t="shared" ca="1" si="101"/>
        <v>14.880952380950276</v>
      </c>
      <c r="P653" t="str">
        <f t="shared" si="102"/>
        <v>NA</v>
      </c>
      <c r="Q653" s="10">
        <f t="shared" ca="1" si="103"/>
        <v>94.345238095235942</v>
      </c>
      <c r="R653" s="10">
        <f t="shared" ca="1" si="104"/>
        <v>81.994047619045887</v>
      </c>
      <c r="S653" s="10">
        <f t="shared" ca="1" si="105"/>
        <v>12.351190476190055</v>
      </c>
      <c r="T653" s="10">
        <f t="shared" ca="1" si="106"/>
        <v>-101.21951219511794</v>
      </c>
      <c r="U653" s="10" t="str">
        <f t="shared" ca="1" si="107"/>
        <v>OR</v>
      </c>
      <c r="V653">
        <f t="shared" si="108"/>
        <v>1</v>
      </c>
    </row>
    <row r="654" spans="1:22" x14ac:dyDescent="0.25">
      <c r="A654">
        <v>73</v>
      </c>
      <c r="B654">
        <v>5</v>
      </c>
      <c r="C654">
        <v>100</v>
      </c>
      <c r="D654">
        <v>1</v>
      </c>
      <c r="E654">
        <v>0</v>
      </c>
      <c r="F654">
        <v>1</v>
      </c>
      <c r="G654">
        <v>1</v>
      </c>
      <c r="H654">
        <v>250</v>
      </c>
      <c r="I654">
        <f t="shared" si="109"/>
        <v>648</v>
      </c>
      <c r="J654" s="6">
        <f t="array" aca="1" ref="J654:N654" ca="1">TRANSPOSE(ols(OFFSET($C$2:$C$10,I654,0),OFFSET($D$2:$H$10,I654,0)))</f>
        <v>81.994047619045887</v>
      </c>
      <c r="K654" s="6">
        <f ca="1"/>
        <v>47.321428571428442</v>
      </c>
      <c r="L654" s="6">
        <f ca="1"/>
        <v>47.619047619046796</v>
      </c>
      <c r="M654" s="6">
        <f ca="1"/>
        <v>7.4404761904768293</v>
      </c>
      <c r="N654" s="6">
        <f ca="1"/>
        <v>-0.1220238095238102</v>
      </c>
      <c r="O654" s="6">
        <f t="shared" ca="1" si="101"/>
        <v>106.54761904761696</v>
      </c>
      <c r="P654" t="str">
        <f t="shared" si="102"/>
        <v>NA</v>
      </c>
      <c r="Q654" s="10">
        <f t="shared" ca="1" si="103"/>
        <v>94.345238095235942</v>
      </c>
      <c r="R654" s="10">
        <f t="shared" ca="1" si="104"/>
        <v>137.05357142856951</v>
      </c>
      <c r="S654" s="10">
        <f t="shared" ca="1" si="105"/>
        <v>-42.70833333333357</v>
      </c>
      <c r="T654" s="10">
        <f t="shared" ca="1" si="106"/>
        <v>350</v>
      </c>
      <c r="U654" s="10">
        <f t="shared" ca="1" si="107"/>
        <v>350</v>
      </c>
      <c r="V654">
        <f t="shared" si="108"/>
        <v>6</v>
      </c>
    </row>
    <row r="655" spans="1:22" x14ac:dyDescent="0.25">
      <c r="A655">
        <v>73</v>
      </c>
      <c r="B655">
        <v>6</v>
      </c>
      <c r="C655">
        <v>100</v>
      </c>
      <c r="D655">
        <v>1</v>
      </c>
      <c r="E655">
        <v>0</v>
      </c>
      <c r="F655">
        <v>1</v>
      </c>
      <c r="G655">
        <v>1</v>
      </c>
      <c r="H655">
        <v>350</v>
      </c>
      <c r="I655">
        <f t="shared" si="109"/>
        <v>648</v>
      </c>
      <c r="J655" s="6">
        <f t="array" aca="1" ref="J655:N655" ca="1">TRANSPOSE(ols(OFFSET($C$2:$C$10,I655,0),OFFSET($D$2:$H$10,I655,0)))</f>
        <v>81.994047619045887</v>
      </c>
      <c r="K655" s="6">
        <f ca="1"/>
        <v>47.321428571428442</v>
      </c>
      <c r="L655" s="6">
        <f ca="1"/>
        <v>47.619047619046796</v>
      </c>
      <c r="M655" s="6">
        <f ca="1"/>
        <v>7.4404761904768293</v>
      </c>
      <c r="N655" s="6">
        <f ca="1"/>
        <v>-0.1220238095238102</v>
      </c>
      <c r="O655" s="6">
        <f t="shared" ca="1" si="101"/>
        <v>94.345238095235942</v>
      </c>
      <c r="P655">
        <f t="shared" ca="1" si="102"/>
        <v>94.345238095235942</v>
      </c>
      <c r="Q655" s="10">
        <f t="shared" ca="1" si="103"/>
        <v>94.345238095235942</v>
      </c>
      <c r="R655" s="10">
        <f t="shared" ca="1" si="104"/>
        <v>137.05357142856951</v>
      </c>
      <c r="S655" s="10">
        <f t="shared" ca="1" si="105"/>
        <v>-42.70833333333357</v>
      </c>
      <c r="T655" s="10">
        <f t="shared" ca="1" si="106"/>
        <v>350</v>
      </c>
      <c r="U655" s="10">
        <f t="shared" ca="1" si="107"/>
        <v>350</v>
      </c>
      <c r="V655">
        <f t="shared" si="108"/>
        <v>6</v>
      </c>
    </row>
    <row r="656" spans="1:22" x14ac:dyDescent="0.25">
      <c r="A656">
        <v>73</v>
      </c>
      <c r="B656">
        <v>7</v>
      </c>
      <c r="C656">
        <v>100</v>
      </c>
      <c r="D656">
        <v>1</v>
      </c>
      <c r="E656">
        <v>1</v>
      </c>
      <c r="F656">
        <v>0</v>
      </c>
      <c r="G656">
        <v>1</v>
      </c>
      <c r="H656">
        <v>450</v>
      </c>
      <c r="I656">
        <f t="shared" si="109"/>
        <v>648</v>
      </c>
      <c r="J656" s="6">
        <f t="array" aca="1" ref="J656:N656" ca="1">TRANSPOSE(ols(OFFSET($C$2:$C$10,I656,0),OFFSET($D$2:$H$10,I656,0)))</f>
        <v>81.994047619045887</v>
      </c>
      <c r="K656" s="6">
        <f ca="1"/>
        <v>47.321428571428442</v>
      </c>
      <c r="L656" s="6">
        <f ca="1"/>
        <v>47.619047619046796</v>
      </c>
      <c r="M656" s="6">
        <f ca="1"/>
        <v>7.4404761904768293</v>
      </c>
      <c r="N656" s="6">
        <f ca="1"/>
        <v>-0.1220238095238102</v>
      </c>
      <c r="O656" s="6">
        <f t="shared" ca="1" si="101"/>
        <v>81.845238095236567</v>
      </c>
      <c r="P656" t="str">
        <f t="shared" si="102"/>
        <v>NA</v>
      </c>
      <c r="Q656" s="10">
        <f t="shared" ca="1" si="103"/>
        <v>94.345238095235942</v>
      </c>
      <c r="R656" s="10">
        <f t="shared" ca="1" si="104"/>
        <v>136.75595238095116</v>
      </c>
      <c r="S656" s="10">
        <f t="shared" ca="1" si="105"/>
        <v>-42.410714285715216</v>
      </c>
      <c r="T656" s="10">
        <f t="shared" ca="1" si="106"/>
        <v>347.56097560976178</v>
      </c>
      <c r="U656" s="10">
        <f t="shared" ca="1" si="107"/>
        <v>347.56097560976178</v>
      </c>
      <c r="V656">
        <f t="shared" si="108"/>
        <v>5</v>
      </c>
    </row>
    <row r="657" spans="1:22" x14ac:dyDescent="0.25">
      <c r="A657">
        <v>73</v>
      </c>
      <c r="B657">
        <v>8</v>
      </c>
      <c r="C657">
        <v>62.5</v>
      </c>
      <c r="D657">
        <v>1</v>
      </c>
      <c r="E657">
        <v>1</v>
      </c>
      <c r="F657">
        <v>0</v>
      </c>
      <c r="G657">
        <v>1</v>
      </c>
      <c r="H657">
        <v>550</v>
      </c>
      <c r="I657">
        <f t="shared" si="109"/>
        <v>648</v>
      </c>
      <c r="J657" s="6">
        <f t="array" aca="1" ref="J657:N657" ca="1">TRANSPOSE(ols(OFFSET($C$2:$C$10,I657,0),OFFSET($D$2:$H$10,I657,0)))</f>
        <v>81.994047619045887</v>
      </c>
      <c r="K657" s="6">
        <f ca="1"/>
        <v>47.321428571428442</v>
      </c>
      <c r="L657" s="6">
        <f ca="1"/>
        <v>47.619047619046796</v>
      </c>
      <c r="M657" s="6">
        <f ca="1"/>
        <v>7.4404761904768293</v>
      </c>
      <c r="N657" s="6">
        <f ca="1"/>
        <v>-0.1220238095238102</v>
      </c>
      <c r="O657" s="6">
        <f t="shared" ca="1" si="101"/>
        <v>69.642857142855547</v>
      </c>
      <c r="P657" t="str">
        <f t="shared" si="102"/>
        <v>NA</v>
      </c>
      <c r="Q657" s="10">
        <f t="shared" ca="1" si="103"/>
        <v>94.345238095235942</v>
      </c>
      <c r="R657" s="10">
        <f t="shared" ca="1" si="104"/>
        <v>136.75595238095116</v>
      </c>
      <c r="S657" s="10">
        <f t="shared" ca="1" si="105"/>
        <v>-42.410714285715216</v>
      </c>
      <c r="T657" s="10">
        <f t="shared" ca="1" si="106"/>
        <v>347.56097560976178</v>
      </c>
      <c r="U657" s="10">
        <f t="shared" ca="1" si="107"/>
        <v>347.56097560976178</v>
      </c>
      <c r="V657">
        <f t="shared" si="108"/>
        <v>5</v>
      </c>
    </row>
    <row r="658" spans="1:22" x14ac:dyDescent="0.25">
      <c r="A658">
        <v>73</v>
      </c>
      <c r="B658">
        <v>9</v>
      </c>
      <c r="C658">
        <v>0</v>
      </c>
      <c r="D658">
        <v>1</v>
      </c>
      <c r="E658">
        <v>0</v>
      </c>
      <c r="F658">
        <v>0</v>
      </c>
      <c r="G658">
        <v>1</v>
      </c>
      <c r="H658">
        <v>650</v>
      </c>
      <c r="I658">
        <f t="shared" si="109"/>
        <v>648</v>
      </c>
      <c r="J658" s="6">
        <f t="array" aca="1" ref="J658:N658" ca="1">TRANSPOSE(ols(OFFSET($C$2:$C$10,I658,0),OFFSET($D$2:$H$10,I658,0)))</f>
        <v>81.994047619045887</v>
      </c>
      <c r="K658" s="6">
        <f ca="1"/>
        <v>47.321428571428442</v>
      </c>
      <c r="L658" s="6">
        <f ca="1"/>
        <v>47.619047619046796</v>
      </c>
      <c r="M658" s="6">
        <f ca="1"/>
        <v>7.4404761904768293</v>
      </c>
      <c r="N658" s="6">
        <f ca="1"/>
        <v>-0.1220238095238102</v>
      </c>
      <c r="O658" s="6">
        <f t="shared" ca="1" si="101"/>
        <v>10.119047619046086</v>
      </c>
      <c r="P658" t="str">
        <f t="shared" si="102"/>
        <v>NA</v>
      </c>
      <c r="Q658" s="10">
        <f t="shared" ca="1" si="103"/>
        <v>94.345238095235942</v>
      </c>
      <c r="R658" s="10">
        <f t="shared" ca="1" si="104"/>
        <v>89.434523809522716</v>
      </c>
      <c r="S658" s="10">
        <f t="shared" ca="1" si="105"/>
        <v>4.910714285713226</v>
      </c>
      <c r="T658" s="10">
        <f t="shared" ca="1" si="106"/>
        <v>-40.243902439015486</v>
      </c>
      <c r="U658" s="10" t="str">
        <f t="shared" ca="1" si="107"/>
        <v>OR</v>
      </c>
      <c r="V658">
        <f t="shared" si="108"/>
        <v>4</v>
      </c>
    </row>
    <row r="659" spans="1:22" x14ac:dyDescent="0.25">
      <c r="A659">
        <v>74</v>
      </c>
      <c r="B659">
        <v>1</v>
      </c>
      <c r="C659">
        <v>35</v>
      </c>
      <c r="D659">
        <v>1</v>
      </c>
      <c r="E659">
        <v>0</v>
      </c>
      <c r="F659">
        <v>1</v>
      </c>
      <c r="G659">
        <v>0</v>
      </c>
      <c r="H659">
        <v>250</v>
      </c>
      <c r="I659">
        <f t="shared" si="109"/>
        <v>657</v>
      </c>
      <c r="J659" s="6">
        <f t="array" aca="1" ref="J659:N659" ca="1">TRANSPOSE(ols(OFFSET($C$2:$C$10,I659,0),OFFSET($D$2:$H$10,I659,0)))</f>
        <v>72.767857142857792</v>
      </c>
      <c r="K659" s="6">
        <f ca="1"/>
        <v>-14.464285714285779</v>
      </c>
      <c r="L659" s="6">
        <f ca="1"/>
        <v>-30.357142857142208</v>
      </c>
      <c r="M659" s="6">
        <f ca="1"/>
        <v>5.1785714285717859</v>
      </c>
      <c r="N659" s="6">
        <f ca="1"/>
        <v>-8.9285714285765039E-3</v>
      </c>
      <c r="O659" s="6">
        <f t="shared" ca="1" si="101"/>
        <v>40.178571428571459</v>
      </c>
      <c r="P659" t="str">
        <f t="shared" si="102"/>
        <v>NA</v>
      </c>
      <c r="Q659" s="10">
        <f t="shared" ca="1" si="103"/>
        <v>44.464285714285595</v>
      </c>
      <c r="R659" s="10">
        <f t="shared" ca="1" si="104"/>
        <v>42.410714285715585</v>
      </c>
      <c r="S659" s="10">
        <f t="shared" ca="1" si="105"/>
        <v>2.0535714285700095</v>
      </c>
      <c r="T659" s="10">
        <f t="shared" ca="1" si="106"/>
        <v>-229.99999999971033</v>
      </c>
      <c r="U659" s="10" t="str">
        <f t="shared" ca="1" si="107"/>
        <v>OR</v>
      </c>
      <c r="V659">
        <f t="shared" si="108"/>
        <v>3</v>
      </c>
    </row>
    <row r="660" spans="1:22" x14ac:dyDescent="0.25">
      <c r="A660">
        <v>74</v>
      </c>
      <c r="B660">
        <v>2</v>
      </c>
      <c r="C660">
        <v>55</v>
      </c>
      <c r="D660">
        <v>1</v>
      </c>
      <c r="E660">
        <v>1</v>
      </c>
      <c r="F660">
        <v>0</v>
      </c>
      <c r="G660">
        <v>0</v>
      </c>
      <c r="H660">
        <v>350</v>
      </c>
      <c r="I660">
        <f t="shared" si="109"/>
        <v>657</v>
      </c>
      <c r="J660" s="6">
        <f t="array" aca="1" ref="J660:N660" ca="1">TRANSPOSE(ols(OFFSET($C$2:$C$10,I660,0),OFFSET($D$2:$H$10,I660,0)))</f>
        <v>72.767857142857792</v>
      </c>
      <c r="K660" s="6">
        <f ca="1"/>
        <v>-14.464285714285779</v>
      </c>
      <c r="L660" s="6">
        <f ca="1"/>
        <v>-30.357142857142208</v>
      </c>
      <c r="M660" s="6">
        <f ca="1"/>
        <v>5.1785714285717859</v>
      </c>
      <c r="N660" s="6">
        <f ca="1"/>
        <v>-8.9285714285765039E-3</v>
      </c>
      <c r="O660" s="6">
        <f t="shared" ca="1" si="101"/>
        <v>55.178571428570237</v>
      </c>
      <c r="P660" t="str">
        <f t="shared" si="102"/>
        <v>NA</v>
      </c>
      <c r="Q660" s="10">
        <f t="shared" ca="1" si="103"/>
        <v>44.464285714285595</v>
      </c>
      <c r="R660" s="10">
        <f t="shared" ca="1" si="104"/>
        <v>58.303571428572013</v>
      </c>
      <c r="S660" s="10">
        <f t="shared" ca="1" si="105"/>
        <v>-13.839285714286419</v>
      </c>
      <c r="T660" s="10">
        <f t="shared" ca="1" si="106"/>
        <v>1549.9999999991978</v>
      </c>
      <c r="U660" s="10" t="str">
        <f t="shared" ca="1" si="107"/>
        <v>OR</v>
      </c>
      <c r="V660">
        <f t="shared" si="108"/>
        <v>2</v>
      </c>
    </row>
    <row r="661" spans="1:22" x14ac:dyDescent="0.25">
      <c r="A661">
        <v>74</v>
      </c>
      <c r="B661">
        <v>3</v>
      </c>
      <c r="C661">
        <v>52.5</v>
      </c>
      <c r="D661">
        <v>1</v>
      </c>
      <c r="E661">
        <v>1</v>
      </c>
      <c r="F661">
        <v>0</v>
      </c>
      <c r="G661">
        <v>0</v>
      </c>
      <c r="H661">
        <v>450</v>
      </c>
      <c r="I661">
        <f t="shared" si="109"/>
        <v>657</v>
      </c>
      <c r="J661" s="6">
        <f t="array" aca="1" ref="J661:N661" ca="1">TRANSPOSE(ols(OFFSET($C$2:$C$10,I661,0),OFFSET($D$2:$H$10,I661,0)))</f>
        <v>72.767857142857792</v>
      </c>
      <c r="K661" s="6">
        <f ca="1"/>
        <v>-14.464285714285779</v>
      </c>
      <c r="L661" s="6">
        <f ca="1"/>
        <v>-30.357142857142208</v>
      </c>
      <c r="M661" s="6">
        <f ca="1"/>
        <v>5.1785714285717859</v>
      </c>
      <c r="N661" s="6">
        <f ca="1"/>
        <v>-8.9285714285765039E-3</v>
      </c>
      <c r="O661" s="6">
        <f t="shared" ca="1" si="101"/>
        <v>54.285714285712587</v>
      </c>
      <c r="P661" t="str">
        <f t="shared" si="102"/>
        <v>NA</v>
      </c>
      <c r="Q661" s="10">
        <f t="shared" ca="1" si="103"/>
        <v>44.464285714285595</v>
      </c>
      <c r="R661" s="10">
        <f t="shared" ca="1" si="104"/>
        <v>58.303571428572013</v>
      </c>
      <c r="S661" s="10">
        <f t="shared" ca="1" si="105"/>
        <v>-13.839285714286419</v>
      </c>
      <c r="T661" s="10">
        <f t="shared" ca="1" si="106"/>
        <v>1549.9999999991978</v>
      </c>
      <c r="U661" s="10" t="str">
        <f t="shared" ca="1" si="107"/>
        <v>OR</v>
      </c>
      <c r="V661">
        <f t="shared" si="108"/>
        <v>2</v>
      </c>
    </row>
    <row r="662" spans="1:22" x14ac:dyDescent="0.25">
      <c r="A662">
        <v>74</v>
      </c>
      <c r="B662">
        <v>4</v>
      </c>
      <c r="C662">
        <v>75</v>
      </c>
      <c r="D662">
        <v>1</v>
      </c>
      <c r="E662">
        <v>0</v>
      </c>
      <c r="F662">
        <v>0</v>
      </c>
      <c r="G662">
        <v>0</v>
      </c>
      <c r="H662">
        <v>550</v>
      </c>
      <c r="I662">
        <f t="shared" si="109"/>
        <v>657</v>
      </c>
      <c r="J662" s="6">
        <f t="array" aca="1" ref="J662:N662" ca="1">TRANSPOSE(ols(OFFSET($C$2:$C$10,I662,0),OFFSET($D$2:$H$10,I662,0)))</f>
        <v>72.767857142857792</v>
      </c>
      <c r="K662" s="6">
        <f ca="1"/>
        <v>-14.464285714285779</v>
      </c>
      <c r="L662" s="6">
        <f ca="1"/>
        <v>-30.357142857142208</v>
      </c>
      <c r="M662" s="6">
        <f ca="1"/>
        <v>5.1785714285717859</v>
      </c>
      <c r="N662" s="6">
        <f ca="1"/>
        <v>-8.9285714285765039E-3</v>
      </c>
      <c r="O662" s="6">
        <f t="shared" ca="1" si="101"/>
        <v>67.857142857140715</v>
      </c>
      <c r="P662" t="str">
        <f t="shared" si="102"/>
        <v>NA</v>
      </c>
      <c r="Q662" s="10">
        <f t="shared" ca="1" si="103"/>
        <v>44.464285714285595</v>
      </c>
      <c r="R662" s="10">
        <f t="shared" ca="1" si="104"/>
        <v>72.767857142857792</v>
      </c>
      <c r="S662" s="10">
        <f t="shared" ca="1" si="105"/>
        <v>-28.303571428572198</v>
      </c>
      <c r="T662" s="10">
        <f t="shared" ca="1" si="106"/>
        <v>3169.9999999982842</v>
      </c>
      <c r="U662" s="10" t="str">
        <f t="shared" ca="1" si="107"/>
        <v>OR</v>
      </c>
      <c r="V662">
        <f t="shared" si="108"/>
        <v>1</v>
      </c>
    </row>
    <row r="663" spans="1:22" x14ac:dyDescent="0.25">
      <c r="A663">
        <v>74</v>
      </c>
      <c r="B663">
        <v>5</v>
      </c>
      <c r="C663">
        <v>45</v>
      </c>
      <c r="D663">
        <v>1</v>
      </c>
      <c r="E663">
        <v>0</v>
      </c>
      <c r="F663">
        <v>1</v>
      </c>
      <c r="G663">
        <v>1</v>
      </c>
      <c r="H663">
        <v>250</v>
      </c>
      <c r="I663">
        <f t="shared" si="109"/>
        <v>657</v>
      </c>
      <c r="J663" s="6">
        <f t="array" aca="1" ref="J663:N663" ca="1">TRANSPOSE(ols(OFFSET($C$2:$C$10,I663,0),OFFSET($D$2:$H$10,I663,0)))</f>
        <v>72.767857142857792</v>
      </c>
      <c r="K663" s="6">
        <f ca="1"/>
        <v>-14.464285714285779</v>
      </c>
      <c r="L663" s="6">
        <f ca="1"/>
        <v>-30.357142857142208</v>
      </c>
      <c r="M663" s="6">
        <f ca="1"/>
        <v>5.1785714285717859</v>
      </c>
      <c r="N663" s="6">
        <f ca="1"/>
        <v>-8.9285714285765039E-3</v>
      </c>
      <c r="O663" s="6">
        <f t="shared" ca="1" si="101"/>
        <v>45.357142857143245</v>
      </c>
      <c r="P663" t="str">
        <f t="shared" si="102"/>
        <v>NA</v>
      </c>
      <c r="Q663" s="10">
        <f t="shared" ca="1" si="103"/>
        <v>44.464285714285595</v>
      </c>
      <c r="R663" s="10">
        <f t="shared" ca="1" si="104"/>
        <v>47.589285714287371</v>
      </c>
      <c r="S663" s="10">
        <f t="shared" ca="1" si="105"/>
        <v>-3.1250000000017764</v>
      </c>
      <c r="T663" s="10">
        <f t="shared" ca="1" si="106"/>
        <v>350</v>
      </c>
      <c r="U663" s="10">
        <f t="shared" ca="1" si="107"/>
        <v>350</v>
      </c>
      <c r="V663">
        <f t="shared" si="108"/>
        <v>6</v>
      </c>
    </row>
    <row r="664" spans="1:22" x14ac:dyDescent="0.25">
      <c r="A664">
        <v>74</v>
      </c>
      <c r="B664">
        <v>6</v>
      </c>
      <c r="C664">
        <v>50</v>
      </c>
      <c r="D664">
        <v>1</v>
      </c>
      <c r="E664">
        <v>0</v>
      </c>
      <c r="F664">
        <v>1</v>
      </c>
      <c r="G664">
        <v>1</v>
      </c>
      <c r="H664">
        <v>350</v>
      </c>
      <c r="I664">
        <f t="shared" si="109"/>
        <v>657</v>
      </c>
      <c r="J664" s="6">
        <f t="array" aca="1" ref="J664:N664" ca="1">TRANSPOSE(ols(OFFSET($C$2:$C$10,I664,0),OFFSET($D$2:$H$10,I664,0)))</f>
        <v>72.767857142857792</v>
      </c>
      <c r="K664" s="6">
        <f ca="1"/>
        <v>-14.464285714285779</v>
      </c>
      <c r="L664" s="6">
        <f ca="1"/>
        <v>-30.357142857142208</v>
      </c>
      <c r="M664" s="6">
        <f ca="1"/>
        <v>5.1785714285717859</v>
      </c>
      <c r="N664" s="6">
        <f ca="1"/>
        <v>-8.9285714285765039E-3</v>
      </c>
      <c r="O664" s="6">
        <f t="shared" ca="1" si="101"/>
        <v>44.464285714285595</v>
      </c>
      <c r="P664">
        <f t="shared" ca="1" si="102"/>
        <v>44.464285714285595</v>
      </c>
      <c r="Q664" s="10">
        <f t="shared" ca="1" si="103"/>
        <v>44.464285714285595</v>
      </c>
      <c r="R664" s="10">
        <f t="shared" ca="1" si="104"/>
        <v>47.589285714287371</v>
      </c>
      <c r="S664" s="10">
        <f t="shared" ca="1" si="105"/>
        <v>-3.1250000000017764</v>
      </c>
      <c r="T664" s="10">
        <f t="shared" ca="1" si="106"/>
        <v>350</v>
      </c>
      <c r="U664" s="10">
        <f t="shared" ca="1" si="107"/>
        <v>350</v>
      </c>
      <c r="V664">
        <f t="shared" si="108"/>
        <v>6</v>
      </c>
    </row>
    <row r="665" spans="1:22" x14ac:dyDescent="0.25">
      <c r="A665">
        <v>74</v>
      </c>
      <c r="B665">
        <v>7</v>
      </c>
      <c r="C665">
        <v>60</v>
      </c>
      <c r="D665">
        <v>1</v>
      </c>
      <c r="E665">
        <v>1</v>
      </c>
      <c r="F665">
        <v>0</v>
      </c>
      <c r="G665">
        <v>1</v>
      </c>
      <c r="H665">
        <v>450</v>
      </c>
      <c r="I665">
        <f t="shared" si="109"/>
        <v>657</v>
      </c>
      <c r="J665" s="6">
        <f t="array" aca="1" ref="J665:N665" ca="1">TRANSPOSE(ols(OFFSET($C$2:$C$10,I665,0),OFFSET($D$2:$H$10,I665,0)))</f>
        <v>72.767857142857792</v>
      </c>
      <c r="K665" s="6">
        <f ca="1"/>
        <v>-14.464285714285779</v>
      </c>
      <c r="L665" s="6">
        <f ca="1"/>
        <v>-30.357142857142208</v>
      </c>
      <c r="M665" s="6">
        <f ca="1"/>
        <v>5.1785714285717859</v>
      </c>
      <c r="N665" s="6">
        <f ca="1"/>
        <v>-8.9285714285765039E-3</v>
      </c>
      <c r="O665" s="6">
        <f t="shared" ca="1" si="101"/>
        <v>59.464285714284372</v>
      </c>
      <c r="P665" t="str">
        <f t="shared" si="102"/>
        <v>NA</v>
      </c>
      <c r="Q665" s="10">
        <f t="shared" ca="1" si="103"/>
        <v>44.464285714285595</v>
      </c>
      <c r="R665" s="10">
        <f t="shared" ca="1" si="104"/>
        <v>63.482142857143799</v>
      </c>
      <c r="S665" s="10">
        <f t="shared" ca="1" si="105"/>
        <v>-19.017857142858205</v>
      </c>
      <c r="T665" s="10">
        <f t="shared" ca="1" si="106"/>
        <v>2129.9999999989082</v>
      </c>
      <c r="U665" s="10" t="str">
        <f t="shared" ca="1" si="107"/>
        <v>OR</v>
      </c>
      <c r="V665">
        <f t="shared" si="108"/>
        <v>5</v>
      </c>
    </row>
    <row r="666" spans="1:22" x14ac:dyDescent="0.25">
      <c r="A666">
        <v>74</v>
      </c>
      <c r="B666">
        <v>8</v>
      </c>
      <c r="C666">
        <v>60</v>
      </c>
      <c r="D666">
        <v>1</v>
      </c>
      <c r="E666">
        <v>1</v>
      </c>
      <c r="F666">
        <v>0</v>
      </c>
      <c r="G666">
        <v>1</v>
      </c>
      <c r="H666">
        <v>550</v>
      </c>
      <c r="I666">
        <f t="shared" si="109"/>
        <v>657</v>
      </c>
      <c r="J666" s="6">
        <f t="array" aca="1" ref="J666:N666" ca="1">TRANSPOSE(ols(OFFSET($C$2:$C$10,I666,0),OFFSET($D$2:$H$10,I666,0)))</f>
        <v>72.767857142857792</v>
      </c>
      <c r="K666" s="6">
        <f ca="1"/>
        <v>-14.464285714285779</v>
      </c>
      <c r="L666" s="6">
        <f ca="1"/>
        <v>-30.357142857142208</v>
      </c>
      <c r="M666" s="6">
        <f ca="1"/>
        <v>5.1785714285717859</v>
      </c>
      <c r="N666" s="6">
        <f ca="1"/>
        <v>-8.9285714285765039E-3</v>
      </c>
      <c r="O666" s="6">
        <f t="shared" ca="1" si="101"/>
        <v>58.571428571426722</v>
      </c>
      <c r="P666" t="str">
        <f t="shared" si="102"/>
        <v>NA</v>
      </c>
      <c r="Q666" s="10">
        <f t="shared" ca="1" si="103"/>
        <v>44.464285714285595</v>
      </c>
      <c r="R666" s="10">
        <f t="shared" ca="1" si="104"/>
        <v>63.482142857143799</v>
      </c>
      <c r="S666" s="10">
        <f t="shared" ca="1" si="105"/>
        <v>-19.017857142858205</v>
      </c>
      <c r="T666" s="10">
        <f t="shared" ca="1" si="106"/>
        <v>2129.9999999989082</v>
      </c>
      <c r="U666" s="10" t="str">
        <f t="shared" ca="1" si="107"/>
        <v>OR</v>
      </c>
      <c r="V666">
        <f t="shared" si="108"/>
        <v>5</v>
      </c>
    </row>
    <row r="667" spans="1:22" x14ac:dyDescent="0.25">
      <c r="A667">
        <v>74</v>
      </c>
      <c r="B667">
        <v>9</v>
      </c>
      <c r="C667">
        <v>65</v>
      </c>
      <c r="D667">
        <v>1</v>
      </c>
      <c r="E667">
        <v>0</v>
      </c>
      <c r="F667">
        <v>0</v>
      </c>
      <c r="G667">
        <v>1</v>
      </c>
      <c r="H667">
        <v>650</v>
      </c>
      <c r="I667">
        <f t="shared" si="109"/>
        <v>657</v>
      </c>
      <c r="J667" s="6">
        <f t="array" aca="1" ref="J667:N667" ca="1">TRANSPOSE(ols(OFFSET($C$2:$C$10,I667,0),OFFSET($D$2:$H$10,I667,0)))</f>
        <v>72.767857142857792</v>
      </c>
      <c r="K667" s="6">
        <f ca="1"/>
        <v>-14.464285714285779</v>
      </c>
      <c r="L667" s="6">
        <f ca="1"/>
        <v>-30.357142857142208</v>
      </c>
      <c r="M667" s="6">
        <f ca="1"/>
        <v>5.1785714285717859</v>
      </c>
      <c r="N667" s="6">
        <f ca="1"/>
        <v>-8.9285714285765039E-3</v>
      </c>
      <c r="O667" s="6">
        <f t="shared" ca="1" si="101"/>
        <v>72.142857142854851</v>
      </c>
      <c r="P667" t="str">
        <f t="shared" si="102"/>
        <v>NA</v>
      </c>
      <c r="Q667" s="10">
        <f t="shared" ca="1" si="103"/>
        <v>44.464285714285595</v>
      </c>
      <c r="R667" s="10">
        <f t="shared" ca="1" si="104"/>
        <v>77.946428571429578</v>
      </c>
      <c r="S667" s="10">
        <f t="shared" ca="1" si="105"/>
        <v>-33.482142857143984</v>
      </c>
      <c r="T667" s="10">
        <f t="shared" ca="1" si="106"/>
        <v>3749.9999999979946</v>
      </c>
      <c r="U667" s="10" t="str">
        <f t="shared" ca="1" si="107"/>
        <v>OR</v>
      </c>
      <c r="V667">
        <f t="shared" si="108"/>
        <v>4</v>
      </c>
    </row>
    <row r="668" spans="1:22" x14ac:dyDescent="0.25">
      <c r="A668">
        <v>75</v>
      </c>
      <c r="B668">
        <v>1</v>
      </c>
      <c r="C668">
        <v>55</v>
      </c>
      <c r="D668">
        <v>1</v>
      </c>
      <c r="E668">
        <v>0</v>
      </c>
      <c r="F668">
        <v>1</v>
      </c>
      <c r="G668">
        <v>0</v>
      </c>
      <c r="H668">
        <v>250</v>
      </c>
      <c r="I668">
        <f t="shared" si="109"/>
        <v>666</v>
      </c>
      <c r="J668" s="6">
        <f t="array" aca="1" ref="J668:N668" ca="1">TRANSPOSE(ols(OFFSET($C$2:$C$10,I668,0),OFFSET($D$2:$H$10,I668,0)))</f>
        <v>48.154761904761472</v>
      </c>
      <c r="K668" s="6">
        <f ca="1"/>
        <v>-2.857142857143117</v>
      </c>
      <c r="L668" s="6">
        <f ca="1"/>
        <v>11.904761904761926</v>
      </c>
      <c r="M668" s="6">
        <f ca="1"/>
        <v>6.5476190476192642</v>
      </c>
      <c r="N668" s="6">
        <f ca="1"/>
        <v>-2.7380952380953616E-2</v>
      </c>
      <c r="O668" s="6">
        <f t="shared" ca="1" si="101"/>
        <v>53.214285714284998</v>
      </c>
      <c r="P668" t="str">
        <f t="shared" si="102"/>
        <v>NA</v>
      </c>
      <c r="Q668" s="10">
        <f t="shared" ca="1" si="103"/>
        <v>57.023809523808893</v>
      </c>
      <c r="R668" s="10">
        <f t="shared" ca="1" si="104"/>
        <v>60.059523809523398</v>
      </c>
      <c r="S668" s="10">
        <f t="shared" ca="1" si="105"/>
        <v>-3.035714285714505</v>
      </c>
      <c r="T668" s="10">
        <f t="shared" ca="1" si="106"/>
        <v>110.86956521739431</v>
      </c>
      <c r="U668" s="10" t="str">
        <f t="shared" ca="1" si="107"/>
        <v>OR</v>
      </c>
      <c r="V668">
        <f t="shared" si="108"/>
        <v>3</v>
      </c>
    </row>
    <row r="669" spans="1:22" x14ac:dyDescent="0.25">
      <c r="A669">
        <v>75</v>
      </c>
      <c r="B669">
        <v>2</v>
      </c>
      <c r="C669">
        <v>35</v>
      </c>
      <c r="D669">
        <v>1</v>
      </c>
      <c r="E669">
        <v>1</v>
      </c>
      <c r="F669">
        <v>0</v>
      </c>
      <c r="G669">
        <v>0</v>
      </c>
      <c r="H669">
        <v>350</v>
      </c>
      <c r="I669">
        <f t="shared" si="109"/>
        <v>666</v>
      </c>
      <c r="J669" s="6">
        <f t="array" aca="1" ref="J669:N669" ca="1">TRANSPOSE(ols(OFFSET($C$2:$C$10,I669,0),OFFSET($D$2:$H$10,I669,0)))</f>
        <v>48.154761904761472</v>
      </c>
      <c r="K669" s="6">
        <f ca="1"/>
        <v>-2.857142857143117</v>
      </c>
      <c r="L669" s="6">
        <f ca="1"/>
        <v>11.904761904761926</v>
      </c>
      <c r="M669" s="6">
        <f ca="1"/>
        <v>6.5476190476192642</v>
      </c>
      <c r="N669" s="6">
        <f ca="1"/>
        <v>-2.7380952380953616E-2</v>
      </c>
      <c r="O669" s="6">
        <f t="shared" ca="1" si="101"/>
        <v>35.714285714284586</v>
      </c>
      <c r="P669" t="str">
        <f t="shared" si="102"/>
        <v>NA</v>
      </c>
      <c r="Q669" s="10">
        <f t="shared" ca="1" si="103"/>
        <v>57.023809523808893</v>
      </c>
      <c r="R669" s="10">
        <f t="shared" ca="1" si="104"/>
        <v>45.297619047618355</v>
      </c>
      <c r="S669" s="10">
        <f t="shared" ca="1" si="105"/>
        <v>11.726190476190538</v>
      </c>
      <c r="T669" s="10">
        <f t="shared" ca="1" si="106"/>
        <v>-428.26086956520032</v>
      </c>
      <c r="U669" s="10" t="str">
        <f t="shared" ca="1" si="107"/>
        <v>OR</v>
      </c>
      <c r="V669">
        <f t="shared" si="108"/>
        <v>2</v>
      </c>
    </row>
    <row r="670" spans="1:22" x14ac:dyDescent="0.25">
      <c r="A670">
        <v>75</v>
      </c>
      <c r="B670">
        <v>3</v>
      </c>
      <c r="C670">
        <v>30</v>
      </c>
      <c r="D670">
        <v>1</v>
      </c>
      <c r="E670">
        <v>1</v>
      </c>
      <c r="F670">
        <v>0</v>
      </c>
      <c r="G670">
        <v>0</v>
      </c>
      <c r="H670">
        <v>450</v>
      </c>
      <c r="I670">
        <f t="shared" si="109"/>
        <v>666</v>
      </c>
      <c r="J670" s="6">
        <f t="array" aca="1" ref="J670:N670" ca="1">TRANSPOSE(ols(OFFSET($C$2:$C$10,I670,0),OFFSET($D$2:$H$10,I670,0)))</f>
        <v>48.154761904761472</v>
      </c>
      <c r="K670" s="6">
        <f ca="1"/>
        <v>-2.857142857143117</v>
      </c>
      <c r="L670" s="6">
        <f ca="1"/>
        <v>11.904761904761926</v>
      </c>
      <c r="M670" s="6">
        <f ca="1"/>
        <v>6.5476190476192642</v>
      </c>
      <c r="N670" s="6">
        <f ca="1"/>
        <v>-2.7380952380953616E-2</v>
      </c>
      <c r="O670" s="6">
        <f t="shared" ca="1" si="101"/>
        <v>32.976190476189231</v>
      </c>
      <c r="P670" t="str">
        <f t="shared" si="102"/>
        <v>NA</v>
      </c>
      <c r="Q670" s="10">
        <f t="shared" ca="1" si="103"/>
        <v>57.023809523808893</v>
      </c>
      <c r="R670" s="10">
        <f t="shared" ca="1" si="104"/>
        <v>45.297619047618355</v>
      </c>
      <c r="S670" s="10">
        <f t="shared" ca="1" si="105"/>
        <v>11.726190476190538</v>
      </c>
      <c r="T670" s="10">
        <f t="shared" ca="1" si="106"/>
        <v>-428.26086956520032</v>
      </c>
      <c r="U670" s="10" t="str">
        <f t="shared" ca="1" si="107"/>
        <v>OR</v>
      </c>
      <c r="V670">
        <f t="shared" si="108"/>
        <v>2</v>
      </c>
    </row>
    <row r="671" spans="1:22" x14ac:dyDescent="0.25">
      <c r="A671">
        <v>75</v>
      </c>
      <c r="B671">
        <v>4</v>
      </c>
      <c r="C671">
        <v>35</v>
      </c>
      <c r="D671">
        <v>1</v>
      </c>
      <c r="E671">
        <v>0</v>
      </c>
      <c r="F671">
        <v>0</v>
      </c>
      <c r="G671">
        <v>0</v>
      </c>
      <c r="H671">
        <v>550</v>
      </c>
      <c r="I671">
        <f t="shared" si="109"/>
        <v>666</v>
      </c>
      <c r="J671" s="6">
        <f t="array" aca="1" ref="J671:N671" ca="1">TRANSPOSE(ols(OFFSET($C$2:$C$10,I671,0),OFFSET($D$2:$H$10,I671,0)))</f>
        <v>48.154761904761472</v>
      </c>
      <c r="K671" s="6">
        <f ca="1"/>
        <v>-2.857142857143117</v>
      </c>
      <c r="L671" s="6">
        <f ca="1"/>
        <v>11.904761904761926</v>
      </c>
      <c r="M671" s="6">
        <f ca="1"/>
        <v>6.5476190476192642</v>
      </c>
      <c r="N671" s="6">
        <f ca="1"/>
        <v>-2.7380952380953616E-2</v>
      </c>
      <c r="O671" s="6">
        <f t="shared" ca="1" si="101"/>
        <v>33.095238095236979</v>
      </c>
      <c r="P671" t="str">
        <f t="shared" si="102"/>
        <v>NA</v>
      </c>
      <c r="Q671" s="10">
        <f t="shared" ca="1" si="103"/>
        <v>57.023809523808893</v>
      </c>
      <c r="R671" s="10">
        <f t="shared" ca="1" si="104"/>
        <v>48.154761904761472</v>
      </c>
      <c r="S671" s="10">
        <f t="shared" ca="1" si="105"/>
        <v>8.8690476190474214</v>
      </c>
      <c r="T671" s="10">
        <f t="shared" ca="1" si="106"/>
        <v>-323.91304347823905</v>
      </c>
      <c r="U671" s="10" t="str">
        <f t="shared" ca="1" si="107"/>
        <v>OR</v>
      </c>
      <c r="V671">
        <f t="shared" si="108"/>
        <v>1</v>
      </c>
    </row>
    <row r="672" spans="1:22" x14ac:dyDescent="0.25">
      <c r="A672">
        <v>75</v>
      </c>
      <c r="B672">
        <v>5</v>
      </c>
      <c r="C672">
        <v>60</v>
      </c>
      <c r="D672">
        <v>1</v>
      </c>
      <c r="E672">
        <v>0</v>
      </c>
      <c r="F672">
        <v>1</v>
      </c>
      <c r="G672">
        <v>1</v>
      </c>
      <c r="H672">
        <v>250</v>
      </c>
      <c r="I672">
        <f t="shared" si="109"/>
        <v>666</v>
      </c>
      <c r="J672" s="6">
        <f t="array" aca="1" ref="J672:N672" ca="1">TRANSPOSE(ols(OFFSET($C$2:$C$10,I672,0),OFFSET($D$2:$H$10,I672,0)))</f>
        <v>48.154761904761472</v>
      </c>
      <c r="K672" s="6">
        <f ca="1"/>
        <v>-2.857142857143117</v>
      </c>
      <c r="L672" s="6">
        <f ca="1"/>
        <v>11.904761904761926</v>
      </c>
      <c r="M672" s="6">
        <f ca="1"/>
        <v>6.5476190476192642</v>
      </c>
      <c r="N672" s="6">
        <f ca="1"/>
        <v>-2.7380952380953616E-2</v>
      </c>
      <c r="O672" s="6">
        <f t="shared" ca="1" si="101"/>
        <v>59.761904761904262</v>
      </c>
      <c r="P672" t="str">
        <f t="shared" si="102"/>
        <v>NA</v>
      </c>
      <c r="Q672" s="10">
        <f t="shared" ca="1" si="103"/>
        <v>57.023809523808893</v>
      </c>
      <c r="R672" s="10">
        <f t="shared" ca="1" si="104"/>
        <v>66.607142857142662</v>
      </c>
      <c r="S672" s="10">
        <f t="shared" ca="1" si="105"/>
        <v>-9.5833333333337691</v>
      </c>
      <c r="T672" s="10">
        <f t="shared" ca="1" si="106"/>
        <v>350.00000000000011</v>
      </c>
      <c r="U672" s="10">
        <f t="shared" ca="1" si="107"/>
        <v>350.00000000000011</v>
      </c>
      <c r="V672">
        <f t="shared" si="108"/>
        <v>6</v>
      </c>
    </row>
    <row r="673" spans="1:22" x14ac:dyDescent="0.25">
      <c r="A673">
        <v>75</v>
      </c>
      <c r="B673">
        <v>6</v>
      </c>
      <c r="C673">
        <v>55</v>
      </c>
      <c r="D673">
        <v>1</v>
      </c>
      <c r="E673">
        <v>0</v>
      </c>
      <c r="F673">
        <v>1</v>
      </c>
      <c r="G673">
        <v>1</v>
      </c>
      <c r="H673">
        <v>350</v>
      </c>
      <c r="I673">
        <f t="shared" si="109"/>
        <v>666</v>
      </c>
      <c r="J673" s="6">
        <f t="array" aca="1" ref="J673:N673" ca="1">TRANSPOSE(ols(OFFSET($C$2:$C$10,I673,0),OFFSET($D$2:$H$10,I673,0)))</f>
        <v>48.154761904761472</v>
      </c>
      <c r="K673" s="6">
        <f ca="1"/>
        <v>-2.857142857143117</v>
      </c>
      <c r="L673" s="6">
        <f ca="1"/>
        <v>11.904761904761926</v>
      </c>
      <c r="M673" s="6">
        <f ca="1"/>
        <v>6.5476190476192642</v>
      </c>
      <c r="N673" s="6">
        <f ca="1"/>
        <v>-2.7380952380953616E-2</v>
      </c>
      <c r="O673" s="6">
        <f t="shared" ca="1" si="101"/>
        <v>57.023809523808893</v>
      </c>
      <c r="P673">
        <f t="shared" ca="1" si="102"/>
        <v>57.023809523808893</v>
      </c>
      <c r="Q673" s="10">
        <f t="shared" ca="1" si="103"/>
        <v>57.023809523808893</v>
      </c>
      <c r="R673" s="10">
        <f t="shared" ca="1" si="104"/>
        <v>66.607142857142662</v>
      </c>
      <c r="S673" s="10">
        <f t="shared" ca="1" si="105"/>
        <v>-9.5833333333337691</v>
      </c>
      <c r="T673" s="10">
        <f t="shared" ca="1" si="106"/>
        <v>350.00000000000011</v>
      </c>
      <c r="U673" s="10">
        <f t="shared" ca="1" si="107"/>
        <v>350.00000000000011</v>
      </c>
      <c r="V673">
        <f t="shared" si="108"/>
        <v>6</v>
      </c>
    </row>
    <row r="674" spans="1:22" x14ac:dyDescent="0.25">
      <c r="A674">
        <v>75</v>
      </c>
      <c r="B674">
        <v>7</v>
      </c>
      <c r="C674">
        <v>40</v>
      </c>
      <c r="D674">
        <v>1</v>
      </c>
      <c r="E674">
        <v>1</v>
      </c>
      <c r="F674">
        <v>0</v>
      </c>
      <c r="G674">
        <v>1</v>
      </c>
      <c r="H674">
        <v>450</v>
      </c>
      <c r="I674">
        <f t="shared" si="109"/>
        <v>666</v>
      </c>
      <c r="J674" s="6">
        <f t="array" aca="1" ref="J674:N674" ca="1">TRANSPOSE(ols(OFFSET($C$2:$C$10,I674,0),OFFSET($D$2:$H$10,I674,0)))</f>
        <v>48.154761904761472</v>
      </c>
      <c r="K674" s="6">
        <f ca="1"/>
        <v>-2.857142857143117</v>
      </c>
      <c r="L674" s="6">
        <f ca="1"/>
        <v>11.904761904761926</v>
      </c>
      <c r="M674" s="6">
        <f ca="1"/>
        <v>6.5476190476192642</v>
      </c>
      <c r="N674" s="6">
        <f ca="1"/>
        <v>-2.7380952380953616E-2</v>
      </c>
      <c r="O674" s="6">
        <f t="shared" ca="1" si="101"/>
        <v>39.523809523808495</v>
      </c>
      <c r="P674" t="str">
        <f t="shared" si="102"/>
        <v>NA</v>
      </c>
      <c r="Q674" s="10">
        <f t="shared" ca="1" si="103"/>
        <v>57.023809523808893</v>
      </c>
      <c r="R674" s="10">
        <f t="shared" ca="1" si="104"/>
        <v>51.845238095237619</v>
      </c>
      <c r="S674" s="10">
        <f t="shared" ca="1" si="105"/>
        <v>5.1785714285712743</v>
      </c>
      <c r="T674" s="10">
        <f t="shared" ca="1" si="106"/>
        <v>-189.13043478259453</v>
      </c>
      <c r="U674" s="10" t="str">
        <f t="shared" ca="1" si="107"/>
        <v>OR</v>
      </c>
      <c r="V674">
        <f t="shared" si="108"/>
        <v>5</v>
      </c>
    </row>
    <row r="675" spans="1:22" x14ac:dyDescent="0.25">
      <c r="A675">
        <v>75</v>
      </c>
      <c r="B675">
        <v>8</v>
      </c>
      <c r="C675">
        <v>40</v>
      </c>
      <c r="D675">
        <v>1</v>
      </c>
      <c r="E675">
        <v>1</v>
      </c>
      <c r="F675">
        <v>0</v>
      </c>
      <c r="G675">
        <v>1</v>
      </c>
      <c r="H675">
        <v>550</v>
      </c>
      <c r="I675">
        <f t="shared" si="109"/>
        <v>666</v>
      </c>
      <c r="J675" s="6">
        <f t="array" aca="1" ref="J675:N675" ca="1">TRANSPOSE(ols(OFFSET($C$2:$C$10,I675,0),OFFSET($D$2:$H$10,I675,0)))</f>
        <v>48.154761904761472</v>
      </c>
      <c r="K675" s="6">
        <f ca="1"/>
        <v>-2.857142857143117</v>
      </c>
      <c r="L675" s="6">
        <f ca="1"/>
        <v>11.904761904761926</v>
      </c>
      <c r="M675" s="6">
        <f ca="1"/>
        <v>6.5476190476192642</v>
      </c>
      <c r="N675" s="6">
        <f ca="1"/>
        <v>-2.7380952380953616E-2</v>
      </c>
      <c r="O675" s="6">
        <f t="shared" ca="1" si="101"/>
        <v>36.785714285713127</v>
      </c>
      <c r="P675" t="str">
        <f t="shared" si="102"/>
        <v>NA</v>
      </c>
      <c r="Q675" s="10">
        <f t="shared" ca="1" si="103"/>
        <v>57.023809523808893</v>
      </c>
      <c r="R675" s="10">
        <f t="shared" ca="1" si="104"/>
        <v>51.845238095237619</v>
      </c>
      <c r="S675" s="10">
        <f t="shared" ca="1" si="105"/>
        <v>5.1785714285712743</v>
      </c>
      <c r="T675" s="10">
        <f t="shared" ca="1" si="106"/>
        <v>-189.13043478259453</v>
      </c>
      <c r="U675" s="10" t="str">
        <f t="shared" ca="1" si="107"/>
        <v>OR</v>
      </c>
      <c r="V675">
        <f t="shared" si="108"/>
        <v>5</v>
      </c>
    </row>
    <row r="676" spans="1:22" x14ac:dyDescent="0.25">
      <c r="A676">
        <v>75</v>
      </c>
      <c r="B676">
        <v>9</v>
      </c>
      <c r="C676">
        <v>35</v>
      </c>
      <c r="D676">
        <v>1</v>
      </c>
      <c r="E676">
        <v>0</v>
      </c>
      <c r="F676">
        <v>0</v>
      </c>
      <c r="G676">
        <v>1</v>
      </c>
      <c r="H676">
        <v>650</v>
      </c>
      <c r="I676">
        <f t="shared" si="109"/>
        <v>666</v>
      </c>
      <c r="J676" s="6">
        <f t="array" aca="1" ref="J676:N676" ca="1">TRANSPOSE(ols(OFFSET($C$2:$C$10,I676,0),OFFSET($D$2:$H$10,I676,0)))</f>
        <v>48.154761904761472</v>
      </c>
      <c r="K676" s="6">
        <f ca="1"/>
        <v>-2.857142857143117</v>
      </c>
      <c r="L676" s="6">
        <f ca="1"/>
        <v>11.904761904761926</v>
      </c>
      <c r="M676" s="6">
        <f ca="1"/>
        <v>6.5476190476192642</v>
      </c>
      <c r="N676" s="6">
        <f ca="1"/>
        <v>-2.7380952380953616E-2</v>
      </c>
      <c r="O676" s="6">
        <f t="shared" ca="1" si="101"/>
        <v>36.904761904760889</v>
      </c>
      <c r="P676" t="str">
        <f t="shared" si="102"/>
        <v>NA</v>
      </c>
      <c r="Q676" s="10">
        <f t="shared" ca="1" si="103"/>
        <v>57.023809523808893</v>
      </c>
      <c r="R676" s="10">
        <f t="shared" ca="1" si="104"/>
        <v>54.702380952380736</v>
      </c>
      <c r="S676" s="10">
        <f t="shared" ca="1" si="105"/>
        <v>2.3214285714281573</v>
      </c>
      <c r="T676" s="10">
        <f t="shared" ca="1" si="106"/>
        <v>-84.782608695633229</v>
      </c>
      <c r="U676" s="10" t="str">
        <f t="shared" ca="1" si="107"/>
        <v>OR</v>
      </c>
      <c r="V676">
        <f t="shared" si="108"/>
        <v>4</v>
      </c>
    </row>
    <row r="677" spans="1:22" x14ac:dyDescent="0.25">
      <c r="A677">
        <v>76</v>
      </c>
      <c r="B677">
        <v>1</v>
      </c>
      <c r="C677">
        <v>50</v>
      </c>
      <c r="D677">
        <v>1</v>
      </c>
      <c r="E677">
        <v>0</v>
      </c>
      <c r="F677">
        <v>1</v>
      </c>
      <c r="G677">
        <v>0</v>
      </c>
      <c r="H677">
        <v>250</v>
      </c>
      <c r="I677">
        <f t="shared" si="109"/>
        <v>675</v>
      </c>
      <c r="J677" s="6">
        <f t="array" aca="1" ref="J677:N677" ca="1">TRANSPOSE(ols(OFFSET($C$2:$C$10,I677,0),OFFSET($D$2:$H$10,I677,0)))</f>
        <v>75</v>
      </c>
      <c r="K677" s="6">
        <f ca="1"/>
        <v>1.1368683772161603E-13</v>
      </c>
      <c r="L677" s="6">
        <f ca="1"/>
        <v>4.5474735088646412E-13</v>
      </c>
      <c r="M677" s="6">
        <f ca="1"/>
        <v>1.1368683772161603E-13</v>
      </c>
      <c r="N677" s="6">
        <f ca="1"/>
        <v>-9.9999999999999645E-2</v>
      </c>
      <c r="O677" s="6">
        <f t="shared" ca="1" si="101"/>
        <v>50.00000000000054</v>
      </c>
      <c r="P677" t="str">
        <f t="shared" si="102"/>
        <v>NA</v>
      </c>
      <c r="Q677" s="10">
        <f t="shared" ca="1" si="103"/>
        <v>40.000000000000696</v>
      </c>
      <c r="R677" s="10">
        <f t="shared" ca="1" si="104"/>
        <v>75.000000000000455</v>
      </c>
      <c r="S677" s="10">
        <f t="shared" ca="1" si="105"/>
        <v>-34.999999999999758</v>
      </c>
      <c r="T677" s="10">
        <f t="shared" ca="1" si="106"/>
        <v>349.99999999999881</v>
      </c>
      <c r="U677" s="10">
        <f t="shared" ca="1" si="107"/>
        <v>349.99999999999881</v>
      </c>
      <c r="V677">
        <f t="shared" si="108"/>
        <v>3</v>
      </c>
    </row>
    <row r="678" spans="1:22" x14ac:dyDescent="0.25">
      <c r="A678">
        <v>76</v>
      </c>
      <c r="B678">
        <v>2</v>
      </c>
      <c r="C678">
        <v>40</v>
      </c>
      <c r="D678">
        <v>1</v>
      </c>
      <c r="E678">
        <v>1</v>
      </c>
      <c r="F678">
        <v>0</v>
      </c>
      <c r="G678">
        <v>0</v>
      </c>
      <c r="H678">
        <v>350</v>
      </c>
      <c r="I678">
        <f t="shared" si="109"/>
        <v>675</v>
      </c>
      <c r="J678" s="6">
        <f t="array" aca="1" ref="J678:N678" ca="1">TRANSPOSE(ols(OFFSET($C$2:$C$10,I678,0),OFFSET($D$2:$H$10,I678,0)))</f>
        <v>75</v>
      </c>
      <c r="K678" s="6">
        <f ca="1"/>
        <v>1.1368683772161603E-13</v>
      </c>
      <c r="L678" s="6">
        <f ca="1"/>
        <v>4.5474735088646412E-13</v>
      </c>
      <c r="M678" s="6">
        <f ca="1"/>
        <v>1.1368683772161603E-13</v>
      </c>
      <c r="N678" s="6">
        <f ca="1"/>
        <v>-9.9999999999999645E-2</v>
      </c>
      <c r="O678" s="6">
        <f t="shared" ca="1" si="101"/>
        <v>40.000000000000242</v>
      </c>
      <c r="P678" t="str">
        <f t="shared" si="102"/>
        <v>NA</v>
      </c>
      <c r="Q678" s="10">
        <f t="shared" ca="1" si="103"/>
        <v>40.000000000000696</v>
      </c>
      <c r="R678" s="10">
        <f t="shared" ca="1" si="104"/>
        <v>75.000000000000114</v>
      </c>
      <c r="S678" s="10">
        <f t="shared" ca="1" si="105"/>
        <v>-34.999999999999417</v>
      </c>
      <c r="T678" s="10">
        <f t="shared" ca="1" si="106"/>
        <v>349.9999999999954</v>
      </c>
      <c r="U678" s="10">
        <f t="shared" ca="1" si="107"/>
        <v>349.9999999999954</v>
      </c>
      <c r="V678">
        <f t="shared" si="108"/>
        <v>2</v>
      </c>
    </row>
    <row r="679" spans="1:22" x14ac:dyDescent="0.25">
      <c r="A679">
        <v>76</v>
      </c>
      <c r="B679">
        <v>3</v>
      </c>
      <c r="C679">
        <v>30</v>
      </c>
      <c r="D679">
        <v>1</v>
      </c>
      <c r="E679">
        <v>1</v>
      </c>
      <c r="F679">
        <v>0</v>
      </c>
      <c r="G679">
        <v>0</v>
      </c>
      <c r="H679">
        <v>450</v>
      </c>
      <c r="I679">
        <f t="shared" si="109"/>
        <v>675</v>
      </c>
      <c r="J679" s="6">
        <f t="array" aca="1" ref="J679:N679" ca="1">TRANSPOSE(ols(OFFSET($C$2:$C$10,I679,0),OFFSET($D$2:$H$10,I679,0)))</f>
        <v>75</v>
      </c>
      <c r="K679" s="6">
        <f ca="1"/>
        <v>1.1368683772161603E-13</v>
      </c>
      <c r="L679" s="6">
        <f ca="1"/>
        <v>4.5474735088646412E-13</v>
      </c>
      <c r="M679" s="6">
        <f ca="1"/>
        <v>1.1368683772161603E-13</v>
      </c>
      <c r="N679" s="6">
        <f ca="1"/>
        <v>-9.9999999999999645E-2</v>
      </c>
      <c r="O679" s="6">
        <f t="shared" ca="1" si="101"/>
        <v>30.00000000000027</v>
      </c>
      <c r="P679" t="str">
        <f t="shared" si="102"/>
        <v>NA</v>
      </c>
      <c r="Q679" s="10">
        <f t="shared" ca="1" si="103"/>
        <v>40.000000000000696</v>
      </c>
      <c r="R679" s="10">
        <f t="shared" ca="1" si="104"/>
        <v>75.000000000000114</v>
      </c>
      <c r="S679" s="10">
        <f t="shared" ca="1" si="105"/>
        <v>-34.999999999999417</v>
      </c>
      <c r="T679" s="10">
        <f t="shared" ca="1" si="106"/>
        <v>349.9999999999954</v>
      </c>
      <c r="U679" s="10">
        <f t="shared" ca="1" si="107"/>
        <v>349.9999999999954</v>
      </c>
      <c r="V679">
        <f t="shared" si="108"/>
        <v>2</v>
      </c>
    </row>
    <row r="680" spans="1:22" x14ac:dyDescent="0.25">
      <c r="A680">
        <v>76</v>
      </c>
      <c r="B680">
        <v>4</v>
      </c>
      <c r="C680">
        <v>20</v>
      </c>
      <c r="D680">
        <v>1</v>
      </c>
      <c r="E680">
        <v>0</v>
      </c>
      <c r="F680">
        <v>0</v>
      </c>
      <c r="G680">
        <v>0</v>
      </c>
      <c r="H680">
        <v>550</v>
      </c>
      <c r="I680">
        <f t="shared" si="109"/>
        <v>675</v>
      </c>
      <c r="J680" s="6">
        <f t="array" aca="1" ref="J680:N680" ca="1">TRANSPOSE(ols(OFFSET($C$2:$C$10,I680,0),OFFSET($D$2:$H$10,I680,0)))</f>
        <v>75</v>
      </c>
      <c r="K680" s="6">
        <f ca="1"/>
        <v>1.1368683772161603E-13</v>
      </c>
      <c r="L680" s="6">
        <f ca="1"/>
        <v>4.5474735088646412E-13</v>
      </c>
      <c r="M680" s="6">
        <f ca="1"/>
        <v>1.1368683772161603E-13</v>
      </c>
      <c r="N680" s="6">
        <f ca="1"/>
        <v>-9.9999999999999645E-2</v>
      </c>
      <c r="O680" s="6">
        <f t="shared" ca="1" si="101"/>
        <v>20.000000000000199</v>
      </c>
      <c r="P680" t="str">
        <f t="shared" si="102"/>
        <v>NA</v>
      </c>
      <c r="Q680" s="10">
        <f t="shared" ca="1" si="103"/>
        <v>40.000000000000696</v>
      </c>
      <c r="R680" s="10">
        <f t="shared" ca="1" si="104"/>
        <v>75</v>
      </c>
      <c r="S680" s="10">
        <f t="shared" ca="1" si="105"/>
        <v>-34.999999999999304</v>
      </c>
      <c r="T680" s="10">
        <f t="shared" ca="1" si="106"/>
        <v>349.99999999999426</v>
      </c>
      <c r="U680" s="10">
        <f t="shared" ca="1" si="107"/>
        <v>349.99999999999426</v>
      </c>
      <c r="V680">
        <f t="shared" si="108"/>
        <v>1</v>
      </c>
    </row>
    <row r="681" spans="1:22" x14ac:dyDescent="0.25">
      <c r="A681">
        <v>76</v>
      </c>
      <c r="B681">
        <v>5</v>
      </c>
      <c r="C681">
        <v>50</v>
      </c>
      <c r="D681">
        <v>1</v>
      </c>
      <c r="E681">
        <v>0</v>
      </c>
      <c r="F681">
        <v>1</v>
      </c>
      <c r="G681">
        <v>1</v>
      </c>
      <c r="H681">
        <v>250</v>
      </c>
      <c r="I681">
        <f t="shared" si="109"/>
        <v>675</v>
      </c>
      <c r="J681" s="6">
        <f t="array" aca="1" ref="J681:N681" ca="1">TRANSPOSE(ols(OFFSET($C$2:$C$10,I681,0),OFFSET($D$2:$H$10,I681,0)))</f>
        <v>75</v>
      </c>
      <c r="K681" s="6">
        <f ca="1"/>
        <v>1.1368683772161603E-13</v>
      </c>
      <c r="L681" s="6">
        <f ca="1"/>
        <v>4.5474735088646412E-13</v>
      </c>
      <c r="M681" s="6">
        <f ca="1"/>
        <v>1.1368683772161603E-13</v>
      </c>
      <c r="N681" s="6">
        <f ca="1"/>
        <v>-9.9999999999999645E-2</v>
      </c>
      <c r="O681" s="6">
        <f t="shared" ca="1" si="101"/>
        <v>50.000000000000654</v>
      </c>
      <c r="P681" t="str">
        <f t="shared" si="102"/>
        <v>NA</v>
      </c>
      <c r="Q681" s="10">
        <f t="shared" ca="1" si="103"/>
        <v>40.000000000000696</v>
      </c>
      <c r="R681" s="10">
        <f t="shared" ca="1" si="104"/>
        <v>75.000000000000568</v>
      </c>
      <c r="S681" s="10">
        <f t="shared" ca="1" si="105"/>
        <v>-34.999999999999872</v>
      </c>
      <c r="T681" s="10">
        <f t="shared" ca="1" si="106"/>
        <v>349.99999999999994</v>
      </c>
      <c r="U681" s="10">
        <f t="shared" ca="1" si="107"/>
        <v>349.99999999999994</v>
      </c>
      <c r="V681">
        <f t="shared" si="108"/>
        <v>6</v>
      </c>
    </row>
    <row r="682" spans="1:22" x14ac:dyDescent="0.25">
      <c r="A682">
        <v>76</v>
      </c>
      <c r="B682">
        <v>6</v>
      </c>
      <c r="C682">
        <v>40</v>
      </c>
      <c r="D682">
        <v>1</v>
      </c>
      <c r="E682">
        <v>0</v>
      </c>
      <c r="F682">
        <v>1</v>
      </c>
      <c r="G682">
        <v>1</v>
      </c>
      <c r="H682">
        <v>350</v>
      </c>
      <c r="I682">
        <f t="shared" si="109"/>
        <v>675</v>
      </c>
      <c r="J682" s="6">
        <f t="array" aca="1" ref="J682:N682" ca="1">TRANSPOSE(ols(OFFSET($C$2:$C$10,I682,0),OFFSET($D$2:$H$10,I682,0)))</f>
        <v>75</v>
      </c>
      <c r="K682" s="6">
        <f ca="1"/>
        <v>1.1368683772161603E-13</v>
      </c>
      <c r="L682" s="6">
        <f ca="1"/>
        <v>4.5474735088646412E-13</v>
      </c>
      <c r="M682" s="6">
        <f ca="1"/>
        <v>1.1368683772161603E-13</v>
      </c>
      <c r="N682" s="6">
        <f ca="1"/>
        <v>-9.9999999999999645E-2</v>
      </c>
      <c r="O682" s="6">
        <f t="shared" ca="1" si="101"/>
        <v>40.000000000000696</v>
      </c>
      <c r="P682">
        <f t="shared" ca="1" si="102"/>
        <v>40.000000000000696</v>
      </c>
      <c r="Q682" s="10">
        <f t="shared" ca="1" si="103"/>
        <v>40.000000000000696</v>
      </c>
      <c r="R682" s="10">
        <f t="shared" ca="1" si="104"/>
        <v>75.000000000000568</v>
      </c>
      <c r="S682" s="10">
        <f t="shared" ca="1" si="105"/>
        <v>-34.999999999999872</v>
      </c>
      <c r="T682" s="10">
        <f t="shared" ca="1" si="106"/>
        <v>349.99999999999994</v>
      </c>
      <c r="U682" s="10">
        <f t="shared" ca="1" si="107"/>
        <v>349.99999999999994</v>
      </c>
      <c r="V682">
        <f t="shared" si="108"/>
        <v>6</v>
      </c>
    </row>
    <row r="683" spans="1:22" x14ac:dyDescent="0.25">
      <c r="A683">
        <v>76</v>
      </c>
      <c r="B683">
        <v>7</v>
      </c>
      <c r="C683">
        <v>30</v>
      </c>
      <c r="D683">
        <v>1</v>
      </c>
      <c r="E683">
        <v>1</v>
      </c>
      <c r="F683">
        <v>0</v>
      </c>
      <c r="G683">
        <v>1</v>
      </c>
      <c r="H683">
        <v>450</v>
      </c>
      <c r="I683">
        <f t="shared" si="109"/>
        <v>675</v>
      </c>
      <c r="J683" s="6">
        <f t="array" aca="1" ref="J683:N683" ca="1">TRANSPOSE(ols(OFFSET($C$2:$C$10,I683,0),OFFSET($D$2:$H$10,I683,0)))</f>
        <v>75</v>
      </c>
      <c r="K683" s="6">
        <f ca="1"/>
        <v>1.1368683772161603E-13</v>
      </c>
      <c r="L683" s="6">
        <f ca="1"/>
        <v>4.5474735088646412E-13</v>
      </c>
      <c r="M683" s="6">
        <f ca="1"/>
        <v>1.1368683772161603E-13</v>
      </c>
      <c r="N683" s="6">
        <f ca="1"/>
        <v>-9.9999999999999645E-2</v>
      </c>
      <c r="O683" s="6">
        <f t="shared" ca="1" si="101"/>
        <v>30.000000000000384</v>
      </c>
      <c r="P683" t="str">
        <f t="shared" si="102"/>
        <v>NA</v>
      </c>
      <c r="Q683" s="10">
        <f t="shared" ca="1" si="103"/>
        <v>40.000000000000696</v>
      </c>
      <c r="R683" s="10">
        <f t="shared" ca="1" si="104"/>
        <v>75.000000000000227</v>
      </c>
      <c r="S683" s="10">
        <f t="shared" ca="1" si="105"/>
        <v>-34.999999999999531</v>
      </c>
      <c r="T683" s="10">
        <f t="shared" ca="1" si="106"/>
        <v>349.99999999999653</v>
      </c>
      <c r="U683" s="10">
        <f t="shared" ca="1" si="107"/>
        <v>349.99999999999653</v>
      </c>
      <c r="V683">
        <f t="shared" si="108"/>
        <v>5</v>
      </c>
    </row>
    <row r="684" spans="1:22" x14ac:dyDescent="0.25">
      <c r="A684">
        <v>76</v>
      </c>
      <c r="B684">
        <v>8</v>
      </c>
      <c r="C684">
        <v>20</v>
      </c>
      <c r="D684">
        <v>1</v>
      </c>
      <c r="E684">
        <v>1</v>
      </c>
      <c r="F684">
        <v>0</v>
      </c>
      <c r="G684">
        <v>1</v>
      </c>
      <c r="H684">
        <v>550</v>
      </c>
      <c r="I684">
        <f t="shared" si="109"/>
        <v>675</v>
      </c>
      <c r="J684" s="6">
        <f t="array" aca="1" ref="J684:N684" ca="1">TRANSPOSE(ols(OFFSET($C$2:$C$10,I684,0),OFFSET($D$2:$H$10,I684,0)))</f>
        <v>75</v>
      </c>
      <c r="K684" s="6">
        <f ca="1"/>
        <v>1.1368683772161603E-13</v>
      </c>
      <c r="L684" s="6">
        <f ca="1"/>
        <v>4.5474735088646412E-13</v>
      </c>
      <c r="M684" s="6">
        <f ca="1"/>
        <v>1.1368683772161603E-13</v>
      </c>
      <c r="N684" s="6">
        <f ca="1"/>
        <v>-9.9999999999999645E-2</v>
      </c>
      <c r="O684" s="6">
        <f t="shared" ca="1" si="101"/>
        <v>20.000000000000426</v>
      </c>
      <c r="P684" t="str">
        <f t="shared" si="102"/>
        <v>NA</v>
      </c>
      <c r="Q684" s="10">
        <f t="shared" ca="1" si="103"/>
        <v>40.000000000000696</v>
      </c>
      <c r="R684" s="10">
        <f t="shared" ca="1" si="104"/>
        <v>75.000000000000227</v>
      </c>
      <c r="S684" s="10">
        <f t="shared" ca="1" si="105"/>
        <v>-34.999999999999531</v>
      </c>
      <c r="T684" s="10">
        <f t="shared" ca="1" si="106"/>
        <v>349.99999999999653</v>
      </c>
      <c r="U684" s="10">
        <f t="shared" ca="1" si="107"/>
        <v>349.99999999999653</v>
      </c>
      <c r="V684">
        <f t="shared" si="108"/>
        <v>5</v>
      </c>
    </row>
    <row r="685" spans="1:22" x14ac:dyDescent="0.25">
      <c r="A685">
        <v>76</v>
      </c>
      <c r="B685">
        <v>9</v>
      </c>
      <c r="C685">
        <v>10</v>
      </c>
      <c r="D685">
        <v>1</v>
      </c>
      <c r="E685">
        <v>0</v>
      </c>
      <c r="F685">
        <v>0</v>
      </c>
      <c r="G685">
        <v>1</v>
      </c>
      <c r="H685">
        <v>650</v>
      </c>
      <c r="I685">
        <f t="shared" si="109"/>
        <v>675</v>
      </c>
      <c r="J685" s="6">
        <f t="array" aca="1" ref="J685:N685" ca="1">TRANSPOSE(ols(OFFSET($C$2:$C$10,I685,0),OFFSET($D$2:$H$10,I685,0)))</f>
        <v>75</v>
      </c>
      <c r="K685" s="6">
        <f ca="1"/>
        <v>1.1368683772161603E-13</v>
      </c>
      <c r="L685" s="6">
        <f ca="1"/>
        <v>4.5474735088646412E-13</v>
      </c>
      <c r="M685" s="6">
        <f ca="1"/>
        <v>1.1368683772161603E-13</v>
      </c>
      <c r="N685" s="6">
        <f ca="1"/>
        <v>-9.9999999999999645E-2</v>
      </c>
      <c r="O685" s="6">
        <f t="shared" ca="1" si="101"/>
        <v>10.000000000000341</v>
      </c>
      <c r="P685" t="str">
        <f t="shared" si="102"/>
        <v>NA</v>
      </c>
      <c r="Q685" s="10">
        <f t="shared" ca="1" si="103"/>
        <v>40.000000000000696</v>
      </c>
      <c r="R685" s="10">
        <f t="shared" ca="1" si="104"/>
        <v>75.000000000000114</v>
      </c>
      <c r="S685" s="10">
        <f t="shared" ca="1" si="105"/>
        <v>-34.999999999999417</v>
      </c>
      <c r="T685" s="10">
        <f t="shared" ca="1" si="106"/>
        <v>349.9999999999954</v>
      </c>
      <c r="U685" s="10">
        <f t="shared" ca="1" si="107"/>
        <v>349.9999999999954</v>
      </c>
      <c r="V685">
        <f t="shared" si="108"/>
        <v>4</v>
      </c>
    </row>
    <row r="686" spans="1:22" x14ac:dyDescent="0.25">
      <c r="A686">
        <v>77</v>
      </c>
      <c r="B686">
        <v>1</v>
      </c>
      <c r="C686">
        <v>20</v>
      </c>
      <c r="D686">
        <v>1</v>
      </c>
      <c r="E686">
        <v>0</v>
      </c>
      <c r="F686">
        <v>1</v>
      </c>
      <c r="G686">
        <v>0</v>
      </c>
      <c r="H686">
        <v>250</v>
      </c>
      <c r="I686">
        <f t="shared" si="109"/>
        <v>684</v>
      </c>
      <c r="J686" s="6">
        <f t="array" aca="1" ref="J686:N686" ca="1">TRANSPOSE(ols(OFFSET($C$2:$C$10,I686,0),OFFSET($D$2:$H$10,I686,0)))</f>
        <v>18.303571428571104</v>
      </c>
      <c r="K686" s="6">
        <f ca="1"/>
        <v>0.35714285714288962</v>
      </c>
      <c r="L686" s="6">
        <f ca="1"/>
        <v>3.9285714285715585</v>
      </c>
      <c r="M686" s="6">
        <f ca="1"/>
        <v>-4.464285714285694</v>
      </c>
      <c r="N686" s="6">
        <f ca="1"/>
        <v>-2.6785714285714413E-2</v>
      </c>
      <c r="O686" s="6">
        <f t="shared" ca="1" si="101"/>
        <v>15.535714285714059</v>
      </c>
      <c r="P686" t="str">
        <f t="shared" si="102"/>
        <v>NA</v>
      </c>
      <c r="Q686" s="10">
        <f t="shared" ca="1" si="103"/>
        <v>8.3928571428569239</v>
      </c>
      <c r="R686" s="10">
        <f t="shared" ca="1" si="104"/>
        <v>22.232142857142662</v>
      </c>
      <c r="S686" s="10">
        <f t="shared" ca="1" si="105"/>
        <v>-13.839285714285738</v>
      </c>
      <c r="T686" s="10">
        <f t="shared" ca="1" si="106"/>
        <v>516.66666666666515</v>
      </c>
      <c r="U686" s="10">
        <f t="shared" ca="1" si="107"/>
        <v>516.66666666666515</v>
      </c>
      <c r="V686">
        <f t="shared" si="108"/>
        <v>3</v>
      </c>
    </row>
    <row r="687" spans="1:22" x14ac:dyDescent="0.25">
      <c r="A687">
        <v>77</v>
      </c>
      <c r="B687">
        <v>2</v>
      </c>
      <c r="C687">
        <v>10</v>
      </c>
      <c r="D687">
        <v>1</v>
      </c>
      <c r="E687">
        <v>1</v>
      </c>
      <c r="F687">
        <v>0</v>
      </c>
      <c r="G687">
        <v>0</v>
      </c>
      <c r="H687">
        <v>350</v>
      </c>
      <c r="I687">
        <f t="shared" si="109"/>
        <v>684</v>
      </c>
      <c r="J687" s="6">
        <f t="array" aca="1" ref="J687:N687" ca="1">TRANSPOSE(ols(OFFSET($C$2:$C$10,I687,0),OFFSET($D$2:$H$10,I687,0)))</f>
        <v>18.303571428571104</v>
      </c>
      <c r="K687" s="6">
        <f ca="1"/>
        <v>0.35714285714288962</v>
      </c>
      <c r="L687" s="6">
        <f ca="1"/>
        <v>3.9285714285715585</v>
      </c>
      <c r="M687" s="6">
        <f ca="1"/>
        <v>-4.464285714285694</v>
      </c>
      <c r="N687" s="6">
        <f ca="1"/>
        <v>-2.6785714285714413E-2</v>
      </c>
      <c r="O687" s="6">
        <f t="shared" ca="1" si="101"/>
        <v>9.285714285713949</v>
      </c>
      <c r="P687" t="str">
        <f t="shared" si="102"/>
        <v>NA</v>
      </c>
      <c r="Q687" s="10">
        <f t="shared" ca="1" si="103"/>
        <v>8.3928571428569239</v>
      </c>
      <c r="R687" s="10">
        <f t="shared" ca="1" si="104"/>
        <v>18.660714285713993</v>
      </c>
      <c r="S687" s="10">
        <f t="shared" ca="1" si="105"/>
        <v>-10.26785714285707</v>
      </c>
      <c r="T687" s="10">
        <f t="shared" ca="1" si="106"/>
        <v>383.33333333332877</v>
      </c>
      <c r="U687" s="10">
        <f t="shared" ca="1" si="107"/>
        <v>383.33333333332877</v>
      </c>
      <c r="V687">
        <f t="shared" si="108"/>
        <v>2</v>
      </c>
    </row>
    <row r="688" spans="1:22" x14ac:dyDescent="0.25">
      <c r="A688">
        <v>77</v>
      </c>
      <c r="B688">
        <v>3</v>
      </c>
      <c r="C688">
        <v>5</v>
      </c>
      <c r="D688">
        <v>1</v>
      </c>
      <c r="E688">
        <v>1</v>
      </c>
      <c r="F688">
        <v>0</v>
      </c>
      <c r="G688">
        <v>0</v>
      </c>
      <c r="H688">
        <v>450</v>
      </c>
      <c r="I688">
        <f t="shared" si="109"/>
        <v>684</v>
      </c>
      <c r="J688" s="6">
        <f t="array" aca="1" ref="J688:N688" ca="1">TRANSPOSE(ols(OFFSET($C$2:$C$10,I688,0),OFFSET($D$2:$H$10,I688,0)))</f>
        <v>18.303571428571104</v>
      </c>
      <c r="K688" s="6">
        <f ca="1"/>
        <v>0.35714285714288962</v>
      </c>
      <c r="L688" s="6">
        <f ca="1"/>
        <v>3.9285714285715585</v>
      </c>
      <c r="M688" s="6">
        <f ca="1"/>
        <v>-4.464285714285694</v>
      </c>
      <c r="N688" s="6">
        <f ca="1"/>
        <v>-2.6785714285714413E-2</v>
      </c>
      <c r="O688" s="6">
        <f t="shared" ca="1" si="101"/>
        <v>6.6071428571425077</v>
      </c>
      <c r="P688" t="str">
        <f t="shared" si="102"/>
        <v>NA</v>
      </c>
      <c r="Q688" s="10">
        <f t="shared" ca="1" si="103"/>
        <v>8.3928571428569239</v>
      </c>
      <c r="R688" s="10">
        <f t="shared" ca="1" si="104"/>
        <v>18.660714285713993</v>
      </c>
      <c r="S688" s="10">
        <f t="shared" ca="1" si="105"/>
        <v>-10.26785714285707</v>
      </c>
      <c r="T688" s="10">
        <f t="shared" ca="1" si="106"/>
        <v>383.33333333332877</v>
      </c>
      <c r="U688" s="10">
        <f t="shared" ca="1" si="107"/>
        <v>383.33333333332877</v>
      </c>
      <c r="V688">
        <f t="shared" si="108"/>
        <v>2</v>
      </c>
    </row>
    <row r="689" spans="1:22" x14ac:dyDescent="0.25">
      <c r="A689">
        <v>77</v>
      </c>
      <c r="B689">
        <v>4</v>
      </c>
      <c r="C689">
        <v>0</v>
      </c>
      <c r="D689">
        <v>1</v>
      </c>
      <c r="E689">
        <v>0</v>
      </c>
      <c r="F689">
        <v>0</v>
      </c>
      <c r="G689">
        <v>0</v>
      </c>
      <c r="H689">
        <v>550</v>
      </c>
      <c r="I689">
        <f t="shared" si="109"/>
        <v>684</v>
      </c>
      <c r="J689" s="6">
        <f t="array" aca="1" ref="J689:N689" ca="1">TRANSPOSE(ols(OFFSET($C$2:$C$10,I689,0),OFFSET($D$2:$H$10,I689,0)))</f>
        <v>18.303571428571104</v>
      </c>
      <c r="K689" s="6">
        <f ca="1"/>
        <v>0.35714285714288962</v>
      </c>
      <c r="L689" s="6">
        <f ca="1"/>
        <v>3.9285714285715585</v>
      </c>
      <c r="M689" s="6">
        <f ca="1"/>
        <v>-4.464285714285694</v>
      </c>
      <c r="N689" s="6">
        <f ca="1"/>
        <v>-2.6785714285714413E-2</v>
      </c>
      <c r="O689" s="6">
        <f t="shared" ca="1" si="101"/>
        <v>3.5714285714281768</v>
      </c>
      <c r="P689" t="str">
        <f t="shared" si="102"/>
        <v>NA</v>
      </c>
      <c r="Q689" s="10">
        <f t="shared" ca="1" si="103"/>
        <v>8.3928571428569239</v>
      </c>
      <c r="R689" s="10">
        <f t="shared" ca="1" si="104"/>
        <v>18.303571428571104</v>
      </c>
      <c r="S689" s="10">
        <f t="shared" ca="1" si="105"/>
        <v>-9.9107142857141799</v>
      </c>
      <c r="T689" s="10">
        <f t="shared" ca="1" si="106"/>
        <v>369.99999999999432</v>
      </c>
      <c r="U689" s="10">
        <f t="shared" ca="1" si="107"/>
        <v>369.99999999999432</v>
      </c>
      <c r="V689">
        <f t="shared" si="108"/>
        <v>1</v>
      </c>
    </row>
    <row r="690" spans="1:22" x14ac:dyDescent="0.25">
      <c r="A690">
        <v>77</v>
      </c>
      <c r="B690">
        <v>5</v>
      </c>
      <c r="C690">
        <v>10</v>
      </c>
      <c r="D690">
        <v>1</v>
      </c>
      <c r="E690">
        <v>0</v>
      </c>
      <c r="F690">
        <v>1</v>
      </c>
      <c r="G690">
        <v>1</v>
      </c>
      <c r="H690">
        <v>250</v>
      </c>
      <c r="I690">
        <f t="shared" si="109"/>
        <v>684</v>
      </c>
      <c r="J690" s="6">
        <f t="array" aca="1" ref="J690:N690" ca="1">TRANSPOSE(ols(OFFSET($C$2:$C$10,I690,0),OFFSET($D$2:$H$10,I690,0)))</f>
        <v>18.303571428571104</v>
      </c>
      <c r="K690" s="6">
        <f ca="1"/>
        <v>0.35714285714288962</v>
      </c>
      <c r="L690" s="6">
        <f ca="1"/>
        <v>3.9285714285715585</v>
      </c>
      <c r="M690" s="6">
        <f ca="1"/>
        <v>-4.464285714285694</v>
      </c>
      <c r="N690" s="6">
        <f ca="1"/>
        <v>-2.6785714285714413E-2</v>
      </c>
      <c r="O690" s="6">
        <f t="shared" ca="1" si="101"/>
        <v>11.071428571428365</v>
      </c>
      <c r="P690" t="str">
        <f t="shared" si="102"/>
        <v>NA</v>
      </c>
      <c r="Q690" s="10">
        <f t="shared" ca="1" si="103"/>
        <v>8.3928571428569239</v>
      </c>
      <c r="R690" s="10">
        <f t="shared" ca="1" si="104"/>
        <v>17.767857142856968</v>
      </c>
      <c r="S690" s="10">
        <f t="shared" ca="1" si="105"/>
        <v>-9.3750000000000444</v>
      </c>
      <c r="T690" s="10">
        <f t="shared" ca="1" si="106"/>
        <v>350</v>
      </c>
      <c r="U690" s="10">
        <f t="shared" ca="1" si="107"/>
        <v>350</v>
      </c>
      <c r="V690">
        <f t="shared" si="108"/>
        <v>6</v>
      </c>
    </row>
    <row r="691" spans="1:22" x14ac:dyDescent="0.25">
      <c r="A691">
        <v>77</v>
      </c>
      <c r="B691">
        <v>6</v>
      </c>
      <c r="C691">
        <v>5</v>
      </c>
      <c r="D691">
        <v>1</v>
      </c>
      <c r="E691">
        <v>0</v>
      </c>
      <c r="F691">
        <v>1</v>
      </c>
      <c r="G691">
        <v>1</v>
      </c>
      <c r="H691">
        <v>350</v>
      </c>
      <c r="I691">
        <f t="shared" si="109"/>
        <v>684</v>
      </c>
      <c r="J691" s="6">
        <f t="array" aca="1" ref="J691:N691" ca="1">TRANSPOSE(ols(OFFSET($C$2:$C$10,I691,0),OFFSET($D$2:$H$10,I691,0)))</f>
        <v>18.303571428571104</v>
      </c>
      <c r="K691" s="6">
        <f ca="1"/>
        <v>0.35714285714288962</v>
      </c>
      <c r="L691" s="6">
        <f ca="1"/>
        <v>3.9285714285715585</v>
      </c>
      <c r="M691" s="6">
        <f ca="1"/>
        <v>-4.464285714285694</v>
      </c>
      <c r="N691" s="6">
        <f ca="1"/>
        <v>-2.6785714285714413E-2</v>
      </c>
      <c r="O691" s="6">
        <f t="shared" ca="1" si="101"/>
        <v>8.3928571428569239</v>
      </c>
      <c r="P691">
        <f t="shared" ca="1" si="102"/>
        <v>8.3928571428569239</v>
      </c>
      <c r="Q691" s="10">
        <f t="shared" ca="1" si="103"/>
        <v>8.3928571428569239</v>
      </c>
      <c r="R691" s="10">
        <f t="shared" ca="1" si="104"/>
        <v>17.767857142856968</v>
      </c>
      <c r="S691" s="10">
        <f t="shared" ca="1" si="105"/>
        <v>-9.3750000000000444</v>
      </c>
      <c r="T691" s="10">
        <f t="shared" ca="1" si="106"/>
        <v>350</v>
      </c>
      <c r="U691" s="10">
        <f t="shared" ca="1" si="107"/>
        <v>350</v>
      </c>
      <c r="V691">
        <f t="shared" si="108"/>
        <v>6</v>
      </c>
    </row>
    <row r="692" spans="1:22" x14ac:dyDescent="0.25">
      <c r="A692">
        <v>77</v>
      </c>
      <c r="B692">
        <v>7</v>
      </c>
      <c r="C692">
        <v>2.5</v>
      </c>
      <c r="D692">
        <v>1</v>
      </c>
      <c r="E692">
        <v>1</v>
      </c>
      <c r="F692">
        <v>0</v>
      </c>
      <c r="G692">
        <v>1</v>
      </c>
      <c r="H692">
        <v>450</v>
      </c>
      <c r="I692">
        <f t="shared" si="109"/>
        <v>684</v>
      </c>
      <c r="J692" s="6">
        <f t="array" aca="1" ref="J692:N692" ca="1">TRANSPOSE(ols(OFFSET($C$2:$C$10,I692,0),OFFSET($D$2:$H$10,I692,0)))</f>
        <v>18.303571428571104</v>
      </c>
      <c r="K692" s="6">
        <f ca="1"/>
        <v>0.35714285714288962</v>
      </c>
      <c r="L692" s="6">
        <f ca="1"/>
        <v>3.9285714285715585</v>
      </c>
      <c r="M692" s="6">
        <f ca="1"/>
        <v>-4.464285714285694</v>
      </c>
      <c r="N692" s="6">
        <f ca="1"/>
        <v>-2.6785714285714413E-2</v>
      </c>
      <c r="O692" s="6">
        <f t="shared" ca="1" si="101"/>
        <v>2.1428571428568137</v>
      </c>
      <c r="P692" t="str">
        <f t="shared" si="102"/>
        <v>NA</v>
      </c>
      <c r="Q692" s="10">
        <f t="shared" ca="1" si="103"/>
        <v>8.3928571428569239</v>
      </c>
      <c r="R692" s="10">
        <f t="shared" ca="1" si="104"/>
        <v>14.196428571428299</v>
      </c>
      <c r="S692" s="10">
        <f t="shared" ca="1" si="105"/>
        <v>-5.8035714285713755</v>
      </c>
      <c r="T692" s="10">
        <f t="shared" ca="1" si="106"/>
        <v>216.66666666666367</v>
      </c>
      <c r="U692" s="10" t="str">
        <f t="shared" ca="1" si="107"/>
        <v>OR</v>
      </c>
      <c r="V692">
        <f t="shared" si="108"/>
        <v>5</v>
      </c>
    </row>
    <row r="693" spans="1:22" x14ac:dyDescent="0.25">
      <c r="A693">
        <v>77</v>
      </c>
      <c r="B693">
        <v>8</v>
      </c>
      <c r="C693">
        <v>0</v>
      </c>
      <c r="D693">
        <v>1</v>
      </c>
      <c r="E693">
        <v>1</v>
      </c>
      <c r="F693">
        <v>0</v>
      </c>
      <c r="G693">
        <v>1</v>
      </c>
      <c r="H693">
        <v>550</v>
      </c>
      <c r="I693">
        <f t="shared" si="109"/>
        <v>684</v>
      </c>
      <c r="J693" s="6">
        <f t="array" aca="1" ref="J693:N693" ca="1">TRANSPOSE(ols(OFFSET($C$2:$C$10,I693,0),OFFSET($D$2:$H$10,I693,0)))</f>
        <v>18.303571428571104</v>
      </c>
      <c r="K693" s="6">
        <f ca="1"/>
        <v>0.35714285714288962</v>
      </c>
      <c r="L693" s="6">
        <f ca="1"/>
        <v>3.9285714285715585</v>
      </c>
      <c r="M693" s="6">
        <f ca="1"/>
        <v>-4.464285714285694</v>
      </c>
      <c r="N693" s="6">
        <f ca="1"/>
        <v>-2.6785714285714413E-2</v>
      </c>
      <c r="O693" s="6">
        <f t="shared" ca="1" si="101"/>
        <v>-0.53571428571462754</v>
      </c>
      <c r="P693" t="str">
        <f t="shared" si="102"/>
        <v>NA</v>
      </c>
      <c r="Q693" s="10">
        <f t="shared" ca="1" si="103"/>
        <v>8.3928571428569239</v>
      </c>
      <c r="R693" s="10">
        <f t="shared" ca="1" si="104"/>
        <v>14.196428571428299</v>
      </c>
      <c r="S693" s="10">
        <f t="shared" ca="1" si="105"/>
        <v>-5.8035714285713755</v>
      </c>
      <c r="T693" s="10">
        <f t="shared" ca="1" si="106"/>
        <v>216.66666666666367</v>
      </c>
      <c r="U693" s="10" t="str">
        <f t="shared" ca="1" si="107"/>
        <v>OR</v>
      </c>
      <c r="V693">
        <f t="shared" si="108"/>
        <v>5</v>
      </c>
    </row>
    <row r="694" spans="1:22" x14ac:dyDescent="0.25">
      <c r="A694">
        <v>77</v>
      </c>
      <c r="B694">
        <v>9</v>
      </c>
      <c r="C694">
        <v>0</v>
      </c>
      <c r="D694">
        <v>1</v>
      </c>
      <c r="E694">
        <v>0</v>
      </c>
      <c r="F694">
        <v>0</v>
      </c>
      <c r="G694">
        <v>1</v>
      </c>
      <c r="H694">
        <v>650</v>
      </c>
      <c r="I694">
        <f t="shared" si="109"/>
        <v>684</v>
      </c>
      <c r="J694" s="6">
        <f t="array" aca="1" ref="J694:N694" ca="1">TRANSPOSE(ols(OFFSET($C$2:$C$10,I694,0),OFFSET($D$2:$H$10,I694,0)))</f>
        <v>18.303571428571104</v>
      </c>
      <c r="K694" s="6">
        <f ca="1"/>
        <v>0.35714285714288962</v>
      </c>
      <c r="L694" s="6">
        <f ca="1"/>
        <v>3.9285714285715585</v>
      </c>
      <c r="M694" s="6">
        <f ca="1"/>
        <v>-4.464285714285694</v>
      </c>
      <c r="N694" s="6">
        <f ca="1"/>
        <v>-2.6785714285714413E-2</v>
      </c>
      <c r="O694" s="6">
        <f t="shared" ca="1" si="101"/>
        <v>-3.5714285714289602</v>
      </c>
      <c r="P694" t="str">
        <f t="shared" si="102"/>
        <v>NA</v>
      </c>
      <c r="Q694" s="10">
        <f t="shared" ca="1" si="103"/>
        <v>8.3928571428569239</v>
      </c>
      <c r="R694" s="10">
        <f t="shared" ca="1" si="104"/>
        <v>13.83928571428541</v>
      </c>
      <c r="S694" s="10">
        <f t="shared" ca="1" si="105"/>
        <v>-5.4464285714284859</v>
      </c>
      <c r="T694" s="10">
        <f t="shared" ca="1" si="106"/>
        <v>203.33333333332916</v>
      </c>
      <c r="U694" s="10" t="str">
        <f t="shared" ca="1" si="107"/>
        <v>OR</v>
      </c>
      <c r="V694">
        <f t="shared" si="108"/>
        <v>4</v>
      </c>
    </row>
    <row r="695" spans="1:22" x14ac:dyDescent="0.25">
      <c r="A695">
        <v>78</v>
      </c>
      <c r="B695">
        <v>1</v>
      </c>
      <c r="C695">
        <v>20</v>
      </c>
      <c r="D695">
        <v>1</v>
      </c>
      <c r="E695">
        <v>0</v>
      </c>
      <c r="F695">
        <v>1</v>
      </c>
      <c r="G695">
        <v>0</v>
      </c>
      <c r="H695">
        <v>250</v>
      </c>
      <c r="I695">
        <f t="shared" si="109"/>
        <v>693</v>
      </c>
      <c r="J695" s="6">
        <f t="array" aca="1" ref="J695:N695" ca="1">TRANSPOSE(ols(OFFSET($C$2:$C$10,I695,0),OFFSET($D$2:$H$10,I695,0)))</f>
        <v>124.46428571428351</v>
      </c>
      <c r="K695" s="6">
        <f ca="1"/>
        <v>-8.5714285714284415</v>
      </c>
      <c r="L695" s="6">
        <f ca="1"/>
        <v>-49.285714285713311</v>
      </c>
      <c r="M695" s="6">
        <f ca="1"/>
        <v>14.642857142857224</v>
      </c>
      <c r="N695" s="6">
        <f ca="1"/>
        <v>-0.18214285714285783</v>
      </c>
      <c r="O695" s="6">
        <f t="shared" ca="1" si="101"/>
        <v>29.642857142855739</v>
      </c>
      <c r="P695" t="str">
        <f t="shared" si="102"/>
        <v>NA</v>
      </c>
      <c r="Q695" s="10">
        <f t="shared" ca="1" si="103"/>
        <v>26.071428571427177</v>
      </c>
      <c r="R695" s="10">
        <f t="shared" ca="1" si="104"/>
        <v>75.178571428570194</v>
      </c>
      <c r="S695" s="10">
        <f t="shared" ca="1" si="105"/>
        <v>-49.107142857143018</v>
      </c>
      <c r="T695" s="10">
        <f t="shared" ca="1" si="106"/>
        <v>269.60784313725475</v>
      </c>
      <c r="U695" s="10">
        <f t="shared" ca="1" si="107"/>
        <v>269.60784313725475</v>
      </c>
      <c r="V695">
        <f t="shared" si="108"/>
        <v>3</v>
      </c>
    </row>
    <row r="696" spans="1:22" x14ac:dyDescent="0.25">
      <c r="A696">
        <v>78</v>
      </c>
      <c r="B696">
        <v>2</v>
      </c>
      <c r="C696">
        <v>50</v>
      </c>
      <c r="D696">
        <v>1</v>
      </c>
      <c r="E696">
        <v>1</v>
      </c>
      <c r="F696">
        <v>0</v>
      </c>
      <c r="G696">
        <v>0</v>
      </c>
      <c r="H696">
        <v>350</v>
      </c>
      <c r="I696">
        <f t="shared" si="109"/>
        <v>693</v>
      </c>
      <c r="J696" s="6">
        <f t="array" aca="1" ref="J696:N696" ca="1">TRANSPOSE(ols(OFFSET($C$2:$C$10,I696,0),OFFSET($D$2:$H$10,I696,0)))</f>
        <v>124.46428571428351</v>
      </c>
      <c r="K696" s="6">
        <f ca="1"/>
        <v>-8.5714285714284415</v>
      </c>
      <c r="L696" s="6">
        <f ca="1"/>
        <v>-49.285714285713311</v>
      </c>
      <c r="M696" s="6">
        <f ca="1"/>
        <v>14.642857142857224</v>
      </c>
      <c r="N696" s="6">
        <f ca="1"/>
        <v>-0.18214285714285783</v>
      </c>
      <c r="O696" s="6">
        <f t="shared" ca="1" si="101"/>
        <v>52.142857142854822</v>
      </c>
      <c r="P696" t="str">
        <f t="shared" si="102"/>
        <v>NA</v>
      </c>
      <c r="Q696" s="10">
        <f t="shared" ca="1" si="103"/>
        <v>26.071428571427177</v>
      </c>
      <c r="R696" s="10">
        <f t="shared" ca="1" si="104"/>
        <v>115.89285714285506</v>
      </c>
      <c r="S696" s="10">
        <f t="shared" ca="1" si="105"/>
        <v>-89.821428571427887</v>
      </c>
      <c r="T696" s="10">
        <f t="shared" ca="1" si="106"/>
        <v>493.13725490195515</v>
      </c>
      <c r="U696" s="10">
        <f t="shared" ca="1" si="107"/>
        <v>493.13725490195515</v>
      </c>
      <c r="V696">
        <f t="shared" si="108"/>
        <v>2</v>
      </c>
    </row>
    <row r="697" spans="1:22" x14ac:dyDescent="0.25">
      <c r="A697">
        <v>78</v>
      </c>
      <c r="B697">
        <v>3</v>
      </c>
      <c r="C697">
        <v>35</v>
      </c>
      <c r="D697">
        <v>1</v>
      </c>
      <c r="E697">
        <v>1</v>
      </c>
      <c r="F697">
        <v>0</v>
      </c>
      <c r="G697">
        <v>0</v>
      </c>
      <c r="H697">
        <v>450</v>
      </c>
      <c r="I697">
        <f t="shared" si="109"/>
        <v>693</v>
      </c>
      <c r="J697" s="6">
        <f t="array" aca="1" ref="J697:N697" ca="1">TRANSPOSE(ols(OFFSET($C$2:$C$10,I697,0),OFFSET($D$2:$H$10,I697,0)))</f>
        <v>124.46428571428351</v>
      </c>
      <c r="K697" s="6">
        <f ca="1"/>
        <v>-8.5714285714284415</v>
      </c>
      <c r="L697" s="6">
        <f ca="1"/>
        <v>-49.285714285713311</v>
      </c>
      <c r="M697" s="6">
        <f ca="1"/>
        <v>14.642857142857224</v>
      </c>
      <c r="N697" s="6">
        <f ca="1"/>
        <v>-0.18214285714285783</v>
      </c>
      <c r="O697" s="6">
        <f t="shared" ca="1" si="101"/>
        <v>33.928571428569043</v>
      </c>
      <c r="P697" t="str">
        <f t="shared" si="102"/>
        <v>NA</v>
      </c>
      <c r="Q697" s="10">
        <f t="shared" ca="1" si="103"/>
        <v>26.071428571427177</v>
      </c>
      <c r="R697" s="10">
        <f t="shared" ca="1" si="104"/>
        <v>115.89285714285506</v>
      </c>
      <c r="S697" s="10">
        <f t="shared" ca="1" si="105"/>
        <v>-89.821428571427887</v>
      </c>
      <c r="T697" s="10">
        <f t="shared" ca="1" si="106"/>
        <v>493.13725490195515</v>
      </c>
      <c r="U697" s="10">
        <f t="shared" ca="1" si="107"/>
        <v>493.13725490195515</v>
      </c>
      <c r="V697">
        <f t="shared" si="108"/>
        <v>2</v>
      </c>
    </row>
    <row r="698" spans="1:22" x14ac:dyDescent="0.25">
      <c r="A698">
        <v>78</v>
      </c>
      <c r="B698">
        <v>4</v>
      </c>
      <c r="C698">
        <v>35</v>
      </c>
      <c r="D698">
        <v>1</v>
      </c>
      <c r="E698">
        <v>0</v>
      </c>
      <c r="F698">
        <v>0</v>
      </c>
      <c r="G698">
        <v>0</v>
      </c>
      <c r="H698">
        <v>550</v>
      </c>
      <c r="I698">
        <f t="shared" si="109"/>
        <v>693</v>
      </c>
      <c r="J698" s="6">
        <f t="array" aca="1" ref="J698:N698" ca="1">TRANSPOSE(ols(OFFSET($C$2:$C$10,I698,0),OFFSET($D$2:$H$10,I698,0)))</f>
        <v>124.46428571428351</v>
      </c>
      <c r="K698" s="6">
        <f ca="1"/>
        <v>-8.5714285714284415</v>
      </c>
      <c r="L698" s="6">
        <f ca="1"/>
        <v>-49.285714285713311</v>
      </c>
      <c r="M698" s="6">
        <f ca="1"/>
        <v>14.642857142857224</v>
      </c>
      <c r="N698" s="6">
        <f ca="1"/>
        <v>-0.18214285714285783</v>
      </c>
      <c r="O698" s="6">
        <f t="shared" ca="1" si="101"/>
        <v>24.285714285711705</v>
      </c>
      <c r="P698" t="str">
        <f t="shared" si="102"/>
        <v>NA</v>
      </c>
      <c r="Q698" s="10">
        <f t="shared" ca="1" si="103"/>
        <v>26.071428571427177</v>
      </c>
      <c r="R698" s="10">
        <f t="shared" ca="1" si="104"/>
        <v>124.46428571428351</v>
      </c>
      <c r="S698" s="10">
        <f t="shared" ca="1" si="105"/>
        <v>-98.392857142856329</v>
      </c>
      <c r="T698" s="10">
        <f t="shared" ca="1" si="106"/>
        <v>540.196078431366</v>
      </c>
      <c r="U698" s="10">
        <f t="shared" ca="1" si="107"/>
        <v>540.196078431366</v>
      </c>
      <c r="V698">
        <f t="shared" si="108"/>
        <v>1</v>
      </c>
    </row>
    <row r="699" spans="1:22" x14ac:dyDescent="0.25">
      <c r="A699">
        <v>78</v>
      </c>
      <c r="B699">
        <v>5</v>
      </c>
      <c r="C699">
        <v>40</v>
      </c>
      <c r="D699">
        <v>1</v>
      </c>
      <c r="E699">
        <v>0</v>
      </c>
      <c r="F699">
        <v>1</v>
      </c>
      <c r="G699">
        <v>1</v>
      </c>
      <c r="H699">
        <v>250</v>
      </c>
      <c r="I699">
        <f t="shared" si="109"/>
        <v>693</v>
      </c>
      <c r="J699" s="6">
        <f t="array" aca="1" ref="J699:N699" ca="1">TRANSPOSE(ols(OFFSET($C$2:$C$10,I699,0),OFFSET($D$2:$H$10,I699,0)))</f>
        <v>124.46428571428351</v>
      </c>
      <c r="K699" s="6">
        <f ca="1"/>
        <v>-8.5714285714284415</v>
      </c>
      <c r="L699" s="6">
        <f ca="1"/>
        <v>-49.285714285713311</v>
      </c>
      <c r="M699" s="6">
        <f ca="1"/>
        <v>14.642857142857224</v>
      </c>
      <c r="N699" s="6">
        <f ca="1"/>
        <v>-0.18214285714285783</v>
      </c>
      <c r="O699" s="6">
        <f t="shared" ca="1" si="101"/>
        <v>44.285714285712963</v>
      </c>
      <c r="P699" t="str">
        <f t="shared" si="102"/>
        <v>NA</v>
      </c>
      <c r="Q699" s="10">
        <f t="shared" ca="1" si="103"/>
        <v>26.071428571427177</v>
      </c>
      <c r="R699" s="10">
        <f t="shared" ca="1" si="104"/>
        <v>89.821428571427418</v>
      </c>
      <c r="S699" s="10">
        <f t="shared" ca="1" si="105"/>
        <v>-63.750000000000242</v>
      </c>
      <c r="T699" s="10">
        <f t="shared" ca="1" si="106"/>
        <v>350</v>
      </c>
      <c r="U699" s="10">
        <f t="shared" ca="1" si="107"/>
        <v>350</v>
      </c>
      <c r="V699">
        <f t="shared" si="108"/>
        <v>6</v>
      </c>
    </row>
    <row r="700" spans="1:22" x14ac:dyDescent="0.25">
      <c r="A700">
        <v>78</v>
      </c>
      <c r="B700">
        <v>6</v>
      </c>
      <c r="C700">
        <v>40</v>
      </c>
      <c r="D700">
        <v>1</v>
      </c>
      <c r="E700">
        <v>0</v>
      </c>
      <c r="F700">
        <v>1</v>
      </c>
      <c r="G700">
        <v>1</v>
      </c>
      <c r="H700">
        <v>350</v>
      </c>
      <c r="I700">
        <f t="shared" si="109"/>
        <v>693</v>
      </c>
      <c r="J700" s="6">
        <f t="array" aca="1" ref="J700:N700" ca="1">TRANSPOSE(ols(OFFSET($C$2:$C$10,I700,0),OFFSET($D$2:$H$10,I700,0)))</f>
        <v>124.46428571428351</v>
      </c>
      <c r="K700" s="6">
        <f ca="1"/>
        <v>-8.5714285714284415</v>
      </c>
      <c r="L700" s="6">
        <f ca="1"/>
        <v>-49.285714285713311</v>
      </c>
      <c r="M700" s="6">
        <f ca="1"/>
        <v>14.642857142857224</v>
      </c>
      <c r="N700" s="6">
        <f ca="1"/>
        <v>-0.18214285714285783</v>
      </c>
      <c r="O700" s="6">
        <f t="shared" ca="1" si="101"/>
        <v>26.071428571427177</v>
      </c>
      <c r="P700">
        <f t="shared" ca="1" si="102"/>
        <v>26.071428571427177</v>
      </c>
      <c r="Q700" s="10">
        <f t="shared" ca="1" si="103"/>
        <v>26.071428571427177</v>
      </c>
      <c r="R700" s="10">
        <f t="shared" ca="1" si="104"/>
        <v>89.821428571427418</v>
      </c>
      <c r="S700" s="10">
        <f t="shared" ca="1" si="105"/>
        <v>-63.750000000000242</v>
      </c>
      <c r="T700" s="10">
        <f t="shared" ca="1" si="106"/>
        <v>350</v>
      </c>
      <c r="U700" s="10">
        <f t="shared" ca="1" si="107"/>
        <v>350</v>
      </c>
      <c r="V700">
        <f t="shared" si="108"/>
        <v>6</v>
      </c>
    </row>
    <row r="701" spans="1:22" x14ac:dyDescent="0.25">
      <c r="A701">
        <v>78</v>
      </c>
      <c r="B701">
        <v>7</v>
      </c>
      <c r="C701">
        <v>55</v>
      </c>
      <c r="D701">
        <v>1</v>
      </c>
      <c r="E701">
        <v>1</v>
      </c>
      <c r="F701">
        <v>0</v>
      </c>
      <c r="G701">
        <v>1</v>
      </c>
      <c r="H701">
        <v>450</v>
      </c>
      <c r="I701">
        <f t="shared" si="109"/>
        <v>693</v>
      </c>
      <c r="J701" s="6">
        <f t="array" aca="1" ref="J701:N701" ca="1">TRANSPOSE(ols(OFFSET($C$2:$C$10,I701,0),OFFSET($D$2:$H$10,I701,0)))</f>
        <v>124.46428571428351</v>
      </c>
      <c r="K701" s="6">
        <f ca="1"/>
        <v>-8.5714285714284415</v>
      </c>
      <c r="L701" s="6">
        <f ca="1"/>
        <v>-49.285714285713311</v>
      </c>
      <c r="M701" s="6">
        <f ca="1"/>
        <v>14.642857142857224</v>
      </c>
      <c r="N701" s="6">
        <f ca="1"/>
        <v>-0.18214285714285783</v>
      </c>
      <c r="O701" s="6">
        <f t="shared" ca="1" si="101"/>
        <v>48.571428571426267</v>
      </c>
      <c r="P701" t="str">
        <f t="shared" si="102"/>
        <v>NA</v>
      </c>
      <c r="Q701" s="10">
        <f t="shared" ca="1" si="103"/>
        <v>26.071428571427177</v>
      </c>
      <c r="R701" s="10">
        <f t="shared" ca="1" si="104"/>
        <v>130.53571428571229</v>
      </c>
      <c r="S701" s="10">
        <f t="shared" ca="1" si="105"/>
        <v>-104.46428571428511</v>
      </c>
      <c r="T701" s="10">
        <f t="shared" ca="1" si="106"/>
        <v>573.5294117647004</v>
      </c>
      <c r="U701" s="10">
        <f t="shared" ca="1" si="107"/>
        <v>573.5294117647004</v>
      </c>
      <c r="V701">
        <f t="shared" si="108"/>
        <v>5</v>
      </c>
    </row>
    <row r="702" spans="1:22" x14ac:dyDescent="0.25">
      <c r="A702">
        <v>78</v>
      </c>
      <c r="B702">
        <v>8</v>
      </c>
      <c r="C702">
        <v>25</v>
      </c>
      <c r="D702">
        <v>1</v>
      </c>
      <c r="E702">
        <v>1</v>
      </c>
      <c r="F702">
        <v>0</v>
      </c>
      <c r="G702">
        <v>1</v>
      </c>
      <c r="H702">
        <v>550</v>
      </c>
      <c r="I702">
        <f t="shared" si="109"/>
        <v>693</v>
      </c>
      <c r="J702" s="6">
        <f t="array" aca="1" ref="J702:N702" ca="1">TRANSPOSE(ols(OFFSET($C$2:$C$10,I702,0),OFFSET($D$2:$H$10,I702,0)))</f>
        <v>124.46428571428351</v>
      </c>
      <c r="K702" s="6">
        <f ca="1"/>
        <v>-8.5714285714284415</v>
      </c>
      <c r="L702" s="6">
        <f ca="1"/>
        <v>-49.285714285713311</v>
      </c>
      <c r="M702" s="6">
        <f ca="1"/>
        <v>14.642857142857224</v>
      </c>
      <c r="N702" s="6">
        <f ca="1"/>
        <v>-0.18214285714285783</v>
      </c>
      <c r="O702" s="6">
        <f t="shared" ca="1" si="101"/>
        <v>30.357142857140488</v>
      </c>
      <c r="P702" t="str">
        <f t="shared" si="102"/>
        <v>NA</v>
      </c>
      <c r="Q702" s="10">
        <f t="shared" ca="1" si="103"/>
        <v>26.071428571427177</v>
      </c>
      <c r="R702" s="10">
        <f t="shared" ca="1" si="104"/>
        <v>130.53571428571229</v>
      </c>
      <c r="S702" s="10">
        <f t="shared" ca="1" si="105"/>
        <v>-104.46428571428511</v>
      </c>
      <c r="T702" s="10">
        <f t="shared" ca="1" si="106"/>
        <v>573.5294117647004</v>
      </c>
      <c r="U702" s="10">
        <f t="shared" ca="1" si="107"/>
        <v>573.5294117647004</v>
      </c>
      <c r="V702">
        <f t="shared" si="108"/>
        <v>5</v>
      </c>
    </row>
    <row r="703" spans="1:22" x14ac:dyDescent="0.25">
      <c r="A703">
        <v>78</v>
      </c>
      <c r="B703">
        <v>9</v>
      </c>
      <c r="C703">
        <v>10</v>
      </c>
      <c r="D703">
        <v>1</v>
      </c>
      <c r="E703">
        <v>0</v>
      </c>
      <c r="F703">
        <v>0</v>
      </c>
      <c r="G703">
        <v>1</v>
      </c>
      <c r="H703">
        <v>650</v>
      </c>
      <c r="I703">
        <f t="shared" si="109"/>
        <v>693</v>
      </c>
      <c r="J703" s="6">
        <f t="array" aca="1" ref="J703:N703" ca="1">TRANSPOSE(ols(OFFSET($C$2:$C$10,I703,0),OFFSET($D$2:$H$10,I703,0)))</f>
        <v>124.46428571428351</v>
      </c>
      <c r="K703" s="6">
        <f ca="1"/>
        <v>-8.5714285714284415</v>
      </c>
      <c r="L703" s="6">
        <f ca="1"/>
        <v>-49.285714285713311</v>
      </c>
      <c r="M703" s="6">
        <f ca="1"/>
        <v>14.642857142857224</v>
      </c>
      <c r="N703" s="6">
        <f ca="1"/>
        <v>-0.18214285714285783</v>
      </c>
      <c r="O703" s="6">
        <f t="shared" ca="1" si="101"/>
        <v>20.714285714283136</v>
      </c>
      <c r="P703" t="str">
        <f t="shared" si="102"/>
        <v>NA</v>
      </c>
      <c r="Q703" s="10">
        <f t="shared" ca="1" si="103"/>
        <v>26.071428571427177</v>
      </c>
      <c r="R703" s="10">
        <f t="shared" ca="1" si="104"/>
        <v>139.10714285714073</v>
      </c>
      <c r="S703" s="10">
        <f t="shared" ca="1" si="105"/>
        <v>-113.03571428571355</v>
      </c>
      <c r="T703" s="10">
        <f t="shared" ca="1" si="106"/>
        <v>620.58823529411131</v>
      </c>
      <c r="U703" s="10">
        <f t="shared" ca="1" si="107"/>
        <v>620.58823529411131</v>
      </c>
      <c r="V703">
        <f t="shared" si="108"/>
        <v>4</v>
      </c>
    </row>
    <row r="704" spans="1:22" x14ac:dyDescent="0.25">
      <c r="A704">
        <v>79</v>
      </c>
      <c r="B704">
        <v>1</v>
      </c>
      <c r="C704">
        <v>10</v>
      </c>
      <c r="D704">
        <v>1</v>
      </c>
      <c r="E704">
        <v>0</v>
      </c>
      <c r="F704">
        <v>1</v>
      </c>
      <c r="G704">
        <v>0</v>
      </c>
      <c r="H704">
        <v>250</v>
      </c>
      <c r="I704">
        <f t="shared" si="109"/>
        <v>702</v>
      </c>
      <c r="J704" s="6">
        <f t="array" aca="1" ref="J704:N704" ca="1">TRANSPOSE(ols(OFFSET($C$2:$C$10,I704,0),OFFSET($D$2:$H$10,I704,0)))</f>
        <v>34.345238095238074</v>
      </c>
      <c r="K704" s="6">
        <f ca="1"/>
        <v>-14.642857142857338</v>
      </c>
      <c r="L704" s="6">
        <f ca="1"/>
        <v>-21.904761904762154</v>
      </c>
      <c r="M704" s="6">
        <f ca="1"/>
        <v>18.45238095238102</v>
      </c>
      <c r="N704" s="6">
        <f ca="1"/>
        <v>-2.2619047619047095E-2</v>
      </c>
      <c r="O704" s="6">
        <f t="shared" ca="1" si="101"/>
        <v>6.7857142857141461</v>
      </c>
      <c r="P704" t="str">
        <f t="shared" si="102"/>
        <v>NA</v>
      </c>
      <c r="Q704" s="10">
        <f t="shared" ca="1" si="103"/>
        <v>22.976190476190457</v>
      </c>
      <c r="R704" s="10">
        <f t="shared" ca="1" si="104"/>
        <v>12.44047619047592</v>
      </c>
      <c r="S704" s="10">
        <f t="shared" ca="1" si="105"/>
        <v>10.535714285714537</v>
      </c>
      <c r="T704" s="10">
        <f t="shared" ca="1" si="106"/>
        <v>-465.78947368423241</v>
      </c>
      <c r="U704" s="10" t="str">
        <f t="shared" ca="1" si="107"/>
        <v>OR</v>
      </c>
      <c r="V704">
        <f t="shared" si="108"/>
        <v>3</v>
      </c>
    </row>
    <row r="705" spans="1:22" x14ac:dyDescent="0.25">
      <c r="A705">
        <v>79</v>
      </c>
      <c r="B705">
        <v>2</v>
      </c>
      <c r="C705">
        <v>10</v>
      </c>
      <c r="D705">
        <v>1</v>
      </c>
      <c r="E705">
        <v>1</v>
      </c>
      <c r="F705">
        <v>0</v>
      </c>
      <c r="G705">
        <v>0</v>
      </c>
      <c r="H705">
        <v>350</v>
      </c>
      <c r="I705">
        <f t="shared" si="109"/>
        <v>702</v>
      </c>
      <c r="J705" s="6">
        <f t="array" aca="1" ref="J705:N705" ca="1">TRANSPOSE(ols(OFFSET($C$2:$C$10,I705,0),OFFSET($D$2:$H$10,I705,0)))</f>
        <v>34.345238095238074</v>
      </c>
      <c r="K705" s="6">
        <f ca="1"/>
        <v>-14.642857142857338</v>
      </c>
      <c r="L705" s="6">
        <f ca="1"/>
        <v>-21.904761904762154</v>
      </c>
      <c r="M705" s="6">
        <f ca="1"/>
        <v>18.45238095238102</v>
      </c>
      <c r="N705" s="6">
        <f ca="1"/>
        <v>-2.2619047619047095E-2</v>
      </c>
      <c r="O705" s="6">
        <f t="shared" ca="1" si="101"/>
        <v>11.785714285714253</v>
      </c>
      <c r="P705" t="str">
        <f t="shared" si="102"/>
        <v>NA</v>
      </c>
      <c r="Q705" s="10">
        <f t="shared" ca="1" si="103"/>
        <v>22.976190476190457</v>
      </c>
      <c r="R705" s="10">
        <f t="shared" ca="1" si="104"/>
        <v>19.702380952380736</v>
      </c>
      <c r="S705" s="10">
        <f t="shared" ca="1" si="105"/>
        <v>3.2738095238097209</v>
      </c>
      <c r="T705" s="10">
        <f t="shared" ca="1" si="106"/>
        <v>-144.73684210527523</v>
      </c>
      <c r="U705" s="10" t="str">
        <f t="shared" ca="1" si="107"/>
        <v>OR</v>
      </c>
      <c r="V705">
        <f t="shared" si="108"/>
        <v>2</v>
      </c>
    </row>
    <row r="706" spans="1:22" x14ac:dyDescent="0.25">
      <c r="A706">
        <v>79</v>
      </c>
      <c r="B706">
        <v>3</v>
      </c>
      <c r="C706">
        <v>10</v>
      </c>
      <c r="D706">
        <v>1</v>
      </c>
      <c r="E706">
        <v>1</v>
      </c>
      <c r="F706">
        <v>0</v>
      </c>
      <c r="G706">
        <v>0</v>
      </c>
      <c r="H706">
        <v>450</v>
      </c>
      <c r="I706">
        <f t="shared" si="109"/>
        <v>702</v>
      </c>
      <c r="J706" s="6">
        <f t="array" aca="1" ref="J706:N706" ca="1">TRANSPOSE(ols(OFFSET($C$2:$C$10,I706,0),OFFSET($D$2:$H$10,I706,0)))</f>
        <v>34.345238095238074</v>
      </c>
      <c r="K706" s="6">
        <f ca="1"/>
        <v>-14.642857142857338</v>
      </c>
      <c r="L706" s="6">
        <f ca="1"/>
        <v>-21.904761904762154</v>
      </c>
      <c r="M706" s="6">
        <f ca="1"/>
        <v>18.45238095238102</v>
      </c>
      <c r="N706" s="6">
        <f ca="1"/>
        <v>-2.2619047619047095E-2</v>
      </c>
      <c r="O706" s="6">
        <f t="shared" ca="1" si="101"/>
        <v>9.5238095238095433</v>
      </c>
      <c r="P706" t="str">
        <f t="shared" si="102"/>
        <v>NA</v>
      </c>
      <c r="Q706" s="10">
        <f t="shared" ca="1" si="103"/>
        <v>22.976190476190457</v>
      </c>
      <c r="R706" s="10">
        <f t="shared" ca="1" si="104"/>
        <v>19.702380952380736</v>
      </c>
      <c r="S706" s="10">
        <f t="shared" ca="1" si="105"/>
        <v>3.2738095238097209</v>
      </c>
      <c r="T706" s="10">
        <f t="shared" ca="1" si="106"/>
        <v>-144.73684210527523</v>
      </c>
      <c r="U706" s="10" t="str">
        <f t="shared" ca="1" si="107"/>
        <v>OR</v>
      </c>
      <c r="V706">
        <f t="shared" si="108"/>
        <v>2</v>
      </c>
    </row>
    <row r="707" spans="1:22" x14ac:dyDescent="0.25">
      <c r="A707">
        <v>79</v>
      </c>
      <c r="B707">
        <v>4</v>
      </c>
      <c r="C707">
        <v>20</v>
      </c>
      <c r="D707">
        <v>1</v>
      </c>
      <c r="E707">
        <v>0</v>
      </c>
      <c r="F707">
        <v>0</v>
      </c>
      <c r="G707">
        <v>0</v>
      </c>
      <c r="H707">
        <v>550</v>
      </c>
      <c r="I707">
        <f t="shared" si="109"/>
        <v>702</v>
      </c>
      <c r="J707" s="6">
        <f t="array" aca="1" ref="J707:N707" ca="1">TRANSPOSE(ols(OFFSET($C$2:$C$10,I707,0),OFFSET($D$2:$H$10,I707,0)))</f>
        <v>34.345238095238074</v>
      </c>
      <c r="K707" s="6">
        <f ca="1"/>
        <v>-14.642857142857338</v>
      </c>
      <c r="L707" s="6">
        <f ca="1"/>
        <v>-21.904761904762154</v>
      </c>
      <c r="M707" s="6">
        <f ca="1"/>
        <v>18.45238095238102</v>
      </c>
      <c r="N707" s="6">
        <f ca="1"/>
        <v>-2.2619047619047095E-2</v>
      </c>
      <c r="O707" s="6">
        <f t="shared" ref="O707:O770" ca="1" si="110">SUMPRODUCT(J707:N707,D707:H707)</f>
        <v>21.904761904762172</v>
      </c>
      <c r="P707" t="str">
        <f t="shared" ref="P707:P770" si="111">IF(AND(F707=1,G707=1,H707=350),O707,"NA")</f>
        <v>NA</v>
      </c>
      <c r="Q707" s="10">
        <f t="shared" ref="Q707:Q770" ca="1" si="112">AVERAGEIF($A$2:$A$5383,A707,$P$2:$P$5383)</f>
        <v>22.976190476190457</v>
      </c>
      <c r="R707" s="10">
        <f t="shared" ref="R707:R770" ca="1" si="113">O707-N707*H707</f>
        <v>34.345238095238074</v>
      </c>
      <c r="S707" s="10">
        <f t="shared" ref="S707:S770" ca="1" si="114">Q707-R707</f>
        <v>-11.369047619047617</v>
      </c>
      <c r="T707" s="10">
        <f t="shared" ref="T707:T770" ca="1" si="115">S707/N707</f>
        <v>502.63157894737998</v>
      </c>
      <c r="U707" s="10">
        <f t="shared" ref="U707:U770" ca="1" si="116">IF(OR(T707&lt;250,T707&gt;650),"OR",T707)</f>
        <v>502.63157894737998</v>
      </c>
      <c r="V707">
        <f t="shared" ref="V707:V770" si="117">IF(AND(E707=1,G707=0),2,IF(AND(F707=1,G707=0),3,IF(AND(E707=1,G707=1),5,IF(AND(F707=1,G707=1),6,IF(G707=0,1,IF(G707=1,4))))))</f>
        <v>1</v>
      </c>
    </row>
    <row r="708" spans="1:22" x14ac:dyDescent="0.25">
      <c r="A708">
        <v>79</v>
      </c>
      <c r="B708">
        <v>5</v>
      </c>
      <c r="C708">
        <v>25</v>
      </c>
      <c r="D708">
        <v>1</v>
      </c>
      <c r="E708">
        <v>0</v>
      </c>
      <c r="F708">
        <v>1</v>
      </c>
      <c r="G708">
        <v>1</v>
      </c>
      <c r="H708">
        <v>250</v>
      </c>
      <c r="I708">
        <f t="shared" si="109"/>
        <v>702</v>
      </c>
      <c r="J708" s="6">
        <f t="array" aca="1" ref="J708:N708" ca="1">TRANSPOSE(ols(OFFSET($C$2:$C$10,I708,0),OFFSET($D$2:$H$10,I708,0)))</f>
        <v>34.345238095238074</v>
      </c>
      <c r="K708" s="6">
        <f ca="1"/>
        <v>-14.642857142857338</v>
      </c>
      <c r="L708" s="6">
        <f ca="1"/>
        <v>-21.904761904762154</v>
      </c>
      <c r="M708" s="6">
        <f ca="1"/>
        <v>18.45238095238102</v>
      </c>
      <c r="N708" s="6">
        <f ca="1"/>
        <v>-2.2619047619047095E-2</v>
      </c>
      <c r="O708" s="6">
        <f t="shared" ca="1" si="110"/>
        <v>25.238095238095166</v>
      </c>
      <c r="P708" t="str">
        <f t="shared" si="111"/>
        <v>NA</v>
      </c>
      <c r="Q708" s="10">
        <f t="shared" ca="1" si="112"/>
        <v>22.976190476190457</v>
      </c>
      <c r="R708" s="10">
        <f t="shared" ca="1" si="113"/>
        <v>30.89285714285694</v>
      </c>
      <c r="S708" s="10">
        <f t="shared" ca="1" si="114"/>
        <v>-7.9166666666664831</v>
      </c>
      <c r="T708" s="10">
        <f t="shared" ca="1" si="115"/>
        <v>350</v>
      </c>
      <c r="U708" s="10">
        <f t="shared" ca="1" si="116"/>
        <v>350</v>
      </c>
      <c r="V708">
        <f t="shared" si="117"/>
        <v>6</v>
      </c>
    </row>
    <row r="709" spans="1:22" x14ac:dyDescent="0.25">
      <c r="A709">
        <v>79</v>
      </c>
      <c r="B709">
        <v>6</v>
      </c>
      <c r="C709">
        <v>20</v>
      </c>
      <c r="D709">
        <v>1</v>
      </c>
      <c r="E709">
        <v>0</v>
      </c>
      <c r="F709">
        <v>1</v>
      </c>
      <c r="G709">
        <v>1</v>
      </c>
      <c r="H709">
        <v>350</v>
      </c>
      <c r="I709">
        <f t="shared" si="109"/>
        <v>702</v>
      </c>
      <c r="J709" s="6">
        <f t="array" aca="1" ref="J709:N709" ca="1">TRANSPOSE(ols(OFFSET($C$2:$C$10,I709,0),OFFSET($D$2:$H$10,I709,0)))</f>
        <v>34.345238095238074</v>
      </c>
      <c r="K709" s="6">
        <f ca="1"/>
        <v>-14.642857142857338</v>
      </c>
      <c r="L709" s="6">
        <f ca="1"/>
        <v>-21.904761904762154</v>
      </c>
      <c r="M709" s="6">
        <f ca="1"/>
        <v>18.45238095238102</v>
      </c>
      <c r="N709" s="6">
        <f ca="1"/>
        <v>-2.2619047619047095E-2</v>
      </c>
      <c r="O709" s="6">
        <f t="shared" ca="1" si="110"/>
        <v>22.976190476190457</v>
      </c>
      <c r="P709">
        <f t="shared" ca="1" si="111"/>
        <v>22.976190476190457</v>
      </c>
      <c r="Q709" s="10">
        <f t="shared" ca="1" si="112"/>
        <v>22.976190476190457</v>
      </c>
      <c r="R709" s="10">
        <f t="shared" ca="1" si="113"/>
        <v>30.89285714285694</v>
      </c>
      <c r="S709" s="10">
        <f t="shared" ca="1" si="114"/>
        <v>-7.9166666666664831</v>
      </c>
      <c r="T709" s="10">
        <f t="shared" ca="1" si="115"/>
        <v>350</v>
      </c>
      <c r="U709" s="10">
        <f t="shared" ca="1" si="116"/>
        <v>350</v>
      </c>
      <c r="V709">
        <f t="shared" si="117"/>
        <v>6</v>
      </c>
    </row>
    <row r="710" spans="1:22" x14ac:dyDescent="0.25">
      <c r="A710">
        <v>79</v>
      </c>
      <c r="B710">
        <v>7</v>
      </c>
      <c r="C710">
        <v>30</v>
      </c>
      <c r="D710">
        <v>1</v>
      </c>
      <c r="E710">
        <v>1</v>
      </c>
      <c r="F710">
        <v>0</v>
      </c>
      <c r="G710">
        <v>1</v>
      </c>
      <c r="H710">
        <v>450</v>
      </c>
      <c r="I710">
        <f t="shared" si="109"/>
        <v>702</v>
      </c>
      <c r="J710" s="6">
        <f t="array" aca="1" ref="J710:N710" ca="1">TRANSPOSE(ols(OFFSET($C$2:$C$10,I710,0),OFFSET($D$2:$H$10,I710,0)))</f>
        <v>34.345238095238074</v>
      </c>
      <c r="K710" s="6">
        <f ca="1"/>
        <v>-14.642857142857338</v>
      </c>
      <c r="L710" s="6">
        <f ca="1"/>
        <v>-21.904761904762154</v>
      </c>
      <c r="M710" s="6">
        <f ca="1"/>
        <v>18.45238095238102</v>
      </c>
      <c r="N710" s="6">
        <f ca="1"/>
        <v>-2.2619047619047095E-2</v>
      </c>
      <c r="O710" s="6">
        <f t="shared" ca="1" si="110"/>
        <v>27.976190476190563</v>
      </c>
      <c r="P710" t="str">
        <f t="shared" si="111"/>
        <v>NA</v>
      </c>
      <c r="Q710" s="10">
        <f t="shared" ca="1" si="112"/>
        <v>22.976190476190457</v>
      </c>
      <c r="R710" s="10">
        <f t="shared" ca="1" si="113"/>
        <v>38.154761904761756</v>
      </c>
      <c r="S710" s="10">
        <f t="shared" ca="1" si="114"/>
        <v>-15.178571428571299</v>
      </c>
      <c r="T710" s="10">
        <f t="shared" ca="1" si="115"/>
        <v>671.05263157895718</v>
      </c>
      <c r="U710" s="10" t="str">
        <f t="shared" ca="1" si="116"/>
        <v>OR</v>
      </c>
      <c r="V710">
        <f t="shared" si="117"/>
        <v>5</v>
      </c>
    </row>
    <row r="711" spans="1:22" x14ac:dyDescent="0.25">
      <c r="A711">
        <v>79</v>
      </c>
      <c r="B711">
        <v>8</v>
      </c>
      <c r="C711">
        <v>25</v>
      </c>
      <c r="D711">
        <v>1</v>
      </c>
      <c r="E711">
        <v>1</v>
      </c>
      <c r="F711">
        <v>0</v>
      </c>
      <c r="G711">
        <v>1</v>
      </c>
      <c r="H711">
        <v>550</v>
      </c>
      <c r="I711">
        <f t="shared" si="109"/>
        <v>702</v>
      </c>
      <c r="J711" s="6">
        <f t="array" aca="1" ref="J711:N711" ca="1">TRANSPOSE(ols(OFFSET($C$2:$C$10,I711,0),OFFSET($D$2:$H$10,I711,0)))</f>
        <v>34.345238095238074</v>
      </c>
      <c r="K711" s="6">
        <f ca="1"/>
        <v>-14.642857142857338</v>
      </c>
      <c r="L711" s="6">
        <f ca="1"/>
        <v>-21.904761904762154</v>
      </c>
      <c r="M711" s="6">
        <f ca="1"/>
        <v>18.45238095238102</v>
      </c>
      <c r="N711" s="6">
        <f ca="1"/>
        <v>-2.2619047619047095E-2</v>
      </c>
      <c r="O711" s="6">
        <f t="shared" ca="1" si="110"/>
        <v>25.714285714285854</v>
      </c>
      <c r="P711" t="str">
        <f t="shared" si="111"/>
        <v>NA</v>
      </c>
      <c r="Q711" s="10">
        <f t="shared" ca="1" si="112"/>
        <v>22.976190476190457</v>
      </c>
      <c r="R711" s="10">
        <f t="shared" ca="1" si="113"/>
        <v>38.154761904761756</v>
      </c>
      <c r="S711" s="10">
        <f t="shared" ca="1" si="114"/>
        <v>-15.178571428571299</v>
      </c>
      <c r="T711" s="10">
        <f t="shared" ca="1" si="115"/>
        <v>671.05263157895718</v>
      </c>
      <c r="U711" s="10" t="str">
        <f t="shared" ca="1" si="116"/>
        <v>OR</v>
      </c>
      <c r="V711">
        <f t="shared" si="117"/>
        <v>5</v>
      </c>
    </row>
    <row r="712" spans="1:22" x14ac:dyDescent="0.25">
      <c r="A712">
        <v>79</v>
      </c>
      <c r="B712">
        <v>9</v>
      </c>
      <c r="C712">
        <v>40</v>
      </c>
      <c r="D712">
        <v>1</v>
      </c>
      <c r="E712">
        <v>0</v>
      </c>
      <c r="F712">
        <v>0</v>
      </c>
      <c r="G712">
        <v>1</v>
      </c>
      <c r="H712">
        <v>650</v>
      </c>
      <c r="I712">
        <f t="shared" si="109"/>
        <v>702</v>
      </c>
      <c r="J712" s="6">
        <f t="array" aca="1" ref="J712:N712" ca="1">TRANSPOSE(ols(OFFSET($C$2:$C$10,I712,0),OFFSET($D$2:$H$10,I712,0)))</f>
        <v>34.345238095238074</v>
      </c>
      <c r="K712" s="6">
        <f ca="1"/>
        <v>-14.642857142857338</v>
      </c>
      <c r="L712" s="6">
        <f ca="1"/>
        <v>-21.904761904762154</v>
      </c>
      <c r="M712" s="6">
        <f ca="1"/>
        <v>18.45238095238102</v>
      </c>
      <c r="N712" s="6">
        <f ca="1"/>
        <v>-2.2619047619047095E-2</v>
      </c>
      <c r="O712" s="6">
        <f t="shared" ca="1" si="110"/>
        <v>38.095238095238486</v>
      </c>
      <c r="P712" t="str">
        <f t="shared" si="111"/>
        <v>NA</v>
      </c>
      <c r="Q712" s="10">
        <f t="shared" ca="1" si="112"/>
        <v>22.976190476190457</v>
      </c>
      <c r="R712" s="10">
        <f t="shared" ca="1" si="113"/>
        <v>52.797619047619094</v>
      </c>
      <c r="S712" s="10">
        <f t="shared" ca="1" si="114"/>
        <v>-29.821428571428637</v>
      </c>
      <c r="T712" s="10">
        <f t="shared" ca="1" si="115"/>
        <v>1318.4210526316124</v>
      </c>
      <c r="U712" s="10" t="str">
        <f t="shared" ca="1" si="116"/>
        <v>OR</v>
      </c>
      <c r="V712">
        <f t="shared" si="117"/>
        <v>4</v>
      </c>
    </row>
    <row r="713" spans="1:22" x14ac:dyDescent="0.25">
      <c r="A713">
        <v>80</v>
      </c>
      <c r="B713">
        <v>1</v>
      </c>
      <c r="C713">
        <v>50</v>
      </c>
      <c r="D713">
        <v>1</v>
      </c>
      <c r="E713">
        <v>0</v>
      </c>
      <c r="F713">
        <v>1</v>
      </c>
      <c r="G713">
        <v>0</v>
      </c>
      <c r="H713">
        <v>250</v>
      </c>
      <c r="I713">
        <f t="shared" si="109"/>
        <v>711</v>
      </c>
      <c r="J713" s="6">
        <f t="array" aca="1" ref="J713:N713" ca="1">TRANSPOSE(ols(OFFSET($C$2:$C$10,I713,0),OFFSET($D$2:$H$10,I713,0)))</f>
        <v>115.95238095237983</v>
      </c>
      <c r="K713" s="6">
        <f ca="1"/>
        <v>-3.9285714285713311</v>
      </c>
      <c r="L713" s="6">
        <f ca="1"/>
        <v>-24.047619047618355</v>
      </c>
      <c r="M713" s="6">
        <f ca="1"/>
        <v>4.5238095238095184</v>
      </c>
      <c r="N713" s="6">
        <f ca="1"/>
        <v>-0.17619047619047556</v>
      </c>
      <c r="O713" s="6">
        <f t="shared" ca="1" si="110"/>
        <v>47.857142857142577</v>
      </c>
      <c r="P713" t="str">
        <f t="shared" si="111"/>
        <v>NA</v>
      </c>
      <c r="Q713" s="10">
        <f t="shared" ca="1" si="112"/>
        <v>34.761904761904546</v>
      </c>
      <c r="R713" s="10">
        <f t="shared" ca="1" si="113"/>
        <v>91.904761904761472</v>
      </c>
      <c r="S713" s="10">
        <f t="shared" ca="1" si="114"/>
        <v>-57.142857142856926</v>
      </c>
      <c r="T713" s="10">
        <f t="shared" ca="1" si="115"/>
        <v>324.32432432432427</v>
      </c>
      <c r="U713" s="10">
        <f t="shared" ca="1" si="116"/>
        <v>324.32432432432427</v>
      </c>
      <c r="V713">
        <f t="shared" si="117"/>
        <v>3</v>
      </c>
    </row>
    <row r="714" spans="1:22" x14ac:dyDescent="0.25">
      <c r="A714">
        <v>80</v>
      </c>
      <c r="B714">
        <v>2</v>
      </c>
      <c r="C714">
        <v>55</v>
      </c>
      <c r="D714">
        <v>1</v>
      </c>
      <c r="E714">
        <v>1</v>
      </c>
      <c r="F714">
        <v>0</v>
      </c>
      <c r="G714">
        <v>0</v>
      </c>
      <c r="H714">
        <v>350</v>
      </c>
      <c r="I714">
        <f t="shared" si="109"/>
        <v>711</v>
      </c>
      <c r="J714" s="6">
        <f t="array" aca="1" ref="J714:N714" ca="1">TRANSPOSE(ols(OFFSET($C$2:$C$10,I714,0),OFFSET($D$2:$H$10,I714,0)))</f>
        <v>115.95238095237983</v>
      </c>
      <c r="K714" s="6">
        <f ca="1"/>
        <v>-3.9285714285713311</v>
      </c>
      <c r="L714" s="6">
        <f ca="1"/>
        <v>-24.047619047618355</v>
      </c>
      <c r="M714" s="6">
        <f ca="1"/>
        <v>4.5238095238095184</v>
      </c>
      <c r="N714" s="6">
        <f ca="1"/>
        <v>-0.17619047619047556</v>
      </c>
      <c r="O714" s="6">
        <f t="shared" ca="1" si="110"/>
        <v>50.357142857142051</v>
      </c>
      <c r="P714" t="str">
        <f t="shared" si="111"/>
        <v>NA</v>
      </c>
      <c r="Q714" s="10">
        <f t="shared" ca="1" si="112"/>
        <v>34.761904761904546</v>
      </c>
      <c r="R714" s="10">
        <f t="shared" ca="1" si="113"/>
        <v>112.0238095238085</v>
      </c>
      <c r="S714" s="10">
        <f t="shared" ca="1" si="114"/>
        <v>-77.261904761903949</v>
      </c>
      <c r="T714" s="10">
        <f t="shared" ca="1" si="115"/>
        <v>438.51351351351047</v>
      </c>
      <c r="U714" s="10">
        <f t="shared" ca="1" si="116"/>
        <v>438.51351351351047</v>
      </c>
      <c r="V714">
        <f t="shared" si="117"/>
        <v>2</v>
      </c>
    </row>
    <row r="715" spans="1:22" x14ac:dyDescent="0.25">
      <c r="A715">
        <v>80</v>
      </c>
      <c r="B715">
        <v>3</v>
      </c>
      <c r="C715">
        <v>30</v>
      </c>
      <c r="D715">
        <v>1</v>
      </c>
      <c r="E715">
        <v>1</v>
      </c>
      <c r="F715">
        <v>0</v>
      </c>
      <c r="G715">
        <v>0</v>
      </c>
      <c r="H715">
        <v>450</v>
      </c>
      <c r="I715">
        <f t="shared" si="109"/>
        <v>711</v>
      </c>
      <c r="J715" s="6">
        <f t="array" aca="1" ref="J715:N715" ca="1">TRANSPOSE(ols(OFFSET($C$2:$C$10,I715,0),OFFSET($D$2:$H$10,I715,0)))</f>
        <v>115.95238095237983</v>
      </c>
      <c r="K715" s="6">
        <f ca="1"/>
        <v>-3.9285714285713311</v>
      </c>
      <c r="L715" s="6">
        <f ca="1"/>
        <v>-24.047619047618355</v>
      </c>
      <c r="M715" s="6">
        <f ca="1"/>
        <v>4.5238095238095184</v>
      </c>
      <c r="N715" s="6">
        <f ca="1"/>
        <v>-0.17619047619047556</v>
      </c>
      <c r="O715" s="6">
        <f t="shared" ca="1" si="110"/>
        <v>32.738095238094488</v>
      </c>
      <c r="P715" t="str">
        <f t="shared" si="111"/>
        <v>NA</v>
      </c>
      <c r="Q715" s="10">
        <f t="shared" ca="1" si="112"/>
        <v>34.761904761904546</v>
      </c>
      <c r="R715" s="10">
        <f t="shared" ca="1" si="113"/>
        <v>112.0238095238085</v>
      </c>
      <c r="S715" s="10">
        <f t="shared" ca="1" si="114"/>
        <v>-77.261904761903949</v>
      </c>
      <c r="T715" s="10">
        <f t="shared" ca="1" si="115"/>
        <v>438.51351351351047</v>
      </c>
      <c r="U715" s="10">
        <f t="shared" ca="1" si="116"/>
        <v>438.51351351351047</v>
      </c>
      <c r="V715">
        <f t="shared" si="117"/>
        <v>2</v>
      </c>
    </row>
    <row r="716" spans="1:22" x14ac:dyDescent="0.25">
      <c r="A716">
        <v>80</v>
      </c>
      <c r="B716">
        <v>4</v>
      </c>
      <c r="C716">
        <v>15</v>
      </c>
      <c r="D716">
        <v>1</v>
      </c>
      <c r="E716">
        <v>0</v>
      </c>
      <c r="F716">
        <v>0</v>
      </c>
      <c r="G716">
        <v>0</v>
      </c>
      <c r="H716">
        <v>550</v>
      </c>
      <c r="I716">
        <f t="shared" ref="I716:I779" si="118">IF(A716&gt;A715,I715+9,I715)</f>
        <v>711</v>
      </c>
      <c r="J716" s="6">
        <f t="array" aca="1" ref="J716:N716" ca="1">TRANSPOSE(ols(OFFSET($C$2:$C$10,I716,0),OFFSET($D$2:$H$10,I716,0)))</f>
        <v>115.95238095237983</v>
      </c>
      <c r="K716" s="6">
        <f ca="1"/>
        <v>-3.9285714285713311</v>
      </c>
      <c r="L716" s="6">
        <f ca="1"/>
        <v>-24.047619047618355</v>
      </c>
      <c r="M716" s="6">
        <f ca="1"/>
        <v>4.5238095238095184</v>
      </c>
      <c r="N716" s="6">
        <f ca="1"/>
        <v>-0.17619047619047556</v>
      </c>
      <c r="O716" s="6">
        <f t="shared" ca="1" si="110"/>
        <v>19.047619047618269</v>
      </c>
      <c r="P716" t="str">
        <f t="shared" si="111"/>
        <v>NA</v>
      </c>
      <c r="Q716" s="10">
        <f t="shared" ca="1" si="112"/>
        <v>34.761904761904546</v>
      </c>
      <c r="R716" s="10">
        <f t="shared" ca="1" si="113"/>
        <v>115.95238095237983</v>
      </c>
      <c r="S716" s="10">
        <f t="shared" ca="1" si="114"/>
        <v>-81.19047619047528</v>
      </c>
      <c r="T716" s="10">
        <f t="shared" ca="1" si="115"/>
        <v>460.81081081080725</v>
      </c>
      <c r="U716" s="10">
        <f t="shared" ca="1" si="116"/>
        <v>460.81081081080725</v>
      </c>
      <c r="V716">
        <f t="shared" si="117"/>
        <v>1</v>
      </c>
    </row>
    <row r="717" spans="1:22" x14ac:dyDescent="0.25">
      <c r="A717">
        <v>80</v>
      </c>
      <c r="B717">
        <v>5</v>
      </c>
      <c r="C717">
        <v>50</v>
      </c>
      <c r="D717">
        <v>1</v>
      </c>
      <c r="E717">
        <v>0</v>
      </c>
      <c r="F717">
        <v>1</v>
      </c>
      <c r="G717">
        <v>1</v>
      </c>
      <c r="H717">
        <v>250</v>
      </c>
      <c r="I717">
        <f t="shared" si="118"/>
        <v>711</v>
      </c>
      <c r="J717" s="6">
        <f t="array" aca="1" ref="J717:N717" ca="1">TRANSPOSE(ols(OFFSET($C$2:$C$10,I717,0),OFFSET($D$2:$H$10,I717,0)))</f>
        <v>115.95238095237983</v>
      </c>
      <c r="K717" s="6">
        <f ca="1"/>
        <v>-3.9285714285713311</v>
      </c>
      <c r="L717" s="6">
        <f ca="1"/>
        <v>-24.047619047618355</v>
      </c>
      <c r="M717" s="6">
        <f ca="1"/>
        <v>4.5238095238095184</v>
      </c>
      <c r="N717" s="6">
        <f ca="1"/>
        <v>-0.17619047619047556</v>
      </c>
      <c r="O717" s="6">
        <f t="shared" ca="1" si="110"/>
        <v>52.380952380952095</v>
      </c>
      <c r="P717" t="str">
        <f t="shared" si="111"/>
        <v>NA</v>
      </c>
      <c r="Q717" s="10">
        <f t="shared" ca="1" si="112"/>
        <v>34.761904761904546</v>
      </c>
      <c r="R717" s="10">
        <f t="shared" ca="1" si="113"/>
        <v>96.42857142857099</v>
      </c>
      <c r="S717" s="10">
        <f t="shared" ca="1" si="114"/>
        <v>-61.666666666666444</v>
      </c>
      <c r="T717" s="10">
        <f t="shared" ca="1" si="115"/>
        <v>350</v>
      </c>
      <c r="U717" s="10">
        <f t="shared" ca="1" si="116"/>
        <v>350</v>
      </c>
      <c r="V717">
        <f t="shared" si="117"/>
        <v>6</v>
      </c>
    </row>
    <row r="718" spans="1:22" x14ac:dyDescent="0.25">
      <c r="A718">
        <v>80</v>
      </c>
      <c r="B718">
        <v>6</v>
      </c>
      <c r="C718">
        <v>35</v>
      </c>
      <c r="D718">
        <v>1</v>
      </c>
      <c r="E718">
        <v>0</v>
      </c>
      <c r="F718">
        <v>1</v>
      </c>
      <c r="G718">
        <v>1</v>
      </c>
      <c r="H718">
        <v>350</v>
      </c>
      <c r="I718">
        <f t="shared" si="118"/>
        <v>711</v>
      </c>
      <c r="J718" s="6">
        <f t="array" aca="1" ref="J718:N718" ca="1">TRANSPOSE(ols(OFFSET($C$2:$C$10,I718,0),OFFSET($D$2:$H$10,I718,0)))</f>
        <v>115.95238095237983</v>
      </c>
      <c r="K718" s="6">
        <f ca="1"/>
        <v>-3.9285714285713311</v>
      </c>
      <c r="L718" s="6">
        <f ca="1"/>
        <v>-24.047619047618355</v>
      </c>
      <c r="M718" s="6">
        <f ca="1"/>
        <v>4.5238095238095184</v>
      </c>
      <c r="N718" s="6">
        <f ca="1"/>
        <v>-0.17619047619047556</v>
      </c>
      <c r="O718" s="6">
        <f t="shared" ca="1" si="110"/>
        <v>34.761904761904546</v>
      </c>
      <c r="P718">
        <f t="shared" ca="1" si="111"/>
        <v>34.761904761904546</v>
      </c>
      <c r="Q718" s="10">
        <f t="shared" ca="1" si="112"/>
        <v>34.761904761904546</v>
      </c>
      <c r="R718" s="10">
        <f t="shared" ca="1" si="113"/>
        <v>96.42857142857099</v>
      </c>
      <c r="S718" s="10">
        <f t="shared" ca="1" si="114"/>
        <v>-61.666666666666444</v>
      </c>
      <c r="T718" s="10">
        <f t="shared" ca="1" si="115"/>
        <v>350</v>
      </c>
      <c r="U718" s="10">
        <f t="shared" ca="1" si="116"/>
        <v>350</v>
      </c>
      <c r="V718">
        <f t="shared" si="117"/>
        <v>6</v>
      </c>
    </row>
    <row r="719" spans="1:22" x14ac:dyDescent="0.25">
      <c r="A719">
        <v>80</v>
      </c>
      <c r="B719">
        <v>7</v>
      </c>
      <c r="C719">
        <v>35</v>
      </c>
      <c r="D719">
        <v>1</v>
      </c>
      <c r="E719">
        <v>1</v>
      </c>
      <c r="F719">
        <v>0</v>
      </c>
      <c r="G719">
        <v>1</v>
      </c>
      <c r="H719">
        <v>450</v>
      </c>
      <c r="I719">
        <f t="shared" si="118"/>
        <v>711</v>
      </c>
      <c r="J719" s="6">
        <f t="array" aca="1" ref="J719:N719" ca="1">TRANSPOSE(ols(OFFSET($C$2:$C$10,I719,0),OFFSET($D$2:$H$10,I719,0)))</f>
        <v>115.95238095237983</v>
      </c>
      <c r="K719" s="6">
        <f ca="1"/>
        <v>-3.9285714285713311</v>
      </c>
      <c r="L719" s="6">
        <f ca="1"/>
        <v>-24.047619047618355</v>
      </c>
      <c r="M719" s="6">
        <f ca="1"/>
        <v>4.5238095238095184</v>
      </c>
      <c r="N719" s="6">
        <f ca="1"/>
        <v>-0.17619047619047556</v>
      </c>
      <c r="O719" s="6">
        <f t="shared" ca="1" si="110"/>
        <v>37.261904761904006</v>
      </c>
      <c r="P719" t="str">
        <f t="shared" si="111"/>
        <v>NA</v>
      </c>
      <c r="Q719" s="10">
        <f t="shared" ca="1" si="112"/>
        <v>34.761904761904546</v>
      </c>
      <c r="R719" s="10">
        <f t="shared" ca="1" si="113"/>
        <v>116.54761904761801</v>
      </c>
      <c r="S719" s="10">
        <f t="shared" ca="1" si="114"/>
        <v>-81.785714285713468</v>
      </c>
      <c r="T719" s="10">
        <f t="shared" ca="1" si="115"/>
        <v>464.18918918918621</v>
      </c>
      <c r="U719" s="10">
        <f t="shared" ca="1" si="116"/>
        <v>464.18918918918621</v>
      </c>
      <c r="V719">
        <f t="shared" si="117"/>
        <v>5</v>
      </c>
    </row>
    <row r="720" spans="1:22" x14ac:dyDescent="0.25">
      <c r="A720">
        <v>80</v>
      </c>
      <c r="B720">
        <v>8</v>
      </c>
      <c r="C720">
        <v>20</v>
      </c>
      <c r="D720">
        <v>1</v>
      </c>
      <c r="E720">
        <v>1</v>
      </c>
      <c r="F720">
        <v>0</v>
      </c>
      <c r="G720">
        <v>1</v>
      </c>
      <c r="H720">
        <v>550</v>
      </c>
      <c r="I720">
        <f t="shared" si="118"/>
        <v>711</v>
      </c>
      <c r="J720" s="6">
        <f t="array" aca="1" ref="J720:N720" ca="1">TRANSPOSE(ols(OFFSET($C$2:$C$10,I720,0),OFFSET($D$2:$H$10,I720,0)))</f>
        <v>115.95238095237983</v>
      </c>
      <c r="K720" s="6">
        <f ca="1"/>
        <v>-3.9285714285713311</v>
      </c>
      <c r="L720" s="6">
        <f ca="1"/>
        <v>-24.047619047618355</v>
      </c>
      <c r="M720" s="6">
        <f ca="1"/>
        <v>4.5238095238095184</v>
      </c>
      <c r="N720" s="6">
        <f ca="1"/>
        <v>-0.17619047619047556</v>
      </c>
      <c r="O720" s="6">
        <f t="shared" ca="1" si="110"/>
        <v>19.642857142856457</v>
      </c>
      <c r="P720" t="str">
        <f t="shared" si="111"/>
        <v>NA</v>
      </c>
      <c r="Q720" s="10">
        <f t="shared" ca="1" si="112"/>
        <v>34.761904761904546</v>
      </c>
      <c r="R720" s="10">
        <f t="shared" ca="1" si="113"/>
        <v>116.54761904761801</v>
      </c>
      <c r="S720" s="10">
        <f t="shared" ca="1" si="114"/>
        <v>-81.785714285713468</v>
      </c>
      <c r="T720" s="10">
        <f t="shared" ca="1" si="115"/>
        <v>464.18918918918621</v>
      </c>
      <c r="U720" s="10">
        <f t="shared" ca="1" si="116"/>
        <v>464.18918918918621</v>
      </c>
      <c r="V720">
        <f t="shared" si="117"/>
        <v>5</v>
      </c>
    </row>
    <row r="721" spans="1:22" x14ac:dyDescent="0.25">
      <c r="A721">
        <v>80</v>
      </c>
      <c r="B721">
        <v>9</v>
      </c>
      <c r="C721">
        <v>10</v>
      </c>
      <c r="D721">
        <v>1</v>
      </c>
      <c r="E721">
        <v>0</v>
      </c>
      <c r="F721">
        <v>0</v>
      </c>
      <c r="G721">
        <v>1</v>
      </c>
      <c r="H721">
        <v>650</v>
      </c>
      <c r="I721">
        <f t="shared" si="118"/>
        <v>711</v>
      </c>
      <c r="J721" s="6">
        <f t="array" aca="1" ref="J721:N721" ca="1">TRANSPOSE(ols(OFFSET($C$2:$C$10,I721,0),OFFSET($D$2:$H$10,I721,0)))</f>
        <v>115.95238095237983</v>
      </c>
      <c r="K721" s="6">
        <f ca="1"/>
        <v>-3.9285714285713311</v>
      </c>
      <c r="L721" s="6">
        <f ca="1"/>
        <v>-24.047619047618355</v>
      </c>
      <c r="M721" s="6">
        <f ca="1"/>
        <v>4.5238095238095184</v>
      </c>
      <c r="N721" s="6">
        <f ca="1"/>
        <v>-0.17619047619047556</v>
      </c>
      <c r="O721" s="6">
        <f t="shared" ca="1" si="110"/>
        <v>5.9523809523802242</v>
      </c>
      <c r="P721" t="str">
        <f t="shared" si="111"/>
        <v>NA</v>
      </c>
      <c r="Q721" s="10">
        <f t="shared" ca="1" si="112"/>
        <v>34.761904761904546</v>
      </c>
      <c r="R721" s="10">
        <f t="shared" ca="1" si="113"/>
        <v>120.47619047618934</v>
      </c>
      <c r="S721" s="10">
        <f t="shared" ca="1" si="114"/>
        <v>-85.714285714284799</v>
      </c>
      <c r="T721" s="10">
        <f t="shared" ca="1" si="115"/>
        <v>486.48648648648305</v>
      </c>
      <c r="U721" s="10">
        <f t="shared" ca="1" si="116"/>
        <v>486.48648648648305</v>
      </c>
      <c r="V721">
        <f t="shared" si="117"/>
        <v>4</v>
      </c>
    </row>
    <row r="722" spans="1:22" x14ac:dyDescent="0.25">
      <c r="A722">
        <v>81</v>
      </c>
      <c r="B722">
        <v>1</v>
      </c>
      <c r="C722">
        <v>10</v>
      </c>
      <c r="D722">
        <v>1</v>
      </c>
      <c r="E722">
        <v>0</v>
      </c>
      <c r="F722">
        <v>1</v>
      </c>
      <c r="G722">
        <v>0</v>
      </c>
      <c r="H722">
        <v>250</v>
      </c>
      <c r="I722">
        <f t="shared" si="118"/>
        <v>720</v>
      </c>
      <c r="J722" s="6">
        <f t="array" aca="1" ref="J722:N722" ca="1">TRANSPOSE(ols(OFFSET($C$2:$C$10,I722,0),OFFSET($D$2:$H$10,I722,0)))</f>
        <v>89.821428571427532</v>
      </c>
      <c r="K722" s="6">
        <f ca="1"/>
        <v>-30.357142857142662</v>
      </c>
      <c r="L722" s="6">
        <f ca="1"/>
        <v>-51.428571428571104</v>
      </c>
      <c r="M722" s="6">
        <f ca="1"/>
        <v>18.214285714285893</v>
      </c>
      <c r="N722" s="6">
        <f ca="1"/>
        <v>-6.0714285714286831E-2</v>
      </c>
      <c r="O722" s="6">
        <f t="shared" ca="1" si="110"/>
        <v>23.214285714284721</v>
      </c>
      <c r="P722" t="str">
        <f t="shared" si="111"/>
        <v>NA</v>
      </c>
      <c r="Q722" s="10">
        <f t="shared" ca="1" si="112"/>
        <v>35.35714285714193</v>
      </c>
      <c r="R722" s="10">
        <f t="shared" ca="1" si="113"/>
        <v>38.392857142856428</v>
      </c>
      <c r="S722" s="10">
        <f t="shared" ca="1" si="114"/>
        <v>-3.0357142857144979</v>
      </c>
      <c r="T722" s="10">
        <f t="shared" ca="1" si="115"/>
        <v>50.000000000002572</v>
      </c>
      <c r="U722" s="10" t="str">
        <f t="shared" ca="1" si="116"/>
        <v>OR</v>
      </c>
      <c r="V722">
        <f t="shared" si="117"/>
        <v>3</v>
      </c>
    </row>
    <row r="723" spans="1:22" x14ac:dyDescent="0.25">
      <c r="A723">
        <v>81</v>
      </c>
      <c r="B723">
        <v>2</v>
      </c>
      <c r="C723">
        <v>35</v>
      </c>
      <c r="D723">
        <v>1</v>
      </c>
      <c r="E723">
        <v>1</v>
      </c>
      <c r="F723">
        <v>0</v>
      </c>
      <c r="G723">
        <v>0</v>
      </c>
      <c r="H723">
        <v>350</v>
      </c>
      <c r="I723">
        <f t="shared" si="118"/>
        <v>720</v>
      </c>
      <c r="J723" s="6">
        <f t="array" aca="1" ref="J723:N723" ca="1">TRANSPOSE(ols(OFFSET($C$2:$C$10,I723,0),OFFSET($D$2:$H$10,I723,0)))</f>
        <v>89.821428571427532</v>
      </c>
      <c r="K723" s="6">
        <f ca="1"/>
        <v>-30.357142857142662</v>
      </c>
      <c r="L723" s="6">
        <f ca="1"/>
        <v>-51.428571428571104</v>
      </c>
      <c r="M723" s="6">
        <f ca="1"/>
        <v>18.214285714285893</v>
      </c>
      <c r="N723" s="6">
        <f ca="1"/>
        <v>-6.0714285714286831E-2</v>
      </c>
      <c r="O723" s="6">
        <f t="shared" ca="1" si="110"/>
        <v>38.214285714284479</v>
      </c>
      <c r="P723" t="str">
        <f t="shared" si="111"/>
        <v>NA</v>
      </c>
      <c r="Q723" s="10">
        <f t="shared" ca="1" si="112"/>
        <v>35.35714285714193</v>
      </c>
      <c r="R723" s="10">
        <f t="shared" ca="1" si="113"/>
        <v>59.46428571428487</v>
      </c>
      <c r="S723" s="10">
        <f t="shared" ca="1" si="114"/>
        <v>-24.107142857142939</v>
      </c>
      <c r="T723" s="10">
        <f t="shared" ca="1" si="115"/>
        <v>397.0588235294058</v>
      </c>
      <c r="U723" s="10">
        <f t="shared" ca="1" si="116"/>
        <v>397.0588235294058</v>
      </c>
      <c r="V723">
        <f t="shared" si="117"/>
        <v>2</v>
      </c>
    </row>
    <row r="724" spans="1:22" x14ac:dyDescent="0.25">
      <c r="A724">
        <v>81</v>
      </c>
      <c r="B724">
        <v>3</v>
      </c>
      <c r="C724">
        <v>35</v>
      </c>
      <c r="D724">
        <v>1</v>
      </c>
      <c r="E724">
        <v>1</v>
      </c>
      <c r="F724">
        <v>0</v>
      </c>
      <c r="G724">
        <v>0</v>
      </c>
      <c r="H724">
        <v>450</v>
      </c>
      <c r="I724">
        <f t="shared" si="118"/>
        <v>720</v>
      </c>
      <c r="J724" s="6">
        <f t="array" aca="1" ref="J724:N724" ca="1">TRANSPOSE(ols(OFFSET($C$2:$C$10,I724,0),OFFSET($D$2:$H$10,I724,0)))</f>
        <v>89.821428571427532</v>
      </c>
      <c r="K724" s="6">
        <f ca="1"/>
        <v>-30.357142857142662</v>
      </c>
      <c r="L724" s="6">
        <f ca="1"/>
        <v>-51.428571428571104</v>
      </c>
      <c r="M724" s="6">
        <f ca="1"/>
        <v>18.214285714285893</v>
      </c>
      <c r="N724" s="6">
        <f ca="1"/>
        <v>-6.0714285714286831E-2</v>
      </c>
      <c r="O724" s="6">
        <f t="shared" ca="1" si="110"/>
        <v>32.142857142855796</v>
      </c>
      <c r="P724" t="str">
        <f t="shared" si="111"/>
        <v>NA</v>
      </c>
      <c r="Q724" s="10">
        <f t="shared" ca="1" si="112"/>
        <v>35.35714285714193</v>
      </c>
      <c r="R724" s="10">
        <f t="shared" ca="1" si="113"/>
        <v>59.46428571428487</v>
      </c>
      <c r="S724" s="10">
        <f t="shared" ca="1" si="114"/>
        <v>-24.107142857142939</v>
      </c>
      <c r="T724" s="10">
        <f t="shared" ca="1" si="115"/>
        <v>397.0588235294058</v>
      </c>
      <c r="U724" s="10">
        <f t="shared" ca="1" si="116"/>
        <v>397.0588235294058</v>
      </c>
      <c r="V724">
        <f t="shared" si="117"/>
        <v>2</v>
      </c>
    </row>
    <row r="725" spans="1:22" x14ac:dyDescent="0.25">
      <c r="A725">
        <v>81</v>
      </c>
      <c r="B725">
        <v>4</v>
      </c>
      <c r="C725">
        <v>70</v>
      </c>
      <c r="D725">
        <v>1</v>
      </c>
      <c r="E725">
        <v>0</v>
      </c>
      <c r="F725">
        <v>0</v>
      </c>
      <c r="G725">
        <v>0</v>
      </c>
      <c r="H725">
        <v>550</v>
      </c>
      <c r="I725">
        <f t="shared" si="118"/>
        <v>720</v>
      </c>
      <c r="J725" s="6">
        <f t="array" aca="1" ref="J725:N725" ca="1">TRANSPOSE(ols(OFFSET($C$2:$C$10,I725,0),OFFSET($D$2:$H$10,I725,0)))</f>
        <v>89.821428571427532</v>
      </c>
      <c r="K725" s="6">
        <f ca="1"/>
        <v>-30.357142857142662</v>
      </c>
      <c r="L725" s="6">
        <f ca="1"/>
        <v>-51.428571428571104</v>
      </c>
      <c r="M725" s="6">
        <f ca="1"/>
        <v>18.214285714285893</v>
      </c>
      <c r="N725" s="6">
        <f ca="1"/>
        <v>-6.0714285714286831E-2</v>
      </c>
      <c r="O725" s="6">
        <f t="shared" ca="1" si="110"/>
        <v>56.428571428569775</v>
      </c>
      <c r="P725" t="str">
        <f t="shared" si="111"/>
        <v>NA</v>
      </c>
      <c r="Q725" s="10">
        <f t="shared" ca="1" si="112"/>
        <v>35.35714285714193</v>
      </c>
      <c r="R725" s="10">
        <f t="shared" ca="1" si="113"/>
        <v>89.821428571427532</v>
      </c>
      <c r="S725" s="10">
        <f t="shared" ca="1" si="114"/>
        <v>-54.464285714285602</v>
      </c>
      <c r="T725" s="10">
        <f t="shared" ca="1" si="115"/>
        <v>897.05882352939341</v>
      </c>
      <c r="U725" s="10" t="str">
        <f t="shared" ca="1" si="116"/>
        <v>OR</v>
      </c>
      <c r="V725">
        <f t="shared" si="117"/>
        <v>1</v>
      </c>
    </row>
    <row r="726" spans="1:22" x14ac:dyDescent="0.25">
      <c r="A726">
        <v>81</v>
      </c>
      <c r="B726">
        <v>5</v>
      </c>
      <c r="C726">
        <v>45</v>
      </c>
      <c r="D726">
        <v>1</v>
      </c>
      <c r="E726">
        <v>0</v>
      </c>
      <c r="F726">
        <v>1</v>
      </c>
      <c r="G726">
        <v>1</v>
      </c>
      <c r="H726">
        <v>250</v>
      </c>
      <c r="I726">
        <f t="shared" si="118"/>
        <v>720</v>
      </c>
      <c r="J726" s="6">
        <f t="array" aca="1" ref="J726:N726" ca="1">TRANSPOSE(ols(OFFSET($C$2:$C$10,I726,0),OFFSET($D$2:$H$10,I726,0)))</f>
        <v>89.821428571427532</v>
      </c>
      <c r="K726" s="6">
        <f ca="1"/>
        <v>-30.357142857142662</v>
      </c>
      <c r="L726" s="6">
        <f ca="1"/>
        <v>-51.428571428571104</v>
      </c>
      <c r="M726" s="6">
        <f ca="1"/>
        <v>18.214285714285893</v>
      </c>
      <c r="N726" s="6">
        <f ca="1"/>
        <v>-6.0714285714286831E-2</v>
      </c>
      <c r="O726" s="6">
        <f t="shared" ca="1" si="110"/>
        <v>41.428571428570613</v>
      </c>
      <c r="P726" t="str">
        <f t="shared" si="111"/>
        <v>NA</v>
      </c>
      <c r="Q726" s="10">
        <f t="shared" ca="1" si="112"/>
        <v>35.35714285714193</v>
      </c>
      <c r="R726" s="10">
        <f t="shared" ca="1" si="113"/>
        <v>56.607142857142321</v>
      </c>
      <c r="S726" s="10">
        <f t="shared" ca="1" si="114"/>
        <v>-21.250000000000391</v>
      </c>
      <c r="T726" s="10">
        <f t="shared" ca="1" si="115"/>
        <v>350</v>
      </c>
      <c r="U726" s="10">
        <f t="shared" ca="1" si="116"/>
        <v>350</v>
      </c>
      <c r="V726">
        <f t="shared" si="117"/>
        <v>6</v>
      </c>
    </row>
    <row r="727" spans="1:22" x14ac:dyDescent="0.25">
      <c r="A727">
        <v>81</v>
      </c>
      <c r="B727">
        <v>6</v>
      </c>
      <c r="C727">
        <v>45</v>
      </c>
      <c r="D727">
        <v>1</v>
      </c>
      <c r="E727">
        <v>0</v>
      </c>
      <c r="F727">
        <v>1</v>
      </c>
      <c r="G727">
        <v>1</v>
      </c>
      <c r="H727">
        <v>350</v>
      </c>
      <c r="I727">
        <f t="shared" si="118"/>
        <v>720</v>
      </c>
      <c r="J727" s="6">
        <f t="array" aca="1" ref="J727:N727" ca="1">TRANSPOSE(ols(OFFSET($C$2:$C$10,I727,0),OFFSET($D$2:$H$10,I727,0)))</f>
        <v>89.821428571427532</v>
      </c>
      <c r="K727" s="6">
        <f ca="1"/>
        <v>-30.357142857142662</v>
      </c>
      <c r="L727" s="6">
        <f ca="1"/>
        <v>-51.428571428571104</v>
      </c>
      <c r="M727" s="6">
        <f ca="1"/>
        <v>18.214285714285893</v>
      </c>
      <c r="N727" s="6">
        <f ca="1"/>
        <v>-6.0714285714286831E-2</v>
      </c>
      <c r="O727" s="6">
        <f t="shared" ca="1" si="110"/>
        <v>35.35714285714193</v>
      </c>
      <c r="P727">
        <f t="shared" ca="1" si="111"/>
        <v>35.35714285714193</v>
      </c>
      <c r="Q727" s="10">
        <f t="shared" ca="1" si="112"/>
        <v>35.35714285714193</v>
      </c>
      <c r="R727" s="10">
        <f t="shared" ca="1" si="113"/>
        <v>56.607142857142321</v>
      </c>
      <c r="S727" s="10">
        <f t="shared" ca="1" si="114"/>
        <v>-21.250000000000391</v>
      </c>
      <c r="T727" s="10">
        <f t="shared" ca="1" si="115"/>
        <v>350</v>
      </c>
      <c r="U727" s="10">
        <f t="shared" ca="1" si="116"/>
        <v>350</v>
      </c>
      <c r="V727">
        <f t="shared" si="117"/>
        <v>6</v>
      </c>
    </row>
    <row r="728" spans="1:22" x14ac:dyDescent="0.25">
      <c r="A728">
        <v>81</v>
      </c>
      <c r="B728">
        <v>7</v>
      </c>
      <c r="C728">
        <v>50</v>
      </c>
      <c r="D728">
        <v>1</v>
      </c>
      <c r="E728">
        <v>1</v>
      </c>
      <c r="F728">
        <v>0</v>
      </c>
      <c r="G728">
        <v>1</v>
      </c>
      <c r="H728">
        <v>450</v>
      </c>
      <c r="I728">
        <f t="shared" si="118"/>
        <v>720</v>
      </c>
      <c r="J728" s="6">
        <f t="array" aca="1" ref="J728:N728" ca="1">TRANSPOSE(ols(OFFSET($C$2:$C$10,I728,0),OFFSET($D$2:$H$10,I728,0)))</f>
        <v>89.821428571427532</v>
      </c>
      <c r="K728" s="6">
        <f ca="1"/>
        <v>-30.357142857142662</v>
      </c>
      <c r="L728" s="6">
        <f ca="1"/>
        <v>-51.428571428571104</v>
      </c>
      <c r="M728" s="6">
        <f ca="1"/>
        <v>18.214285714285893</v>
      </c>
      <c r="N728" s="6">
        <f ca="1"/>
        <v>-6.0714285714286831E-2</v>
      </c>
      <c r="O728" s="6">
        <f t="shared" ca="1" si="110"/>
        <v>50.357142857141689</v>
      </c>
      <c r="P728" t="str">
        <f t="shared" si="111"/>
        <v>NA</v>
      </c>
      <c r="Q728" s="10">
        <f t="shared" ca="1" si="112"/>
        <v>35.35714285714193</v>
      </c>
      <c r="R728" s="10">
        <f t="shared" ca="1" si="113"/>
        <v>77.678571428570763</v>
      </c>
      <c r="S728" s="10">
        <f t="shared" ca="1" si="114"/>
        <v>-42.321428571428832</v>
      </c>
      <c r="T728" s="10">
        <f t="shared" ca="1" si="115"/>
        <v>697.0588235294033</v>
      </c>
      <c r="U728" s="10" t="str">
        <f t="shared" ca="1" si="116"/>
        <v>OR</v>
      </c>
      <c r="V728">
        <f t="shared" si="117"/>
        <v>5</v>
      </c>
    </row>
    <row r="729" spans="1:22" x14ac:dyDescent="0.25">
      <c r="A729">
        <v>81</v>
      </c>
      <c r="B729">
        <v>8</v>
      </c>
      <c r="C729">
        <v>45</v>
      </c>
      <c r="D729">
        <v>1</v>
      </c>
      <c r="E729">
        <v>1</v>
      </c>
      <c r="F729">
        <v>0</v>
      </c>
      <c r="G729">
        <v>1</v>
      </c>
      <c r="H729">
        <v>550</v>
      </c>
      <c r="I729">
        <f t="shared" si="118"/>
        <v>720</v>
      </c>
      <c r="J729" s="6">
        <f t="array" aca="1" ref="J729:N729" ca="1">TRANSPOSE(ols(OFFSET($C$2:$C$10,I729,0),OFFSET($D$2:$H$10,I729,0)))</f>
        <v>89.821428571427532</v>
      </c>
      <c r="K729" s="6">
        <f ca="1"/>
        <v>-30.357142857142662</v>
      </c>
      <c r="L729" s="6">
        <f ca="1"/>
        <v>-51.428571428571104</v>
      </c>
      <c r="M729" s="6">
        <f ca="1"/>
        <v>18.214285714285893</v>
      </c>
      <c r="N729" s="6">
        <f ca="1"/>
        <v>-6.0714285714286831E-2</v>
      </c>
      <c r="O729" s="6">
        <f t="shared" ca="1" si="110"/>
        <v>44.285714285713006</v>
      </c>
      <c r="P729" t="str">
        <f t="shared" si="111"/>
        <v>NA</v>
      </c>
      <c r="Q729" s="10">
        <f t="shared" ca="1" si="112"/>
        <v>35.35714285714193</v>
      </c>
      <c r="R729" s="10">
        <f t="shared" ca="1" si="113"/>
        <v>77.678571428570763</v>
      </c>
      <c r="S729" s="10">
        <f t="shared" ca="1" si="114"/>
        <v>-42.321428571428832</v>
      </c>
      <c r="T729" s="10">
        <f t="shared" ca="1" si="115"/>
        <v>697.0588235294033</v>
      </c>
      <c r="U729" s="10" t="str">
        <f t="shared" ca="1" si="116"/>
        <v>OR</v>
      </c>
      <c r="V729">
        <f t="shared" si="117"/>
        <v>5</v>
      </c>
    </row>
    <row r="730" spans="1:22" x14ac:dyDescent="0.25">
      <c r="A730">
        <v>81</v>
      </c>
      <c r="B730">
        <v>9</v>
      </c>
      <c r="C730">
        <v>55</v>
      </c>
      <c r="D730">
        <v>1</v>
      </c>
      <c r="E730">
        <v>0</v>
      </c>
      <c r="F730">
        <v>0</v>
      </c>
      <c r="G730">
        <v>1</v>
      </c>
      <c r="H730">
        <v>650</v>
      </c>
      <c r="I730">
        <f t="shared" si="118"/>
        <v>720</v>
      </c>
      <c r="J730" s="6">
        <f t="array" aca="1" ref="J730:N730" ca="1">TRANSPOSE(ols(OFFSET($C$2:$C$10,I730,0),OFFSET($D$2:$H$10,I730,0)))</f>
        <v>89.821428571427532</v>
      </c>
      <c r="K730" s="6">
        <f ca="1"/>
        <v>-30.357142857142662</v>
      </c>
      <c r="L730" s="6">
        <f ca="1"/>
        <v>-51.428571428571104</v>
      </c>
      <c r="M730" s="6">
        <f ca="1"/>
        <v>18.214285714285893</v>
      </c>
      <c r="N730" s="6">
        <f ca="1"/>
        <v>-6.0714285714286831E-2</v>
      </c>
      <c r="O730" s="6">
        <f t="shared" ca="1" si="110"/>
        <v>68.571428571426992</v>
      </c>
      <c r="P730" t="str">
        <f t="shared" si="111"/>
        <v>NA</v>
      </c>
      <c r="Q730" s="10">
        <f t="shared" ca="1" si="112"/>
        <v>35.35714285714193</v>
      </c>
      <c r="R730" s="10">
        <f t="shared" ca="1" si="113"/>
        <v>108.03571428571342</v>
      </c>
      <c r="S730" s="10">
        <f t="shared" ca="1" si="114"/>
        <v>-72.678571428571502</v>
      </c>
      <c r="T730" s="10">
        <f t="shared" ca="1" si="115"/>
        <v>1197.058823529391</v>
      </c>
      <c r="U730" s="10" t="str">
        <f t="shared" ca="1" si="116"/>
        <v>OR</v>
      </c>
      <c r="V730">
        <f t="shared" si="117"/>
        <v>4</v>
      </c>
    </row>
    <row r="731" spans="1:22" x14ac:dyDescent="0.25">
      <c r="A731">
        <v>82</v>
      </c>
      <c r="B731">
        <v>1</v>
      </c>
      <c r="C731">
        <v>55</v>
      </c>
      <c r="D731">
        <v>1</v>
      </c>
      <c r="E731">
        <v>0</v>
      </c>
      <c r="F731">
        <v>1</v>
      </c>
      <c r="G731">
        <v>0</v>
      </c>
      <c r="H731">
        <v>250</v>
      </c>
      <c r="I731">
        <f t="shared" si="118"/>
        <v>729</v>
      </c>
      <c r="J731" s="6">
        <f t="array" aca="1" ref="J731:N731" ca="1">TRANSPOSE(ols(OFFSET($C$2:$C$10,I731,0),OFFSET($D$2:$H$10,I731,0)))</f>
        <v>166.66666666666606</v>
      </c>
      <c r="K731" s="6">
        <f ca="1"/>
        <v>-9.9999999999995453</v>
      </c>
      <c r="L731" s="6">
        <f ca="1"/>
        <v>-33.33333333333303</v>
      </c>
      <c r="M731" s="6">
        <f ca="1"/>
        <v>16.666666666666742</v>
      </c>
      <c r="N731" s="6">
        <f ca="1"/>
        <v>-0.23333333333333428</v>
      </c>
      <c r="O731" s="6">
        <f t="shared" ca="1" si="110"/>
        <v>74.99999999999946</v>
      </c>
      <c r="P731" t="str">
        <f t="shared" si="111"/>
        <v>NA</v>
      </c>
      <c r="Q731" s="10">
        <f t="shared" ca="1" si="112"/>
        <v>68.333333333332774</v>
      </c>
      <c r="R731" s="10">
        <f t="shared" ca="1" si="113"/>
        <v>133.33333333333303</v>
      </c>
      <c r="S731" s="10">
        <f t="shared" ca="1" si="114"/>
        <v>-65.000000000000256</v>
      </c>
      <c r="T731" s="10">
        <f t="shared" ca="1" si="115"/>
        <v>278.57142857142856</v>
      </c>
      <c r="U731" s="10">
        <f t="shared" ca="1" si="116"/>
        <v>278.57142857142856</v>
      </c>
      <c r="V731">
        <f t="shared" si="117"/>
        <v>3</v>
      </c>
    </row>
    <row r="732" spans="1:22" x14ac:dyDescent="0.25">
      <c r="A732">
        <v>82</v>
      </c>
      <c r="B732">
        <v>2</v>
      </c>
      <c r="C732">
        <v>75</v>
      </c>
      <c r="D732">
        <v>1</v>
      </c>
      <c r="E732">
        <v>1</v>
      </c>
      <c r="F732">
        <v>0</v>
      </c>
      <c r="G732">
        <v>0</v>
      </c>
      <c r="H732">
        <v>350</v>
      </c>
      <c r="I732">
        <f t="shared" si="118"/>
        <v>729</v>
      </c>
      <c r="J732" s="6">
        <f t="array" aca="1" ref="J732:N732" ca="1">TRANSPOSE(ols(OFFSET($C$2:$C$10,I732,0),OFFSET($D$2:$H$10,I732,0)))</f>
        <v>166.66666666666606</v>
      </c>
      <c r="K732" s="6">
        <f ca="1"/>
        <v>-9.9999999999995453</v>
      </c>
      <c r="L732" s="6">
        <f ca="1"/>
        <v>-33.33333333333303</v>
      </c>
      <c r="M732" s="6">
        <f ca="1"/>
        <v>16.666666666666742</v>
      </c>
      <c r="N732" s="6">
        <f ca="1"/>
        <v>-0.23333333333333428</v>
      </c>
      <c r="O732" s="6">
        <f t="shared" ca="1" si="110"/>
        <v>74.999999999999517</v>
      </c>
      <c r="P732" t="str">
        <f t="shared" si="111"/>
        <v>NA</v>
      </c>
      <c r="Q732" s="10">
        <f t="shared" ca="1" si="112"/>
        <v>68.333333333332774</v>
      </c>
      <c r="R732" s="10">
        <f t="shared" ca="1" si="113"/>
        <v>156.66666666666652</v>
      </c>
      <c r="S732" s="10">
        <f t="shared" ca="1" si="114"/>
        <v>-88.333333333333741</v>
      </c>
      <c r="T732" s="10">
        <f t="shared" ca="1" si="115"/>
        <v>378.57142857142878</v>
      </c>
      <c r="U732" s="10">
        <f t="shared" ca="1" si="116"/>
        <v>378.57142857142878</v>
      </c>
      <c r="V732">
        <f t="shared" si="117"/>
        <v>2</v>
      </c>
    </row>
    <row r="733" spans="1:22" x14ac:dyDescent="0.25">
      <c r="A733">
        <v>82</v>
      </c>
      <c r="B733">
        <v>3</v>
      </c>
      <c r="C733">
        <v>75</v>
      </c>
      <c r="D733">
        <v>1</v>
      </c>
      <c r="E733">
        <v>1</v>
      </c>
      <c r="F733">
        <v>0</v>
      </c>
      <c r="G733">
        <v>0</v>
      </c>
      <c r="H733">
        <v>450</v>
      </c>
      <c r="I733">
        <f t="shared" si="118"/>
        <v>729</v>
      </c>
      <c r="J733" s="6">
        <f t="array" aca="1" ref="J733:N733" ca="1">TRANSPOSE(ols(OFFSET($C$2:$C$10,I733,0),OFFSET($D$2:$H$10,I733,0)))</f>
        <v>166.66666666666606</v>
      </c>
      <c r="K733" s="6">
        <f ca="1"/>
        <v>-9.9999999999995453</v>
      </c>
      <c r="L733" s="6">
        <f ca="1"/>
        <v>-33.33333333333303</v>
      </c>
      <c r="M733" s="6">
        <f ca="1"/>
        <v>16.666666666666742</v>
      </c>
      <c r="N733" s="6">
        <f ca="1"/>
        <v>-0.23333333333333428</v>
      </c>
      <c r="O733" s="6">
        <f t="shared" ca="1" si="110"/>
        <v>51.666666666666089</v>
      </c>
      <c r="P733" t="str">
        <f t="shared" si="111"/>
        <v>NA</v>
      </c>
      <c r="Q733" s="10">
        <f t="shared" ca="1" si="112"/>
        <v>68.333333333332774</v>
      </c>
      <c r="R733" s="10">
        <f t="shared" ca="1" si="113"/>
        <v>156.66666666666652</v>
      </c>
      <c r="S733" s="10">
        <f t="shared" ca="1" si="114"/>
        <v>-88.333333333333741</v>
      </c>
      <c r="T733" s="10">
        <f t="shared" ca="1" si="115"/>
        <v>378.57142857142878</v>
      </c>
      <c r="U733" s="10">
        <f t="shared" ca="1" si="116"/>
        <v>378.57142857142878</v>
      </c>
      <c r="V733">
        <f t="shared" si="117"/>
        <v>2</v>
      </c>
    </row>
    <row r="734" spans="1:22" x14ac:dyDescent="0.25">
      <c r="A734">
        <v>82</v>
      </c>
      <c r="B734">
        <v>4</v>
      </c>
      <c r="C734">
        <v>35</v>
      </c>
      <c r="D734">
        <v>1</v>
      </c>
      <c r="E734">
        <v>0</v>
      </c>
      <c r="F734">
        <v>0</v>
      </c>
      <c r="G734">
        <v>0</v>
      </c>
      <c r="H734">
        <v>550</v>
      </c>
      <c r="I734">
        <f t="shared" si="118"/>
        <v>729</v>
      </c>
      <c r="J734" s="6">
        <f t="array" aca="1" ref="J734:N734" ca="1">TRANSPOSE(ols(OFFSET($C$2:$C$10,I734,0),OFFSET($D$2:$H$10,I734,0)))</f>
        <v>166.66666666666606</v>
      </c>
      <c r="K734" s="6">
        <f ca="1"/>
        <v>-9.9999999999995453</v>
      </c>
      <c r="L734" s="6">
        <f ca="1"/>
        <v>-33.33333333333303</v>
      </c>
      <c r="M734" s="6">
        <f ca="1"/>
        <v>16.666666666666742</v>
      </c>
      <c r="N734" s="6">
        <f ca="1"/>
        <v>-0.23333333333333428</v>
      </c>
      <c r="O734" s="6">
        <f t="shared" ca="1" si="110"/>
        <v>38.333333333332206</v>
      </c>
      <c r="P734" t="str">
        <f t="shared" si="111"/>
        <v>NA</v>
      </c>
      <c r="Q734" s="10">
        <f t="shared" ca="1" si="112"/>
        <v>68.333333333332774</v>
      </c>
      <c r="R734" s="10">
        <f t="shared" ca="1" si="113"/>
        <v>166.66666666666606</v>
      </c>
      <c r="S734" s="10">
        <f t="shared" ca="1" si="114"/>
        <v>-98.333333333333286</v>
      </c>
      <c r="T734" s="10">
        <f t="shared" ca="1" si="115"/>
        <v>421.42857142856951</v>
      </c>
      <c r="U734" s="10">
        <f t="shared" ca="1" si="116"/>
        <v>421.42857142856951</v>
      </c>
      <c r="V734">
        <f t="shared" si="117"/>
        <v>1</v>
      </c>
    </row>
    <row r="735" spans="1:22" x14ac:dyDescent="0.25">
      <c r="A735">
        <v>82</v>
      </c>
      <c r="B735">
        <v>5</v>
      </c>
      <c r="C735">
        <v>95</v>
      </c>
      <c r="D735">
        <v>1</v>
      </c>
      <c r="E735">
        <v>0</v>
      </c>
      <c r="F735">
        <v>1</v>
      </c>
      <c r="G735">
        <v>1</v>
      </c>
      <c r="H735">
        <v>250</v>
      </c>
      <c r="I735">
        <f t="shared" si="118"/>
        <v>729</v>
      </c>
      <c r="J735" s="6">
        <f t="array" aca="1" ref="J735:N735" ca="1">TRANSPOSE(ols(OFFSET($C$2:$C$10,I735,0),OFFSET($D$2:$H$10,I735,0)))</f>
        <v>166.66666666666606</v>
      </c>
      <c r="K735" s="6">
        <f ca="1"/>
        <v>-9.9999999999995453</v>
      </c>
      <c r="L735" s="6">
        <f ca="1"/>
        <v>-33.33333333333303</v>
      </c>
      <c r="M735" s="6">
        <f ca="1"/>
        <v>16.666666666666742</v>
      </c>
      <c r="N735" s="6">
        <f ca="1"/>
        <v>-0.23333333333333428</v>
      </c>
      <c r="O735" s="6">
        <f t="shared" ca="1" si="110"/>
        <v>91.666666666666202</v>
      </c>
      <c r="P735" t="str">
        <f t="shared" si="111"/>
        <v>NA</v>
      </c>
      <c r="Q735" s="10">
        <f t="shared" ca="1" si="112"/>
        <v>68.333333333332774</v>
      </c>
      <c r="R735" s="10">
        <f t="shared" ca="1" si="113"/>
        <v>149.99999999999977</v>
      </c>
      <c r="S735" s="10">
        <f t="shared" ca="1" si="114"/>
        <v>-81.666666666666998</v>
      </c>
      <c r="T735" s="10">
        <f t="shared" ca="1" si="115"/>
        <v>350</v>
      </c>
      <c r="U735" s="10">
        <f t="shared" ca="1" si="116"/>
        <v>350</v>
      </c>
      <c r="V735">
        <f t="shared" si="117"/>
        <v>6</v>
      </c>
    </row>
    <row r="736" spans="1:22" x14ac:dyDescent="0.25">
      <c r="A736">
        <v>82</v>
      </c>
      <c r="B736">
        <v>6</v>
      </c>
      <c r="C736">
        <v>85</v>
      </c>
      <c r="D736">
        <v>1</v>
      </c>
      <c r="E736">
        <v>0</v>
      </c>
      <c r="F736">
        <v>1</v>
      </c>
      <c r="G736">
        <v>1</v>
      </c>
      <c r="H736">
        <v>350</v>
      </c>
      <c r="I736">
        <f t="shared" si="118"/>
        <v>729</v>
      </c>
      <c r="J736" s="6">
        <f t="array" aca="1" ref="J736:N736" ca="1">TRANSPOSE(ols(OFFSET($C$2:$C$10,I736,0),OFFSET($D$2:$H$10,I736,0)))</f>
        <v>166.66666666666606</v>
      </c>
      <c r="K736" s="6">
        <f ca="1"/>
        <v>-9.9999999999995453</v>
      </c>
      <c r="L736" s="6">
        <f ca="1"/>
        <v>-33.33333333333303</v>
      </c>
      <c r="M736" s="6">
        <f ca="1"/>
        <v>16.666666666666742</v>
      </c>
      <c r="N736" s="6">
        <f ca="1"/>
        <v>-0.23333333333333428</v>
      </c>
      <c r="O736" s="6">
        <f t="shared" ca="1" si="110"/>
        <v>68.333333333332774</v>
      </c>
      <c r="P736">
        <f t="shared" ca="1" si="111"/>
        <v>68.333333333332774</v>
      </c>
      <c r="Q736" s="10">
        <f t="shared" ca="1" si="112"/>
        <v>68.333333333332774</v>
      </c>
      <c r="R736" s="10">
        <f t="shared" ca="1" si="113"/>
        <v>149.99999999999977</v>
      </c>
      <c r="S736" s="10">
        <f t="shared" ca="1" si="114"/>
        <v>-81.666666666666998</v>
      </c>
      <c r="T736" s="10">
        <f t="shared" ca="1" si="115"/>
        <v>350</v>
      </c>
      <c r="U736" s="10">
        <f t="shared" ca="1" si="116"/>
        <v>350</v>
      </c>
      <c r="V736">
        <f t="shared" si="117"/>
        <v>6</v>
      </c>
    </row>
    <row r="737" spans="1:22" x14ac:dyDescent="0.25">
      <c r="A737">
        <v>82</v>
      </c>
      <c r="B737">
        <v>7</v>
      </c>
      <c r="C737">
        <v>65</v>
      </c>
      <c r="D737">
        <v>1</v>
      </c>
      <c r="E737">
        <v>1</v>
      </c>
      <c r="F737">
        <v>0</v>
      </c>
      <c r="G737">
        <v>1</v>
      </c>
      <c r="H737">
        <v>450</v>
      </c>
      <c r="I737">
        <f t="shared" si="118"/>
        <v>729</v>
      </c>
      <c r="J737" s="6">
        <f t="array" aca="1" ref="J737:N737" ca="1">TRANSPOSE(ols(OFFSET($C$2:$C$10,I737,0),OFFSET($D$2:$H$10,I737,0)))</f>
        <v>166.66666666666606</v>
      </c>
      <c r="K737" s="6">
        <f ca="1"/>
        <v>-9.9999999999995453</v>
      </c>
      <c r="L737" s="6">
        <f ca="1"/>
        <v>-33.33333333333303</v>
      </c>
      <c r="M737" s="6">
        <f ca="1"/>
        <v>16.666666666666742</v>
      </c>
      <c r="N737" s="6">
        <f ca="1"/>
        <v>-0.23333333333333428</v>
      </c>
      <c r="O737" s="6">
        <f t="shared" ca="1" si="110"/>
        <v>68.333333333332831</v>
      </c>
      <c r="P737" t="str">
        <f t="shared" si="111"/>
        <v>NA</v>
      </c>
      <c r="Q737" s="10">
        <f t="shared" ca="1" si="112"/>
        <v>68.333333333332774</v>
      </c>
      <c r="R737" s="10">
        <f t="shared" ca="1" si="113"/>
        <v>173.33333333333326</v>
      </c>
      <c r="S737" s="10">
        <f t="shared" ca="1" si="114"/>
        <v>-105.00000000000048</v>
      </c>
      <c r="T737" s="10">
        <f t="shared" ca="1" si="115"/>
        <v>450.00000000000023</v>
      </c>
      <c r="U737" s="10">
        <f t="shared" ca="1" si="116"/>
        <v>450.00000000000023</v>
      </c>
      <c r="V737">
        <f t="shared" si="117"/>
        <v>5</v>
      </c>
    </row>
    <row r="738" spans="1:22" x14ac:dyDescent="0.25">
      <c r="A738">
        <v>82</v>
      </c>
      <c r="B738">
        <v>8</v>
      </c>
      <c r="C738">
        <v>25</v>
      </c>
      <c r="D738">
        <v>1</v>
      </c>
      <c r="E738">
        <v>1</v>
      </c>
      <c r="F738">
        <v>0</v>
      </c>
      <c r="G738">
        <v>1</v>
      </c>
      <c r="H738">
        <v>550</v>
      </c>
      <c r="I738">
        <f t="shared" si="118"/>
        <v>729</v>
      </c>
      <c r="J738" s="6">
        <f t="array" aca="1" ref="J738:N738" ca="1">TRANSPOSE(ols(OFFSET($C$2:$C$10,I738,0),OFFSET($D$2:$H$10,I738,0)))</f>
        <v>166.66666666666606</v>
      </c>
      <c r="K738" s="6">
        <f ca="1"/>
        <v>-9.9999999999995453</v>
      </c>
      <c r="L738" s="6">
        <f ca="1"/>
        <v>-33.33333333333303</v>
      </c>
      <c r="M738" s="6">
        <f ca="1"/>
        <v>16.666666666666742</v>
      </c>
      <c r="N738" s="6">
        <f ca="1"/>
        <v>-0.23333333333333428</v>
      </c>
      <c r="O738" s="6">
        <f t="shared" ca="1" si="110"/>
        <v>44.999999999999403</v>
      </c>
      <c r="P738" t="str">
        <f t="shared" si="111"/>
        <v>NA</v>
      </c>
      <c r="Q738" s="10">
        <f t="shared" ca="1" si="112"/>
        <v>68.333333333332774</v>
      </c>
      <c r="R738" s="10">
        <f t="shared" ca="1" si="113"/>
        <v>173.33333333333326</v>
      </c>
      <c r="S738" s="10">
        <f t="shared" ca="1" si="114"/>
        <v>-105.00000000000048</v>
      </c>
      <c r="T738" s="10">
        <f t="shared" ca="1" si="115"/>
        <v>450.00000000000023</v>
      </c>
      <c r="U738" s="10">
        <f t="shared" ca="1" si="116"/>
        <v>450.00000000000023</v>
      </c>
      <c r="V738">
        <f t="shared" si="117"/>
        <v>5</v>
      </c>
    </row>
    <row r="739" spans="1:22" x14ac:dyDescent="0.25">
      <c r="A739">
        <v>82</v>
      </c>
      <c r="B739">
        <v>9</v>
      </c>
      <c r="C739">
        <v>35</v>
      </c>
      <c r="D739">
        <v>1</v>
      </c>
      <c r="E739">
        <v>0</v>
      </c>
      <c r="F739">
        <v>0</v>
      </c>
      <c r="G739">
        <v>1</v>
      </c>
      <c r="H739">
        <v>650</v>
      </c>
      <c r="I739">
        <f t="shared" si="118"/>
        <v>729</v>
      </c>
      <c r="J739" s="6">
        <f t="array" aca="1" ref="J739:N739" ca="1">TRANSPOSE(ols(OFFSET($C$2:$C$10,I739,0),OFFSET($D$2:$H$10,I739,0)))</f>
        <v>166.66666666666606</v>
      </c>
      <c r="K739" s="6">
        <f ca="1"/>
        <v>-9.9999999999995453</v>
      </c>
      <c r="L739" s="6">
        <f ca="1"/>
        <v>-33.33333333333303</v>
      </c>
      <c r="M739" s="6">
        <f ca="1"/>
        <v>16.666666666666742</v>
      </c>
      <c r="N739" s="6">
        <f ca="1"/>
        <v>-0.23333333333333428</v>
      </c>
      <c r="O739" s="6">
        <f t="shared" ca="1" si="110"/>
        <v>31.66666666666552</v>
      </c>
      <c r="P739" t="str">
        <f t="shared" si="111"/>
        <v>NA</v>
      </c>
      <c r="Q739" s="10">
        <f t="shared" ca="1" si="112"/>
        <v>68.333333333332774</v>
      </c>
      <c r="R739" s="10">
        <f t="shared" ca="1" si="113"/>
        <v>183.3333333333328</v>
      </c>
      <c r="S739" s="10">
        <f t="shared" ca="1" si="114"/>
        <v>-115.00000000000003</v>
      </c>
      <c r="T739" s="10">
        <f t="shared" ca="1" si="115"/>
        <v>492.85714285714096</v>
      </c>
      <c r="U739" s="10">
        <f t="shared" ca="1" si="116"/>
        <v>492.85714285714096</v>
      </c>
      <c r="V739">
        <f t="shared" si="117"/>
        <v>4</v>
      </c>
    </row>
    <row r="740" spans="1:22" x14ac:dyDescent="0.25">
      <c r="A740">
        <v>83</v>
      </c>
      <c r="B740">
        <v>1</v>
      </c>
      <c r="C740">
        <v>10</v>
      </c>
      <c r="D740">
        <v>1</v>
      </c>
      <c r="E740">
        <v>0</v>
      </c>
      <c r="F740">
        <v>1</v>
      </c>
      <c r="G740">
        <v>0</v>
      </c>
      <c r="H740">
        <v>250</v>
      </c>
      <c r="I740">
        <f t="shared" si="118"/>
        <v>738</v>
      </c>
      <c r="J740" s="6">
        <f t="array" aca="1" ref="J740:N740" ca="1">TRANSPOSE(ols(OFFSET($C$2:$C$10,I740,0),OFFSET($D$2:$H$10,I740,0)))</f>
        <v>146.66666666666333</v>
      </c>
      <c r="K740" s="6">
        <f ca="1"/>
        <v>-22.499999999999545</v>
      </c>
      <c r="L740" s="6">
        <f ca="1"/>
        <v>-78.33333333333303</v>
      </c>
      <c r="M740" s="6">
        <f ca="1"/>
        <v>81.66666666666697</v>
      </c>
      <c r="N740" s="6">
        <f ca="1"/>
        <v>-0.2333333333333325</v>
      </c>
      <c r="O740" s="6">
        <f t="shared" ca="1" si="110"/>
        <v>9.999999999997172</v>
      </c>
      <c r="P740" t="str">
        <f t="shared" si="111"/>
        <v>NA</v>
      </c>
      <c r="Q740" s="10">
        <f t="shared" ca="1" si="112"/>
        <v>68.333333333330899</v>
      </c>
      <c r="R740" s="10">
        <f t="shared" ca="1" si="113"/>
        <v>68.333333333330302</v>
      </c>
      <c r="S740" s="10">
        <f t="shared" ca="1" si="114"/>
        <v>5.9685589803848416E-13</v>
      </c>
      <c r="T740" s="10">
        <f t="shared" ca="1" si="115"/>
        <v>-2.5579538487363696E-12</v>
      </c>
      <c r="U740" s="10" t="str">
        <f t="shared" ca="1" si="116"/>
        <v>OR</v>
      </c>
      <c r="V740">
        <f t="shared" si="117"/>
        <v>3</v>
      </c>
    </row>
    <row r="741" spans="1:22" x14ac:dyDescent="0.25">
      <c r="A741">
        <v>83</v>
      </c>
      <c r="B741">
        <v>2</v>
      </c>
      <c r="C741">
        <v>60</v>
      </c>
      <c r="D741">
        <v>1</v>
      </c>
      <c r="E741">
        <v>1</v>
      </c>
      <c r="F741">
        <v>0</v>
      </c>
      <c r="G741">
        <v>0</v>
      </c>
      <c r="H741">
        <v>350</v>
      </c>
      <c r="I741">
        <f t="shared" si="118"/>
        <v>738</v>
      </c>
      <c r="J741" s="6">
        <f t="array" aca="1" ref="J741:N741" ca="1">TRANSPOSE(ols(OFFSET($C$2:$C$10,I741,0),OFFSET($D$2:$H$10,I741,0)))</f>
        <v>146.66666666666333</v>
      </c>
      <c r="K741" s="6">
        <f ca="1"/>
        <v>-22.499999999999545</v>
      </c>
      <c r="L741" s="6">
        <f ca="1"/>
        <v>-78.33333333333303</v>
      </c>
      <c r="M741" s="6">
        <f ca="1"/>
        <v>81.66666666666697</v>
      </c>
      <c r="N741" s="6">
        <f ca="1"/>
        <v>-0.2333333333333325</v>
      </c>
      <c r="O741" s="6">
        <f t="shared" ca="1" si="110"/>
        <v>42.499999999997414</v>
      </c>
      <c r="P741" t="str">
        <f t="shared" si="111"/>
        <v>NA</v>
      </c>
      <c r="Q741" s="10">
        <f t="shared" ca="1" si="112"/>
        <v>68.333333333330899</v>
      </c>
      <c r="R741" s="10">
        <f t="shared" ca="1" si="113"/>
        <v>124.16666666666379</v>
      </c>
      <c r="S741" s="10">
        <f t="shared" ca="1" si="114"/>
        <v>-55.833333333332888</v>
      </c>
      <c r="T741" s="10">
        <f t="shared" ca="1" si="115"/>
        <v>239.28571428571323</v>
      </c>
      <c r="U741" s="10" t="str">
        <f t="shared" ca="1" si="116"/>
        <v>OR</v>
      </c>
      <c r="V741">
        <f t="shared" si="117"/>
        <v>2</v>
      </c>
    </row>
    <row r="742" spans="1:22" x14ac:dyDescent="0.25">
      <c r="A742">
        <v>83</v>
      </c>
      <c r="B742">
        <v>3</v>
      </c>
      <c r="C742">
        <v>10</v>
      </c>
      <c r="D742">
        <v>1</v>
      </c>
      <c r="E742">
        <v>1</v>
      </c>
      <c r="F742">
        <v>0</v>
      </c>
      <c r="G742">
        <v>0</v>
      </c>
      <c r="H742">
        <v>450</v>
      </c>
      <c r="I742">
        <f t="shared" si="118"/>
        <v>738</v>
      </c>
      <c r="J742" s="6">
        <f t="array" aca="1" ref="J742:N742" ca="1">TRANSPOSE(ols(OFFSET($C$2:$C$10,I742,0),OFFSET($D$2:$H$10,I742,0)))</f>
        <v>146.66666666666333</v>
      </c>
      <c r="K742" s="6">
        <f ca="1"/>
        <v>-22.499999999999545</v>
      </c>
      <c r="L742" s="6">
        <f ca="1"/>
        <v>-78.33333333333303</v>
      </c>
      <c r="M742" s="6">
        <f ca="1"/>
        <v>81.66666666666697</v>
      </c>
      <c r="N742" s="6">
        <f ca="1"/>
        <v>-0.2333333333333325</v>
      </c>
      <c r="O742" s="6">
        <f t="shared" ca="1" si="110"/>
        <v>19.166666666664156</v>
      </c>
      <c r="P742" t="str">
        <f t="shared" si="111"/>
        <v>NA</v>
      </c>
      <c r="Q742" s="10">
        <f t="shared" ca="1" si="112"/>
        <v>68.333333333330899</v>
      </c>
      <c r="R742" s="10">
        <f t="shared" ca="1" si="113"/>
        <v>124.16666666666379</v>
      </c>
      <c r="S742" s="10">
        <f t="shared" ca="1" si="114"/>
        <v>-55.833333333332888</v>
      </c>
      <c r="T742" s="10">
        <f t="shared" ca="1" si="115"/>
        <v>239.28571428571323</v>
      </c>
      <c r="U742" s="10" t="str">
        <f t="shared" ca="1" si="116"/>
        <v>OR</v>
      </c>
      <c r="V742">
        <f t="shared" si="117"/>
        <v>2</v>
      </c>
    </row>
    <row r="743" spans="1:22" x14ac:dyDescent="0.25">
      <c r="A743">
        <v>83</v>
      </c>
      <c r="B743">
        <v>4</v>
      </c>
      <c r="C743">
        <v>10</v>
      </c>
      <c r="D743">
        <v>1</v>
      </c>
      <c r="E743">
        <v>0</v>
      </c>
      <c r="F743">
        <v>0</v>
      </c>
      <c r="G743">
        <v>0</v>
      </c>
      <c r="H743">
        <v>550</v>
      </c>
      <c r="I743">
        <f t="shared" si="118"/>
        <v>738</v>
      </c>
      <c r="J743" s="6">
        <f t="array" aca="1" ref="J743:N743" ca="1">TRANSPOSE(ols(OFFSET($C$2:$C$10,I743,0),OFFSET($D$2:$H$10,I743,0)))</f>
        <v>146.66666666666333</v>
      </c>
      <c r="K743" s="6">
        <f ca="1"/>
        <v>-22.499999999999545</v>
      </c>
      <c r="L743" s="6">
        <f ca="1"/>
        <v>-78.33333333333303</v>
      </c>
      <c r="M743" s="6">
        <f ca="1"/>
        <v>81.66666666666697</v>
      </c>
      <c r="N743" s="6">
        <f ca="1"/>
        <v>-0.2333333333333325</v>
      </c>
      <c r="O743" s="6">
        <f t="shared" ca="1" si="110"/>
        <v>18.333333333330444</v>
      </c>
      <c r="P743" t="str">
        <f t="shared" si="111"/>
        <v>NA</v>
      </c>
      <c r="Q743" s="10">
        <f t="shared" ca="1" si="112"/>
        <v>68.333333333330899</v>
      </c>
      <c r="R743" s="10">
        <f t="shared" ca="1" si="113"/>
        <v>146.66666666666333</v>
      </c>
      <c r="S743" s="10">
        <f t="shared" ca="1" si="114"/>
        <v>-78.333333333332433</v>
      </c>
      <c r="T743" s="10">
        <f t="shared" ca="1" si="115"/>
        <v>335.71428571428305</v>
      </c>
      <c r="U743" s="10">
        <f t="shared" ca="1" si="116"/>
        <v>335.71428571428305</v>
      </c>
      <c r="V743">
        <f t="shared" si="117"/>
        <v>1</v>
      </c>
    </row>
    <row r="744" spans="1:22" x14ac:dyDescent="0.25">
      <c r="A744">
        <v>83</v>
      </c>
      <c r="B744">
        <v>5</v>
      </c>
      <c r="C744">
        <v>85</v>
      </c>
      <c r="D744">
        <v>1</v>
      </c>
      <c r="E744">
        <v>0</v>
      </c>
      <c r="F744">
        <v>1</v>
      </c>
      <c r="G744">
        <v>1</v>
      </c>
      <c r="H744">
        <v>250</v>
      </c>
      <c r="I744">
        <f t="shared" si="118"/>
        <v>738</v>
      </c>
      <c r="J744" s="6">
        <f t="array" aca="1" ref="J744:N744" ca="1">TRANSPOSE(ols(OFFSET($C$2:$C$10,I744,0),OFFSET($D$2:$H$10,I744,0)))</f>
        <v>146.66666666666333</v>
      </c>
      <c r="K744" s="6">
        <f ca="1"/>
        <v>-22.499999999999545</v>
      </c>
      <c r="L744" s="6">
        <f ca="1"/>
        <v>-78.33333333333303</v>
      </c>
      <c r="M744" s="6">
        <f ca="1"/>
        <v>81.66666666666697</v>
      </c>
      <c r="N744" s="6">
        <f ca="1"/>
        <v>-0.2333333333333325</v>
      </c>
      <c r="O744" s="6">
        <f t="shared" ca="1" si="110"/>
        <v>91.666666666664142</v>
      </c>
      <c r="P744" t="str">
        <f t="shared" si="111"/>
        <v>NA</v>
      </c>
      <c r="Q744" s="10">
        <f t="shared" ca="1" si="112"/>
        <v>68.333333333330899</v>
      </c>
      <c r="R744" s="10">
        <f t="shared" ca="1" si="113"/>
        <v>149.99999999999727</v>
      </c>
      <c r="S744" s="10">
        <f t="shared" ca="1" si="114"/>
        <v>-81.666666666666373</v>
      </c>
      <c r="T744" s="10">
        <f t="shared" ca="1" si="115"/>
        <v>350</v>
      </c>
      <c r="U744" s="10">
        <f t="shared" ca="1" si="116"/>
        <v>350</v>
      </c>
      <c r="V744">
        <f t="shared" si="117"/>
        <v>6</v>
      </c>
    </row>
    <row r="745" spans="1:22" x14ac:dyDescent="0.25">
      <c r="A745">
        <v>83</v>
      </c>
      <c r="B745">
        <v>6</v>
      </c>
      <c r="C745">
        <v>75</v>
      </c>
      <c r="D745">
        <v>1</v>
      </c>
      <c r="E745">
        <v>0</v>
      </c>
      <c r="F745">
        <v>1</v>
      </c>
      <c r="G745">
        <v>1</v>
      </c>
      <c r="H745">
        <v>350</v>
      </c>
      <c r="I745">
        <f t="shared" si="118"/>
        <v>738</v>
      </c>
      <c r="J745" s="6">
        <f t="array" aca="1" ref="J745:N745" ca="1">TRANSPOSE(ols(OFFSET($C$2:$C$10,I745,0),OFFSET($D$2:$H$10,I745,0)))</f>
        <v>146.66666666666333</v>
      </c>
      <c r="K745" s="6">
        <f ca="1"/>
        <v>-22.499999999999545</v>
      </c>
      <c r="L745" s="6">
        <f ca="1"/>
        <v>-78.33333333333303</v>
      </c>
      <c r="M745" s="6">
        <f ca="1"/>
        <v>81.66666666666697</v>
      </c>
      <c r="N745" s="6">
        <f ca="1"/>
        <v>-0.2333333333333325</v>
      </c>
      <c r="O745" s="6">
        <f t="shared" ca="1" si="110"/>
        <v>68.333333333330899</v>
      </c>
      <c r="P745">
        <f t="shared" ca="1" si="111"/>
        <v>68.333333333330899</v>
      </c>
      <c r="Q745" s="10">
        <f t="shared" ca="1" si="112"/>
        <v>68.333333333330899</v>
      </c>
      <c r="R745" s="10">
        <f t="shared" ca="1" si="113"/>
        <v>149.99999999999727</v>
      </c>
      <c r="S745" s="10">
        <f t="shared" ca="1" si="114"/>
        <v>-81.666666666666373</v>
      </c>
      <c r="T745" s="10">
        <f t="shared" ca="1" si="115"/>
        <v>350</v>
      </c>
      <c r="U745" s="10">
        <f t="shared" ca="1" si="116"/>
        <v>350</v>
      </c>
      <c r="V745">
        <f t="shared" si="117"/>
        <v>6</v>
      </c>
    </row>
    <row r="746" spans="1:22" x14ac:dyDescent="0.25">
      <c r="A746">
        <v>83</v>
      </c>
      <c r="B746">
        <v>7</v>
      </c>
      <c r="C746">
        <v>90</v>
      </c>
      <c r="D746">
        <v>1</v>
      </c>
      <c r="E746">
        <v>1</v>
      </c>
      <c r="F746">
        <v>0</v>
      </c>
      <c r="G746">
        <v>1</v>
      </c>
      <c r="H746">
        <v>450</v>
      </c>
      <c r="I746">
        <f t="shared" si="118"/>
        <v>738</v>
      </c>
      <c r="J746" s="6">
        <f t="array" aca="1" ref="J746:N746" ca="1">TRANSPOSE(ols(OFFSET($C$2:$C$10,I746,0),OFFSET($D$2:$H$10,I746,0)))</f>
        <v>146.66666666666333</v>
      </c>
      <c r="K746" s="6">
        <f ca="1"/>
        <v>-22.499999999999545</v>
      </c>
      <c r="L746" s="6">
        <f ca="1"/>
        <v>-78.33333333333303</v>
      </c>
      <c r="M746" s="6">
        <f ca="1"/>
        <v>81.66666666666697</v>
      </c>
      <c r="N746" s="6">
        <f ca="1"/>
        <v>-0.2333333333333325</v>
      </c>
      <c r="O746" s="6">
        <f t="shared" ca="1" si="110"/>
        <v>100.83333333333113</v>
      </c>
      <c r="P746" t="str">
        <f t="shared" si="111"/>
        <v>NA</v>
      </c>
      <c r="Q746" s="10">
        <f t="shared" ca="1" si="112"/>
        <v>68.333333333330899</v>
      </c>
      <c r="R746" s="10">
        <f t="shared" ca="1" si="113"/>
        <v>205.83333333333076</v>
      </c>
      <c r="S746" s="10">
        <f t="shared" ca="1" si="114"/>
        <v>-137.49999999999986</v>
      </c>
      <c r="T746" s="10">
        <f t="shared" ca="1" si="115"/>
        <v>589.28571428571581</v>
      </c>
      <c r="U746" s="10">
        <f t="shared" ca="1" si="116"/>
        <v>589.28571428571581</v>
      </c>
      <c r="V746">
        <f t="shared" si="117"/>
        <v>5</v>
      </c>
    </row>
    <row r="747" spans="1:22" x14ac:dyDescent="0.25">
      <c r="A747">
        <v>83</v>
      </c>
      <c r="B747">
        <v>8</v>
      </c>
      <c r="C747">
        <v>80</v>
      </c>
      <c r="D747">
        <v>1</v>
      </c>
      <c r="E747">
        <v>1</v>
      </c>
      <c r="F747">
        <v>0</v>
      </c>
      <c r="G747">
        <v>1</v>
      </c>
      <c r="H747">
        <v>550</v>
      </c>
      <c r="I747">
        <f t="shared" si="118"/>
        <v>738</v>
      </c>
      <c r="J747" s="6">
        <f t="array" aca="1" ref="J747:N747" ca="1">TRANSPOSE(ols(OFFSET($C$2:$C$10,I747,0),OFFSET($D$2:$H$10,I747,0)))</f>
        <v>146.66666666666333</v>
      </c>
      <c r="K747" s="6">
        <f ca="1"/>
        <v>-22.499999999999545</v>
      </c>
      <c r="L747" s="6">
        <f ca="1"/>
        <v>-78.33333333333303</v>
      </c>
      <c r="M747" s="6">
        <f ca="1"/>
        <v>81.66666666666697</v>
      </c>
      <c r="N747" s="6">
        <f ca="1"/>
        <v>-0.2333333333333325</v>
      </c>
      <c r="O747" s="6">
        <f t="shared" ca="1" si="110"/>
        <v>77.499999999997868</v>
      </c>
      <c r="P747" t="str">
        <f t="shared" si="111"/>
        <v>NA</v>
      </c>
      <c r="Q747" s="10">
        <f t="shared" ca="1" si="112"/>
        <v>68.333333333330899</v>
      </c>
      <c r="R747" s="10">
        <f t="shared" ca="1" si="113"/>
        <v>205.83333333333076</v>
      </c>
      <c r="S747" s="10">
        <f t="shared" ca="1" si="114"/>
        <v>-137.49999999999986</v>
      </c>
      <c r="T747" s="10">
        <f t="shared" ca="1" si="115"/>
        <v>589.28571428571581</v>
      </c>
      <c r="U747" s="10">
        <f t="shared" ca="1" si="116"/>
        <v>589.28571428571581</v>
      </c>
      <c r="V747">
        <f t="shared" si="117"/>
        <v>5</v>
      </c>
    </row>
    <row r="748" spans="1:22" x14ac:dyDescent="0.25">
      <c r="A748">
        <v>83</v>
      </c>
      <c r="B748">
        <v>9</v>
      </c>
      <c r="C748">
        <v>85</v>
      </c>
      <c r="D748">
        <v>1</v>
      </c>
      <c r="E748">
        <v>0</v>
      </c>
      <c r="F748">
        <v>0</v>
      </c>
      <c r="G748">
        <v>1</v>
      </c>
      <c r="H748">
        <v>650</v>
      </c>
      <c r="I748">
        <f t="shared" si="118"/>
        <v>738</v>
      </c>
      <c r="J748" s="6">
        <f t="array" aca="1" ref="J748:N748" ca="1">TRANSPOSE(ols(OFFSET($C$2:$C$10,I748,0),OFFSET($D$2:$H$10,I748,0)))</f>
        <v>146.66666666666333</v>
      </c>
      <c r="K748" s="6">
        <f ca="1"/>
        <v>-22.499999999999545</v>
      </c>
      <c r="L748" s="6">
        <f ca="1"/>
        <v>-78.33333333333303</v>
      </c>
      <c r="M748" s="6">
        <f ca="1"/>
        <v>81.66666666666697</v>
      </c>
      <c r="N748" s="6">
        <f ca="1"/>
        <v>-0.2333333333333325</v>
      </c>
      <c r="O748" s="6">
        <f t="shared" ca="1" si="110"/>
        <v>76.666666666664185</v>
      </c>
      <c r="P748" t="str">
        <f t="shared" si="111"/>
        <v>NA</v>
      </c>
      <c r="Q748" s="10">
        <f t="shared" ca="1" si="112"/>
        <v>68.333333333330899</v>
      </c>
      <c r="R748" s="10">
        <f t="shared" ca="1" si="113"/>
        <v>228.3333333333303</v>
      </c>
      <c r="S748" s="10">
        <f t="shared" ca="1" si="114"/>
        <v>-159.9999999999994</v>
      </c>
      <c r="T748" s="10">
        <f t="shared" ca="1" si="115"/>
        <v>685.71428571428555</v>
      </c>
      <c r="U748" s="10" t="str">
        <f t="shared" ca="1" si="116"/>
        <v>OR</v>
      </c>
      <c r="V748">
        <f t="shared" si="117"/>
        <v>4</v>
      </c>
    </row>
    <row r="749" spans="1:22" x14ac:dyDescent="0.25">
      <c r="A749">
        <v>84</v>
      </c>
      <c r="B749">
        <v>1</v>
      </c>
      <c r="C749">
        <v>77.5</v>
      </c>
      <c r="D749">
        <v>1</v>
      </c>
      <c r="E749">
        <v>0</v>
      </c>
      <c r="F749">
        <v>1</v>
      </c>
      <c r="G749">
        <v>0</v>
      </c>
      <c r="H749">
        <v>250</v>
      </c>
      <c r="I749">
        <f t="shared" si="118"/>
        <v>747</v>
      </c>
      <c r="J749" s="6">
        <f t="array" aca="1" ref="J749:N749" ca="1">TRANSPOSE(ols(OFFSET($C$2:$C$10,I749,0),OFFSET($D$2:$H$10,I749,0)))</f>
        <v>101.875</v>
      </c>
      <c r="K749" s="6">
        <f ca="1"/>
        <v>-9.9999999999990905</v>
      </c>
      <c r="L749" s="6">
        <f ca="1"/>
        <v>-7.5000000000009095</v>
      </c>
      <c r="M749" s="6">
        <f ca="1"/>
        <v>6.2500000000006821</v>
      </c>
      <c r="N749" s="6">
        <f ca="1"/>
        <v>-6.2500000000003553E-2</v>
      </c>
      <c r="O749" s="6">
        <f t="shared" ca="1" si="110"/>
        <v>78.749999999998209</v>
      </c>
      <c r="P749" t="str">
        <f t="shared" si="111"/>
        <v>NA</v>
      </c>
      <c r="Q749" s="10">
        <f t="shared" ca="1" si="112"/>
        <v>78.749999999998522</v>
      </c>
      <c r="R749" s="10">
        <f t="shared" ca="1" si="113"/>
        <v>94.374999999999091</v>
      </c>
      <c r="S749" s="10">
        <f t="shared" ca="1" si="114"/>
        <v>-15.625000000000568</v>
      </c>
      <c r="T749" s="10">
        <f t="shared" ca="1" si="115"/>
        <v>249.99999999999488</v>
      </c>
      <c r="U749" s="10" t="str">
        <f t="shared" ca="1" si="116"/>
        <v>OR</v>
      </c>
      <c r="V749">
        <f t="shared" si="117"/>
        <v>3</v>
      </c>
    </row>
    <row r="750" spans="1:22" x14ac:dyDescent="0.25">
      <c r="A750">
        <v>84</v>
      </c>
      <c r="B750">
        <v>2</v>
      </c>
      <c r="C750">
        <v>70</v>
      </c>
      <c r="D750">
        <v>1</v>
      </c>
      <c r="E750">
        <v>1</v>
      </c>
      <c r="F750">
        <v>0</v>
      </c>
      <c r="G750">
        <v>0</v>
      </c>
      <c r="H750">
        <v>350</v>
      </c>
      <c r="I750">
        <f t="shared" si="118"/>
        <v>747</v>
      </c>
      <c r="J750" s="6">
        <f t="array" aca="1" ref="J750:N750" ca="1">TRANSPOSE(ols(OFFSET($C$2:$C$10,I750,0),OFFSET($D$2:$H$10,I750,0)))</f>
        <v>101.875</v>
      </c>
      <c r="K750" s="6">
        <f ca="1"/>
        <v>-9.9999999999990905</v>
      </c>
      <c r="L750" s="6">
        <f ca="1"/>
        <v>-7.5000000000009095</v>
      </c>
      <c r="M750" s="6">
        <f ca="1"/>
        <v>6.2500000000006821</v>
      </c>
      <c r="N750" s="6">
        <f ca="1"/>
        <v>-6.2500000000003553E-2</v>
      </c>
      <c r="O750" s="6">
        <f t="shared" ca="1" si="110"/>
        <v>69.999999999999659</v>
      </c>
      <c r="P750" t="str">
        <f t="shared" si="111"/>
        <v>NA</v>
      </c>
      <c r="Q750" s="10">
        <f t="shared" ca="1" si="112"/>
        <v>78.749999999998522</v>
      </c>
      <c r="R750" s="10">
        <f t="shared" ca="1" si="113"/>
        <v>91.875000000000909</v>
      </c>
      <c r="S750" s="10">
        <f t="shared" ca="1" si="114"/>
        <v>-13.125000000002387</v>
      </c>
      <c r="T750" s="10">
        <f t="shared" ca="1" si="115"/>
        <v>210.00000000002626</v>
      </c>
      <c r="U750" s="10" t="str">
        <f t="shared" ca="1" si="116"/>
        <v>OR</v>
      </c>
      <c r="V750">
        <f t="shared" si="117"/>
        <v>2</v>
      </c>
    </row>
    <row r="751" spans="1:22" x14ac:dyDescent="0.25">
      <c r="A751">
        <v>84</v>
      </c>
      <c r="B751">
        <v>3</v>
      </c>
      <c r="C751">
        <v>62.5</v>
      </c>
      <c r="D751">
        <v>1</v>
      </c>
      <c r="E751">
        <v>1</v>
      </c>
      <c r="F751">
        <v>0</v>
      </c>
      <c r="G751">
        <v>0</v>
      </c>
      <c r="H751">
        <v>450</v>
      </c>
      <c r="I751">
        <f t="shared" si="118"/>
        <v>747</v>
      </c>
      <c r="J751" s="6">
        <f t="array" aca="1" ref="J751:N751" ca="1">TRANSPOSE(ols(OFFSET($C$2:$C$10,I751,0),OFFSET($D$2:$H$10,I751,0)))</f>
        <v>101.875</v>
      </c>
      <c r="K751" s="6">
        <f ca="1"/>
        <v>-9.9999999999990905</v>
      </c>
      <c r="L751" s="6">
        <f ca="1"/>
        <v>-7.5000000000009095</v>
      </c>
      <c r="M751" s="6">
        <f ca="1"/>
        <v>6.2500000000006821</v>
      </c>
      <c r="N751" s="6">
        <f ca="1"/>
        <v>-6.2500000000003553E-2</v>
      </c>
      <c r="O751" s="6">
        <f t="shared" ca="1" si="110"/>
        <v>63.749999999999311</v>
      </c>
      <c r="P751" t="str">
        <f t="shared" si="111"/>
        <v>NA</v>
      </c>
      <c r="Q751" s="10">
        <f t="shared" ca="1" si="112"/>
        <v>78.749999999998522</v>
      </c>
      <c r="R751" s="10">
        <f t="shared" ca="1" si="113"/>
        <v>91.875000000000909</v>
      </c>
      <c r="S751" s="10">
        <f t="shared" ca="1" si="114"/>
        <v>-13.125000000002387</v>
      </c>
      <c r="T751" s="10">
        <f t="shared" ca="1" si="115"/>
        <v>210.00000000002626</v>
      </c>
      <c r="U751" s="10" t="str">
        <f t="shared" ca="1" si="116"/>
        <v>OR</v>
      </c>
      <c r="V751">
        <f t="shared" si="117"/>
        <v>2</v>
      </c>
    </row>
    <row r="752" spans="1:22" x14ac:dyDescent="0.25">
      <c r="A752">
        <v>84</v>
      </c>
      <c r="B752">
        <v>4</v>
      </c>
      <c r="C752">
        <v>70</v>
      </c>
      <c r="D752">
        <v>1</v>
      </c>
      <c r="E752">
        <v>0</v>
      </c>
      <c r="F752">
        <v>0</v>
      </c>
      <c r="G752">
        <v>0</v>
      </c>
      <c r="H752">
        <v>550</v>
      </c>
      <c r="I752">
        <f t="shared" si="118"/>
        <v>747</v>
      </c>
      <c r="J752" s="6">
        <f t="array" aca="1" ref="J752:N752" ca="1">TRANSPOSE(ols(OFFSET($C$2:$C$10,I752,0),OFFSET($D$2:$H$10,I752,0)))</f>
        <v>101.875</v>
      </c>
      <c r="K752" s="6">
        <f ca="1"/>
        <v>-9.9999999999990905</v>
      </c>
      <c r="L752" s="6">
        <f ca="1"/>
        <v>-7.5000000000009095</v>
      </c>
      <c r="M752" s="6">
        <f ca="1"/>
        <v>6.2500000000006821</v>
      </c>
      <c r="N752" s="6">
        <f ca="1"/>
        <v>-6.2500000000003553E-2</v>
      </c>
      <c r="O752" s="6">
        <f t="shared" ca="1" si="110"/>
        <v>67.499999999998039</v>
      </c>
      <c r="P752" t="str">
        <f t="shared" si="111"/>
        <v>NA</v>
      </c>
      <c r="Q752" s="10">
        <f t="shared" ca="1" si="112"/>
        <v>78.749999999998522</v>
      </c>
      <c r="R752" s="10">
        <f t="shared" ca="1" si="113"/>
        <v>101.875</v>
      </c>
      <c r="S752" s="10">
        <f t="shared" ca="1" si="114"/>
        <v>-23.125000000001478</v>
      </c>
      <c r="T752" s="10">
        <f t="shared" ca="1" si="115"/>
        <v>370.00000000000261</v>
      </c>
      <c r="U752" s="10">
        <f t="shared" ca="1" si="116"/>
        <v>370.00000000000261</v>
      </c>
      <c r="V752">
        <f t="shared" si="117"/>
        <v>1</v>
      </c>
    </row>
    <row r="753" spans="1:22" x14ac:dyDescent="0.25">
      <c r="A753">
        <v>84</v>
      </c>
      <c r="B753">
        <v>5</v>
      </c>
      <c r="C753">
        <v>85</v>
      </c>
      <c r="D753">
        <v>1</v>
      </c>
      <c r="E753">
        <v>0</v>
      </c>
      <c r="F753">
        <v>1</v>
      </c>
      <c r="G753">
        <v>1</v>
      </c>
      <c r="H753">
        <v>250</v>
      </c>
      <c r="I753">
        <f t="shared" si="118"/>
        <v>747</v>
      </c>
      <c r="J753" s="6">
        <f t="array" aca="1" ref="J753:N753" ca="1">TRANSPOSE(ols(OFFSET($C$2:$C$10,I753,0),OFFSET($D$2:$H$10,I753,0)))</f>
        <v>101.875</v>
      </c>
      <c r="K753" s="6">
        <f ca="1"/>
        <v>-9.9999999999990905</v>
      </c>
      <c r="L753" s="6">
        <f ca="1"/>
        <v>-7.5000000000009095</v>
      </c>
      <c r="M753" s="6">
        <f ca="1"/>
        <v>6.2500000000006821</v>
      </c>
      <c r="N753" s="6">
        <f ca="1"/>
        <v>-6.2500000000003553E-2</v>
      </c>
      <c r="O753" s="6">
        <f t="shared" ca="1" si="110"/>
        <v>84.999999999998892</v>
      </c>
      <c r="P753" t="str">
        <f t="shared" si="111"/>
        <v>NA</v>
      </c>
      <c r="Q753" s="10">
        <f t="shared" ca="1" si="112"/>
        <v>78.749999999998522</v>
      </c>
      <c r="R753" s="10">
        <f t="shared" ca="1" si="113"/>
        <v>100.62499999999977</v>
      </c>
      <c r="S753" s="10">
        <f t="shared" ca="1" si="114"/>
        <v>-21.875000000001251</v>
      </c>
      <c r="T753" s="10">
        <f t="shared" ca="1" si="115"/>
        <v>350.00000000000011</v>
      </c>
      <c r="U753" s="10">
        <f t="shared" ca="1" si="116"/>
        <v>350.00000000000011</v>
      </c>
      <c r="V753">
        <f t="shared" si="117"/>
        <v>6</v>
      </c>
    </row>
    <row r="754" spans="1:22" x14ac:dyDescent="0.25">
      <c r="A754">
        <v>84</v>
      </c>
      <c r="B754">
        <v>6</v>
      </c>
      <c r="C754">
        <v>80</v>
      </c>
      <c r="D754">
        <v>1</v>
      </c>
      <c r="E754">
        <v>0</v>
      </c>
      <c r="F754">
        <v>1</v>
      </c>
      <c r="G754">
        <v>1</v>
      </c>
      <c r="H754">
        <v>350</v>
      </c>
      <c r="I754">
        <f t="shared" si="118"/>
        <v>747</v>
      </c>
      <c r="J754" s="6">
        <f t="array" aca="1" ref="J754:N754" ca="1">TRANSPOSE(ols(OFFSET($C$2:$C$10,I754,0),OFFSET($D$2:$H$10,I754,0)))</f>
        <v>101.875</v>
      </c>
      <c r="K754" s="6">
        <f ca="1"/>
        <v>-9.9999999999990905</v>
      </c>
      <c r="L754" s="6">
        <f ca="1"/>
        <v>-7.5000000000009095</v>
      </c>
      <c r="M754" s="6">
        <f ca="1"/>
        <v>6.2500000000006821</v>
      </c>
      <c r="N754" s="6">
        <f ca="1"/>
        <v>-6.2500000000003553E-2</v>
      </c>
      <c r="O754" s="6">
        <f t="shared" ca="1" si="110"/>
        <v>78.749999999998522</v>
      </c>
      <c r="P754">
        <f t="shared" ca="1" si="111"/>
        <v>78.749999999998522</v>
      </c>
      <c r="Q754" s="10">
        <f t="shared" ca="1" si="112"/>
        <v>78.749999999998522</v>
      </c>
      <c r="R754" s="10">
        <f t="shared" ca="1" si="113"/>
        <v>100.62499999999977</v>
      </c>
      <c r="S754" s="10">
        <f t="shared" ca="1" si="114"/>
        <v>-21.875000000001251</v>
      </c>
      <c r="T754" s="10">
        <f t="shared" ca="1" si="115"/>
        <v>350.00000000000011</v>
      </c>
      <c r="U754" s="10">
        <f t="shared" ca="1" si="116"/>
        <v>350.00000000000011</v>
      </c>
      <c r="V754">
        <f t="shared" si="117"/>
        <v>6</v>
      </c>
    </row>
    <row r="755" spans="1:22" x14ac:dyDescent="0.25">
      <c r="A755">
        <v>84</v>
      </c>
      <c r="B755">
        <v>7</v>
      </c>
      <c r="C755">
        <v>70</v>
      </c>
      <c r="D755">
        <v>1</v>
      </c>
      <c r="E755">
        <v>1</v>
      </c>
      <c r="F755">
        <v>0</v>
      </c>
      <c r="G755">
        <v>1</v>
      </c>
      <c r="H755">
        <v>450</v>
      </c>
      <c r="I755">
        <f t="shared" si="118"/>
        <v>747</v>
      </c>
      <c r="J755" s="6">
        <f t="array" aca="1" ref="J755:N755" ca="1">TRANSPOSE(ols(OFFSET($C$2:$C$10,I755,0),OFFSET($D$2:$H$10,I755,0)))</f>
        <v>101.875</v>
      </c>
      <c r="K755" s="6">
        <f ca="1"/>
        <v>-9.9999999999990905</v>
      </c>
      <c r="L755" s="6">
        <f ca="1"/>
        <v>-7.5000000000009095</v>
      </c>
      <c r="M755" s="6">
        <f ca="1"/>
        <v>6.2500000000006821</v>
      </c>
      <c r="N755" s="6">
        <f ca="1"/>
        <v>-6.2500000000003553E-2</v>
      </c>
      <c r="O755" s="6">
        <f t="shared" ca="1" si="110"/>
        <v>70</v>
      </c>
      <c r="P755" t="str">
        <f t="shared" si="111"/>
        <v>NA</v>
      </c>
      <c r="Q755" s="10">
        <f t="shared" ca="1" si="112"/>
        <v>78.749999999998522</v>
      </c>
      <c r="R755" s="10">
        <f t="shared" ca="1" si="113"/>
        <v>98.125000000001592</v>
      </c>
      <c r="S755" s="10">
        <f t="shared" ca="1" si="114"/>
        <v>-19.37500000000307</v>
      </c>
      <c r="T755" s="10">
        <f t="shared" ca="1" si="115"/>
        <v>310.00000000003149</v>
      </c>
      <c r="U755" s="10">
        <f t="shared" ca="1" si="116"/>
        <v>310.00000000003149</v>
      </c>
      <c r="V755">
        <f t="shared" si="117"/>
        <v>5</v>
      </c>
    </row>
    <row r="756" spans="1:22" x14ac:dyDescent="0.25">
      <c r="A756">
        <v>84</v>
      </c>
      <c r="B756">
        <v>8</v>
      </c>
      <c r="C756">
        <v>65</v>
      </c>
      <c r="D756">
        <v>1</v>
      </c>
      <c r="E756">
        <v>1</v>
      </c>
      <c r="F756">
        <v>0</v>
      </c>
      <c r="G756">
        <v>1</v>
      </c>
      <c r="H756">
        <v>550</v>
      </c>
      <c r="I756">
        <f t="shared" si="118"/>
        <v>747</v>
      </c>
      <c r="J756" s="6">
        <f t="array" aca="1" ref="J756:N756" ca="1">TRANSPOSE(ols(OFFSET($C$2:$C$10,I756,0),OFFSET($D$2:$H$10,I756,0)))</f>
        <v>101.875</v>
      </c>
      <c r="K756" s="6">
        <f ca="1"/>
        <v>-9.9999999999990905</v>
      </c>
      <c r="L756" s="6">
        <f ca="1"/>
        <v>-7.5000000000009095</v>
      </c>
      <c r="M756" s="6">
        <f ca="1"/>
        <v>6.2500000000006821</v>
      </c>
      <c r="N756" s="6">
        <f ca="1"/>
        <v>-6.2500000000003553E-2</v>
      </c>
      <c r="O756" s="6">
        <f t="shared" ca="1" si="110"/>
        <v>63.749999999999638</v>
      </c>
      <c r="P756" t="str">
        <f t="shared" si="111"/>
        <v>NA</v>
      </c>
      <c r="Q756" s="10">
        <f t="shared" ca="1" si="112"/>
        <v>78.749999999998522</v>
      </c>
      <c r="R756" s="10">
        <f t="shared" ca="1" si="113"/>
        <v>98.125000000001592</v>
      </c>
      <c r="S756" s="10">
        <f t="shared" ca="1" si="114"/>
        <v>-19.37500000000307</v>
      </c>
      <c r="T756" s="10">
        <f t="shared" ca="1" si="115"/>
        <v>310.00000000003149</v>
      </c>
      <c r="U756" s="10">
        <f t="shared" ca="1" si="116"/>
        <v>310.00000000003149</v>
      </c>
      <c r="V756">
        <f t="shared" si="117"/>
        <v>5</v>
      </c>
    </row>
    <row r="757" spans="1:22" x14ac:dyDescent="0.25">
      <c r="A757">
        <v>84</v>
      </c>
      <c r="B757">
        <v>9</v>
      </c>
      <c r="C757">
        <v>65</v>
      </c>
      <c r="D757">
        <v>1</v>
      </c>
      <c r="E757">
        <v>0</v>
      </c>
      <c r="F757">
        <v>0</v>
      </c>
      <c r="G757">
        <v>1</v>
      </c>
      <c r="H757">
        <v>650</v>
      </c>
      <c r="I757">
        <f t="shared" si="118"/>
        <v>747</v>
      </c>
      <c r="J757" s="6">
        <f t="array" aca="1" ref="J757:N757" ca="1">TRANSPOSE(ols(OFFSET($C$2:$C$10,I757,0),OFFSET($D$2:$H$10,I757,0)))</f>
        <v>101.875</v>
      </c>
      <c r="K757" s="6">
        <f ca="1"/>
        <v>-9.9999999999990905</v>
      </c>
      <c r="L757" s="6">
        <f ca="1"/>
        <v>-7.5000000000009095</v>
      </c>
      <c r="M757" s="6">
        <f ca="1"/>
        <v>6.2500000000006821</v>
      </c>
      <c r="N757" s="6">
        <f ca="1"/>
        <v>-6.2500000000003553E-2</v>
      </c>
      <c r="O757" s="6">
        <f t="shared" ca="1" si="110"/>
        <v>67.49999999999838</v>
      </c>
      <c r="P757" t="str">
        <f t="shared" si="111"/>
        <v>NA</v>
      </c>
      <c r="Q757" s="10">
        <f t="shared" ca="1" si="112"/>
        <v>78.749999999998522</v>
      </c>
      <c r="R757" s="10">
        <f t="shared" ca="1" si="113"/>
        <v>108.12500000000068</v>
      </c>
      <c r="S757" s="10">
        <f t="shared" ca="1" si="114"/>
        <v>-29.37500000000216</v>
      </c>
      <c r="T757" s="10">
        <f t="shared" ca="1" si="115"/>
        <v>470.00000000000784</v>
      </c>
      <c r="U757" s="10">
        <f t="shared" ca="1" si="116"/>
        <v>470.00000000000784</v>
      </c>
      <c r="V757">
        <f t="shared" si="117"/>
        <v>4</v>
      </c>
    </row>
    <row r="758" spans="1:22" x14ac:dyDescent="0.25">
      <c r="A758">
        <v>85</v>
      </c>
      <c r="B758">
        <v>1</v>
      </c>
      <c r="C758">
        <v>70</v>
      </c>
      <c r="D758">
        <v>1</v>
      </c>
      <c r="E758">
        <v>0</v>
      </c>
      <c r="F758">
        <v>1</v>
      </c>
      <c r="G758">
        <v>0</v>
      </c>
      <c r="H758">
        <v>250</v>
      </c>
      <c r="I758">
        <f t="shared" si="118"/>
        <v>756</v>
      </c>
      <c r="J758" s="6">
        <f t="array" aca="1" ref="J758:N758" ca="1">TRANSPOSE(ols(OFFSET($C$2:$C$10,I758,0),OFFSET($D$2:$H$10,I758,0)))</f>
        <v>100.17857142857247</v>
      </c>
      <c r="K758" s="6">
        <f ca="1"/>
        <v>-20.892857142857792</v>
      </c>
      <c r="L758" s="6">
        <f ca="1"/>
        <v>-26.07142857143026</v>
      </c>
      <c r="M758" s="6">
        <f ca="1"/>
        <v>-3.2142857142855519</v>
      </c>
      <c r="N758" s="6">
        <f ca="1"/>
        <v>-3.9285714285716367E-2</v>
      </c>
      <c r="O758" s="6">
        <f t="shared" ca="1" si="110"/>
        <v>64.285714285713112</v>
      </c>
      <c r="P758" t="str">
        <f t="shared" si="111"/>
        <v>NA</v>
      </c>
      <c r="Q758" s="10">
        <f t="shared" ca="1" si="112"/>
        <v>57.142857142855931</v>
      </c>
      <c r="R758" s="10">
        <f t="shared" ca="1" si="113"/>
        <v>74.107142857142208</v>
      </c>
      <c r="S758" s="10">
        <f t="shared" ca="1" si="114"/>
        <v>-16.964285714286277</v>
      </c>
      <c r="T758" s="10">
        <f t="shared" ca="1" si="115"/>
        <v>431.81818181817329</v>
      </c>
      <c r="U758" s="10">
        <f t="shared" ca="1" si="116"/>
        <v>431.81818181817329</v>
      </c>
      <c r="V758">
        <f t="shared" si="117"/>
        <v>3</v>
      </c>
    </row>
    <row r="759" spans="1:22" x14ac:dyDescent="0.25">
      <c r="A759">
        <v>85</v>
      </c>
      <c r="B759">
        <v>2</v>
      </c>
      <c r="C759">
        <v>70</v>
      </c>
      <c r="D759">
        <v>1</v>
      </c>
      <c r="E759">
        <v>1</v>
      </c>
      <c r="F759">
        <v>0</v>
      </c>
      <c r="G759">
        <v>0</v>
      </c>
      <c r="H759">
        <v>350</v>
      </c>
      <c r="I759">
        <f t="shared" si="118"/>
        <v>756</v>
      </c>
      <c r="J759" s="6">
        <f t="array" aca="1" ref="J759:N759" ca="1">TRANSPOSE(ols(OFFSET($C$2:$C$10,I759,0),OFFSET($D$2:$H$10,I759,0)))</f>
        <v>100.17857142857247</v>
      </c>
      <c r="K759" s="6">
        <f ca="1"/>
        <v>-20.892857142857792</v>
      </c>
      <c r="L759" s="6">
        <f ca="1"/>
        <v>-26.07142857143026</v>
      </c>
      <c r="M759" s="6">
        <f ca="1"/>
        <v>-3.2142857142855519</v>
      </c>
      <c r="N759" s="6">
        <f ca="1"/>
        <v>-3.9285714285716367E-2</v>
      </c>
      <c r="O759" s="6">
        <f t="shared" ca="1" si="110"/>
        <v>65.535714285713951</v>
      </c>
      <c r="P759" t="str">
        <f t="shared" si="111"/>
        <v>NA</v>
      </c>
      <c r="Q759" s="10">
        <f t="shared" ca="1" si="112"/>
        <v>57.142857142855931</v>
      </c>
      <c r="R759" s="10">
        <f t="shared" ca="1" si="113"/>
        <v>79.285714285714675</v>
      </c>
      <c r="S759" s="10">
        <f t="shared" ca="1" si="114"/>
        <v>-22.142857142858745</v>
      </c>
      <c r="T759" s="10">
        <f t="shared" ca="1" si="115"/>
        <v>563.63636363637454</v>
      </c>
      <c r="U759" s="10">
        <f t="shared" ca="1" si="116"/>
        <v>563.63636363637454</v>
      </c>
      <c r="V759">
        <f t="shared" si="117"/>
        <v>2</v>
      </c>
    </row>
    <row r="760" spans="1:22" x14ac:dyDescent="0.25">
      <c r="A760">
        <v>85</v>
      </c>
      <c r="B760">
        <v>3</v>
      </c>
      <c r="C760">
        <v>60</v>
      </c>
      <c r="D760">
        <v>1</v>
      </c>
      <c r="E760">
        <v>1</v>
      </c>
      <c r="F760">
        <v>0</v>
      </c>
      <c r="G760">
        <v>0</v>
      </c>
      <c r="H760">
        <v>450</v>
      </c>
      <c r="I760">
        <f t="shared" si="118"/>
        <v>756</v>
      </c>
      <c r="J760" s="6">
        <f t="array" aca="1" ref="J760:N760" ca="1">TRANSPOSE(ols(OFFSET($C$2:$C$10,I760,0),OFFSET($D$2:$H$10,I760,0)))</f>
        <v>100.17857142857247</v>
      </c>
      <c r="K760" s="6">
        <f ca="1"/>
        <v>-20.892857142857792</v>
      </c>
      <c r="L760" s="6">
        <f ca="1"/>
        <v>-26.07142857143026</v>
      </c>
      <c r="M760" s="6">
        <f ca="1"/>
        <v>-3.2142857142855519</v>
      </c>
      <c r="N760" s="6">
        <f ca="1"/>
        <v>-3.9285714285716367E-2</v>
      </c>
      <c r="O760" s="6">
        <f t="shared" ca="1" si="110"/>
        <v>61.607142857142307</v>
      </c>
      <c r="P760" t="str">
        <f t="shared" si="111"/>
        <v>NA</v>
      </c>
      <c r="Q760" s="10">
        <f t="shared" ca="1" si="112"/>
        <v>57.142857142855931</v>
      </c>
      <c r="R760" s="10">
        <f t="shared" ca="1" si="113"/>
        <v>79.285714285714675</v>
      </c>
      <c r="S760" s="10">
        <f t="shared" ca="1" si="114"/>
        <v>-22.142857142858745</v>
      </c>
      <c r="T760" s="10">
        <f t="shared" ca="1" si="115"/>
        <v>563.63636363637454</v>
      </c>
      <c r="U760" s="10">
        <f t="shared" ca="1" si="116"/>
        <v>563.63636363637454</v>
      </c>
      <c r="V760">
        <f t="shared" si="117"/>
        <v>2</v>
      </c>
    </row>
    <row r="761" spans="1:22" x14ac:dyDescent="0.25">
      <c r="A761">
        <v>85</v>
      </c>
      <c r="B761">
        <v>4</v>
      </c>
      <c r="C761">
        <v>70</v>
      </c>
      <c r="D761">
        <v>1</v>
      </c>
      <c r="E761">
        <v>0</v>
      </c>
      <c r="F761">
        <v>0</v>
      </c>
      <c r="G761">
        <v>0</v>
      </c>
      <c r="H761">
        <v>550</v>
      </c>
      <c r="I761">
        <f t="shared" si="118"/>
        <v>756</v>
      </c>
      <c r="J761" s="6">
        <f t="array" aca="1" ref="J761:N761" ca="1">TRANSPOSE(ols(OFFSET($C$2:$C$10,I761,0),OFFSET($D$2:$H$10,I761,0)))</f>
        <v>100.17857142857247</v>
      </c>
      <c r="K761" s="6">
        <f ca="1"/>
        <v>-20.892857142857792</v>
      </c>
      <c r="L761" s="6">
        <f ca="1"/>
        <v>-26.07142857143026</v>
      </c>
      <c r="M761" s="6">
        <f ca="1"/>
        <v>-3.2142857142855519</v>
      </c>
      <c r="N761" s="6">
        <f ca="1"/>
        <v>-3.9285714285716367E-2</v>
      </c>
      <c r="O761" s="6">
        <f t="shared" ca="1" si="110"/>
        <v>78.57142857142847</v>
      </c>
      <c r="P761" t="str">
        <f t="shared" si="111"/>
        <v>NA</v>
      </c>
      <c r="Q761" s="10">
        <f t="shared" ca="1" si="112"/>
        <v>57.142857142855931</v>
      </c>
      <c r="R761" s="10">
        <f t="shared" ca="1" si="113"/>
        <v>100.17857142857247</v>
      </c>
      <c r="S761" s="10">
        <f t="shared" ca="1" si="114"/>
        <v>-43.035714285716537</v>
      </c>
      <c r="T761" s="10">
        <f t="shared" ca="1" si="115"/>
        <v>1095.4545454545448</v>
      </c>
      <c r="U761" s="10" t="str">
        <f t="shared" ca="1" si="116"/>
        <v>OR</v>
      </c>
      <c r="V761">
        <f t="shared" si="117"/>
        <v>1</v>
      </c>
    </row>
    <row r="762" spans="1:22" x14ac:dyDescent="0.25">
      <c r="A762">
        <v>85</v>
      </c>
      <c r="B762">
        <v>5</v>
      </c>
      <c r="C762">
        <v>60</v>
      </c>
      <c r="D762">
        <v>1</v>
      </c>
      <c r="E762">
        <v>0</v>
      </c>
      <c r="F762">
        <v>1</v>
      </c>
      <c r="G762">
        <v>1</v>
      </c>
      <c r="H762">
        <v>250</v>
      </c>
      <c r="I762">
        <f t="shared" si="118"/>
        <v>756</v>
      </c>
      <c r="J762" s="6">
        <f t="array" aca="1" ref="J762:N762" ca="1">TRANSPOSE(ols(OFFSET($C$2:$C$10,I762,0),OFFSET($D$2:$H$10,I762,0)))</f>
        <v>100.17857142857247</v>
      </c>
      <c r="K762" s="6">
        <f ca="1"/>
        <v>-20.892857142857792</v>
      </c>
      <c r="L762" s="6">
        <f ca="1"/>
        <v>-26.07142857143026</v>
      </c>
      <c r="M762" s="6">
        <f ca="1"/>
        <v>-3.2142857142855519</v>
      </c>
      <c r="N762" s="6">
        <f ca="1"/>
        <v>-3.9285714285716367E-2</v>
      </c>
      <c r="O762" s="6">
        <f t="shared" ca="1" si="110"/>
        <v>61.07142857142756</v>
      </c>
      <c r="P762" t="str">
        <f t="shared" si="111"/>
        <v>NA</v>
      </c>
      <c r="Q762" s="10">
        <f t="shared" ca="1" si="112"/>
        <v>57.142857142855931</v>
      </c>
      <c r="R762" s="10">
        <f t="shared" ca="1" si="113"/>
        <v>70.892857142856656</v>
      </c>
      <c r="S762" s="10">
        <f t="shared" ca="1" si="114"/>
        <v>-13.750000000000725</v>
      </c>
      <c r="T762" s="10">
        <f t="shared" ca="1" si="115"/>
        <v>349.99999999999989</v>
      </c>
      <c r="U762" s="10">
        <f t="shared" ca="1" si="116"/>
        <v>349.99999999999989</v>
      </c>
      <c r="V762">
        <f t="shared" si="117"/>
        <v>6</v>
      </c>
    </row>
    <row r="763" spans="1:22" x14ac:dyDescent="0.25">
      <c r="A763">
        <v>85</v>
      </c>
      <c r="B763">
        <v>6</v>
      </c>
      <c r="C763">
        <v>52.5</v>
      </c>
      <c r="D763">
        <v>1</v>
      </c>
      <c r="E763">
        <v>0</v>
      </c>
      <c r="F763">
        <v>1</v>
      </c>
      <c r="G763">
        <v>1</v>
      </c>
      <c r="H763">
        <v>350</v>
      </c>
      <c r="I763">
        <f t="shared" si="118"/>
        <v>756</v>
      </c>
      <c r="J763" s="6">
        <f t="array" aca="1" ref="J763:N763" ca="1">TRANSPOSE(ols(OFFSET($C$2:$C$10,I763,0),OFFSET($D$2:$H$10,I763,0)))</f>
        <v>100.17857142857247</v>
      </c>
      <c r="K763" s="6">
        <f ca="1"/>
        <v>-20.892857142857792</v>
      </c>
      <c r="L763" s="6">
        <f ca="1"/>
        <v>-26.07142857143026</v>
      </c>
      <c r="M763" s="6">
        <f ca="1"/>
        <v>-3.2142857142855519</v>
      </c>
      <c r="N763" s="6">
        <f ca="1"/>
        <v>-3.9285714285716367E-2</v>
      </c>
      <c r="O763" s="6">
        <f t="shared" ca="1" si="110"/>
        <v>57.142857142855931</v>
      </c>
      <c r="P763">
        <f t="shared" ca="1" si="111"/>
        <v>57.142857142855931</v>
      </c>
      <c r="Q763" s="10">
        <f t="shared" ca="1" si="112"/>
        <v>57.142857142855931</v>
      </c>
      <c r="R763" s="10">
        <f t="shared" ca="1" si="113"/>
        <v>70.892857142856656</v>
      </c>
      <c r="S763" s="10">
        <f t="shared" ca="1" si="114"/>
        <v>-13.750000000000725</v>
      </c>
      <c r="T763" s="10">
        <f t="shared" ca="1" si="115"/>
        <v>349.99999999999989</v>
      </c>
      <c r="U763" s="10">
        <f t="shared" ca="1" si="116"/>
        <v>349.99999999999989</v>
      </c>
      <c r="V763">
        <f t="shared" si="117"/>
        <v>6</v>
      </c>
    </row>
    <row r="764" spans="1:22" x14ac:dyDescent="0.25">
      <c r="A764">
        <v>85</v>
      </c>
      <c r="B764">
        <v>7</v>
      </c>
      <c r="C764">
        <v>55</v>
      </c>
      <c r="D764">
        <v>1</v>
      </c>
      <c r="E764">
        <v>1</v>
      </c>
      <c r="F764">
        <v>0</v>
      </c>
      <c r="G764">
        <v>1</v>
      </c>
      <c r="H764">
        <v>450</v>
      </c>
      <c r="I764">
        <f t="shared" si="118"/>
        <v>756</v>
      </c>
      <c r="J764" s="6">
        <f t="array" aca="1" ref="J764:N764" ca="1">TRANSPOSE(ols(OFFSET($C$2:$C$10,I764,0),OFFSET($D$2:$H$10,I764,0)))</f>
        <v>100.17857142857247</v>
      </c>
      <c r="K764" s="6">
        <f ca="1"/>
        <v>-20.892857142857792</v>
      </c>
      <c r="L764" s="6">
        <f ca="1"/>
        <v>-26.07142857143026</v>
      </c>
      <c r="M764" s="6">
        <f ca="1"/>
        <v>-3.2142857142855519</v>
      </c>
      <c r="N764" s="6">
        <f ca="1"/>
        <v>-3.9285714285716367E-2</v>
      </c>
      <c r="O764" s="6">
        <f t="shared" ca="1" si="110"/>
        <v>58.392857142856755</v>
      </c>
      <c r="P764" t="str">
        <f t="shared" si="111"/>
        <v>NA</v>
      </c>
      <c r="Q764" s="10">
        <f t="shared" ca="1" si="112"/>
        <v>57.142857142855931</v>
      </c>
      <c r="R764" s="10">
        <f t="shared" ca="1" si="113"/>
        <v>76.071428571429124</v>
      </c>
      <c r="S764" s="10">
        <f t="shared" ca="1" si="114"/>
        <v>-18.928571428573193</v>
      </c>
      <c r="T764" s="10">
        <f t="shared" ca="1" si="115"/>
        <v>481.8181818182012</v>
      </c>
      <c r="U764" s="10">
        <f t="shared" ca="1" si="116"/>
        <v>481.8181818182012</v>
      </c>
      <c r="V764">
        <f t="shared" si="117"/>
        <v>5</v>
      </c>
    </row>
    <row r="765" spans="1:22" x14ac:dyDescent="0.25">
      <c r="A765">
        <v>85</v>
      </c>
      <c r="B765">
        <v>8</v>
      </c>
      <c r="C765">
        <v>55</v>
      </c>
      <c r="D765">
        <v>1</v>
      </c>
      <c r="E765">
        <v>1</v>
      </c>
      <c r="F765">
        <v>0</v>
      </c>
      <c r="G765">
        <v>1</v>
      </c>
      <c r="H765">
        <v>550</v>
      </c>
      <c r="I765">
        <f t="shared" si="118"/>
        <v>756</v>
      </c>
      <c r="J765" s="6">
        <f t="array" aca="1" ref="J765:N765" ca="1">TRANSPOSE(ols(OFFSET($C$2:$C$10,I765,0),OFFSET($D$2:$H$10,I765,0)))</f>
        <v>100.17857142857247</v>
      </c>
      <c r="K765" s="6">
        <f ca="1"/>
        <v>-20.892857142857792</v>
      </c>
      <c r="L765" s="6">
        <f ca="1"/>
        <v>-26.07142857143026</v>
      </c>
      <c r="M765" s="6">
        <f ca="1"/>
        <v>-3.2142857142855519</v>
      </c>
      <c r="N765" s="6">
        <f ca="1"/>
        <v>-3.9285714285716367E-2</v>
      </c>
      <c r="O765" s="6">
        <f t="shared" ca="1" si="110"/>
        <v>54.464285714285126</v>
      </c>
      <c r="P765" t="str">
        <f t="shared" si="111"/>
        <v>NA</v>
      </c>
      <c r="Q765" s="10">
        <f t="shared" ca="1" si="112"/>
        <v>57.142857142855931</v>
      </c>
      <c r="R765" s="10">
        <f t="shared" ca="1" si="113"/>
        <v>76.071428571429124</v>
      </c>
      <c r="S765" s="10">
        <f t="shared" ca="1" si="114"/>
        <v>-18.928571428573193</v>
      </c>
      <c r="T765" s="10">
        <f t="shared" ca="1" si="115"/>
        <v>481.8181818182012</v>
      </c>
      <c r="U765" s="10">
        <f t="shared" ca="1" si="116"/>
        <v>481.8181818182012</v>
      </c>
      <c r="V765">
        <f t="shared" si="117"/>
        <v>5</v>
      </c>
    </row>
    <row r="766" spans="1:22" x14ac:dyDescent="0.25">
      <c r="A766">
        <v>85</v>
      </c>
      <c r="B766">
        <v>9</v>
      </c>
      <c r="C766">
        <v>80</v>
      </c>
      <c r="D766">
        <v>1</v>
      </c>
      <c r="E766">
        <v>0</v>
      </c>
      <c r="F766">
        <v>0</v>
      </c>
      <c r="G766">
        <v>1</v>
      </c>
      <c r="H766">
        <v>650</v>
      </c>
      <c r="I766">
        <f t="shared" si="118"/>
        <v>756</v>
      </c>
      <c r="J766" s="6">
        <f t="array" aca="1" ref="J766:N766" ca="1">TRANSPOSE(ols(OFFSET($C$2:$C$10,I766,0),OFFSET($D$2:$H$10,I766,0)))</f>
        <v>100.17857142857247</v>
      </c>
      <c r="K766" s="6">
        <f ca="1"/>
        <v>-20.892857142857792</v>
      </c>
      <c r="L766" s="6">
        <f ca="1"/>
        <v>-26.07142857143026</v>
      </c>
      <c r="M766" s="6">
        <f ca="1"/>
        <v>-3.2142857142855519</v>
      </c>
      <c r="N766" s="6">
        <f ca="1"/>
        <v>-3.9285714285716367E-2</v>
      </c>
      <c r="O766" s="6">
        <f t="shared" ca="1" si="110"/>
        <v>71.428571428571274</v>
      </c>
      <c r="P766" t="str">
        <f t="shared" si="111"/>
        <v>NA</v>
      </c>
      <c r="Q766" s="10">
        <f t="shared" ca="1" si="112"/>
        <v>57.142857142855931</v>
      </c>
      <c r="R766" s="10">
        <f t="shared" ca="1" si="113"/>
        <v>96.964285714286916</v>
      </c>
      <c r="S766" s="10">
        <f t="shared" ca="1" si="114"/>
        <v>-39.821428571430985</v>
      </c>
      <c r="T766" s="10">
        <f t="shared" ca="1" si="115"/>
        <v>1013.6363636363714</v>
      </c>
      <c r="U766" s="10" t="str">
        <f t="shared" ca="1" si="116"/>
        <v>OR</v>
      </c>
      <c r="V766">
        <f t="shared" si="117"/>
        <v>4</v>
      </c>
    </row>
    <row r="767" spans="1:22" x14ac:dyDescent="0.25">
      <c r="A767">
        <v>86</v>
      </c>
      <c r="B767">
        <v>1</v>
      </c>
      <c r="C767">
        <v>25</v>
      </c>
      <c r="D767">
        <v>1</v>
      </c>
      <c r="E767">
        <v>0</v>
      </c>
      <c r="F767">
        <v>1</v>
      </c>
      <c r="G767">
        <v>0</v>
      </c>
      <c r="H767">
        <v>250</v>
      </c>
      <c r="I767">
        <f t="shared" si="118"/>
        <v>765</v>
      </c>
      <c r="J767" s="6">
        <f t="array" aca="1" ref="J767:N767" ca="1">TRANSPOSE(ols(OFFSET($C$2:$C$10,I767,0),OFFSET($D$2:$H$10,I767,0)))</f>
        <v>63.273809523808723</v>
      </c>
      <c r="K767" s="6">
        <f ca="1"/>
        <v>0.71428571428600662</v>
      </c>
      <c r="L767" s="6">
        <f ca="1"/>
        <v>-15.476190476190141</v>
      </c>
      <c r="M767" s="6">
        <f ca="1"/>
        <v>7.7380952380954113</v>
      </c>
      <c r="N767" s="6">
        <f ca="1"/>
        <v>-8.690476190476204E-2</v>
      </c>
      <c r="O767" s="6">
        <f t="shared" ca="1" si="110"/>
        <v>26.071428571428072</v>
      </c>
      <c r="P767" t="str">
        <f t="shared" si="111"/>
        <v>NA</v>
      </c>
      <c r="Q767" s="10">
        <f t="shared" ca="1" si="112"/>
        <v>25.119047619047279</v>
      </c>
      <c r="R767" s="10">
        <f t="shared" ca="1" si="113"/>
        <v>47.797619047618582</v>
      </c>
      <c r="S767" s="10">
        <f t="shared" ca="1" si="114"/>
        <v>-22.678571428571303</v>
      </c>
      <c r="T767" s="10">
        <f t="shared" ca="1" si="115"/>
        <v>260.95890410958719</v>
      </c>
      <c r="U767" s="10">
        <f t="shared" ca="1" si="116"/>
        <v>260.95890410958719</v>
      </c>
      <c r="V767">
        <f t="shared" si="117"/>
        <v>3</v>
      </c>
    </row>
    <row r="768" spans="1:22" x14ac:dyDescent="0.25">
      <c r="A768">
        <v>86</v>
      </c>
      <c r="B768">
        <v>2</v>
      </c>
      <c r="C768">
        <v>30</v>
      </c>
      <c r="D768">
        <v>1</v>
      </c>
      <c r="E768">
        <v>1</v>
      </c>
      <c r="F768">
        <v>0</v>
      </c>
      <c r="G768">
        <v>0</v>
      </c>
      <c r="H768">
        <v>350</v>
      </c>
      <c r="I768">
        <f t="shared" si="118"/>
        <v>765</v>
      </c>
      <c r="J768" s="6">
        <f t="array" aca="1" ref="J768:N768" ca="1">TRANSPOSE(ols(OFFSET($C$2:$C$10,I768,0),OFFSET($D$2:$H$10,I768,0)))</f>
        <v>63.273809523808723</v>
      </c>
      <c r="K768" s="6">
        <f ca="1"/>
        <v>0.71428571428600662</v>
      </c>
      <c r="L768" s="6">
        <f ca="1"/>
        <v>-15.476190476190141</v>
      </c>
      <c r="M768" s="6">
        <f ca="1"/>
        <v>7.7380952380954113</v>
      </c>
      <c r="N768" s="6">
        <f ca="1"/>
        <v>-8.690476190476204E-2</v>
      </c>
      <c r="O768" s="6">
        <f t="shared" ca="1" si="110"/>
        <v>33.571428571428015</v>
      </c>
      <c r="P768" t="str">
        <f t="shared" si="111"/>
        <v>NA</v>
      </c>
      <c r="Q768" s="10">
        <f t="shared" ca="1" si="112"/>
        <v>25.119047619047279</v>
      </c>
      <c r="R768" s="10">
        <f t="shared" ca="1" si="113"/>
        <v>63.988095238094729</v>
      </c>
      <c r="S768" s="10">
        <f t="shared" ca="1" si="114"/>
        <v>-38.86904761904745</v>
      </c>
      <c r="T768" s="10">
        <f t="shared" ca="1" si="115"/>
        <v>447.26027397260009</v>
      </c>
      <c r="U768" s="10">
        <f t="shared" ca="1" si="116"/>
        <v>447.26027397260009</v>
      </c>
      <c r="V768">
        <f t="shared" si="117"/>
        <v>2</v>
      </c>
    </row>
    <row r="769" spans="1:22" x14ac:dyDescent="0.25">
      <c r="A769">
        <v>86</v>
      </c>
      <c r="B769">
        <v>3</v>
      </c>
      <c r="C769">
        <v>25</v>
      </c>
      <c r="D769">
        <v>1</v>
      </c>
      <c r="E769">
        <v>1</v>
      </c>
      <c r="F769">
        <v>0</v>
      </c>
      <c r="G769">
        <v>0</v>
      </c>
      <c r="H769">
        <v>450</v>
      </c>
      <c r="I769">
        <f t="shared" si="118"/>
        <v>765</v>
      </c>
      <c r="J769" s="6">
        <f t="array" aca="1" ref="J769:N769" ca="1">TRANSPOSE(ols(OFFSET($C$2:$C$10,I769,0),OFFSET($D$2:$H$10,I769,0)))</f>
        <v>63.273809523808723</v>
      </c>
      <c r="K769" s="6">
        <f ca="1"/>
        <v>0.71428571428600662</v>
      </c>
      <c r="L769" s="6">
        <f ca="1"/>
        <v>-15.476190476190141</v>
      </c>
      <c r="M769" s="6">
        <f ca="1"/>
        <v>7.7380952380954113</v>
      </c>
      <c r="N769" s="6">
        <f ca="1"/>
        <v>-8.690476190476204E-2</v>
      </c>
      <c r="O769" s="6">
        <f t="shared" ca="1" si="110"/>
        <v>24.880952380951811</v>
      </c>
      <c r="P769" t="str">
        <f t="shared" si="111"/>
        <v>NA</v>
      </c>
      <c r="Q769" s="10">
        <f t="shared" ca="1" si="112"/>
        <v>25.119047619047279</v>
      </c>
      <c r="R769" s="10">
        <f t="shared" ca="1" si="113"/>
        <v>63.988095238094729</v>
      </c>
      <c r="S769" s="10">
        <f t="shared" ca="1" si="114"/>
        <v>-38.86904761904745</v>
      </c>
      <c r="T769" s="10">
        <f t="shared" ca="1" si="115"/>
        <v>447.26027397260009</v>
      </c>
      <c r="U769" s="10">
        <f t="shared" ca="1" si="116"/>
        <v>447.26027397260009</v>
      </c>
      <c r="V769">
        <f t="shared" si="117"/>
        <v>2</v>
      </c>
    </row>
    <row r="770" spans="1:22" x14ac:dyDescent="0.25">
      <c r="A770">
        <v>86</v>
      </c>
      <c r="B770">
        <v>4</v>
      </c>
      <c r="C770">
        <v>20</v>
      </c>
      <c r="D770">
        <v>1</v>
      </c>
      <c r="E770">
        <v>0</v>
      </c>
      <c r="F770">
        <v>0</v>
      </c>
      <c r="G770">
        <v>0</v>
      </c>
      <c r="H770">
        <v>550</v>
      </c>
      <c r="I770">
        <f t="shared" si="118"/>
        <v>765</v>
      </c>
      <c r="J770" s="6">
        <f t="array" aca="1" ref="J770:N770" ca="1">TRANSPOSE(ols(OFFSET($C$2:$C$10,I770,0),OFFSET($D$2:$H$10,I770,0)))</f>
        <v>63.273809523808723</v>
      </c>
      <c r="K770" s="6">
        <f ca="1"/>
        <v>0.71428571428600662</v>
      </c>
      <c r="L770" s="6">
        <f ca="1"/>
        <v>-15.476190476190141</v>
      </c>
      <c r="M770" s="6">
        <f ca="1"/>
        <v>7.7380952380954113</v>
      </c>
      <c r="N770" s="6">
        <f ca="1"/>
        <v>-8.690476190476204E-2</v>
      </c>
      <c r="O770" s="6">
        <f t="shared" ca="1" si="110"/>
        <v>15.476190476189601</v>
      </c>
      <c r="P770" t="str">
        <f t="shared" si="111"/>
        <v>NA</v>
      </c>
      <c r="Q770" s="10">
        <f t="shared" ca="1" si="112"/>
        <v>25.119047619047279</v>
      </c>
      <c r="R770" s="10">
        <f t="shared" ca="1" si="113"/>
        <v>63.273809523808723</v>
      </c>
      <c r="S770" s="10">
        <f t="shared" ca="1" si="114"/>
        <v>-38.154761904761443</v>
      </c>
      <c r="T770" s="10">
        <f t="shared" ca="1" si="115"/>
        <v>439.04109589040496</v>
      </c>
      <c r="U770" s="10">
        <f t="shared" ca="1" si="116"/>
        <v>439.04109589040496</v>
      </c>
      <c r="V770">
        <f t="shared" si="117"/>
        <v>1</v>
      </c>
    </row>
    <row r="771" spans="1:22" x14ac:dyDescent="0.25">
      <c r="A771">
        <v>86</v>
      </c>
      <c r="B771">
        <v>5</v>
      </c>
      <c r="C771">
        <v>35</v>
      </c>
      <c r="D771">
        <v>1</v>
      </c>
      <c r="E771">
        <v>0</v>
      </c>
      <c r="F771">
        <v>1</v>
      </c>
      <c r="G771">
        <v>1</v>
      </c>
      <c r="H771">
        <v>250</v>
      </c>
      <c r="I771">
        <f t="shared" si="118"/>
        <v>765</v>
      </c>
      <c r="J771" s="6">
        <f t="array" aca="1" ref="J771:N771" ca="1">TRANSPOSE(ols(OFFSET($C$2:$C$10,I771,0),OFFSET($D$2:$H$10,I771,0)))</f>
        <v>63.273809523808723</v>
      </c>
      <c r="K771" s="6">
        <f ca="1"/>
        <v>0.71428571428600662</v>
      </c>
      <c r="L771" s="6">
        <f ca="1"/>
        <v>-15.476190476190141</v>
      </c>
      <c r="M771" s="6">
        <f ca="1"/>
        <v>7.7380952380954113</v>
      </c>
      <c r="N771" s="6">
        <f ca="1"/>
        <v>-8.690476190476204E-2</v>
      </c>
      <c r="O771" s="6">
        <f t="shared" ref="O771:O834" ca="1" si="119">SUMPRODUCT(J771:N771,D771:H771)</f>
        <v>33.809523809523483</v>
      </c>
      <c r="P771" t="str">
        <f t="shared" ref="P771:P834" si="120">IF(AND(F771=1,G771=1,H771=350),O771,"NA")</f>
        <v>NA</v>
      </c>
      <c r="Q771" s="10">
        <f t="shared" ref="Q771:Q834" ca="1" si="121">AVERAGEIF($A$2:$A$5383,A771,$P$2:$P$5383)</f>
        <v>25.119047619047279</v>
      </c>
      <c r="R771" s="10">
        <f t="shared" ref="R771:R834" ca="1" si="122">O771-N771*H771</f>
        <v>55.535714285713993</v>
      </c>
      <c r="S771" s="10">
        <f t="shared" ref="S771:S834" ca="1" si="123">Q771-R771</f>
        <v>-30.416666666666714</v>
      </c>
      <c r="T771" s="10">
        <f t="shared" ref="T771:T834" ca="1" si="124">S771/N771</f>
        <v>350</v>
      </c>
      <c r="U771" s="10">
        <f t="shared" ref="U771:U834" ca="1" si="125">IF(OR(T771&lt;250,T771&gt;650),"OR",T771)</f>
        <v>350</v>
      </c>
      <c r="V771">
        <f t="shared" ref="V771:V834" si="126">IF(AND(E771=1,G771=0),2,IF(AND(F771=1,G771=0),3,IF(AND(E771=1,G771=1),5,IF(AND(F771=1,G771=1),6,IF(G771=0,1,IF(G771=1,4))))))</f>
        <v>6</v>
      </c>
    </row>
    <row r="772" spans="1:22" x14ac:dyDescent="0.25">
      <c r="A772">
        <v>86</v>
      </c>
      <c r="B772">
        <v>6</v>
      </c>
      <c r="C772">
        <v>25</v>
      </c>
      <c r="D772">
        <v>1</v>
      </c>
      <c r="E772">
        <v>0</v>
      </c>
      <c r="F772">
        <v>1</v>
      </c>
      <c r="G772">
        <v>1</v>
      </c>
      <c r="H772">
        <v>350</v>
      </c>
      <c r="I772">
        <f t="shared" si="118"/>
        <v>765</v>
      </c>
      <c r="J772" s="6">
        <f t="array" aca="1" ref="J772:N772" ca="1">TRANSPOSE(ols(OFFSET($C$2:$C$10,I772,0),OFFSET($D$2:$H$10,I772,0)))</f>
        <v>63.273809523808723</v>
      </c>
      <c r="K772" s="6">
        <f ca="1"/>
        <v>0.71428571428600662</v>
      </c>
      <c r="L772" s="6">
        <f ca="1"/>
        <v>-15.476190476190141</v>
      </c>
      <c r="M772" s="6">
        <f ca="1"/>
        <v>7.7380952380954113</v>
      </c>
      <c r="N772" s="6">
        <f ca="1"/>
        <v>-8.690476190476204E-2</v>
      </c>
      <c r="O772" s="6">
        <f t="shared" ca="1" si="119"/>
        <v>25.119047619047279</v>
      </c>
      <c r="P772">
        <f t="shared" ca="1" si="120"/>
        <v>25.119047619047279</v>
      </c>
      <c r="Q772" s="10">
        <f t="shared" ca="1" si="121"/>
        <v>25.119047619047279</v>
      </c>
      <c r="R772" s="10">
        <f t="shared" ca="1" si="122"/>
        <v>55.535714285713993</v>
      </c>
      <c r="S772" s="10">
        <f t="shared" ca="1" si="123"/>
        <v>-30.416666666666714</v>
      </c>
      <c r="T772" s="10">
        <f t="shared" ca="1" si="124"/>
        <v>350</v>
      </c>
      <c r="U772" s="10">
        <f t="shared" ca="1" si="125"/>
        <v>350</v>
      </c>
      <c r="V772">
        <f t="shared" si="126"/>
        <v>6</v>
      </c>
    </row>
    <row r="773" spans="1:22" x14ac:dyDescent="0.25">
      <c r="A773">
        <v>86</v>
      </c>
      <c r="B773">
        <v>7</v>
      </c>
      <c r="C773">
        <v>35</v>
      </c>
      <c r="D773">
        <v>1</v>
      </c>
      <c r="E773">
        <v>1</v>
      </c>
      <c r="F773">
        <v>0</v>
      </c>
      <c r="G773">
        <v>1</v>
      </c>
      <c r="H773">
        <v>450</v>
      </c>
      <c r="I773">
        <f t="shared" si="118"/>
        <v>765</v>
      </c>
      <c r="J773" s="6">
        <f t="array" aca="1" ref="J773:N773" ca="1">TRANSPOSE(ols(OFFSET($C$2:$C$10,I773,0),OFFSET($D$2:$H$10,I773,0)))</f>
        <v>63.273809523808723</v>
      </c>
      <c r="K773" s="6">
        <f ca="1"/>
        <v>0.71428571428600662</v>
      </c>
      <c r="L773" s="6">
        <f ca="1"/>
        <v>-15.476190476190141</v>
      </c>
      <c r="M773" s="6">
        <f ca="1"/>
        <v>7.7380952380954113</v>
      </c>
      <c r="N773" s="6">
        <f ca="1"/>
        <v>-8.690476190476204E-2</v>
      </c>
      <c r="O773" s="6">
        <f t="shared" ca="1" si="119"/>
        <v>32.619047619047222</v>
      </c>
      <c r="P773" t="str">
        <f t="shared" si="120"/>
        <v>NA</v>
      </c>
      <c r="Q773" s="10">
        <f t="shared" ca="1" si="121"/>
        <v>25.119047619047279</v>
      </c>
      <c r="R773" s="10">
        <f t="shared" ca="1" si="122"/>
        <v>71.726190476190141</v>
      </c>
      <c r="S773" s="10">
        <f t="shared" ca="1" si="123"/>
        <v>-46.607142857142861</v>
      </c>
      <c r="T773" s="10">
        <f t="shared" ca="1" si="124"/>
        <v>536.30136986301295</v>
      </c>
      <c r="U773" s="10">
        <f t="shared" ca="1" si="125"/>
        <v>536.30136986301295</v>
      </c>
      <c r="V773">
        <f t="shared" si="126"/>
        <v>5</v>
      </c>
    </row>
    <row r="774" spans="1:22" x14ac:dyDescent="0.25">
      <c r="A774">
        <v>86</v>
      </c>
      <c r="B774">
        <v>8</v>
      </c>
      <c r="C774">
        <v>25</v>
      </c>
      <c r="D774">
        <v>1</v>
      </c>
      <c r="E774">
        <v>1</v>
      </c>
      <c r="F774">
        <v>0</v>
      </c>
      <c r="G774">
        <v>1</v>
      </c>
      <c r="H774">
        <v>550</v>
      </c>
      <c r="I774">
        <f t="shared" si="118"/>
        <v>765</v>
      </c>
      <c r="J774" s="6">
        <f t="array" aca="1" ref="J774:N774" ca="1">TRANSPOSE(ols(OFFSET($C$2:$C$10,I774,0),OFFSET($D$2:$H$10,I774,0)))</f>
        <v>63.273809523808723</v>
      </c>
      <c r="K774" s="6">
        <f ca="1"/>
        <v>0.71428571428600662</v>
      </c>
      <c r="L774" s="6">
        <f ca="1"/>
        <v>-15.476190476190141</v>
      </c>
      <c r="M774" s="6">
        <f ca="1"/>
        <v>7.7380952380954113</v>
      </c>
      <c r="N774" s="6">
        <f ca="1"/>
        <v>-8.690476190476204E-2</v>
      </c>
      <c r="O774" s="6">
        <f t="shared" ca="1" si="119"/>
        <v>23.928571428571018</v>
      </c>
      <c r="P774" t="str">
        <f t="shared" si="120"/>
        <v>NA</v>
      </c>
      <c r="Q774" s="10">
        <f t="shared" ca="1" si="121"/>
        <v>25.119047619047279</v>
      </c>
      <c r="R774" s="10">
        <f t="shared" ca="1" si="122"/>
        <v>71.726190476190141</v>
      </c>
      <c r="S774" s="10">
        <f t="shared" ca="1" si="123"/>
        <v>-46.607142857142861</v>
      </c>
      <c r="T774" s="10">
        <f t="shared" ca="1" si="124"/>
        <v>536.30136986301295</v>
      </c>
      <c r="U774" s="10">
        <f t="shared" ca="1" si="125"/>
        <v>536.30136986301295</v>
      </c>
      <c r="V774">
        <f t="shared" si="126"/>
        <v>5</v>
      </c>
    </row>
    <row r="775" spans="1:22" x14ac:dyDescent="0.25">
      <c r="A775">
        <v>86</v>
      </c>
      <c r="B775">
        <v>9</v>
      </c>
      <c r="C775">
        <v>10</v>
      </c>
      <c r="D775">
        <v>1</v>
      </c>
      <c r="E775">
        <v>0</v>
      </c>
      <c r="F775">
        <v>0</v>
      </c>
      <c r="G775">
        <v>1</v>
      </c>
      <c r="H775">
        <v>650</v>
      </c>
      <c r="I775">
        <f t="shared" si="118"/>
        <v>765</v>
      </c>
      <c r="J775" s="6">
        <f t="array" aca="1" ref="J775:N775" ca="1">TRANSPOSE(ols(OFFSET($C$2:$C$10,I775,0),OFFSET($D$2:$H$10,I775,0)))</f>
        <v>63.273809523808723</v>
      </c>
      <c r="K775" s="6">
        <f ca="1"/>
        <v>0.71428571428600662</v>
      </c>
      <c r="L775" s="6">
        <f ca="1"/>
        <v>-15.476190476190141</v>
      </c>
      <c r="M775" s="6">
        <f ca="1"/>
        <v>7.7380952380954113</v>
      </c>
      <c r="N775" s="6">
        <f ca="1"/>
        <v>-8.690476190476204E-2</v>
      </c>
      <c r="O775" s="6">
        <f t="shared" ca="1" si="119"/>
        <v>14.523809523808808</v>
      </c>
      <c r="P775" t="str">
        <f t="shared" si="120"/>
        <v>NA</v>
      </c>
      <c r="Q775" s="10">
        <f t="shared" ca="1" si="121"/>
        <v>25.119047619047279</v>
      </c>
      <c r="R775" s="10">
        <f t="shared" ca="1" si="122"/>
        <v>71.011904761904134</v>
      </c>
      <c r="S775" s="10">
        <f t="shared" ca="1" si="123"/>
        <v>-45.892857142856855</v>
      </c>
      <c r="T775" s="10">
        <f t="shared" ca="1" si="124"/>
        <v>528.08219178081777</v>
      </c>
      <c r="U775" s="10">
        <f t="shared" ca="1" si="125"/>
        <v>528.08219178081777</v>
      </c>
      <c r="V775">
        <f t="shared" si="126"/>
        <v>4</v>
      </c>
    </row>
    <row r="776" spans="1:22" x14ac:dyDescent="0.25">
      <c r="A776">
        <v>87</v>
      </c>
      <c r="B776">
        <v>1</v>
      </c>
      <c r="C776">
        <v>5</v>
      </c>
      <c r="D776">
        <v>1</v>
      </c>
      <c r="E776">
        <v>0</v>
      </c>
      <c r="F776">
        <v>1</v>
      </c>
      <c r="G776">
        <v>0</v>
      </c>
      <c r="H776">
        <v>250</v>
      </c>
      <c r="I776">
        <f t="shared" si="118"/>
        <v>774</v>
      </c>
      <c r="J776" s="6">
        <f t="array" aca="1" ref="J776:N776" ca="1">TRANSPOSE(ols(OFFSET($C$2:$C$10,I776,0),OFFSET($D$2:$H$10,I776,0)))</f>
        <v>29.136904761904475</v>
      </c>
      <c r="K776" s="6">
        <f ca="1"/>
        <v>-3.3928571428571388</v>
      </c>
      <c r="L776" s="6">
        <f ca="1"/>
        <v>-12.738095238095184</v>
      </c>
      <c r="M776" s="6">
        <f ca="1"/>
        <v>3.8690476190476204</v>
      </c>
      <c r="N776" s="6">
        <f ca="1"/>
        <v>-4.3452380952380798E-2</v>
      </c>
      <c r="O776" s="6">
        <f t="shared" ca="1" si="119"/>
        <v>5.5357142857140911</v>
      </c>
      <c r="P776" t="str">
        <f t="shared" si="120"/>
        <v>NA</v>
      </c>
      <c r="Q776" s="10">
        <f t="shared" ca="1" si="121"/>
        <v>5.0595238095236326</v>
      </c>
      <c r="R776" s="10">
        <f t="shared" ca="1" si="122"/>
        <v>16.398809523809291</v>
      </c>
      <c r="S776" s="10">
        <f t="shared" ca="1" si="123"/>
        <v>-11.339285714285658</v>
      </c>
      <c r="T776" s="10">
        <f t="shared" ca="1" si="124"/>
        <v>260.95890410958867</v>
      </c>
      <c r="U776" s="10">
        <f t="shared" ca="1" si="125"/>
        <v>260.95890410958867</v>
      </c>
      <c r="V776">
        <f t="shared" si="126"/>
        <v>3</v>
      </c>
    </row>
    <row r="777" spans="1:22" x14ac:dyDescent="0.25">
      <c r="A777">
        <v>87</v>
      </c>
      <c r="B777">
        <v>2</v>
      </c>
      <c r="C777">
        <v>10</v>
      </c>
      <c r="D777">
        <v>1</v>
      </c>
      <c r="E777">
        <v>1</v>
      </c>
      <c r="F777">
        <v>0</v>
      </c>
      <c r="G777">
        <v>0</v>
      </c>
      <c r="H777">
        <v>350</v>
      </c>
      <c r="I777">
        <f t="shared" si="118"/>
        <v>774</v>
      </c>
      <c r="J777" s="6">
        <f t="array" aca="1" ref="J777:N777" ca="1">TRANSPOSE(ols(OFFSET($C$2:$C$10,I777,0),OFFSET($D$2:$H$10,I777,0)))</f>
        <v>29.136904761904475</v>
      </c>
      <c r="K777" s="6">
        <f ca="1"/>
        <v>-3.3928571428571388</v>
      </c>
      <c r="L777" s="6">
        <f ca="1"/>
        <v>-12.738095238095184</v>
      </c>
      <c r="M777" s="6">
        <f ca="1"/>
        <v>3.8690476190476204</v>
      </c>
      <c r="N777" s="6">
        <f ca="1"/>
        <v>-4.3452380952380798E-2</v>
      </c>
      <c r="O777" s="6">
        <f t="shared" ca="1" si="119"/>
        <v>10.535714285714057</v>
      </c>
      <c r="P777" t="str">
        <f t="shared" si="120"/>
        <v>NA</v>
      </c>
      <c r="Q777" s="10">
        <f t="shared" ca="1" si="121"/>
        <v>5.0595238095236326</v>
      </c>
      <c r="R777" s="10">
        <f t="shared" ca="1" si="122"/>
        <v>25.744047619047336</v>
      </c>
      <c r="S777" s="10">
        <f t="shared" ca="1" si="123"/>
        <v>-20.684523809523704</v>
      </c>
      <c r="T777" s="10">
        <f t="shared" ca="1" si="124"/>
        <v>476.02739726027323</v>
      </c>
      <c r="U777" s="10">
        <f t="shared" ca="1" si="125"/>
        <v>476.02739726027323</v>
      </c>
      <c r="V777">
        <f t="shared" si="126"/>
        <v>2</v>
      </c>
    </row>
    <row r="778" spans="1:22" x14ac:dyDescent="0.25">
      <c r="A778">
        <v>87</v>
      </c>
      <c r="B778">
        <v>3</v>
      </c>
      <c r="C778">
        <v>7.5</v>
      </c>
      <c r="D778">
        <v>1</v>
      </c>
      <c r="E778">
        <v>1</v>
      </c>
      <c r="F778">
        <v>0</v>
      </c>
      <c r="G778">
        <v>0</v>
      </c>
      <c r="H778">
        <v>450</v>
      </c>
      <c r="I778">
        <f t="shared" si="118"/>
        <v>774</v>
      </c>
      <c r="J778" s="6">
        <f t="array" aca="1" ref="J778:N778" ca="1">TRANSPOSE(ols(OFFSET($C$2:$C$10,I778,0),OFFSET($D$2:$H$10,I778,0)))</f>
        <v>29.136904761904475</v>
      </c>
      <c r="K778" s="6">
        <f ca="1"/>
        <v>-3.3928571428571388</v>
      </c>
      <c r="L778" s="6">
        <f ca="1"/>
        <v>-12.738095238095184</v>
      </c>
      <c r="M778" s="6">
        <f ca="1"/>
        <v>3.8690476190476204</v>
      </c>
      <c r="N778" s="6">
        <f ca="1"/>
        <v>-4.3452380952380798E-2</v>
      </c>
      <c r="O778" s="6">
        <f t="shared" ca="1" si="119"/>
        <v>6.1904761904759766</v>
      </c>
      <c r="P778" t="str">
        <f t="shared" si="120"/>
        <v>NA</v>
      </c>
      <c r="Q778" s="10">
        <f t="shared" ca="1" si="121"/>
        <v>5.0595238095236326</v>
      </c>
      <c r="R778" s="10">
        <f t="shared" ca="1" si="122"/>
        <v>25.744047619047336</v>
      </c>
      <c r="S778" s="10">
        <f t="shared" ca="1" si="123"/>
        <v>-20.684523809523704</v>
      </c>
      <c r="T778" s="10">
        <f t="shared" ca="1" si="124"/>
        <v>476.02739726027323</v>
      </c>
      <c r="U778" s="10">
        <f t="shared" ca="1" si="125"/>
        <v>476.02739726027323</v>
      </c>
      <c r="V778">
        <f t="shared" si="126"/>
        <v>2</v>
      </c>
    </row>
    <row r="779" spans="1:22" x14ac:dyDescent="0.25">
      <c r="A779">
        <v>87</v>
      </c>
      <c r="B779">
        <v>4</v>
      </c>
      <c r="C779">
        <v>5</v>
      </c>
      <c r="D779">
        <v>1</v>
      </c>
      <c r="E779">
        <v>0</v>
      </c>
      <c r="F779">
        <v>0</v>
      </c>
      <c r="G779">
        <v>0</v>
      </c>
      <c r="H779">
        <v>550</v>
      </c>
      <c r="I779">
        <f t="shared" si="118"/>
        <v>774</v>
      </c>
      <c r="J779" s="6">
        <f t="array" aca="1" ref="J779:N779" ca="1">TRANSPOSE(ols(OFFSET($C$2:$C$10,I779,0),OFFSET($D$2:$H$10,I779,0)))</f>
        <v>29.136904761904475</v>
      </c>
      <c r="K779" s="6">
        <f ca="1"/>
        <v>-3.3928571428571388</v>
      </c>
      <c r="L779" s="6">
        <f ca="1"/>
        <v>-12.738095238095184</v>
      </c>
      <c r="M779" s="6">
        <f ca="1"/>
        <v>3.8690476190476204</v>
      </c>
      <c r="N779" s="6">
        <f ca="1"/>
        <v>-4.3452380952380798E-2</v>
      </c>
      <c r="O779" s="6">
        <f t="shared" ca="1" si="119"/>
        <v>5.2380952380950347</v>
      </c>
      <c r="P779" t="str">
        <f t="shared" si="120"/>
        <v>NA</v>
      </c>
      <c r="Q779" s="10">
        <f t="shared" ca="1" si="121"/>
        <v>5.0595238095236326</v>
      </c>
      <c r="R779" s="10">
        <f t="shared" ca="1" si="122"/>
        <v>29.136904761904475</v>
      </c>
      <c r="S779" s="10">
        <f t="shared" ca="1" si="123"/>
        <v>-24.077380952380842</v>
      </c>
      <c r="T779" s="10">
        <f t="shared" ca="1" si="124"/>
        <v>554.10958904109532</v>
      </c>
      <c r="U779" s="10">
        <f t="shared" ca="1" si="125"/>
        <v>554.10958904109532</v>
      </c>
      <c r="V779">
        <f t="shared" si="126"/>
        <v>1</v>
      </c>
    </row>
    <row r="780" spans="1:22" x14ac:dyDescent="0.25">
      <c r="A780">
        <v>87</v>
      </c>
      <c r="B780">
        <v>5</v>
      </c>
      <c r="C780">
        <v>10</v>
      </c>
      <c r="D780">
        <v>1</v>
      </c>
      <c r="E780">
        <v>0</v>
      </c>
      <c r="F780">
        <v>1</v>
      </c>
      <c r="G780">
        <v>1</v>
      </c>
      <c r="H780">
        <v>250</v>
      </c>
      <c r="I780">
        <f t="shared" ref="I780:I843" si="127">IF(A780&gt;A779,I779+9,I779)</f>
        <v>774</v>
      </c>
      <c r="J780" s="6">
        <f t="array" aca="1" ref="J780:N780" ca="1">TRANSPOSE(ols(OFFSET($C$2:$C$10,I780,0),OFFSET($D$2:$H$10,I780,0)))</f>
        <v>29.136904761904475</v>
      </c>
      <c r="K780" s="6">
        <f ca="1"/>
        <v>-3.3928571428571388</v>
      </c>
      <c r="L780" s="6">
        <f ca="1"/>
        <v>-12.738095238095184</v>
      </c>
      <c r="M780" s="6">
        <f ca="1"/>
        <v>3.8690476190476204</v>
      </c>
      <c r="N780" s="6">
        <f ca="1"/>
        <v>-4.3452380952380798E-2</v>
      </c>
      <c r="O780" s="6">
        <f t="shared" ca="1" si="119"/>
        <v>9.4047619047617115</v>
      </c>
      <c r="P780" t="str">
        <f t="shared" si="120"/>
        <v>NA</v>
      </c>
      <c r="Q780" s="10">
        <f t="shared" ca="1" si="121"/>
        <v>5.0595238095236326</v>
      </c>
      <c r="R780" s="10">
        <f t="shared" ca="1" si="122"/>
        <v>20.267857142856911</v>
      </c>
      <c r="S780" s="10">
        <f t="shared" ca="1" si="123"/>
        <v>-15.208333333333279</v>
      </c>
      <c r="T780" s="10">
        <f t="shared" ca="1" si="124"/>
        <v>350</v>
      </c>
      <c r="U780" s="10">
        <f t="shared" ca="1" si="125"/>
        <v>350</v>
      </c>
      <c r="V780">
        <f t="shared" si="126"/>
        <v>6</v>
      </c>
    </row>
    <row r="781" spans="1:22" x14ac:dyDescent="0.25">
      <c r="A781">
        <v>87</v>
      </c>
      <c r="B781">
        <v>6</v>
      </c>
      <c r="C781">
        <v>5</v>
      </c>
      <c r="D781">
        <v>1</v>
      </c>
      <c r="E781">
        <v>0</v>
      </c>
      <c r="F781">
        <v>1</v>
      </c>
      <c r="G781">
        <v>1</v>
      </c>
      <c r="H781">
        <v>350</v>
      </c>
      <c r="I781">
        <f t="shared" si="127"/>
        <v>774</v>
      </c>
      <c r="J781" s="6">
        <f t="array" aca="1" ref="J781:N781" ca="1">TRANSPOSE(ols(OFFSET($C$2:$C$10,I781,0),OFFSET($D$2:$H$10,I781,0)))</f>
        <v>29.136904761904475</v>
      </c>
      <c r="K781" s="6">
        <f ca="1"/>
        <v>-3.3928571428571388</v>
      </c>
      <c r="L781" s="6">
        <f ca="1"/>
        <v>-12.738095238095184</v>
      </c>
      <c r="M781" s="6">
        <f ca="1"/>
        <v>3.8690476190476204</v>
      </c>
      <c r="N781" s="6">
        <f ca="1"/>
        <v>-4.3452380952380798E-2</v>
      </c>
      <c r="O781" s="6">
        <f t="shared" ca="1" si="119"/>
        <v>5.0595238095236326</v>
      </c>
      <c r="P781">
        <f t="shared" ca="1" si="120"/>
        <v>5.0595238095236326</v>
      </c>
      <c r="Q781" s="10">
        <f t="shared" ca="1" si="121"/>
        <v>5.0595238095236326</v>
      </c>
      <c r="R781" s="10">
        <f t="shared" ca="1" si="122"/>
        <v>20.267857142856911</v>
      </c>
      <c r="S781" s="10">
        <f t="shared" ca="1" si="123"/>
        <v>-15.208333333333279</v>
      </c>
      <c r="T781" s="10">
        <f t="shared" ca="1" si="124"/>
        <v>350</v>
      </c>
      <c r="U781" s="10">
        <f t="shared" ca="1" si="125"/>
        <v>350</v>
      </c>
      <c r="V781">
        <f t="shared" si="126"/>
        <v>6</v>
      </c>
    </row>
    <row r="782" spans="1:22" x14ac:dyDescent="0.25">
      <c r="A782">
        <v>87</v>
      </c>
      <c r="B782">
        <v>7</v>
      </c>
      <c r="C782">
        <v>10</v>
      </c>
      <c r="D782">
        <v>1</v>
      </c>
      <c r="E782">
        <v>1</v>
      </c>
      <c r="F782">
        <v>0</v>
      </c>
      <c r="G782">
        <v>1</v>
      </c>
      <c r="H782">
        <v>450</v>
      </c>
      <c r="I782">
        <f t="shared" si="127"/>
        <v>774</v>
      </c>
      <c r="J782" s="6">
        <f t="array" aca="1" ref="J782:N782" ca="1">TRANSPOSE(ols(OFFSET($C$2:$C$10,I782,0),OFFSET($D$2:$H$10,I782,0)))</f>
        <v>29.136904761904475</v>
      </c>
      <c r="K782" s="6">
        <f ca="1"/>
        <v>-3.3928571428571388</v>
      </c>
      <c r="L782" s="6">
        <f ca="1"/>
        <v>-12.738095238095184</v>
      </c>
      <c r="M782" s="6">
        <f ca="1"/>
        <v>3.8690476190476204</v>
      </c>
      <c r="N782" s="6">
        <f ca="1"/>
        <v>-4.3452380952380798E-2</v>
      </c>
      <c r="O782" s="6">
        <f t="shared" ca="1" si="119"/>
        <v>10.059523809523597</v>
      </c>
      <c r="P782" t="str">
        <f t="shared" si="120"/>
        <v>NA</v>
      </c>
      <c r="Q782" s="10">
        <f t="shared" ca="1" si="121"/>
        <v>5.0595238095236326</v>
      </c>
      <c r="R782" s="10">
        <f t="shared" ca="1" si="122"/>
        <v>29.613095238094957</v>
      </c>
      <c r="S782" s="10">
        <f t="shared" ca="1" si="123"/>
        <v>-24.553571428571324</v>
      </c>
      <c r="T782" s="10">
        <f t="shared" ca="1" si="124"/>
        <v>565.0684931506845</v>
      </c>
      <c r="U782" s="10">
        <f t="shared" ca="1" si="125"/>
        <v>565.0684931506845</v>
      </c>
      <c r="V782">
        <f t="shared" si="126"/>
        <v>5</v>
      </c>
    </row>
    <row r="783" spans="1:22" x14ac:dyDescent="0.25">
      <c r="A783">
        <v>87</v>
      </c>
      <c r="B783">
        <v>8</v>
      </c>
      <c r="C783">
        <v>5</v>
      </c>
      <c r="D783">
        <v>1</v>
      </c>
      <c r="E783">
        <v>1</v>
      </c>
      <c r="F783">
        <v>0</v>
      </c>
      <c r="G783">
        <v>1</v>
      </c>
      <c r="H783">
        <v>550</v>
      </c>
      <c r="I783">
        <f t="shared" si="127"/>
        <v>774</v>
      </c>
      <c r="J783" s="6">
        <f t="array" aca="1" ref="J783:N783" ca="1">TRANSPOSE(ols(OFFSET($C$2:$C$10,I783,0),OFFSET($D$2:$H$10,I783,0)))</f>
        <v>29.136904761904475</v>
      </c>
      <c r="K783" s="6">
        <f ca="1"/>
        <v>-3.3928571428571388</v>
      </c>
      <c r="L783" s="6">
        <f ca="1"/>
        <v>-12.738095238095184</v>
      </c>
      <c r="M783" s="6">
        <f ca="1"/>
        <v>3.8690476190476204</v>
      </c>
      <c r="N783" s="6">
        <f ca="1"/>
        <v>-4.3452380952380798E-2</v>
      </c>
      <c r="O783" s="6">
        <f t="shared" ca="1" si="119"/>
        <v>5.7142857142855163</v>
      </c>
      <c r="P783" t="str">
        <f t="shared" si="120"/>
        <v>NA</v>
      </c>
      <c r="Q783" s="10">
        <f t="shared" ca="1" si="121"/>
        <v>5.0595238095236326</v>
      </c>
      <c r="R783" s="10">
        <f t="shared" ca="1" si="122"/>
        <v>29.613095238094957</v>
      </c>
      <c r="S783" s="10">
        <f t="shared" ca="1" si="123"/>
        <v>-24.553571428571324</v>
      </c>
      <c r="T783" s="10">
        <f t="shared" ca="1" si="124"/>
        <v>565.0684931506845</v>
      </c>
      <c r="U783" s="10">
        <f t="shared" ca="1" si="125"/>
        <v>565.0684931506845</v>
      </c>
      <c r="V783">
        <f t="shared" si="126"/>
        <v>5</v>
      </c>
    </row>
    <row r="784" spans="1:22" x14ac:dyDescent="0.25">
      <c r="A784">
        <v>87</v>
      </c>
      <c r="B784">
        <v>9</v>
      </c>
      <c r="C784">
        <v>5</v>
      </c>
      <c r="D784">
        <v>1</v>
      </c>
      <c r="E784">
        <v>0</v>
      </c>
      <c r="F784">
        <v>0</v>
      </c>
      <c r="G784">
        <v>1</v>
      </c>
      <c r="H784">
        <v>650</v>
      </c>
      <c r="I784">
        <f t="shared" si="127"/>
        <v>774</v>
      </c>
      <c r="J784" s="6">
        <f t="array" aca="1" ref="J784:N784" ca="1">TRANSPOSE(ols(OFFSET($C$2:$C$10,I784,0),OFFSET($D$2:$H$10,I784,0)))</f>
        <v>29.136904761904475</v>
      </c>
      <c r="K784" s="6">
        <f ca="1"/>
        <v>-3.3928571428571388</v>
      </c>
      <c r="L784" s="6">
        <f ca="1"/>
        <v>-12.738095238095184</v>
      </c>
      <c r="M784" s="6">
        <f ca="1"/>
        <v>3.8690476190476204</v>
      </c>
      <c r="N784" s="6">
        <f ca="1"/>
        <v>-4.3452380952380798E-2</v>
      </c>
      <c r="O784" s="6">
        <f t="shared" ca="1" si="119"/>
        <v>4.761904761904578</v>
      </c>
      <c r="P784" t="str">
        <f t="shared" si="120"/>
        <v>NA</v>
      </c>
      <c r="Q784" s="10">
        <f t="shared" ca="1" si="121"/>
        <v>5.0595238095236326</v>
      </c>
      <c r="R784" s="10">
        <f t="shared" ca="1" si="122"/>
        <v>33.005952380952095</v>
      </c>
      <c r="S784" s="10">
        <f t="shared" ca="1" si="123"/>
        <v>-27.946428571428463</v>
      </c>
      <c r="T784" s="10">
        <f t="shared" ca="1" si="124"/>
        <v>643.15068493150659</v>
      </c>
      <c r="U784" s="10">
        <f t="shared" ca="1" si="125"/>
        <v>643.15068493150659</v>
      </c>
      <c r="V784">
        <f t="shared" si="126"/>
        <v>4</v>
      </c>
    </row>
    <row r="785" spans="1:22" x14ac:dyDescent="0.25">
      <c r="A785">
        <v>88</v>
      </c>
      <c r="B785">
        <v>1</v>
      </c>
      <c r="C785">
        <v>7.5</v>
      </c>
      <c r="D785">
        <v>1</v>
      </c>
      <c r="E785">
        <v>0</v>
      </c>
      <c r="F785">
        <v>1</v>
      </c>
      <c r="G785">
        <v>0</v>
      </c>
      <c r="H785">
        <v>250</v>
      </c>
      <c r="I785">
        <f t="shared" si="127"/>
        <v>783</v>
      </c>
      <c r="J785" s="6">
        <f t="array" aca="1" ref="J785:N785" ca="1">TRANSPOSE(ols(OFFSET($C$2:$C$10,I785,0),OFFSET($D$2:$H$10,I785,0)))</f>
        <v>15.26785714285711</v>
      </c>
      <c r="K785" s="6">
        <f ca="1"/>
        <v>-0.71428571428572241</v>
      </c>
      <c r="L785" s="6">
        <f ca="1"/>
        <v>-5.3571428571428896</v>
      </c>
      <c r="M785" s="6">
        <f ca="1"/>
        <v>2.6785714285715017</v>
      </c>
      <c r="N785" s="6">
        <f ca="1"/>
        <v>-8.928571428572063E-3</v>
      </c>
      <c r="O785" s="6">
        <f t="shared" ca="1" si="119"/>
        <v>7.678571428571205</v>
      </c>
      <c r="P785" t="str">
        <f t="shared" si="120"/>
        <v>NA</v>
      </c>
      <c r="Q785" s="10">
        <f t="shared" ca="1" si="121"/>
        <v>9.4642857142855004</v>
      </c>
      <c r="R785" s="10">
        <f t="shared" ca="1" si="122"/>
        <v>9.9107142857142208</v>
      </c>
      <c r="S785" s="10">
        <f t="shared" ca="1" si="123"/>
        <v>-0.44642857142872039</v>
      </c>
      <c r="T785" s="10">
        <f t="shared" ca="1" si="124"/>
        <v>50.000000000013131</v>
      </c>
      <c r="U785" s="10" t="str">
        <f t="shared" ca="1" si="125"/>
        <v>OR</v>
      </c>
      <c r="V785">
        <f t="shared" si="126"/>
        <v>3</v>
      </c>
    </row>
    <row r="786" spans="1:22" x14ac:dyDescent="0.25">
      <c r="A786">
        <v>88</v>
      </c>
      <c r="B786">
        <v>2</v>
      </c>
      <c r="C786">
        <v>10</v>
      </c>
      <c r="D786">
        <v>1</v>
      </c>
      <c r="E786">
        <v>1</v>
      </c>
      <c r="F786">
        <v>0</v>
      </c>
      <c r="G786">
        <v>0</v>
      </c>
      <c r="H786">
        <v>350</v>
      </c>
      <c r="I786">
        <f t="shared" si="127"/>
        <v>783</v>
      </c>
      <c r="J786" s="6">
        <f t="array" aca="1" ref="J786:N786" ca="1">TRANSPOSE(ols(OFFSET($C$2:$C$10,I786,0),OFFSET($D$2:$H$10,I786,0)))</f>
        <v>15.26785714285711</v>
      </c>
      <c r="K786" s="6">
        <f ca="1"/>
        <v>-0.71428571428572241</v>
      </c>
      <c r="L786" s="6">
        <f ca="1"/>
        <v>-5.3571428571428896</v>
      </c>
      <c r="M786" s="6">
        <f ca="1"/>
        <v>2.6785714285715017</v>
      </c>
      <c r="N786" s="6">
        <f ca="1"/>
        <v>-8.928571428572063E-3</v>
      </c>
      <c r="O786" s="6">
        <f t="shared" ca="1" si="119"/>
        <v>11.428571428571166</v>
      </c>
      <c r="P786" t="str">
        <f t="shared" si="120"/>
        <v>NA</v>
      </c>
      <c r="Q786" s="10">
        <f t="shared" ca="1" si="121"/>
        <v>9.4642857142855004</v>
      </c>
      <c r="R786" s="10">
        <f t="shared" ca="1" si="122"/>
        <v>14.553571428571388</v>
      </c>
      <c r="S786" s="10">
        <f t="shared" ca="1" si="123"/>
        <v>-5.0892857142858876</v>
      </c>
      <c r="T786" s="10">
        <f t="shared" ca="1" si="124"/>
        <v>569.99999999997885</v>
      </c>
      <c r="U786" s="10">
        <f t="shared" ca="1" si="125"/>
        <v>569.99999999997885</v>
      </c>
      <c r="V786">
        <f t="shared" si="126"/>
        <v>2</v>
      </c>
    </row>
    <row r="787" spans="1:22" x14ac:dyDescent="0.25">
      <c r="A787">
        <v>88</v>
      </c>
      <c r="B787">
        <v>3</v>
      </c>
      <c r="C787">
        <v>10</v>
      </c>
      <c r="D787">
        <v>1</v>
      </c>
      <c r="E787">
        <v>1</v>
      </c>
      <c r="F787">
        <v>0</v>
      </c>
      <c r="G787">
        <v>0</v>
      </c>
      <c r="H787">
        <v>450</v>
      </c>
      <c r="I787">
        <f t="shared" si="127"/>
        <v>783</v>
      </c>
      <c r="J787" s="6">
        <f t="array" aca="1" ref="J787:N787" ca="1">TRANSPOSE(ols(OFFSET($C$2:$C$10,I787,0),OFFSET($D$2:$H$10,I787,0)))</f>
        <v>15.26785714285711</v>
      </c>
      <c r="K787" s="6">
        <f ca="1"/>
        <v>-0.71428571428572241</v>
      </c>
      <c r="L787" s="6">
        <f ca="1"/>
        <v>-5.3571428571428896</v>
      </c>
      <c r="M787" s="6">
        <f ca="1"/>
        <v>2.6785714285715017</v>
      </c>
      <c r="N787" s="6">
        <f ca="1"/>
        <v>-8.928571428572063E-3</v>
      </c>
      <c r="O787" s="6">
        <f t="shared" ca="1" si="119"/>
        <v>10.53571428571396</v>
      </c>
      <c r="P787" t="str">
        <f t="shared" si="120"/>
        <v>NA</v>
      </c>
      <c r="Q787" s="10">
        <f t="shared" ca="1" si="121"/>
        <v>9.4642857142855004</v>
      </c>
      <c r="R787" s="10">
        <f t="shared" ca="1" si="122"/>
        <v>14.553571428571388</v>
      </c>
      <c r="S787" s="10">
        <f t="shared" ca="1" si="123"/>
        <v>-5.0892857142858876</v>
      </c>
      <c r="T787" s="10">
        <f t="shared" ca="1" si="124"/>
        <v>569.99999999997885</v>
      </c>
      <c r="U787" s="10">
        <f t="shared" ca="1" si="125"/>
        <v>569.99999999997885</v>
      </c>
      <c r="V787">
        <f t="shared" si="126"/>
        <v>2</v>
      </c>
    </row>
    <row r="788" spans="1:22" x14ac:dyDescent="0.25">
      <c r="A788">
        <v>88</v>
      </c>
      <c r="B788">
        <v>4</v>
      </c>
      <c r="C788">
        <v>12.5</v>
      </c>
      <c r="D788">
        <v>1</v>
      </c>
      <c r="E788">
        <v>0</v>
      </c>
      <c r="F788">
        <v>0</v>
      </c>
      <c r="G788">
        <v>0</v>
      </c>
      <c r="H788">
        <v>550</v>
      </c>
      <c r="I788">
        <f t="shared" si="127"/>
        <v>783</v>
      </c>
      <c r="J788" s="6">
        <f t="array" aca="1" ref="J788:N788" ca="1">TRANSPOSE(ols(OFFSET($C$2:$C$10,I788,0),OFFSET($D$2:$H$10,I788,0)))</f>
        <v>15.26785714285711</v>
      </c>
      <c r="K788" s="6">
        <f ca="1"/>
        <v>-0.71428571428572241</v>
      </c>
      <c r="L788" s="6">
        <f ca="1"/>
        <v>-5.3571428571428896</v>
      </c>
      <c r="M788" s="6">
        <f ca="1"/>
        <v>2.6785714285715017</v>
      </c>
      <c r="N788" s="6">
        <f ca="1"/>
        <v>-8.928571428572063E-3</v>
      </c>
      <c r="O788" s="6">
        <f t="shared" ca="1" si="119"/>
        <v>10.357142857142476</v>
      </c>
      <c r="P788" t="str">
        <f t="shared" si="120"/>
        <v>NA</v>
      </c>
      <c r="Q788" s="10">
        <f t="shared" ca="1" si="121"/>
        <v>9.4642857142855004</v>
      </c>
      <c r="R788" s="10">
        <f t="shared" ca="1" si="122"/>
        <v>15.26785714285711</v>
      </c>
      <c r="S788" s="10">
        <f t="shared" ca="1" si="123"/>
        <v>-5.80357142857161</v>
      </c>
      <c r="T788" s="10">
        <f t="shared" ca="1" si="124"/>
        <v>649.99999999997408</v>
      </c>
      <c r="U788" s="10">
        <f t="shared" ca="1" si="125"/>
        <v>649.99999999997408</v>
      </c>
      <c r="V788">
        <f t="shared" si="126"/>
        <v>1</v>
      </c>
    </row>
    <row r="789" spans="1:22" x14ac:dyDescent="0.25">
      <c r="A789">
        <v>88</v>
      </c>
      <c r="B789">
        <v>5</v>
      </c>
      <c r="C789">
        <v>10</v>
      </c>
      <c r="D789">
        <v>1</v>
      </c>
      <c r="E789">
        <v>0</v>
      </c>
      <c r="F789">
        <v>1</v>
      </c>
      <c r="G789">
        <v>1</v>
      </c>
      <c r="H789">
        <v>250</v>
      </c>
      <c r="I789">
        <f t="shared" si="127"/>
        <v>783</v>
      </c>
      <c r="J789" s="6">
        <f t="array" aca="1" ref="J789:N789" ca="1">TRANSPOSE(ols(OFFSET($C$2:$C$10,I789,0),OFFSET($D$2:$H$10,I789,0)))</f>
        <v>15.26785714285711</v>
      </c>
      <c r="K789" s="6">
        <f ca="1"/>
        <v>-0.71428571428572241</v>
      </c>
      <c r="L789" s="6">
        <f ca="1"/>
        <v>-5.3571428571428896</v>
      </c>
      <c r="M789" s="6">
        <f ca="1"/>
        <v>2.6785714285715017</v>
      </c>
      <c r="N789" s="6">
        <f ca="1"/>
        <v>-8.928571428572063E-3</v>
      </c>
      <c r="O789" s="6">
        <f t="shared" ca="1" si="119"/>
        <v>10.357142857142707</v>
      </c>
      <c r="P789" t="str">
        <f t="shared" si="120"/>
        <v>NA</v>
      </c>
      <c r="Q789" s="10">
        <f t="shared" ca="1" si="121"/>
        <v>9.4642857142855004</v>
      </c>
      <c r="R789" s="10">
        <f t="shared" ca="1" si="122"/>
        <v>12.589285714285722</v>
      </c>
      <c r="S789" s="10">
        <f t="shared" ca="1" si="123"/>
        <v>-3.125000000000222</v>
      </c>
      <c r="T789" s="10">
        <f t="shared" ca="1" si="124"/>
        <v>350</v>
      </c>
      <c r="U789" s="10">
        <f t="shared" ca="1" si="125"/>
        <v>350</v>
      </c>
      <c r="V789">
        <f t="shared" si="126"/>
        <v>6</v>
      </c>
    </row>
    <row r="790" spans="1:22" x14ac:dyDescent="0.25">
      <c r="A790">
        <v>88</v>
      </c>
      <c r="B790">
        <v>6</v>
      </c>
      <c r="C790">
        <v>10</v>
      </c>
      <c r="D790">
        <v>1</v>
      </c>
      <c r="E790">
        <v>0</v>
      </c>
      <c r="F790">
        <v>1</v>
      </c>
      <c r="G790">
        <v>1</v>
      </c>
      <c r="H790">
        <v>350</v>
      </c>
      <c r="I790">
        <f t="shared" si="127"/>
        <v>783</v>
      </c>
      <c r="J790" s="6">
        <f t="array" aca="1" ref="J790:N790" ca="1">TRANSPOSE(ols(OFFSET($C$2:$C$10,I790,0),OFFSET($D$2:$H$10,I790,0)))</f>
        <v>15.26785714285711</v>
      </c>
      <c r="K790" s="6">
        <f ca="1"/>
        <v>-0.71428571428572241</v>
      </c>
      <c r="L790" s="6">
        <f ca="1"/>
        <v>-5.3571428571428896</v>
      </c>
      <c r="M790" s="6">
        <f ca="1"/>
        <v>2.6785714285715017</v>
      </c>
      <c r="N790" s="6">
        <f ca="1"/>
        <v>-8.928571428572063E-3</v>
      </c>
      <c r="O790" s="6">
        <f t="shared" ca="1" si="119"/>
        <v>9.4642857142855004</v>
      </c>
      <c r="P790">
        <f t="shared" ca="1" si="120"/>
        <v>9.4642857142855004</v>
      </c>
      <c r="Q790" s="10">
        <f t="shared" ca="1" si="121"/>
        <v>9.4642857142855004</v>
      </c>
      <c r="R790" s="10">
        <f t="shared" ca="1" si="122"/>
        <v>12.589285714285722</v>
      </c>
      <c r="S790" s="10">
        <f t="shared" ca="1" si="123"/>
        <v>-3.125000000000222</v>
      </c>
      <c r="T790" s="10">
        <f t="shared" ca="1" si="124"/>
        <v>350</v>
      </c>
      <c r="U790" s="10">
        <f t="shared" ca="1" si="125"/>
        <v>350</v>
      </c>
      <c r="V790">
        <f t="shared" si="126"/>
        <v>6</v>
      </c>
    </row>
    <row r="791" spans="1:22" x14ac:dyDescent="0.25">
      <c r="A791">
        <v>88</v>
      </c>
      <c r="B791">
        <v>7</v>
      </c>
      <c r="C791">
        <v>15</v>
      </c>
      <c r="D791">
        <v>1</v>
      </c>
      <c r="E791">
        <v>1</v>
      </c>
      <c r="F791">
        <v>0</v>
      </c>
      <c r="G791">
        <v>1</v>
      </c>
      <c r="H791">
        <v>450</v>
      </c>
      <c r="I791">
        <f t="shared" si="127"/>
        <v>783</v>
      </c>
      <c r="J791" s="6">
        <f t="array" aca="1" ref="J791:N791" ca="1">TRANSPOSE(ols(OFFSET($C$2:$C$10,I791,0),OFFSET($D$2:$H$10,I791,0)))</f>
        <v>15.26785714285711</v>
      </c>
      <c r="K791" s="6">
        <f ca="1"/>
        <v>-0.71428571428572241</v>
      </c>
      <c r="L791" s="6">
        <f ca="1"/>
        <v>-5.3571428571428896</v>
      </c>
      <c r="M791" s="6">
        <f ca="1"/>
        <v>2.6785714285715017</v>
      </c>
      <c r="N791" s="6">
        <f ca="1"/>
        <v>-8.928571428572063E-3</v>
      </c>
      <c r="O791" s="6">
        <f t="shared" ca="1" si="119"/>
        <v>13.214285714285461</v>
      </c>
      <c r="P791" t="str">
        <f t="shared" si="120"/>
        <v>NA</v>
      </c>
      <c r="Q791" s="10">
        <f t="shared" ca="1" si="121"/>
        <v>9.4642857142855004</v>
      </c>
      <c r="R791" s="10">
        <f t="shared" ca="1" si="122"/>
        <v>17.23214285714289</v>
      </c>
      <c r="S791" s="10">
        <f t="shared" ca="1" si="123"/>
        <v>-7.7678571428573893</v>
      </c>
      <c r="T791" s="10">
        <f t="shared" ca="1" si="124"/>
        <v>869.99999999996578</v>
      </c>
      <c r="U791" s="10" t="str">
        <f t="shared" ca="1" si="125"/>
        <v>OR</v>
      </c>
      <c r="V791">
        <f t="shared" si="126"/>
        <v>5</v>
      </c>
    </row>
    <row r="792" spans="1:22" x14ac:dyDescent="0.25">
      <c r="A792">
        <v>88</v>
      </c>
      <c r="B792">
        <v>8</v>
      </c>
      <c r="C792">
        <v>12.5</v>
      </c>
      <c r="D792">
        <v>1</v>
      </c>
      <c r="E792">
        <v>1</v>
      </c>
      <c r="F792">
        <v>0</v>
      </c>
      <c r="G792">
        <v>1</v>
      </c>
      <c r="H792">
        <v>550</v>
      </c>
      <c r="I792">
        <f t="shared" si="127"/>
        <v>783</v>
      </c>
      <c r="J792" s="6">
        <f t="array" aca="1" ref="J792:N792" ca="1">TRANSPOSE(ols(OFFSET($C$2:$C$10,I792,0),OFFSET($D$2:$H$10,I792,0)))</f>
        <v>15.26785714285711</v>
      </c>
      <c r="K792" s="6">
        <f ca="1"/>
        <v>-0.71428571428572241</v>
      </c>
      <c r="L792" s="6">
        <f ca="1"/>
        <v>-5.3571428571428896</v>
      </c>
      <c r="M792" s="6">
        <f ca="1"/>
        <v>2.6785714285715017</v>
      </c>
      <c r="N792" s="6">
        <f ca="1"/>
        <v>-8.928571428572063E-3</v>
      </c>
      <c r="O792" s="6">
        <f t="shared" ca="1" si="119"/>
        <v>12.321428571428255</v>
      </c>
      <c r="P792" t="str">
        <f t="shared" si="120"/>
        <v>NA</v>
      </c>
      <c r="Q792" s="10">
        <f t="shared" ca="1" si="121"/>
        <v>9.4642857142855004</v>
      </c>
      <c r="R792" s="10">
        <f t="shared" ca="1" si="122"/>
        <v>17.23214285714289</v>
      </c>
      <c r="S792" s="10">
        <f t="shared" ca="1" si="123"/>
        <v>-7.7678571428573893</v>
      </c>
      <c r="T792" s="10">
        <f t="shared" ca="1" si="124"/>
        <v>869.99999999996578</v>
      </c>
      <c r="U792" s="10" t="str">
        <f t="shared" ca="1" si="125"/>
        <v>OR</v>
      </c>
      <c r="V792">
        <f t="shared" si="126"/>
        <v>5</v>
      </c>
    </row>
    <row r="793" spans="1:22" x14ac:dyDescent="0.25">
      <c r="A793">
        <v>88</v>
      </c>
      <c r="B793">
        <v>9</v>
      </c>
      <c r="C793">
        <v>10</v>
      </c>
      <c r="D793">
        <v>1</v>
      </c>
      <c r="E793">
        <v>0</v>
      </c>
      <c r="F793">
        <v>0</v>
      </c>
      <c r="G793">
        <v>1</v>
      </c>
      <c r="H793">
        <v>650</v>
      </c>
      <c r="I793">
        <f t="shared" si="127"/>
        <v>783</v>
      </c>
      <c r="J793" s="6">
        <f t="array" aca="1" ref="J793:N793" ca="1">TRANSPOSE(ols(OFFSET($C$2:$C$10,I793,0),OFFSET($D$2:$H$10,I793,0)))</f>
        <v>15.26785714285711</v>
      </c>
      <c r="K793" s="6">
        <f ca="1"/>
        <v>-0.71428571428572241</v>
      </c>
      <c r="L793" s="6">
        <f ca="1"/>
        <v>-5.3571428571428896</v>
      </c>
      <c r="M793" s="6">
        <f ca="1"/>
        <v>2.6785714285715017</v>
      </c>
      <c r="N793" s="6">
        <f ca="1"/>
        <v>-8.928571428572063E-3</v>
      </c>
      <c r="O793" s="6">
        <f t="shared" ca="1" si="119"/>
        <v>12.142857142856771</v>
      </c>
      <c r="P793" t="str">
        <f t="shared" si="120"/>
        <v>NA</v>
      </c>
      <c r="Q793" s="10">
        <f t="shared" ca="1" si="121"/>
        <v>9.4642857142855004</v>
      </c>
      <c r="R793" s="10">
        <f t="shared" ca="1" si="122"/>
        <v>17.946428571428612</v>
      </c>
      <c r="S793" s="10">
        <f t="shared" ca="1" si="123"/>
        <v>-8.4821428571431117</v>
      </c>
      <c r="T793" s="10">
        <f t="shared" ca="1" si="124"/>
        <v>949.99999999996101</v>
      </c>
      <c r="U793" s="10" t="str">
        <f t="shared" ca="1" si="125"/>
        <v>OR</v>
      </c>
      <c r="V793">
        <f t="shared" si="126"/>
        <v>4</v>
      </c>
    </row>
    <row r="794" spans="1:22" x14ac:dyDescent="0.25">
      <c r="A794">
        <v>89</v>
      </c>
      <c r="B794">
        <v>1</v>
      </c>
      <c r="C794">
        <v>50</v>
      </c>
      <c r="D794">
        <v>1</v>
      </c>
      <c r="E794">
        <v>0</v>
      </c>
      <c r="F794">
        <v>1</v>
      </c>
      <c r="G794">
        <v>0</v>
      </c>
      <c r="H794">
        <v>250</v>
      </c>
      <c r="I794">
        <f t="shared" si="127"/>
        <v>792</v>
      </c>
      <c r="J794" s="6">
        <f t="array" aca="1" ref="J794:N794" ca="1">TRANSPOSE(ols(OFFSET($C$2:$C$10,I794,0),OFFSET($D$2:$H$10,I794,0)))</f>
        <v>66.190476190475238</v>
      </c>
      <c r="K794" s="6">
        <f ca="1"/>
        <v>28.214285714286007</v>
      </c>
      <c r="L794" s="6">
        <f ca="1"/>
        <v>-3.8095238095243076</v>
      </c>
      <c r="M794" s="6">
        <f ca="1"/>
        <v>11.904761904761926</v>
      </c>
      <c r="N794" s="6">
        <f ca="1"/>
        <v>-9.5238095238098452E-2</v>
      </c>
      <c r="O794" s="6">
        <f t="shared" ca="1" si="119"/>
        <v>38.571428571426317</v>
      </c>
      <c r="P794" t="str">
        <f t="shared" si="120"/>
        <v>NA</v>
      </c>
      <c r="Q794" s="10">
        <f t="shared" ca="1" si="121"/>
        <v>40.952380952378398</v>
      </c>
      <c r="R794" s="10">
        <f t="shared" ca="1" si="122"/>
        <v>62.38095238095093</v>
      </c>
      <c r="S794" s="10">
        <f t="shared" ca="1" si="123"/>
        <v>-21.428571428572532</v>
      </c>
      <c r="T794" s="10">
        <f t="shared" ca="1" si="124"/>
        <v>225.00000000000398</v>
      </c>
      <c r="U794" s="10" t="str">
        <f t="shared" ca="1" si="125"/>
        <v>OR</v>
      </c>
      <c r="V794">
        <f t="shared" si="126"/>
        <v>3</v>
      </c>
    </row>
    <row r="795" spans="1:22" x14ac:dyDescent="0.25">
      <c r="A795">
        <v>89</v>
      </c>
      <c r="B795">
        <v>2</v>
      </c>
      <c r="C795">
        <v>70</v>
      </c>
      <c r="D795">
        <v>1</v>
      </c>
      <c r="E795">
        <v>1</v>
      </c>
      <c r="F795">
        <v>0</v>
      </c>
      <c r="G795">
        <v>0</v>
      </c>
      <c r="H795">
        <v>350</v>
      </c>
      <c r="I795">
        <f t="shared" si="127"/>
        <v>792</v>
      </c>
      <c r="J795" s="6">
        <f t="array" aca="1" ref="J795:N795" ca="1">TRANSPOSE(ols(OFFSET($C$2:$C$10,I795,0),OFFSET($D$2:$H$10,I795,0)))</f>
        <v>66.190476190475238</v>
      </c>
      <c r="K795" s="6">
        <f ca="1"/>
        <v>28.214285714286007</v>
      </c>
      <c r="L795" s="6">
        <f ca="1"/>
        <v>-3.8095238095243076</v>
      </c>
      <c r="M795" s="6">
        <f ca="1"/>
        <v>11.904761904761926</v>
      </c>
      <c r="N795" s="6">
        <f ca="1"/>
        <v>-9.5238095238098452E-2</v>
      </c>
      <c r="O795" s="6">
        <f t="shared" ca="1" si="119"/>
        <v>61.071428571426786</v>
      </c>
      <c r="P795" t="str">
        <f t="shared" si="120"/>
        <v>NA</v>
      </c>
      <c r="Q795" s="10">
        <f t="shared" ca="1" si="121"/>
        <v>40.952380952378398</v>
      </c>
      <c r="R795" s="10">
        <f t="shared" ca="1" si="122"/>
        <v>94.404761904761244</v>
      </c>
      <c r="S795" s="10">
        <f t="shared" ca="1" si="123"/>
        <v>-53.452380952382846</v>
      </c>
      <c r="T795" s="10">
        <f t="shared" ca="1" si="124"/>
        <v>561.25000000000091</v>
      </c>
      <c r="U795" s="10">
        <f t="shared" ca="1" si="125"/>
        <v>561.25000000000091</v>
      </c>
      <c r="V795">
        <f t="shared" si="126"/>
        <v>2</v>
      </c>
    </row>
    <row r="796" spans="1:22" x14ac:dyDescent="0.25">
      <c r="A796">
        <v>89</v>
      </c>
      <c r="B796">
        <v>3</v>
      </c>
      <c r="C796">
        <v>30</v>
      </c>
      <c r="D796">
        <v>1</v>
      </c>
      <c r="E796">
        <v>1</v>
      </c>
      <c r="F796">
        <v>0</v>
      </c>
      <c r="G796">
        <v>0</v>
      </c>
      <c r="H796">
        <v>450</v>
      </c>
      <c r="I796">
        <f t="shared" si="127"/>
        <v>792</v>
      </c>
      <c r="J796" s="6">
        <f t="array" aca="1" ref="J796:N796" ca="1">TRANSPOSE(ols(OFFSET($C$2:$C$10,I796,0),OFFSET($D$2:$H$10,I796,0)))</f>
        <v>66.190476190475238</v>
      </c>
      <c r="K796" s="6">
        <f ca="1"/>
        <v>28.214285714286007</v>
      </c>
      <c r="L796" s="6">
        <f ca="1"/>
        <v>-3.8095238095243076</v>
      </c>
      <c r="M796" s="6">
        <f ca="1"/>
        <v>11.904761904761926</v>
      </c>
      <c r="N796" s="6">
        <f ca="1"/>
        <v>-9.5238095238098452E-2</v>
      </c>
      <c r="O796" s="6">
        <f t="shared" ca="1" si="119"/>
        <v>51.547619047616941</v>
      </c>
      <c r="P796" t="str">
        <f t="shared" si="120"/>
        <v>NA</v>
      </c>
      <c r="Q796" s="10">
        <f t="shared" ca="1" si="121"/>
        <v>40.952380952378398</v>
      </c>
      <c r="R796" s="10">
        <f t="shared" ca="1" si="122"/>
        <v>94.404761904761244</v>
      </c>
      <c r="S796" s="10">
        <f t="shared" ca="1" si="123"/>
        <v>-53.452380952382846</v>
      </c>
      <c r="T796" s="10">
        <f t="shared" ca="1" si="124"/>
        <v>561.25000000000091</v>
      </c>
      <c r="U796" s="10">
        <f t="shared" ca="1" si="125"/>
        <v>561.25000000000091</v>
      </c>
      <c r="V796">
        <f t="shared" si="126"/>
        <v>2</v>
      </c>
    </row>
    <row r="797" spans="1:22" x14ac:dyDescent="0.25">
      <c r="A797">
        <v>89</v>
      </c>
      <c r="B797">
        <v>4</v>
      </c>
      <c r="C797">
        <v>15</v>
      </c>
      <c r="D797">
        <v>1</v>
      </c>
      <c r="E797">
        <v>0</v>
      </c>
      <c r="F797">
        <v>0</v>
      </c>
      <c r="G797">
        <v>0</v>
      </c>
      <c r="H797">
        <v>550</v>
      </c>
      <c r="I797">
        <f t="shared" si="127"/>
        <v>792</v>
      </c>
      <c r="J797" s="6">
        <f t="array" aca="1" ref="J797:N797" ca="1">TRANSPOSE(ols(OFFSET($C$2:$C$10,I797,0),OFFSET($D$2:$H$10,I797,0)))</f>
        <v>66.190476190475238</v>
      </c>
      <c r="K797" s="6">
        <f ca="1"/>
        <v>28.214285714286007</v>
      </c>
      <c r="L797" s="6">
        <f ca="1"/>
        <v>-3.8095238095243076</v>
      </c>
      <c r="M797" s="6">
        <f ca="1"/>
        <v>11.904761904761926</v>
      </c>
      <c r="N797" s="6">
        <f ca="1"/>
        <v>-9.5238095238098452E-2</v>
      </c>
      <c r="O797" s="6">
        <f t="shared" ca="1" si="119"/>
        <v>13.809523809521089</v>
      </c>
      <c r="P797" t="str">
        <f t="shared" si="120"/>
        <v>NA</v>
      </c>
      <c r="Q797" s="10">
        <f t="shared" ca="1" si="121"/>
        <v>40.952380952378398</v>
      </c>
      <c r="R797" s="10">
        <f t="shared" ca="1" si="122"/>
        <v>66.190476190475238</v>
      </c>
      <c r="S797" s="10">
        <f t="shared" ca="1" si="123"/>
        <v>-25.23809523809684</v>
      </c>
      <c r="T797" s="10">
        <f t="shared" ca="1" si="124"/>
        <v>265.00000000000784</v>
      </c>
      <c r="U797" s="10">
        <f t="shared" ca="1" si="125"/>
        <v>265.00000000000784</v>
      </c>
      <c r="V797">
        <f t="shared" si="126"/>
        <v>1</v>
      </c>
    </row>
    <row r="798" spans="1:22" x14ac:dyDescent="0.25">
      <c r="A798">
        <v>89</v>
      </c>
      <c r="B798">
        <v>5</v>
      </c>
      <c r="C798">
        <v>35</v>
      </c>
      <c r="D798">
        <v>1</v>
      </c>
      <c r="E798">
        <v>0</v>
      </c>
      <c r="F798">
        <v>1</v>
      </c>
      <c r="G798">
        <v>1</v>
      </c>
      <c r="H798">
        <v>250</v>
      </c>
      <c r="I798">
        <f t="shared" si="127"/>
        <v>792</v>
      </c>
      <c r="J798" s="6">
        <f t="array" aca="1" ref="J798:N798" ca="1">TRANSPOSE(ols(OFFSET($C$2:$C$10,I798,0),OFFSET($D$2:$H$10,I798,0)))</f>
        <v>66.190476190475238</v>
      </c>
      <c r="K798" s="6">
        <f ca="1"/>
        <v>28.214285714286007</v>
      </c>
      <c r="L798" s="6">
        <f ca="1"/>
        <v>-3.8095238095243076</v>
      </c>
      <c r="M798" s="6">
        <f ca="1"/>
        <v>11.904761904761926</v>
      </c>
      <c r="N798" s="6">
        <f ca="1"/>
        <v>-9.5238095238098452E-2</v>
      </c>
      <c r="O798" s="6">
        <f t="shared" ca="1" si="119"/>
        <v>50.476190476188243</v>
      </c>
      <c r="P798" t="str">
        <f t="shared" si="120"/>
        <v>NA</v>
      </c>
      <c r="Q798" s="10">
        <f t="shared" ca="1" si="121"/>
        <v>40.952380952378398</v>
      </c>
      <c r="R798" s="10">
        <f t="shared" ca="1" si="122"/>
        <v>74.285714285712857</v>
      </c>
      <c r="S798" s="10">
        <f t="shared" ca="1" si="123"/>
        <v>-33.333333333334458</v>
      </c>
      <c r="T798" s="10">
        <f t="shared" ca="1" si="124"/>
        <v>350</v>
      </c>
      <c r="U798" s="10">
        <f t="shared" ca="1" si="125"/>
        <v>350</v>
      </c>
      <c r="V798">
        <f t="shared" si="126"/>
        <v>6</v>
      </c>
    </row>
    <row r="799" spans="1:22" x14ac:dyDescent="0.25">
      <c r="A799">
        <v>89</v>
      </c>
      <c r="B799">
        <v>6</v>
      </c>
      <c r="C799">
        <v>45</v>
      </c>
      <c r="D799">
        <v>1</v>
      </c>
      <c r="E799">
        <v>0</v>
      </c>
      <c r="F799">
        <v>1</v>
      </c>
      <c r="G799">
        <v>1</v>
      </c>
      <c r="H799">
        <v>350</v>
      </c>
      <c r="I799">
        <f t="shared" si="127"/>
        <v>792</v>
      </c>
      <c r="J799" s="6">
        <f t="array" aca="1" ref="J799:N799" ca="1">TRANSPOSE(ols(OFFSET($C$2:$C$10,I799,0),OFFSET($D$2:$H$10,I799,0)))</f>
        <v>66.190476190475238</v>
      </c>
      <c r="K799" s="6">
        <f ca="1"/>
        <v>28.214285714286007</v>
      </c>
      <c r="L799" s="6">
        <f ca="1"/>
        <v>-3.8095238095243076</v>
      </c>
      <c r="M799" s="6">
        <f ca="1"/>
        <v>11.904761904761926</v>
      </c>
      <c r="N799" s="6">
        <f ca="1"/>
        <v>-9.5238095238098452E-2</v>
      </c>
      <c r="O799" s="6">
        <f t="shared" ca="1" si="119"/>
        <v>40.952380952378398</v>
      </c>
      <c r="P799">
        <f t="shared" ca="1" si="120"/>
        <v>40.952380952378398</v>
      </c>
      <c r="Q799" s="10">
        <f t="shared" ca="1" si="121"/>
        <v>40.952380952378398</v>
      </c>
      <c r="R799" s="10">
        <f t="shared" ca="1" si="122"/>
        <v>74.285714285712857</v>
      </c>
      <c r="S799" s="10">
        <f t="shared" ca="1" si="123"/>
        <v>-33.333333333334458</v>
      </c>
      <c r="T799" s="10">
        <f t="shared" ca="1" si="124"/>
        <v>350</v>
      </c>
      <c r="U799" s="10">
        <f t="shared" ca="1" si="125"/>
        <v>350</v>
      </c>
      <c r="V799">
        <f t="shared" si="126"/>
        <v>6</v>
      </c>
    </row>
    <row r="800" spans="1:22" x14ac:dyDescent="0.25">
      <c r="A800">
        <v>89</v>
      </c>
      <c r="B800">
        <v>7</v>
      </c>
      <c r="C800">
        <v>70</v>
      </c>
      <c r="D800">
        <v>1</v>
      </c>
      <c r="E800">
        <v>1</v>
      </c>
      <c r="F800">
        <v>0</v>
      </c>
      <c r="G800">
        <v>1</v>
      </c>
      <c r="H800">
        <v>450</v>
      </c>
      <c r="I800">
        <f t="shared" si="127"/>
        <v>792</v>
      </c>
      <c r="J800" s="6">
        <f t="array" aca="1" ref="J800:N800" ca="1">TRANSPOSE(ols(OFFSET($C$2:$C$10,I800,0),OFFSET($D$2:$H$10,I800,0)))</f>
        <v>66.190476190475238</v>
      </c>
      <c r="K800" s="6">
        <f ca="1"/>
        <v>28.214285714286007</v>
      </c>
      <c r="L800" s="6">
        <f ca="1"/>
        <v>-3.8095238095243076</v>
      </c>
      <c r="M800" s="6">
        <f ca="1"/>
        <v>11.904761904761926</v>
      </c>
      <c r="N800" s="6">
        <f ca="1"/>
        <v>-9.5238095238098452E-2</v>
      </c>
      <c r="O800" s="6">
        <f t="shared" ca="1" si="119"/>
        <v>63.452380952378867</v>
      </c>
      <c r="P800" t="str">
        <f t="shared" si="120"/>
        <v>NA</v>
      </c>
      <c r="Q800" s="10">
        <f t="shared" ca="1" si="121"/>
        <v>40.952380952378398</v>
      </c>
      <c r="R800" s="10">
        <f t="shared" ca="1" si="122"/>
        <v>106.30952380952317</v>
      </c>
      <c r="S800" s="10">
        <f t="shared" ca="1" si="123"/>
        <v>-65.357142857144765</v>
      </c>
      <c r="T800" s="10">
        <f t="shared" ca="1" si="124"/>
        <v>686.24999999999693</v>
      </c>
      <c r="U800" s="10" t="str">
        <f t="shared" ca="1" si="125"/>
        <v>OR</v>
      </c>
      <c r="V800">
        <f t="shared" si="126"/>
        <v>5</v>
      </c>
    </row>
    <row r="801" spans="1:22" x14ac:dyDescent="0.25">
      <c r="A801">
        <v>89</v>
      </c>
      <c r="B801">
        <v>8</v>
      </c>
      <c r="C801">
        <v>60</v>
      </c>
      <c r="D801">
        <v>1</v>
      </c>
      <c r="E801">
        <v>1</v>
      </c>
      <c r="F801">
        <v>0</v>
      </c>
      <c r="G801">
        <v>1</v>
      </c>
      <c r="H801">
        <v>550</v>
      </c>
      <c r="I801">
        <f t="shared" si="127"/>
        <v>792</v>
      </c>
      <c r="J801" s="6">
        <f t="array" aca="1" ref="J801:N801" ca="1">TRANSPOSE(ols(OFFSET($C$2:$C$10,I801,0),OFFSET($D$2:$H$10,I801,0)))</f>
        <v>66.190476190475238</v>
      </c>
      <c r="K801" s="6">
        <f ca="1"/>
        <v>28.214285714286007</v>
      </c>
      <c r="L801" s="6">
        <f ca="1"/>
        <v>-3.8095238095243076</v>
      </c>
      <c r="M801" s="6">
        <f ca="1"/>
        <v>11.904761904761926</v>
      </c>
      <c r="N801" s="6">
        <f ca="1"/>
        <v>-9.5238095238098452E-2</v>
      </c>
      <c r="O801" s="6">
        <f t="shared" ca="1" si="119"/>
        <v>53.928571428569022</v>
      </c>
      <c r="P801" t="str">
        <f t="shared" si="120"/>
        <v>NA</v>
      </c>
      <c r="Q801" s="10">
        <f t="shared" ca="1" si="121"/>
        <v>40.952380952378398</v>
      </c>
      <c r="R801" s="10">
        <f t="shared" ca="1" si="122"/>
        <v>106.30952380952317</v>
      </c>
      <c r="S801" s="10">
        <f t="shared" ca="1" si="123"/>
        <v>-65.357142857144765</v>
      </c>
      <c r="T801" s="10">
        <f t="shared" ca="1" si="124"/>
        <v>686.24999999999693</v>
      </c>
      <c r="U801" s="10" t="str">
        <f t="shared" ca="1" si="125"/>
        <v>OR</v>
      </c>
      <c r="V801">
        <f t="shared" si="126"/>
        <v>5</v>
      </c>
    </row>
    <row r="802" spans="1:22" x14ac:dyDescent="0.25">
      <c r="A802">
        <v>89</v>
      </c>
      <c r="B802">
        <v>9</v>
      </c>
      <c r="C802">
        <v>15</v>
      </c>
      <c r="D802">
        <v>1</v>
      </c>
      <c r="E802">
        <v>0</v>
      </c>
      <c r="F802">
        <v>0</v>
      </c>
      <c r="G802">
        <v>1</v>
      </c>
      <c r="H802">
        <v>650</v>
      </c>
      <c r="I802">
        <f t="shared" si="127"/>
        <v>792</v>
      </c>
      <c r="J802" s="6">
        <f t="array" aca="1" ref="J802:N802" ca="1">TRANSPOSE(ols(OFFSET($C$2:$C$10,I802,0),OFFSET($D$2:$H$10,I802,0)))</f>
        <v>66.190476190475238</v>
      </c>
      <c r="K802" s="6">
        <f ca="1"/>
        <v>28.214285714286007</v>
      </c>
      <c r="L802" s="6">
        <f ca="1"/>
        <v>-3.8095238095243076</v>
      </c>
      <c r="M802" s="6">
        <f ca="1"/>
        <v>11.904761904761926</v>
      </c>
      <c r="N802" s="6">
        <f ca="1"/>
        <v>-9.5238095238098452E-2</v>
      </c>
      <c r="O802" s="6">
        <f t="shared" ca="1" si="119"/>
        <v>16.19047619047317</v>
      </c>
      <c r="P802" t="str">
        <f t="shared" si="120"/>
        <v>NA</v>
      </c>
      <c r="Q802" s="10">
        <f t="shared" ca="1" si="121"/>
        <v>40.952380952378398</v>
      </c>
      <c r="R802" s="10">
        <f t="shared" ca="1" si="122"/>
        <v>78.095238095237164</v>
      </c>
      <c r="S802" s="10">
        <f t="shared" ca="1" si="123"/>
        <v>-37.142857142858766</v>
      </c>
      <c r="T802" s="10">
        <f t="shared" ca="1" si="124"/>
        <v>390.00000000000387</v>
      </c>
      <c r="U802" s="10">
        <f t="shared" ca="1" si="125"/>
        <v>390.00000000000387</v>
      </c>
      <c r="V802">
        <f t="shared" si="126"/>
        <v>4</v>
      </c>
    </row>
    <row r="803" spans="1:22" x14ac:dyDescent="0.25">
      <c r="A803">
        <v>90</v>
      </c>
      <c r="B803">
        <v>1</v>
      </c>
      <c r="C803">
        <v>0</v>
      </c>
      <c r="D803">
        <v>1</v>
      </c>
      <c r="E803">
        <v>0</v>
      </c>
      <c r="F803">
        <v>1</v>
      </c>
      <c r="G803">
        <v>0</v>
      </c>
      <c r="H803">
        <v>250</v>
      </c>
      <c r="I803">
        <f t="shared" si="127"/>
        <v>801</v>
      </c>
      <c r="J803" s="6">
        <f t="array" aca="1" ref="J803:N803" ca="1">TRANSPOSE(ols(OFFSET($C$2:$C$10,I803,0),OFFSET($D$2:$H$10,I803,0)))</f>
        <v>81.785714285713311</v>
      </c>
      <c r="K803" s="6">
        <f ca="1"/>
        <v>-6.4285714285711038</v>
      </c>
      <c r="L803" s="6">
        <f ca="1"/>
        <v>-5.7142857142848698</v>
      </c>
      <c r="M803" s="6">
        <f ca="1"/>
        <v>67.857142857142776</v>
      </c>
      <c r="N803" s="6">
        <f ca="1"/>
        <v>-0.19285714285714217</v>
      </c>
      <c r="O803" s="6">
        <f t="shared" ca="1" si="119"/>
        <v>27.857142857142897</v>
      </c>
      <c r="P803" t="str">
        <f t="shared" si="120"/>
        <v>NA</v>
      </c>
      <c r="Q803" s="10">
        <f t="shared" ca="1" si="121"/>
        <v>76.428571428571459</v>
      </c>
      <c r="R803" s="10">
        <f t="shared" ca="1" si="122"/>
        <v>76.071428571428442</v>
      </c>
      <c r="S803" s="10">
        <f t="shared" ca="1" si="123"/>
        <v>0.35714285714301752</v>
      </c>
      <c r="T803" s="10">
        <f t="shared" ca="1" si="124"/>
        <v>-1.8518518518526901</v>
      </c>
      <c r="U803" s="10" t="str">
        <f t="shared" ca="1" si="125"/>
        <v>OR</v>
      </c>
      <c r="V803">
        <f t="shared" si="126"/>
        <v>3</v>
      </c>
    </row>
    <row r="804" spans="1:22" x14ac:dyDescent="0.25">
      <c r="A804">
        <v>90</v>
      </c>
      <c r="B804">
        <v>2</v>
      </c>
      <c r="C804">
        <v>0</v>
      </c>
      <c r="D804">
        <v>1</v>
      </c>
      <c r="E804">
        <v>1</v>
      </c>
      <c r="F804">
        <v>0</v>
      </c>
      <c r="G804">
        <v>0</v>
      </c>
      <c r="H804">
        <v>350</v>
      </c>
      <c r="I804">
        <f t="shared" si="127"/>
        <v>801</v>
      </c>
      <c r="J804" s="6">
        <f t="array" aca="1" ref="J804:N804" ca="1">TRANSPOSE(ols(OFFSET($C$2:$C$10,I804,0),OFFSET($D$2:$H$10,I804,0)))</f>
        <v>81.785714285713311</v>
      </c>
      <c r="K804" s="6">
        <f ca="1"/>
        <v>-6.4285714285711038</v>
      </c>
      <c r="L804" s="6">
        <f ca="1"/>
        <v>-5.7142857142848698</v>
      </c>
      <c r="M804" s="6">
        <f ca="1"/>
        <v>67.857142857142776</v>
      </c>
      <c r="N804" s="6">
        <f ca="1"/>
        <v>-0.19285714285714217</v>
      </c>
      <c r="O804" s="6">
        <f t="shared" ca="1" si="119"/>
        <v>7.8571428571424491</v>
      </c>
      <c r="P804" t="str">
        <f t="shared" si="120"/>
        <v>NA</v>
      </c>
      <c r="Q804" s="10">
        <f t="shared" ca="1" si="121"/>
        <v>76.428571428571459</v>
      </c>
      <c r="R804" s="10">
        <f t="shared" ca="1" si="122"/>
        <v>75.357142857142208</v>
      </c>
      <c r="S804" s="10">
        <f t="shared" ca="1" si="123"/>
        <v>1.0714285714292515</v>
      </c>
      <c r="T804" s="10">
        <f t="shared" ca="1" si="124"/>
        <v>-5.5555555555591019</v>
      </c>
      <c r="U804" s="10" t="str">
        <f t="shared" ca="1" si="125"/>
        <v>OR</v>
      </c>
      <c r="V804">
        <f t="shared" si="126"/>
        <v>2</v>
      </c>
    </row>
    <row r="805" spans="1:22" x14ac:dyDescent="0.25">
      <c r="A805">
        <v>90</v>
      </c>
      <c r="B805">
        <v>3</v>
      </c>
      <c r="C805">
        <v>0</v>
      </c>
      <c r="D805">
        <v>1</v>
      </c>
      <c r="E805">
        <v>1</v>
      </c>
      <c r="F805">
        <v>0</v>
      </c>
      <c r="G805">
        <v>0</v>
      </c>
      <c r="H805">
        <v>450</v>
      </c>
      <c r="I805">
        <f t="shared" si="127"/>
        <v>801</v>
      </c>
      <c r="J805" s="6">
        <f t="array" aca="1" ref="J805:N805" ca="1">TRANSPOSE(ols(OFFSET($C$2:$C$10,I805,0),OFFSET($D$2:$H$10,I805,0)))</f>
        <v>81.785714285713311</v>
      </c>
      <c r="K805" s="6">
        <f ca="1"/>
        <v>-6.4285714285711038</v>
      </c>
      <c r="L805" s="6">
        <f ca="1"/>
        <v>-5.7142857142848698</v>
      </c>
      <c r="M805" s="6">
        <f ca="1"/>
        <v>67.857142857142776</v>
      </c>
      <c r="N805" s="6">
        <f ca="1"/>
        <v>-0.19285714285714217</v>
      </c>
      <c r="O805" s="6">
        <f t="shared" ca="1" si="119"/>
        <v>-11.428571428571772</v>
      </c>
      <c r="P805" t="str">
        <f t="shared" si="120"/>
        <v>NA</v>
      </c>
      <c r="Q805" s="10">
        <f t="shared" ca="1" si="121"/>
        <v>76.428571428571459</v>
      </c>
      <c r="R805" s="10">
        <f t="shared" ca="1" si="122"/>
        <v>75.357142857142208</v>
      </c>
      <c r="S805" s="10">
        <f t="shared" ca="1" si="123"/>
        <v>1.0714285714292515</v>
      </c>
      <c r="T805" s="10">
        <f t="shared" ca="1" si="124"/>
        <v>-5.5555555555591019</v>
      </c>
      <c r="U805" s="10" t="str">
        <f t="shared" ca="1" si="125"/>
        <v>OR</v>
      </c>
      <c r="V805">
        <f t="shared" si="126"/>
        <v>2</v>
      </c>
    </row>
    <row r="806" spans="1:22" x14ac:dyDescent="0.25">
      <c r="A806">
        <v>90</v>
      </c>
      <c r="B806">
        <v>4</v>
      </c>
      <c r="C806">
        <v>0</v>
      </c>
      <c r="D806">
        <v>1</v>
      </c>
      <c r="E806">
        <v>0</v>
      </c>
      <c r="F806">
        <v>0</v>
      </c>
      <c r="G806">
        <v>0</v>
      </c>
      <c r="H806">
        <v>550</v>
      </c>
      <c r="I806">
        <f t="shared" si="127"/>
        <v>801</v>
      </c>
      <c r="J806" s="6">
        <f t="array" aca="1" ref="J806:N806" ca="1">TRANSPOSE(ols(OFFSET($C$2:$C$10,I806,0),OFFSET($D$2:$H$10,I806,0)))</f>
        <v>81.785714285713311</v>
      </c>
      <c r="K806" s="6">
        <f ca="1"/>
        <v>-6.4285714285711038</v>
      </c>
      <c r="L806" s="6">
        <f ca="1"/>
        <v>-5.7142857142848698</v>
      </c>
      <c r="M806" s="6">
        <f ca="1"/>
        <v>67.857142857142776</v>
      </c>
      <c r="N806" s="6">
        <f ca="1"/>
        <v>-0.19285714285714217</v>
      </c>
      <c r="O806" s="6">
        <f t="shared" ca="1" si="119"/>
        <v>-24.285714285714889</v>
      </c>
      <c r="P806" t="str">
        <f t="shared" si="120"/>
        <v>NA</v>
      </c>
      <c r="Q806" s="10">
        <f t="shared" ca="1" si="121"/>
        <v>76.428571428571459</v>
      </c>
      <c r="R806" s="10">
        <f t="shared" ca="1" si="122"/>
        <v>81.785714285713311</v>
      </c>
      <c r="S806" s="10">
        <f t="shared" ca="1" si="123"/>
        <v>-5.3571428571418522</v>
      </c>
      <c r="T806" s="10">
        <f t="shared" ca="1" si="124"/>
        <v>27.777777777772666</v>
      </c>
      <c r="U806" s="10" t="str">
        <f t="shared" ca="1" si="125"/>
        <v>OR</v>
      </c>
      <c r="V806">
        <f t="shared" si="126"/>
        <v>1</v>
      </c>
    </row>
    <row r="807" spans="1:22" x14ac:dyDescent="0.25">
      <c r="A807">
        <v>90</v>
      </c>
      <c r="B807">
        <v>5</v>
      </c>
      <c r="C807">
        <v>100</v>
      </c>
      <c r="D807">
        <v>1</v>
      </c>
      <c r="E807">
        <v>0</v>
      </c>
      <c r="F807">
        <v>1</v>
      </c>
      <c r="G807">
        <v>1</v>
      </c>
      <c r="H807">
        <v>250</v>
      </c>
      <c r="I807">
        <f t="shared" si="127"/>
        <v>801</v>
      </c>
      <c r="J807" s="6">
        <f t="array" aca="1" ref="J807:N807" ca="1">TRANSPOSE(ols(OFFSET($C$2:$C$10,I807,0),OFFSET($D$2:$H$10,I807,0)))</f>
        <v>81.785714285713311</v>
      </c>
      <c r="K807" s="6">
        <f ca="1"/>
        <v>-6.4285714285711038</v>
      </c>
      <c r="L807" s="6">
        <f ca="1"/>
        <v>-5.7142857142848698</v>
      </c>
      <c r="M807" s="6">
        <f ca="1"/>
        <v>67.857142857142776</v>
      </c>
      <c r="N807" s="6">
        <f ca="1"/>
        <v>-0.19285714285714217</v>
      </c>
      <c r="O807" s="6">
        <f t="shared" ca="1" si="119"/>
        <v>95.714285714285666</v>
      </c>
      <c r="P807" t="str">
        <f t="shared" si="120"/>
        <v>NA</v>
      </c>
      <c r="Q807" s="10">
        <f t="shared" ca="1" si="121"/>
        <v>76.428571428571459</v>
      </c>
      <c r="R807" s="10">
        <f t="shared" ca="1" si="122"/>
        <v>143.92857142857122</v>
      </c>
      <c r="S807" s="10">
        <f t="shared" ca="1" si="123"/>
        <v>-67.499999999999758</v>
      </c>
      <c r="T807" s="10">
        <f t="shared" ca="1" si="124"/>
        <v>350</v>
      </c>
      <c r="U807" s="10">
        <f t="shared" ca="1" si="125"/>
        <v>350</v>
      </c>
      <c r="V807">
        <f t="shared" si="126"/>
        <v>6</v>
      </c>
    </row>
    <row r="808" spans="1:22" x14ac:dyDescent="0.25">
      <c r="A808">
        <v>90</v>
      </c>
      <c r="B808">
        <v>6</v>
      </c>
      <c r="C808">
        <v>100</v>
      </c>
      <c r="D808">
        <v>1</v>
      </c>
      <c r="E808">
        <v>0</v>
      </c>
      <c r="F808">
        <v>1</v>
      </c>
      <c r="G808">
        <v>1</v>
      </c>
      <c r="H808">
        <v>350</v>
      </c>
      <c r="I808">
        <f t="shared" si="127"/>
        <v>801</v>
      </c>
      <c r="J808" s="6">
        <f t="array" aca="1" ref="J808:N808" ca="1">TRANSPOSE(ols(OFFSET($C$2:$C$10,I808,0),OFFSET($D$2:$H$10,I808,0)))</f>
        <v>81.785714285713311</v>
      </c>
      <c r="K808" s="6">
        <f ca="1"/>
        <v>-6.4285714285711038</v>
      </c>
      <c r="L808" s="6">
        <f ca="1"/>
        <v>-5.7142857142848698</v>
      </c>
      <c r="M808" s="6">
        <f ca="1"/>
        <v>67.857142857142776</v>
      </c>
      <c r="N808" s="6">
        <f ca="1"/>
        <v>-0.19285714285714217</v>
      </c>
      <c r="O808" s="6">
        <f t="shared" ca="1" si="119"/>
        <v>76.428571428571459</v>
      </c>
      <c r="P808">
        <f t="shared" ca="1" si="120"/>
        <v>76.428571428571459</v>
      </c>
      <c r="Q808" s="10">
        <f t="shared" ca="1" si="121"/>
        <v>76.428571428571459</v>
      </c>
      <c r="R808" s="10">
        <f t="shared" ca="1" si="122"/>
        <v>143.92857142857122</v>
      </c>
      <c r="S808" s="10">
        <f t="shared" ca="1" si="123"/>
        <v>-67.499999999999758</v>
      </c>
      <c r="T808" s="10">
        <f t="shared" ca="1" si="124"/>
        <v>350</v>
      </c>
      <c r="U808" s="10">
        <f t="shared" ca="1" si="125"/>
        <v>350</v>
      </c>
      <c r="V808">
        <f t="shared" si="126"/>
        <v>6</v>
      </c>
    </row>
    <row r="809" spans="1:22" x14ac:dyDescent="0.25">
      <c r="A809">
        <v>90</v>
      </c>
      <c r="B809">
        <v>7</v>
      </c>
      <c r="C809">
        <v>60</v>
      </c>
      <c r="D809">
        <v>1</v>
      </c>
      <c r="E809">
        <v>1</v>
      </c>
      <c r="F809">
        <v>0</v>
      </c>
      <c r="G809">
        <v>1</v>
      </c>
      <c r="H809">
        <v>450</v>
      </c>
      <c r="I809">
        <f t="shared" si="127"/>
        <v>801</v>
      </c>
      <c r="J809" s="6">
        <f t="array" aca="1" ref="J809:N809" ca="1">TRANSPOSE(ols(OFFSET($C$2:$C$10,I809,0),OFFSET($D$2:$H$10,I809,0)))</f>
        <v>81.785714285713311</v>
      </c>
      <c r="K809" s="6">
        <f ca="1"/>
        <v>-6.4285714285711038</v>
      </c>
      <c r="L809" s="6">
        <f ca="1"/>
        <v>-5.7142857142848698</v>
      </c>
      <c r="M809" s="6">
        <f ca="1"/>
        <v>67.857142857142776</v>
      </c>
      <c r="N809" s="6">
        <f ca="1"/>
        <v>-0.19285714285714217</v>
      </c>
      <c r="O809" s="6">
        <f t="shared" ca="1" si="119"/>
        <v>56.428571428571004</v>
      </c>
      <c r="P809" t="str">
        <f t="shared" si="120"/>
        <v>NA</v>
      </c>
      <c r="Q809" s="10">
        <f t="shared" ca="1" si="121"/>
        <v>76.428571428571459</v>
      </c>
      <c r="R809" s="10">
        <f t="shared" ca="1" si="122"/>
        <v>143.21428571428498</v>
      </c>
      <c r="S809" s="10">
        <f t="shared" ca="1" si="123"/>
        <v>-66.785714285713524</v>
      </c>
      <c r="T809" s="10">
        <f t="shared" ca="1" si="124"/>
        <v>346.29629629629358</v>
      </c>
      <c r="U809" s="10">
        <f t="shared" ca="1" si="125"/>
        <v>346.29629629629358</v>
      </c>
      <c r="V809">
        <f t="shared" si="126"/>
        <v>5</v>
      </c>
    </row>
    <row r="810" spans="1:22" x14ac:dyDescent="0.25">
      <c r="A810">
        <v>90</v>
      </c>
      <c r="B810">
        <v>8</v>
      </c>
      <c r="C810">
        <v>30</v>
      </c>
      <c r="D810">
        <v>1</v>
      </c>
      <c r="E810">
        <v>1</v>
      </c>
      <c r="F810">
        <v>0</v>
      </c>
      <c r="G810">
        <v>1</v>
      </c>
      <c r="H810">
        <v>550</v>
      </c>
      <c r="I810">
        <f t="shared" si="127"/>
        <v>801</v>
      </c>
      <c r="J810" s="6">
        <f t="array" aca="1" ref="J810:N810" ca="1">TRANSPOSE(ols(OFFSET($C$2:$C$10,I810,0),OFFSET($D$2:$H$10,I810,0)))</f>
        <v>81.785714285713311</v>
      </c>
      <c r="K810" s="6">
        <f ca="1"/>
        <v>-6.4285714285711038</v>
      </c>
      <c r="L810" s="6">
        <f ca="1"/>
        <v>-5.7142857142848698</v>
      </c>
      <c r="M810" s="6">
        <f ca="1"/>
        <v>67.857142857142776</v>
      </c>
      <c r="N810" s="6">
        <f ca="1"/>
        <v>-0.19285714285714217</v>
      </c>
      <c r="O810" s="6">
        <f t="shared" ca="1" si="119"/>
        <v>37.142857142856784</v>
      </c>
      <c r="P810" t="str">
        <f t="shared" si="120"/>
        <v>NA</v>
      </c>
      <c r="Q810" s="10">
        <f t="shared" ca="1" si="121"/>
        <v>76.428571428571459</v>
      </c>
      <c r="R810" s="10">
        <f t="shared" ca="1" si="122"/>
        <v>143.21428571428498</v>
      </c>
      <c r="S810" s="10">
        <f t="shared" ca="1" si="123"/>
        <v>-66.785714285713524</v>
      </c>
      <c r="T810" s="10">
        <f t="shared" ca="1" si="124"/>
        <v>346.29629629629358</v>
      </c>
      <c r="U810" s="10">
        <f t="shared" ca="1" si="125"/>
        <v>346.29629629629358</v>
      </c>
      <c r="V810">
        <f t="shared" si="126"/>
        <v>5</v>
      </c>
    </row>
    <row r="811" spans="1:22" x14ac:dyDescent="0.25">
      <c r="A811">
        <v>90</v>
      </c>
      <c r="B811">
        <v>9</v>
      </c>
      <c r="C811">
        <v>0</v>
      </c>
      <c r="D811">
        <v>1</v>
      </c>
      <c r="E811">
        <v>0</v>
      </c>
      <c r="F811">
        <v>0</v>
      </c>
      <c r="G811">
        <v>1</v>
      </c>
      <c r="H811">
        <v>650</v>
      </c>
      <c r="I811">
        <f t="shared" si="127"/>
        <v>801</v>
      </c>
      <c r="J811" s="6">
        <f t="array" aca="1" ref="J811:N811" ca="1">TRANSPOSE(ols(OFFSET($C$2:$C$10,I811,0),OFFSET($D$2:$H$10,I811,0)))</f>
        <v>81.785714285713311</v>
      </c>
      <c r="K811" s="6">
        <f ca="1"/>
        <v>-6.4285714285711038</v>
      </c>
      <c r="L811" s="6">
        <f ca="1"/>
        <v>-5.7142857142848698</v>
      </c>
      <c r="M811" s="6">
        <f ca="1"/>
        <v>67.857142857142776</v>
      </c>
      <c r="N811" s="6">
        <f ca="1"/>
        <v>-0.19285714285714217</v>
      </c>
      <c r="O811" s="6">
        <f t="shared" ca="1" si="119"/>
        <v>24.285714285713681</v>
      </c>
      <c r="P811" t="str">
        <f t="shared" si="120"/>
        <v>NA</v>
      </c>
      <c r="Q811" s="10">
        <f t="shared" ca="1" si="121"/>
        <v>76.428571428571459</v>
      </c>
      <c r="R811" s="10">
        <f t="shared" ca="1" si="122"/>
        <v>149.64285714285609</v>
      </c>
      <c r="S811" s="10">
        <f t="shared" ca="1" si="123"/>
        <v>-73.214285714284628</v>
      </c>
      <c r="T811" s="10">
        <f t="shared" ca="1" si="124"/>
        <v>379.62962962962536</v>
      </c>
      <c r="U811" s="10">
        <f t="shared" ca="1" si="125"/>
        <v>379.62962962962536</v>
      </c>
      <c r="V811">
        <f t="shared" si="126"/>
        <v>4</v>
      </c>
    </row>
    <row r="812" spans="1:22" x14ac:dyDescent="0.25">
      <c r="A812">
        <v>91</v>
      </c>
      <c r="B812">
        <v>1</v>
      </c>
      <c r="C812">
        <v>10</v>
      </c>
      <c r="D812">
        <v>1</v>
      </c>
      <c r="E812">
        <v>0</v>
      </c>
      <c r="F812">
        <v>1</v>
      </c>
      <c r="G812">
        <v>0</v>
      </c>
      <c r="H812">
        <v>250</v>
      </c>
      <c r="I812">
        <f t="shared" si="127"/>
        <v>810</v>
      </c>
      <c r="J812" s="6">
        <f t="array" aca="1" ref="J812:N812" ca="1">TRANSPOSE(ols(OFFSET($C$2:$C$10,I812,0),OFFSET($D$2:$H$10,I812,0)))</f>
        <v>80.714285714284415</v>
      </c>
      <c r="K812" s="6">
        <f ca="1"/>
        <v>-13.571428571428214</v>
      </c>
      <c r="L812" s="6">
        <f ca="1"/>
        <v>-24.285714285713766</v>
      </c>
      <c r="M812" s="6">
        <f ca="1"/>
        <v>62.142857142857224</v>
      </c>
      <c r="N812" s="6">
        <f ca="1"/>
        <v>-0.15714285714285658</v>
      </c>
      <c r="O812" s="6">
        <f t="shared" ca="1" si="119"/>
        <v>17.142857142856499</v>
      </c>
      <c r="P812" t="str">
        <f t="shared" si="120"/>
        <v>NA</v>
      </c>
      <c r="Q812" s="10">
        <f t="shared" ca="1" si="121"/>
        <v>63.571428571428072</v>
      </c>
      <c r="R812" s="10">
        <f t="shared" ca="1" si="122"/>
        <v>56.428571428570649</v>
      </c>
      <c r="S812" s="10">
        <f t="shared" ca="1" si="123"/>
        <v>7.142857142857423</v>
      </c>
      <c r="T812" s="10">
        <f t="shared" ca="1" si="124"/>
        <v>-45.4545454545474</v>
      </c>
      <c r="U812" s="10" t="str">
        <f t="shared" ca="1" si="125"/>
        <v>OR</v>
      </c>
      <c r="V812">
        <f t="shared" si="126"/>
        <v>3</v>
      </c>
    </row>
    <row r="813" spans="1:22" x14ac:dyDescent="0.25">
      <c r="A813">
        <v>91</v>
      </c>
      <c r="B813">
        <v>2</v>
      </c>
      <c r="C813">
        <v>10</v>
      </c>
      <c r="D813">
        <v>1</v>
      </c>
      <c r="E813">
        <v>1</v>
      </c>
      <c r="F813">
        <v>0</v>
      </c>
      <c r="G813">
        <v>0</v>
      </c>
      <c r="H813">
        <v>350</v>
      </c>
      <c r="I813">
        <f t="shared" si="127"/>
        <v>810</v>
      </c>
      <c r="J813" s="6">
        <f t="array" aca="1" ref="J813:N813" ca="1">TRANSPOSE(ols(OFFSET($C$2:$C$10,I813,0),OFFSET($D$2:$H$10,I813,0)))</f>
        <v>80.714285714284415</v>
      </c>
      <c r="K813" s="6">
        <f ca="1"/>
        <v>-13.571428571428214</v>
      </c>
      <c r="L813" s="6">
        <f ca="1"/>
        <v>-24.285714285713766</v>
      </c>
      <c r="M813" s="6">
        <f ca="1"/>
        <v>62.142857142857224</v>
      </c>
      <c r="N813" s="6">
        <f ca="1"/>
        <v>-0.15714285714285658</v>
      </c>
      <c r="O813" s="6">
        <f t="shared" ca="1" si="119"/>
        <v>12.1428571428564</v>
      </c>
      <c r="P813" t="str">
        <f t="shared" si="120"/>
        <v>NA</v>
      </c>
      <c r="Q813" s="10">
        <f t="shared" ca="1" si="121"/>
        <v>63.571428571428072</v>
      </c>
      <c r="R813" s="10">
        <f t="shared" ca="1" si="122"/>
        <v>67.142857142856201</v>
      </c>
      <c r="S813" s="10">
        <f t="shared" ca="1" si="123"/>
        <v>-3.5714285714281289</v>
      </c>
      <c r="T813" s="10">
        <f t="shared" ca="1" si="124"/>
        <v>22.727272727269991</v>
      </c>
      <c r="U813" s="10" t="str">
        <f t="shared" ca="1" si="125"/>
        <v>OR</v>
      </c>
      <c r="V813">
        <f t="shared" si="126"/>
        <v>2</v>
      </c>
    </row>
    <row r="814" spans="1:22" x14ac:dyDescent="0.25">
      <c r="A814">
        <v>91</v>
      </c>
      <c r="B814">
        <v>3</v>
      </c>
      <c r="C814">
        <v>0</v>
      </c>
      <c r="D814">
        <v>1</v>
      </c>
      <c r="E814">
        <v>1</v>
      </c>
      <c r="F814">
        <v>0</v>
      </c>
      <c r="G814">
        <v>0</v>
      </c>
      <c r="H814">
        <v>450</v>
      </c>
      <c r="I814">
        <f t="shared" si="127"/>
        <v>810</v>
      </c>
      <c r="J814" s="6">
        <f t="array" aca="1" ref="J814:N814" ca="1">TRANSPOSE(ols(OFFSET($C$2:$C$10,I814,0),OFFSET($D$2:$H$10,I814,0)))</f>
        <v>80.714285714284415</v>
      </c>
      <c r="K814" s="6">
        <f ca="1"/>
        <v>-13.571428571428214</v>
      </c>
      <c r="L814" s="6">
        <f ca="1"/>
        <v>-24.285714285713766</v>
      </c>
      <c r="M814" s="6">
        <f ca="1"/>
        <v>62.142857142857224</v>
      </c>
      <c r="N814" s="6">
        <f ca="1"/>
        <v>-0.15714285714285658</v>
      </c>
      <c r="O814" s="6">
        <f t="shared" ca="1" si="119"/>
        <v>-3.5714285714292657</v>
      </c>
      <c r="P814" t="str">
        <f t="shared" si="120"/>
        <v>NA</v>
      </c>
      <c r="Q814" s="10">
        <f t="shared" ca="1" si="121"/>
        <v>63.571428571428072</v>
      </c>
      <c r="R814" s="10">
        <f t="shared" ca="1" si="122"/>
        <v>67.142857142856201</v>
      </c>
      <c r="S814" s="10">
        <f t="shared" ca="1" si="123"/>
        <v>-3.5714285714281289</v>
      </c>
      <c r="T814" s="10">
        <f t="shared" ca="1" si="124"/>
        <v>22.727272727269991</v>
      </c>
      <c r="U814" s="10" t="str">
        <f t="shared" ca="1" si="125"/>
        <v>OR</v>
      </c>
      <c r="V814">
        <f t="shared" si="126"/>
        <v>2</v>
      </c>
    </row>
    <row r="815" spans="1:22" x14ac:dyDescent="0.25">
      <c r="A815">
        <v>91</v>
      </c>
      <c r="B815">
        <v>4</v>
      </c>
      <c r="C815">
        <v>0</v>
      </c>
      <c r="D815">
        <v>1</v>
      </c>
      <c r="E815">
        <v>0</v>
      </c>
      <c r="F815">
        <v>0</v>
      </c>
      <c r="G815">
        <v>0</v>
      </c>
      <c r="H815">
        <v>550</v>
      </c>
      <c r="I815">
        <f t="shared" si="127"/>
        <v>810</v>
      </c>
      <c r="J815" s="6">
        <f t="array" aca="1" ref="J815:N815" ca="1">TRANSPOSE(ols(OFFSET($C$2:$C$10,I815,0),OFFSET($D$2:$H$10,I815,0)))</f>
        <v>80.714285714284415</v>
      </c>
      <c r="K815" s="6">
        <f ca="1"/>
        <v>-13.571428571428214</v>
      </c>
      <c r="L815" s="6">
        <f ca="1"/>
        <v>-24.285714285713766</v>
      </c>
      <c r="M815" s="6">
        <f ca="1"/>
        <v>62.142857142857224</v>
      </c>
      <c r="N815" s="6">
        <f ca="1"/>
        <v>-0.15714285714285658</v>
      </c>
      <c r="O815" s="6">
        <f t="shared" ca="1" si="119"/>
        <v>-5.714285714286703</v>
      </c>
      <c r="P815" t="str">
        <f t="shared" si="120"/>
        <v>NA</v>
      </c>
      <c r="Q815" s="10">
        <f t="shared" ca="1" si="121"/>
        <v>63.571428571428072</v>
      </c>
      <c r="R815" s="10">
        <f t="shared" ca="1" si="122"/>
        <v>80.714285714284415</v>
      </c>
      <c r="S815" s="10">
        <f t="shared" ca="1" si="123"/>
        <v>-17.142857142856343</v>
      </c>
      <c r="T815" s="10">
        <f t="shared" ca="1" si="124"/>
        <v>109.09090909090439</v>
      </c>
      <c r="U815" s="10" t="str">
        <f t="shared" ca="1" si="125"/>
        <v>OR</v>
      </c>
      <c r="V815">
        <f t="shared" si="126"/>
        <v>1</v>
      </c>
    </row>
    <row r="816" spans="1:22" x14ac:dyDescent="0.25">
      <c r="A816">
        <v>91</v>
      </c>
      <c r="B816">
        <v>5</v>
      </c>
      <c r="C816">
        <v>80</v>
      </c>
      <c r="D816">
        <v>1</v>
      </c>
      <c r="E816">
        <v>0</v>
      </c>
      <c r="F816">
        <v>1</v>
      </c>
      <c r="G816">
        <v>1</v>
      </c>
      <c r="H816">
        <v>250</v>
      </c>
      <c r="I816">
        <f t="shared" si="127"/>
        <v>810</v>
      </c>
      <c r="J816" s="6">
        <f t="array" aca="1" ref="J816:N816" ca="1">TRANSPOSE(ols(OFFSET($C$2:$C$10,I816,0),OFFSET($D$2:$H$10,I816,0)))</f>
        <v>80.714285714284415</v>
      </c>
      <c r="K816" s="6">
        <f ca="1"/>
        <v>-13.571428571428214</v>
      </c>
      <c r="L816" s="6">
        <f ca="1"/>
        <v>-24.285714285713766</v>
      </c>
      <c r="M816" s="6">
        <f ca="1"/>
        <v>62.142857142857224</v>
      </c>
      <c r="N816" s="6">
        <f ca="1"/>
        <v>-0.15714285714285658</v>
      </c>
      <c r="O816" s="6">
        <f t="shared" ca="1" si="119"/>
        <v>79.285714285713723</v>
      </c>
      <c r="P816" t="str">
        <f t="shared" si="120"/>
        <v>NA</v>
      </c>
      <c r="Q816" s="10">
        <f t="shared" ca="1" si="121"/>
        <v>63.571428571428072</v>
      </c>
      <c r="R816" s="10">
        <f t="shared" ca="1" si="122"/>
        <v>118.57142857142787</v>
      </c>
      <c r="S816" s="10">
        <f t="shared" ca="1" si="123"/>
        <v>-54.999999999999801</v>
      </c>
      <c r="T816" s="10">
        <f t="shared" ca="1" si="124"/>
        <v>350</v>
      </c>
      <c r="U816" s="10">
        <f t="shared" ca="1" si="125"/>
        <v>350</v>
      </c>
      <c r="V816">
        <f t="shared" si="126"/>
        <v>6</v>
      </c>
    </row>
    <row r="817" spans="1:22" x14ac:dyDescent="0.25">
      <c r="A817">
        <v>91</v>
      </c>
      <c r="B817">
        <v>6</v>
      </c>
      <c r="C817">
        <v>70</v>
      </c>
      <c r="D817">
        <v>1</v>
      </c>
      <c r="E817">
        <v>0</v>
      </c>
      <c r="F817">
        <v>1</v>
      </c>
      <c r="G817">
        <v>1</v>
      </c>
      <c r="H817">
        <v>350</v>
      </c>
      <c r="I817">
        <f t="shared" si="127"/>
        <v>810</v>
      </c>
      <c r="J817" s="6">
        <f t="array" aca="1" ref="J817:N817" ca="1">TRANSPOSE(ols(OFFSET($C$2:$C$10,I817,0),OFFSET($D$2:$H$10,I817,0)))</f>
        <v>80.714285714284415</v>
      </c>
      <c r="K817" s="6">
        <f ca="1"/>
        <v>-13.571428571428214</v>
      </c>
      <c r="L817" s="6">
        <f ca="1"/>
        <v>-24.285714285713766</v>
      </c>
      <c r="M817" s="6">
        <f ca="1"/>
        <v>62.142857142857224</v>
      </c>
      <c r="N817" s="6">
        <f ca="1"/>
        <v>-0.15714285714285658</v>
      </c>
      <c r="O817" s="6">
        <f t="shared" ca="1" si="119"/>
        <v>63.571428571428072</v>
      </c>
      <c r="P817">
        <f t="shared" ca="1" si="120"/>
        <v>63.571428571428072</v>
      </c>
      <c r="Q817" s="10">
        <f t="shared" ca="1" si="121"/>
        <v>63.571428571428072</v>
      </c>
      <c r="R817" s="10">
        <f t="shared" ca="1" si="122"/>
        <v>118.57142857142787</v>
      </c>
      <c r="S817" s="10">
        <f t="shared" ca="1" si="123"/>
        <v>-54.999999999999801</v>
      </c>
      <c r="T817" s="10">
        <f t="shared" ca="1" si="124"/>
        <v>350</v>
      </c>
      <c r="U817" s="10">
        <f t="shared" ca="1" si="125"/>
        <v>350</v>
      </c>
      <c r="V817">
        <f t="shared" si="126"/>
        <v>6</v>
      </c>
    </row>
    <row r="818" spans="1:22" x14ac:dyDescent="0.25">
      <c r="A818">
        <v>91</v>
      </c>
      <c r="B818">
        <v>7</v>
      </c>
      <c r="C818">
        <v>60</v>
      </c>
      <c r="D818">
        <v>1</v>
      </c>
      <c r="E818">
        <v>1</v>
      </c>
      <c r="F818">
        <v>0</v>
      </c>
      <c r="G818">
        <v>1</v>
      </c>
      <c r="H818">
        <v>450</v>
      </c>
      <c r="I818">
        <f t="shared" si="127"/>
        <v>810</v>
      </c>
      <c r="J818" s="6">
        <f t="array" aca="1" ref="J818:N818" ca="1">TRANSPOSE(ols(OFFSET($C$2:$C$10,I818,0),OFFSET($D$2:$H$10,I818,0)))</f>
        <v>80.714285714284415</v>
      </c>
      <c r="K818" s="6">
        <f ca="1"/>
        <v>-13.571428571428214</v>
      </c>
      <c r="L818" s="6">
        <f ca="1"/>
        <v>-24.285714285713766</v>
      </c>
      <c r="M818" s="6">
        <f ca="1"/>
        <v>62.142857142857224</v>
      </c>
      <c r="N818" s="6">
        <f ca="1"/>
        <v>-0.15714285714285658</v>
      </c>
      <c r="O818" s="6">
        <f t="shared" ca="1" si="119"/>
        <v>58.571428571427958</v>
      </c>
      <c r="P818" t="str">
        <f t="shared" si="120"/>
        <v>NA</v>
      </c>
      <c r="Q818" s="10">
        <f t="shared" ca="1" si="121"/>
        <v>63.571428571428072</v>
      </c>
      <c r="R818" s="10">
        <f t="shared" ca="1" si="122"/>
        <v>129.28571428571342</v>
      </c>
      <c r="S818" s="10">
        <f t="shared" ca="1" si="123"/>
        <v>-65.714285714285353</v>
      </c>
      <c r="T818" s="10">
        <f t="shared" ca="1" si="124"/>
        <v>418.18181818181739</v>
      </c>
      <c r="U818" s="10">
        <f t="shared" ca="1" si="125"/>
        <v>418.18181818181739</v>
      </c>
      <c r="V818">
        <f t="shared" si="126"/>
        <v>5</v>
      </c>
    </row>
    <row r="819" spans="1:22" x14ac:dyDescent="0.25">
      <c r="A819">
        <v>91</v>
      </c>
      <c r="B819">
        <v>8</v>
      </c>
      <c r="C819">
        <v>40</v>
      </c>
      <c r="D819">
        <v>1</v>
      </c>
      <c r="E819">
        <v>1</v>
      </c>
      <c r="F819">
        <v>0</v>
      </c>
      <c r="G819">
        <v>1</v>
      </c>
      <c r="H819">
        <v>550</v>
      </c>
      <c r="I819">
        <f t="shared" si="127"/>
        <v>810</v>
      </c>
      <c r="J819" s="6">
        <f t="array" aca="1" ref="J819:N819" ca="1">TRANSPOSE(ols(OFFSET($C$2:$C$10,I819,0),OFFSET($D$2:$H$10,I819,0)))</f>
        <v>80.714285714284415</v>
      </c>
      <c r="K819" s="6">
        <f ca="1"/>
        <v>-13.571428571428214</v>
      </c>
      <c r="L819" s="6">
        <f ca="1"/>
        <v>-24.285714285713766</v>
      </c>
      <c r="M819" s="6">
        <f ca="1"/>
        <v>62.142857142857224</v>
      </c>
      <c r="N819" s="6">
        <f ca="1"/>
        <v>-0.15714285714285658</v>
      </c>
      <c r="O819" s="6">
        <f t="shared" ca="1" si="119"/>
        <v>42.857142857142307</v>
      </c>
      <c r="P819" t="str">
        <f t="shared" si="120"/>
        <v>NA</v>
      </c>
      <c r="Q819" s="10">
        <f t="shared" ca="1" si="121"/>
        <v>63.571428571428072</v>
      </c>
      <c r="R819" s="10">
        <f t="shared" ca="1" si="122"/>
        <v>129.28571428571342</v>
      </c>
      <c r="S819" s="10">
        <f t="shared" ca="1" si="123"/>
        <v>-65.714285714285353</v>
      </c>
      <c r="T819" s="10">
        <f t="shared" ca="1" si="124"/>
        <v>418.18181818181739</v>
      </c>
      <c r="U819" s="10">
        <f t="shared" ca="1" si="125"/>
        <v>418.18181818181739</v>
      </c>
      <c r="V819">
        <f t="shared" si="126"/>
        <v>5</v>
      </c>
    </row>
    <row r="820" spans="1:22" x14ac:dyDescent="0.25">
      <c r="A820">
        <v>91</v>
      </c>
      <c r="B820">
        <v>9</v>
      </c>
      <c r="C820">
        <v>35</v>
      </c>
      <c r="D820">
        <v>1</v>
      </c>
      <c r="E820">
        <v>0</v>
      </c>
      <c r="F820">
        <v>0</v>
      </c>
      <c r="G820">
        <v>1</v>
      </c>
      <c r="H820">
        <v>650</v>
      </c>
      <c r="I820">
        <f t="shared" si="127"/>
        <v>810</v>
      </c>
      <c r="J820" s="6">
        <f t="array" aca="1" ref="J820:N820" ca="1">TRANSPOSE(ols(OFFSET($C$2:$C$10,I820,0),OFFSET($D$2:$H$10,I820,0)))</f>
        <v>80.714285714284415</v>
      </c>
      <c r="K820" s="6">
        <f ca="1"/>
        <v>-13.571428571428214</v>
      </c>
      <c r="L820" s="6">
        <f ca="1"/>
        <v>-24.285714285713766</v>
      </c>
      <c r="M820" s="6">
        <f ca="1"/>
        <v>62.142857142857224</v>
      </c>
      <c r="N820" s="6">
        <f ca="1"/>
        <v>-0.15714285714285658</v>
      </c>
      <c r="O820" s="6">
        <f t="shared" ca="1" si="119"/>
        <v>40.714285714284856</v>
      </c>
      <c r="P820" t="str">
        <f t="shared" si="120"/>
        <v>NA</v>
      </c>
      <c r="Q820" s="10">
        <f t="shared" ca="1" si="121"/>
        <v>63.571428571428072</v>
      </c>
      <c r="R820" s="10">
        <f t="shared" ca="1" si="122"/>
        <v>142.85714285714164</v>
      </c>
      <c r="S820" s="10">
        <f t="shared" ca="1" si="123"/>
        <v>-79.285714285713567</v>
      </c>
      <c r="T820" s="10">
        <f t="shared" ca="1" si="124"/>
        <v>504.54545454545178</v>
      </c>
      <c r="U820" s="10">
        <f t="shared" ca="1" si="125"/>
        <v>504.54545454545178</v>
      </c>
      <c r="V820">
        <f t="shared" si="126"/>
        <v>4</v>
      </c>
    </row>
    <row r="821" spans="1:22" x14ac:dyDescent="0.25">
      <c r="A821">
        <v>92</v>
      </c>
      <c r="B821">
        <v>1</v>
      </c>
      <c r="C821">
        <v>45</v>
      </c>
      <c r="D821">
        <v>1</v>
      </c>
      <c r="E821">
        <v>0</v>
      </c>
      <c r="F821">
        <v>1</v>
      </c>
      <c r="G821">
        <v>0</v>
      </c>
      <c r="H821">
        <v>250</v>
      </c>
      <c r="I821">
        <f t="shared" si="127"/>
        <v>819</v>
      </c>
      <c r="J821" s="6">
        <f t="array" aca="1" ref="J821:N821" ca="1">TRANSPOSE(ols(OFFSET($C$2:$C$10,I821,0),OFFSET($D$2:$H$10,I821,0)))</f>
        <v>170.50595238095138</v>
      </c>
      <c r="K821" s="6">
        <f ca="1"/>
        <v>-48.571428571428442</v>
      </c>
      <c r="L821" s="6">
        <f ca="1"/>
        <v>-85.119047619046796</v>
      </c>
      <c r="M821" s="6">
        <f ca="1"/>
        <v>17.55952380952408</v>
      </c>
      <c r="N821" s="6">
        <f ca="1"/>
        <v>-0.17797619047619229</v>
      </c>
      <c r="O821" s="6">
        <f t="shared" ca="1" si="119"/>
        <v>40.892857142856514</v>
      </c>
      <c r="P821" t="str">
        <f t="shared" si="120"/>
        <v>NA</v>
      </c>
      <c r="Q821" s="10">
        <f t="shared" ca="1" si="121"/>
        <v>40.654761904761372</v>
      </c>
      <c r="R821" s="10">
        <f t="shared" ca="1" si="122"/>
        <v>85.386904761904589</v>
      </c>
      <c r="S821" s="10">
        <f t="shared" ca="1" si="123"/>
        <v>-44.732142857143216</v>
      </c>
      <c r="T821" s="10">
        <f t="shared" ca="1" si="124"/>
        <v>251.33779264213993</v>
      </c>
      <c r="U821" s="10">
        <f t="shared" ca="1" si="125"/>
        <v>251.33779264213993</v>
      </c>
      <c r="V821">
        <f t="shared" si="126"/>
        <v>3</v>
      </c>
    </row>
    <row r="822" spans="1:22" x14ac:dyDescent="0.25">
      <c r="A822">
        <v>92</v>
      </c>
      <c r="B822">
        <v>2</v>
      </c>
      <c r="C822">
        <v>60</v>
      </c>
      <c r="D822">
        <v>1</v>
      </c>
      <c r="E822">
        <v>1</v>
      </c>
      <c r="F822">
        <v>0</v>
      </c>
      <c r="G822">
        <v>0</v>
      </c>
      <c r="H822">
        <v>350</v>
      </c>
      <c r="I822">
        <f t="shared" si="127"/>
        <v>819</v>
      </c>
      <c r="J822" s="6">
        <f t="array" aca="1" ref="J822:N822" ca="1">TRANSPOSE(ols(OFFSET($C$2:$C$10,I822,0),OFFSET($D$2:$H$10,I822,0)))</f>
        <v>170.50595238095138</v>
      </c>
      <c r="K822" s="6">
        <f ca="1"/>
        <v>-48.571428571428442</v>
      </c>
      <c r="L822" s="6">
        <f ca="1"/>
        <v>-85.119047619046796</v>
      </c>
      <c r="M822" s="6">
        <f ca="1"/>
        <v>17.55952380952408</v>
      </c>
      <c r="N822" s="6">
        <f ca="1"/>
        <v>-0.17797619047619229</v>
      </c>
      <c r="O822" s="6">
        <f t="shared" ca="1" si="119"/>
        <v>59.642857142855647</v>
      </c>
      <c r="P822" t="str">
        <f t="shared" si="120"/>
        <v>NA</v>
      </c>
      <c r="Q822" s="10">
        <f t="shared" ca="1" si="121"/>
        <v>40.654761904761372</v>
      </c>
      <c r="R822" s="10">
        <f t="shared" ca="1" si="122"/>
        <v>121.93452380952294</v>
      </c>
      <c r="S822" s="10">
        <f t="shared" ca="1" si="123"/>
        <v>-81.279761904761571</v>
      </c>
      <c r="T822" s="10">
        <f t="shared" ca="1" si="124"/>
        <v>456.68896321069582</v>
      </c>
      <c r="U822" s="10">
        <f t="shared" ca="1" si="125"/>
        <v>456.68896321069582</v>
      </c>
      <c r="V822">
        <f t="shared" si="126"/>
        <v>2</v>
      </c>
    </row>
    <row r="823" spans="1:22" x14ac:dyDescent="0.25">
      <c r="A823">
        <v>92</v>
      </c>
      <c r="B823">
        <v>3</v>
      </c>
      <c r="C823">
        <v>40</v>
      </c>
      <c r="D823">
        <v>1</v>
      </c>
      <c r="E823">
        <v>1</v>
      </c>
      <c r="F823">
        <v>0</v>
      </c>
      <c r="G823">
        <v>0</v>
      </c>
      <c r="H823">
        <v>450</v>
      </c>
      <c r="I823">
        <f t="shared" si="127"/>
        <v>819</v>
      </c>
      <c r="J823" s="6">
        <f t="array" aca="1" ref="J823:N823" ca="1">TRANSPOSE(ols(OFFSET($C$2:$C$10,I823,0),OFFSET($D$2:$H$10,I823,0)))</f>
        <v>170.50595238095138</v>
      </c>
      <c r="K823" s="6">
        <f ca="1"/>
        <v>-48.571428571428442</v>
      </c>
      <c r="L823" s="6">
        <f ca="1"/>
        <v>-85.119047619046796</v>
      </c>
      <c r="M823" s="6">
        <f ca="1"/>
        <v>17.55952380952408</v>
      </c>
      <c r="N823" s="6">
        <f ca="1"/>
        <v>-0.17797619047619229</v>
      </c>
      <c r="O823" s="6">
        <f t="shared" ca="1" si="119"/>
        <v>41.845238095236411</v>
      </c>
      <c r="P823" t="str">
        <f t="shared" si="120"/>
        <v>NA</v>
      </c>
      <c r="Q823" s="10">
        <f t="shared" ca="1" si="121"/>
        <v>40.654761904761372</v>
      </c>
      <c r="R823" s="10">
        <f t="shared" ca="1" si="122"/>
        <v>121.93452380952294</v>
      </c>
      <c r="S823" s="10">
        <f t="shared" ca="1" si="123"/>
        <v>-81.279761904761571</v>
      </c>
      <c r="T823" s="10">
        <f t="shared" ca="1" si="124"/>
        <v>456.68896321069582</v>
      </c>
      <c r="U823" s="10">
        <f t="shared" ca="1" si="125"/>
        <v>456.68896321069582</v>
      </c>
      <c r="V823">
        <f t="shared" si="126"/>
        <v>2</v>
      </c>
    </row>
    <row r="824" spans="1:22" x14ac:dyDescent="0.25">
      <c r="A824">
        <v>92</v>
      </c>
      <c r="B824">
        <v>4</v>
      </c>
      <c r="C824">
        <v>70</v>
      </c>
      <c r="D824">
        <v>1</v>
      </c>
      <c r="E824">
        <v>0</v>
      </c>
      <c r="F824">
        <v>0</v>
      </c>
      <c r="G824">
        <v>0</v>
      </c>
      <c r="H824">
        <v>550</v>
      </c>
      <c r="I824">
        <f t="shared" si="127"/>
        <v>819</v>
      </c>
      <c r="J824" s="6">
        <f t="array" aca="1" ref="J824:N824" ca="1">TRANSPOSE(ols(OFFSET($C$2:$C$10,I824,0),OFFSET($D$2:$H$10,I824,0)))</f>
        <v>170.50595238095138</v>
      </c>
      <c r="K824" s="6">
        <f ca="1"/>
        <v>-48.571428571428442</v>
      </c>
      <c r="L824" s="6">
        <f ca="1"/>
        <v>-85.119047619046796</v>
      </c>
      <c r="M824" s="6">
        <f ca="1"/>
        <v>17.55952380952408</v>
      </c>
      <c r="N824" s="6">
        <f ca="1"/>
        <v>-0.17797619047619229</v>
      </c>
      <c r="O824" s="6">
        <f t="shared" ca="1" si="119"/>
        <v>72.619047619045631</v>
      </c>
      <c r="P824" t="str">
        <f t="shared" si="120"/>
        <v>NA</v>
      </c>
      <c r="Q824" s="10">
        <f t="shared" ca="1" si="121"/>
        <v>40.654761904761372</v>
      </c>
      <c r="R824" s="10">
        <f t="shared" ca="1" si="122"/>
        <v>170.50595238095138</v>
      </c>
      <c r="S824" s="10">
        <f t="shared" ca="1" si="123"/>
        <v>-129.85119047619003</v>
      </c>
      <c r="T824" s="10">
        <f t="shared" ca="1" si="124"/>
        <v>729.59866220734796</v>
      </c>
      <c r="U824" s="10" t="str">
        <f t="shared" ca="1" si="125"/>
        <v>OR</v>
      </c>
      <c r="V824">
        <f t="shared" si="126"/>
        <v>1</v>
      </c>
    </row>
    <row r="825" spans="1:22" x14ac:dyDescent="0.25">
      <c r="A825">
        <v>92</v>
      </c>
      <c r="B825">
        <v>5</v>
      </c>
      <c r="C825">
        <v>55</v>
      </c>
      <c r="D825">
        <v>1</v>
      </c>
      <c r="E825">
        <v>0</v>
      </c>
      <c r="F825">
        <v>1</v>
      </c>
      <c r="G825">
        <v>1</v>
      </c>
      <c r="H825">
        <v>250</v>
      </c>
      <c r="I825">
        <f t="shared" si="127"/>
        <v>819</v>
      </c>
      <c r="J825" s="6">
        <f t="array" aca="1" ref="J825:N825" ca="1">TRANSPOSE(ols(OFFSET($C$2:$C$10,I825,0),OFFSET($D$2:$H$10,I825,0)))</f>
        <v>170.50595238095138</v>
      </c>
      <c r="K825" s="6">
        <f ca="1"/>
        <v>-48.571428571428442</v>
      </c>
      <c r="L825" s="6">
        <f ca="1"/>
        <v>-85.119047619046796</v>
      </c>
      <c r="M825" s="6">
        <f ca="1"/>
        <v>17.55952380952408</v>
      </c>
      <c r="N825" s="6">
        <f ca="1"/>
        <v>-0.17797619047619229</v>
      </c>
      <c r="O825" s="6">
        <f t="shared" ca="1" si="119"/>
        <v>58.452380952380594</v>
      </c>
      <c r="P825" t="str">
        <f t="shared" si="120"/>
        <v>NA</v>
      </c>
      <c r="Q825" s="10">
        <f t="shared" ca="1" si="121"/>
        <v>40.654761904761372</v>
      </c>
      <c r="R825" s="10">
        <f t="shared" ca="1" si="122"/>
        <v>102.94642857142867</v>
      </c>
      <c r="S825" s="10">
        <f t="shared" ca="1" si="123"/>
        <v>-62.291666666667297</v>
      </c>
      <c r="T825" s="10">
        <f t="shared" ca="1" si="124"/>
        <v>350</v>
      </c>
      <c r="U825" s="10">
        <f t="shared" ca="1" si="125"/>
        <v>350</v>
      </c>
      <c r="V825">
        <f t="shared" si="126"/>
        <v>6</v>
      </c>
    </row>
    <row r="826" spans="1:22" x14ac:dyDescent="0.25">
      <c r="A826">
        <v>92</v>
      </c>
      <c r="B826">
        <v>6</v>
      </c>
      <c r="C826">
        <v>40</v>
      </c>
      <c r="D826">
        <v>1</v>
      </c>
      <c r="E826">
        <v>0</v>
      </c>
      <c r="F826">
        <v>1</v>
      </c>
      <c r="G826">
        <v>1</v>
      </c>
      <c r="H826">
        <v>350</v>
      </c>
      <c r="I826">
        <f t="shared" si="127"/>
        <v>819</v>
      </c>
      <c r="J826" s="6">
        <f t="array" aca="1" ref="J826:N826" ca="1">TRANSPOSE(ols(OFFSET($C$2:$C$10,I826,0),OFFSET($D$2:$H$10,I826,0)))</f>
        <v>170.50595238095138</v>
      </c>
      <c r="K826" s="6">
        <f ca="1"/>
        <v>-48.571428571428442</v>
      </c>
      <c r="L826" s="6">
        <f ca="1"/>
        <v>-85.119047619046796</v>
      </c>
      <c r="M826" s="6">
        <f ca="1"/>
        <v>17.55952380952408</v>
      </c>
      <c r="N826" s="6">
        <f ca="1"/>
        <v>-0.17797619047619229</v>
      </c>
      <c r="O826" s="6">
        <f t="shared" ca="1" si="119"/>
        <v>40.654761904761372</v>
      </c>
      <c r="P826">
        <f t="shared" ca="1" si="120"/>
        <v>40.654761904761372</v>
      </c>
      <c r="Q826" s="10">
        <f t="shared" ca="1" si="121"/>
        <v>40.654761904761372</v>
      </c>
      <c r="R826" s="10">
        <f t="shared" ca="1" si="122"/>
        <v>102.94642857142867</v>
      </c>
      <c r="S826" s="10">
        <f t="shared" ca="1" si="123"/>
        <v>-62.291666666667297</v>
      </c>
      <c r="T826" s="10">
        <f t="shared" ca="1" si="124"/>
        <v>350</v>
      </c>
      <c r="U826" s="10">
        <f t="shared" ca="1" si="125"/>
        <v>350</v>
      </c>
      <c r="V826">
        <f t="shared" si="126"/>
        <v>6</v>
      </c>
    </row>
    <row r="827" spans="1:22" x14ac:dyDescent="0.25">
      <c r="A827">
        <v>92</v>
      </c>
      <c r="B827">
        <v>7</v>
      </c>
      <c r="C827">
        <v>62.5</v>
      </c>
      <c r="D827">
        <v>1</v>
      </c>
      <c r="E827">
        <v>1</v>
      </c>
      <c r="F827">
        <v>0</v>
      </c>
      <c r="G827">
        <v>1</v>
      </c>
      <c r="H827">
        <v>450</v>
      </c>
      <c r="I827">
        <f t="shared" si="127"/>
        <v>819</v>
      </c>
      <c r="J827" s="6">
        <f t="array" aca="1" ref="J827:N827" ca="1">TRANSPOSE(ols(OFFSET($C$2:$C$10,I827,0),OFFSET($D$2:$H$10,I827,0)))</f>
        <v>170.50595238095138</v>
      </c>
      <c r="K827" s="6">
        <f ca="1"/>
        <v>-48.571428571428442</v>
      </c>
      <c r="L827" s="6">
        <f ca="1"/>
        <v>-85.119047619046796</v>
      </c>
      <c r="M827" s="6">
        <f ca="1"/>
        <v>17.55952380952408</v>
      </c>
      <c r="N827" s="6">
        <f ca="1"/>
        <v>-0.17797619047619229</v>
      </c>
      <c r="O827" s="6">
        <f t="shared" ca="1" si="119"/>
        <v>59.404761904760491</v>
      </c>
      <c r="P827" t="str">
        <f t="shared" si="120"/>
        <v>NA</v>
      </c>
      <c r="Q827" s="10">
        <f t="shared" ca="1" si="121"/>
        <v>40.654761904761372</v>
      </c>
      <c r="R827" s="10">
        <f t="shared" ca="1" si="122"/>
        <v>139.49404761904702</v>
      </c>
      <c r="S827" s="10">
        <f t="shared" ca="1" si="123"/>
        <v>-98.839285714285651</v>
      </c>
      <c r="T827" s="10">
        <f t="shared" ca="1" si="124"/>
        <v>555.35117056855586</v>
      </c>
      <c r="U827" s="10">
        <f t="shared" ca="1" si="125"/>
        <v>555.35117056855586</v>
      </c>
      <c r="V827">
        <f t="shared" si="126"/>
        <v>5</v>
      </c>
    </row>
    <row r="828" spans="1:22" x14ac:dyDescent="0.25">
      <c r="A828">
        <v>92</v>
      </c>
      <c r="B828">
        <v>8</v>
      </c>
      <c r="C828">
        <v>40</v>
      </c>
      <c r="D828">
        <v>1</v>
      </c>
      <c r="E828">
        <v>1</v>
      </c>
      <c r="F828">
        <v>0</v>
      </c>
      <c r="G828">
        <v>1</v>
      </c>
      <c r="H828">
        <v>550</v>
      </c>
      <c r="I828">
        <f t="shared" si="127"/>
        <v>819</v>
      </c>
      <c r="J828" s="6">
        <f t="array" aca="1" ref="J828:N828" ca="1">TRANSPOSE(ols(OFFSET($C$2:$C$10,I828,0),OFFSET($D$2:$H$10,I828,0)))</f>
        <v>170.50595238095138</v>
      </c>
      <c r="K828" s="6">
        <f ca="1"/>
        <v>-48.571428571428442</v>
      </c>
      <c r="L828" s="6">
        <f ca="1"/>
        <v>-85.119047619046796</v>
      </c>
      <c r="M828" s="6">
        <f ca="1"/>
        <v>17.55952380952408</v>
      </c>
      <c r="N828" s="6">
        <f ca="1"/>
        <v>-0.17797619047619229</v>
      </c>
      <c r="O828" s="6">
        <f t="shared" ca="1" si="119"/>
        <v>41.60714285714127</v>
      </c>
      <c r="P828" t="str">
        <f t="shared" si="120"/>
        <v>NA</v>
      </c>
      <c r="Q828" s="10">
        <f t="shared" ca="1" si="121"/>
        <v>40.654761904761372</v>
      </c>
      <c r="R828" s="10">
        <f t="shared" ca="1" si="122"/>
        <v>139.49404761904702</v>
      </c>
      <c r="S828" s="10">
        <f t="shared" ca="1" si="123"/>
        <v>-98.839285714285651</v>
      </c>
      <c r="T828" s="10">
        <f t="shared" ca="1" si="124"/>
        <v>555.35117056855586</v>
      </c>
      <c r="U828" s="10">
        <f t="shared" ca="1" si="125"/>
        <v>555.35117056855586</v>
      </c>
      <c r="V828">
        <f t="shared" si="126"/>
        <v>5</v>
      </c>
    </row>
    <row r="829" spans="1:22" x14ac:dyDescent="0.25">
      <c r="A829">
        <v>92</v>
      </c>
      <c r="B829">
        <v>9</v>
      </c>
      <c r="C829">
        <v>75</v>
      </c>
      <c r="D829">
        <v>1</v>
      </c>
      <c r="E829">
        <v>0</v>
      </c>
      <c r="F829">
        <v>0</v>
      </c>
      <c r="G829">
        <v>1</v>
      </c>
      <c r="H829">
        <v>650</v>
      </c>
      <c r="I829">
        <f t="shared" si="127"/>
        <v>819</v>
      </c>
      <c r="J829" s="6">
        <f t="array" aca="1" ref="J829:N829" ca="1">TRANSPOSE(ols(OFFSET($C$2:$C$10,I829,0),OFFSET($D$2:$H$10,I829,0)))</f>
        <v>170.50595238095138</v>
      </c>
      <c r="K829" s="6">
        <f ca="1"/>
        <v>-48.571428571428442</v>
      </c>
      <c r="L829" s="6">
        <f ca="1"/>
        <v>-85.119047619046796</v>
      </c>
      <c r="M829" s="6">
        <f ca="1"/>
        <v>17.55952380952408</v>
      </c>
      <c r="N829" s="6">
        <f ca="1"/>
        <v>-0.17797619047619229</v>
      </c>
      <c r="O829" s="6">
        <f t="shared" ca="1" si="119"/>
        <v>72.380952380950475</v>
      </c>
      <c r="P829" t="str">
        <f t="shared" si="120"/>
        <v>NA</v>
      </c>
      <c r="Q829" s="10">
        <f t="shared" ca="1" si="121"/>
        <v>40.654761904761372</v>
      </c>
      <c r="R829" s="10">
        <f t="shared" ca="1" si="122"/>
        <v>188.06547619047547</v>
      </c>
      <c r="S829" s="10">
        <f t="shared" ca="1" si="123"/>
        <v>-147.41071428571411</v>
      </c>
      <c r="T829" s="10">
        <f t="shared" ca="1" si="124"/>
        <v>828.26086956520794</v>
      </c>
      <c r="U829" s="10" t="str">
        <f t="shared" ca="1" si="125"/>
        <v>OR</v>
      </c>
      <c r="V829">
        <f t="shared" si="126"/>
        <v>4</v>
      </c>
    </row>
    <row r="830" spans="1:22" x14ac:dyDescent="0.25">
      <c r="A830">
        <v>93</v>
      </c>
      <c r="B830">
        <v>1</v>
      </c>
      <c r="C830">
        <v>18</v>
      </c>
      <c r="D830">
        <v>1</v>
      </c>
      <c r="E830">
        <v>0</v>
      </c>
      <c r="F830">
        <v>1</v>
      </c>
      <c r="G830">
        <v>0</v>
      </c>
      <c r="H830">
        <v>250</v>
      </c>
      <c r="I830">
        <f t="shared" si="127"/>
        <v>828</v>
      </c>
      <c r="J830" s="6">
        <f t="array" aca="1" ref="J830:N830" ca="1">TRANSPOSE(ols(OFFSET($C$2:$C$10,I830,0),OFFSET($D$2:$H$10,I830,0)))</f>
        <v>115.80357142856974</v>
      </c>
      <c r="K830" s="6">
        <f ca="1"/>
        <v>-26.392857142856883</v>
      </c>
      <c r="L830" s="6">
        <f ca="1"/>
        <v>-60.571428571427987</v>
      </c>
      <c r="M830" s="6">
        <f ca="1"/>
        <v>14.035714285714334</v>
      </c>
      <c r="N830" s="6">
        <f ca="1"/>
        <v>-0.15678571428571342</v>
      </c>
      <c r="O830" s="6">
        <f t="shared" ca="1" si="119"/>
        <v>16.035714285713397</v>
      </c>
      <c r="P830" t="str">
        <f t="shared" si="120"/>
        <v>NA</v>
      </c>
      <c r="Q830" s="10">
        <f t="shared" ca="1" si="121"/>
        <v>14.392857142856393</v>
      </c>
      <c r="R830" s="10">
        <f t="shared" ca="1" si="122"/>
        <v>55.232142857141753</v>
      </c>
      <c r="S830" s="10">
        <f t="shared" ca="1" si="123"/>
        <v>-40.83928571428536</v>
      </c>
      <c r="T830" s="10">
        <f t="shared" ca="1" si="124"/>
        <v>260.47835990888302</v>
      </c>
      <c r="U830" s="10">
        <f t="shared" ca="1" si="125"/>
        <v>260.47835990888302</v>
      </c>
      <c r="V830">
        <f t="shared" si="126"/>
        <v>3</v>
      </c>
    </row>
    <row r="831" spans="1:22" x14ac:dyDescent="0.25">
      <c r="A831">
        <v>93</v>
      </c>
      <c r="B831">
        <v>2</v>
      </c>
      <c r="C831">
        <v>36</v>
      </c>
      <c r="D831">
        <v>1</v>
      </c>
      <c r="E831">
        <v>1</v>
      </c>
      <c r="F831">
        <v>0</v>
      </c>
      <c r="G831">
        <v>0</v>
      </c>
      <c r="H831">
        <v>350</v>
      </c>
      <c r="I831">
        <f t="shared" si="127"/>
        <v>828</v>
      </c>
      <c r="J831" s="6">
        <f t="array" aca="1" ref="J831:N831" ca="1">TRANSPOSE(ols(OFFSET($C$2:$C$10,I831,0),OFFSET($D$2:$H$10,I831,0)))</f>
        <v>115.80357142856974</v>
      </c>
      <c r="K831" s="6">
        <f ca="1"/>
        <v>-26.392857142856883</v>
      </c>
      <c r="L831" s="6">
        <f ca="1"/>
        <v>-60.571428571427987</v>
      </c>
      <c r="M831" s="6">
        <f ca="1"/>
        <v>14.035714285714334</v>
      </c>
      <c r="N831" s="6">
        <f ca="1"/>
        <v>-0.15678571428571342</v>
      </c>
      <c r="O831" s="6">
        <f t="shared" ca="1" si="119"/>
        <v>34.535714285713162</v>
      </c>
      <c r="P831" t="str">
        <f t="shared" si="120"/>
        <v>NA</v>
      </c>
      <c r="Q831" s="10">
        <f t="shared" ca="1" si="121"/>
        <v>14.392857142856393</v>
      </c>
      <c r="R831" s="10">
        <f t="shared" ca="1" si="122"/>
        <v>89.410714285712857</v>
      </c>
      <c r="S831" s="10">
        <f t="shared" ca="1" si="123"/>
        <v>-75.017857142856457</v>
      </c>
      <c r="T831" s="10">
        <f t="shared" ca="1" si="124"/>
        <v>478.47380410022606</v>
      </c>
      <c r="U831" s="10">
        <f t="shared" ca="1" si="125"/>
        <v>478.47380410022606</v>
      </c>
      <c r="V831">
        <f t="shared" si="126"/>
        <v>2</v>
      </c>
    </row>
    <row r="832" spans="1:22" x14ac:dyDescent="0.25">
      <c r="A832">
        <v>93</v>
      </c>
      <c r="B832">
        <v>3</v>
      </c>
      <c r="C832">
        <v>22.5</v>
      </c>
      <c r="D832">
        <v>1</v>
      </c>
      <c r="E832">
        <v>1</v>
      </c>
      <c r="F832">
        <v>0</v>
      </c>
      <c r="G832">
        <v>0</v>
      </c>
      <c r="H832">
        <v>450</v>
      </c>
      <c r="I832">
        <f t="shared" si="127"/>
        <v>828</v>
      </c>
      <c r="J832" s="6">
        <f t="array" aca="1" ref="J832:N832" ca="1">TRANSPOSE(ols(OFFSET($C$2:$C$10,I832,0),OFFSET($D$2:$H$10,I832,0)))</f>
        <v>115.80357142856974</v>
      </c>
      <c r="K832" s="6">
        <f ca="1"/>
        <v>-26.392857142856883</v>
      </c>
      <c r="L832" s="6">
        <f ca="1"/>
        <v>-60.571428571427987</v>
      </c>
      <c r="M832" s="6">
        <f ca="1"/>
        <v>14.035714285714334</v>
      </c>
      <c r="N832" s="6">
        <f ca="1"/>
        <v>-0.15678571428571342</v>
      </c>
      <c r="O832" s="6">
        <f t="shared" ca="1" si="119"/>
        <v>18.857142857141824</v>
      </c>
      <c r="P832" t="str">
        <f t="shared" si="120"/>
        <v>NA</v>
      </c>
      <c r="Q832" s="10">
        <f t="shared" ca="1" si="121"/>
        <v>14.392857142856393</v>
      </c>
      <c r="R832" s="10">
        <f t="shared" ca="1" si="122"/>
        <v>89.410714285712857</v>
      </c>
      <c r="S832" s="10">
        <f t="shared" ca="1" si="123"/>
        <v>-75.017857142856457</v>
      </c>
      <c r="T832" s="10">
        <f t="shared" ca="1" si="124"/>
        <v>478.47380410022606</v>
      </c>
      <c r="U832" s="10">
        <f t="shared" ca="1" si="125"/>
        <v>478.47380410022606</v>
      </c>
      <c r="V832">
        <f t="shared" si="126"/>
        <v>2</v>
      </c>
    </row>
    <row r="833" spans="1:22" x14ac:dyDescent="0.25">
      <c r="A833">
        <v>93</v>
      </c>
      <c r="B833">
        <v>4</v>
      </c>
      <c r="C833">
        <v>22.5</v>
      </c>
      <c r="D833">
        <v>1</v>
      </c>
      <c r="E833">
        <v>0</v>
      </c>
      <c r="F833">
        <v>0</v>
      </c>
      <c r="G833">
        <v>0</v>
      </c>
      <c r="H833">
        <v>550</v>
      </c>
      <c r="I833">
        <f t="shared" si="127"/>
        <v>828</v>
      </c>
      <c r="J833" s="6">
        <f t="array" aca="1" ref="J833:N833" ca="1">TRANSPOSE(ols(OFFSET($C$2:$C$10,I833,0),OFFSET($D$2:$H$10,I833,0)))</f>
        <v>115.80357142856974</v>
      </c>
      <c r="K833" s="6">
        <f ca="1"/>
        <v>-26.392857142856883</v>
      </c>
      <c r="L833" s="6">
        <f ca="1"/>
        <v>-60.571428571427987</v>
      </c>
      <c r="M833" s="6">
        <f ca="1"/>
        <v>14.035714285714334</v>
      </c>
      <c r="N833" s="6">
        <f ca="1"/>
        <v>-0.15678571428571342</v>
      </c>
      <c r="O833" s="6">
        <f t="shared" ca="1" si="119"/>
        <v>29.571428571427361</v>
      </c>
      <c r="P833" t="str">
        <f t="shared" si="120"/>
        <v>NA</v>
      </c>
      <c r="Q833" s="10">
        <f t="shared" ca="1" si="121"/>
        <v>14.392857142856393</v>
      </c>
      <c r="R833" s="10">
        <f t="shared" ca="1" si="122"/>
        <v>115.80357142856974</v>
      </c>
      <c r="S833" s="10">
        <f t="shared" ca="1" si="123"/>
        <v>-101.41071428571334</v>
      </c>
      <c r="T833" s="10">
        <f t="shared" ca="1" si="124"/>
        <v>646.81093394077209</v>
      </c>
      <c r="U833" s="10">
        <f t="shared" ca="1" si="125"/>
        <v>646.81093394077209</v>
      </c>
      <c r="V833">
        <f t="shared" si="126"/>
        <v>1</v>
      </c>
    </row>
    <row r="834" spans="1:22" x14ac:dyDescent="0.25">
      <c r="A834">
        <v>93</v>
      </c>
      <c r="B834">
        <v>5</v>
      </c>
      <c r="C834">
        <v>27.5</v>
      </c>
      <c r="D834">
        <v>1</v>
      </c>
      <c r="E834">
        <v>0</v>
      </c>
      <c r="F834">
        <v>1</v>
      </c>
      <c r="G834">
        <v>1</v>
      </c>
      <c r="H834">
        <v>250</v>
      </c>
      <c r="I834">
        <f t="shared" si="127"/>
        <v>828</v>
      </c>
      <c r="J834" s="6">
        <f t="array" aca="1" ref="J834:N834" ca="1">TRANSPOSE(ols(OFFSET($C$2:$C$10,I834,0),OFFSET($D$2:$H$10,I834,0)))</f>
        <v>115.80357142856974</v>
      </c>
      <c r="K834" s="6">
        <f ca="1"/>
        <v>-26.392857142856883</v>
      </c>
      <c r="L834" s="6">
        <f ca="1"/>
        <v>-60.571428571427987</v>
      </c>
      <c r="M834" s="6">
        <f ca="1"/>
        <v>14.035714285714334</v>
      </c>
      <c r="N834" s="6">
        <f ca="1"/>
        <v>-0.15678571428571342</v>
      </c>
      <c r="O834" s="6">
        <f t="shared" ca="1" si="119"/>
        <v>30.071428571427731</v>
      </c>
      <c r="P834" t="str">
        <f t="shared" si="120"/>
        <v>NA</v>
      </c>
      <c r="Q834" s="10">
        <f t="shared" ca="1" si="121"/>
        <v>14.392857142856393</v>
      </c>
      <c r="R834" s="10">
        <f t="shared" ca="1" si="122"/>
        <v>69.267857142856087</v>
      </c>
      <c r="S834" s="10">
        <f t="shared" ca="1" si="123"/>
        <v>-54.874999999999694</v>
      </c>
      <c r="T834" s="10">
        <f t="shared" ca="1" si="124"/>
        <v>350</v>
      </c>
      <c r="U834" s="10">
        <f t="shared" ca="1" si="125"/>
        <v>350</v>
      </c>
      <c r="V834">
        <f t="shared" si="126"/>
        <v>6</v>
      </c>
    </row>
    <row r="835" spans="1:22" x14ac:dyDescent="0.25">
      <c r="A835">
        <v>93</v>
      </c>
      <c r="B835">
        <v>6</v>
      </c>
      <c r="C835">
        <v>15</v>
      </c>
      <c r="D835">
        <v>1</v>
      </c>
      <c r="E835">
        <v>0</v>
      </c>
      <c r="F835">
        <v>1</v>
      </c>
      <c r="G835">
        <v>1</v>
      </c>
      <c r="H835">
        <v>350</v>
      </c>
      <c r="I835">
        <f t="shared" si="127"/>
        <v>828</v>
      </c>
      <c r="J835" s="6">
        <f t="array" aca="1" ref="J835:N835" ca="1">TRANSPOSE(ols(OFFSET($C$2:$C$10,I835,0),OFFSET($D$2:$H$10,I835,0)))</f>
        <v>115.80357142856974</v>
      </c>
      <c r="K835" s="6">
        <f ca="1"/>
        <v>-26.392857142856883</v>
      </c>
      <c r="L835" s="6">
        <f ca="1"/>
        <v>-60.571428571427987</v>
      </c>
      <c r="M835" s="6">
        <f ca="1"/>
        <v>14.035714285714334</v>
      </c>
      <c r="N835" s="6">
        <f ca="1"/>
        <v>-0.15678571428571342</v>
      </c>
      <c r="O835" s="6">
        <f t="shared" ref="O835:O898" ca="1" si="128">SUMPRODUCT(J835:N835,D835:H835)</f>
        <v>14.392857142856393</v>
      </c>
      <c r="P835">
        <f t="shared" ref="P835:P898" ca="1" si="129">IF(AND(F835=1,G835=1,H835=350),O835,"NA")</f>
        <v>14.392857142856393</v>
      </c>
      <c r="Q835" s="10">
        <f t="shared" ref="Q835:Q898" ca="1" si="130">AVERAGEIF($A$2:$A$5383,A835,$P$2:$P$5383)</f>
        <v>14.392857142856393</v>
      </c>
      <c r="R835" s="10">
        <f t="shared" ref="R835:R898" ca="1" si="131">O835-N835*H835</f>
        <v>69.267857142856087</v>
      </c>
      <c r="S835" s="10">
        <f t="shared" ref="S835:S898" ca="1" si="132">Q835-R835</f>
        <v>-54.874999999999694</v>
      </c>
      <c r="T835" s="10">
        <f t="shared" ref="T835:T898" ca="1" si="133">S835/N835</f>
        <v>350</v>
      </c>
      <c r="U835" s="10">
        <f t="shared" ref="U835:U898" ca="1" si="134">IF(OR(T835&lt;250,T835&gt;650),"OR",T835)</f>
        <v>350</v>
      </c>
      <c r="V835">
        <f t="shared" ref="V835:V898" si="135">IF(AND(E835=1,G835=0),2,IF(AND(F835=1,G835=0),3,IF(AND(E835=1,G835=1),5,IF(AND(F835=1,G835=1),6,IF(G835=0,1,IF(G835=1,4))))))</f>
        <v>6</v>
      </c>
    </row>
    <row r="836" spans="1:22" x14ac:dyDescent="0.25">
      <c r="A836">
        <v>93</v>
      </c>
      <c r="B836">
        <v>7</v>
      </c>
      <c r="C836">
        <v>34</v>
      </c>
      <c r="D836">
        <v>1</v>
      </c>
      <c r="E836">
        <v>1</v>
      </c>
      <c r="F836">
        <v>0</v>
      </c>
      <c r="G836">
        <v>1</v>
      </c>
      <c r="H836">
        <v>450</v>
      </c>
      <c r="I836">
        <f t="shared" si="127"/>
        <v>828</v>
      </c>
      <c r="J836" s="6">
        <f t="array" aca="1" ref="J836:N836" ca="1">TRANSPOSE(ols(OFFSET($C$2:$C$10,I836,0),OFFSET($D$2:$H$10,I836,0)))</f>
        <v>115.80357142856974</v>
      </c>
      <c r="K836" s="6">
        <f ca="1"/>
        <v>-26.392857142856883</v>
      </c>
      <c r="L836" s="6">
        <f ca="1"/>
        <v>-60.571428571427987</v>
      </c>
      <c r="M836" s="6">
        <f ca="1"/>
        <v>14.035714285714334</v>
      </c>
      <c r="N836" s="6">
        <f ca="1"/>
        <v>-0.15678571428571342</v>
      </c>
      <c r="O836" s="6">
        <f t="shared" ca="1" si="128"/>
        <v>32.892857142856158</v>
      </c>
      <c r="P836" t="str">
        <f t="shared" si="129"/>
        <v>NA</v>
      </c>
      <c r="Q836" s="10">
        <f t="shared" ca="1" si="130"/>
        <v>14.392857142856393</v>
      </c>
      <c r="R836" s="10">
        <f t="shared" ca="1" si="131"/>
        <v>103.44642857142719</v>
      </c>
      <c r="S836" s="10">
        <f t="shared" ca="1" si="132"/>
        <v>-89.053571428570791</v>
      </c>
      <c r="T836" s="10">
        <f t="shared" ca="1" si="133"/>
        <v>567.99544419134304</v>
      </c>
      <c r="U836" s="10">
        <f t="shared" ca="1" si="134"/>
        <v>567.99544419134304</v>
      </c>
      <c r="V836">
        <f t="shared" si="135"/>
        <v>5</v>
      </c>
    </row>
    <row r="837" spans="1:22" x14ac:dyDescent="0.25">
      <c r="A837">
        <v>93</v>
      </c>
      <c r="B837">
        <v>8</v>
      </c>
      <c r="C837">
        <v>11</v>
      </c>
      <c r="D837">
        <v>1</v>
      </c>
      <c r="E837">
        <v>1</v>
      </c>
      <c r="F837">
        <v>0</v>
      </c>
      <c r="G837">
        <v>1</v>
      </c>
      <c r="H837">
        <v>550</v>
      </c>
      <c r="I837">
        <f t="shared" si="127"/>
        <v>828</v>
      </c>
      <c r="J837" s="6">
        <f t="array" aca="1" ref="J837:N837" ca="1">TRANSPOSE(ols(OFFSET($C$2:$C$10,I837,0),OFFSET($D$2:$H$10,I837,0)))</f>
        <v>115.80357142856974</v>
      </c>
      <c r="K837" s="6">
        <f ca="1"/>
        <v>-26.392857142856883</v>
      </c>
      <c r="L837" s="6">
        <f ca="1"/>
        <v>-60.571428571427987</v>
      </c>
      <c r="M837" s="6">
        <f ca="1"/>
        <v>14.035714285714334</v>
      </c>
      <c r="N837" s="6">
        <f ca="1"/>
        <v>-0.15678571428571342</v>
      </c>
      <c r="O837" s="6">
        <f t="shared" ca="1" si="128"/>
        <v>17.214285714284813</v>
      </c>
      <c r="P837" t="str">
        <f t="shared" si="129"/>
        <v>NA</v>
      </c>
      <c r="Q837" s="10">
        <f t="shared" ca="1" si="130"/>
        <v>14.392857142856393</v>
      </c>
      <c r="R837" s="10">
        <f t="shared" ca="1" si="131"/>
        <v>103.44642857142719</v>
      </c>
      <c r="S837" s="10">
        <f t="shared" ca="1" si="132"/>
        <v>-89.053571428570791</v>
      </c>
      <c r="T837" s="10">
        <f t="shared" ca="1" si="133"/>
        <v>567.99544419134304</v>
      </c>
      <c r="U837" s="10">
        <f t="shared" ca="1" si="134"/>
        <v>567.99544419134304</v>
      </c>
      <c r="V837">
        <f t="shared" si="135"/>
        <v>5</v>
      </c>
    </row>
    <row r="838" spans="1:22" x14ac:dyDescent="0.25">
      <c r="A838">
        <v>93</v>
      </c>
      <c r="B838">
        <v>9</v>
      </c>
      <c r="C838">
        <v>35</v>
      </c>
      <c r="D838">
        <v>1</v>
      </c>
      <c r="E838">
        <v>0</v>
      </c>
      <c r="F838">
        <v>0</v>
      </c>
      <c r="G838">
        <v>1</v>
      </c>
      <c r="H838">
        <v>650</v>
      </c>
      <c r="I838">
        <f t="shared" si="127"/>
        <v>828</v>
      </c>
      <c r="J838" s="6">
        <f t="array" aca="1" ref="J838:N838" ca="1">TRANSPOSE(ols(OFFSET($C$2:$C$10,I838,0),OFFSET($D$2:$H$10,I838,0)))</f>
        <v>115.80357142856974</v>
      </c>
      <c r="K838" s="6">
        <f ca="1"/>
        <v>-26.392857142856883</v>
      </c>
      <c r="L838" s="6">
        <f ca="1"/>
        <v>-60.571428571427987</v>
      </c>
      <c r="M838" s="6">
        <f ca="1"/>
        <v>14.035714285714334</v>
      </c>
      <c r="N838" s="6">
        <f ca="1"/>
        <v>-0.15678571428571342</v>
      </c>
      <c r="O838" s="6">
        <f t="shared" ca="1" si="128"/>
        <v>27.928571428570351</v>
      </c>
      <c r="P838" t="str">
        <f t="shared" si="129"/>
        <v>NA</v>
      </c>
      <c r="Q838" s="10">
        <f t="shared" ca="1" si="130"/>
        <v>14.392857142856393</v>
      </c>
      <c r="R838" s="10">
        <f t="shared" ca="1" si="131"/>
        <v>129.83928571428407</v>
      </c>
      <c r="S838" s="10">
        <f t="shared" ca="1" si="132"/>
        <v>-115.44642857142767</v>
      </c>
      <c r="T838" s="10">
        <f t="shared" ca="1" si="133"/>
        <v>736.33257403188907</v>
      </c>
      <c r="U838" s="10" t="str">
        <f t="shared" ca="1" si="134"/>
        <v>OR</v>
      </c>
      <c r="V838">
        <f t="shared" si="135"/>
        <v>4</v>
      </c>
    </row>
    <row r="839" spans="1:22" x14ac:dyDescent="0.25">
      <c r="A839">
        <v>94</v>
      </c>
      <c r="B839">
        <v>1</v>
      </c>
      <c r="C839">
        <v>50</v>
      </c>
      <c r="D839">
        <v>1</v>
      </c>
      <c r="E839">
        <v>0</v>
      </c>
      <c r="F839">
        <v>1</v>
      </c>
      <c r="G839">
        <v>0</v>
      </c>
      <c r="H839">
        <v>250</v>
      </c>
      <c r="I839">
        <f t="shared" si="127"/>
        <v>837</v>
      </c>
      <c r="J839" s="6">
        <f t="array" aca="1" ref="J839:N839" ca="1">TRANSPOSE(ols(OFFSET($C$2:$C$10,I839,0),OFFSET($D$2:$H$10,I839,0)))</f>
        <v>171.54761904761563</v>
      </c>
      <c r="K839" s="6">
        <f ca="1"/>
        <v>-1.0714285714286689</v>
      </c>
      <c r="L839" s="6">
        <f ca="1"/>
        <v>-60.952380952380281</v>
      </c>
      <c r="M839" s="6">
        <f ca="1"/>
        <v>25.476190476190595</v>
      </c>
      <c r="N839" s="6">
        <f ca="1"/>
        <v>-0.27380952380952195</v>
      </c>
      <c r="O839" s="6">
        <f t="shared" ca="1" si="128"/>
        <v>42.142857142854865</v>
      </c>
      <c r="P839" t="str">
        <f t="shared" si="129"/>
        <v>NA</v>
      </c>
      <c r="Q839" s="10">
        <f t="shared" ca="1" si="130"/>
        <v>40.238095238093251</v>
      </c>
      <c r="R839" s="10">
        <f t="shared" ca="1" si="131"/>
        <v>110.59523809523535</v>
      </c>
      <c r="S839" s="10">
        <f t="shared" ca="1" si="132"/>
        <v>-70.357142857142094</v>
      </c>
      <c r="T839" s="10">
        <f t="shared" ca="1" si="133"/>
        <v>256.95652173912941</v>
      </c>
      <c r="U839" s="10">
        <f t="shared" ca="1" si="134"/>
        <v>256.95652173912941</v>
      </c>
      <c r="V839">
        <f t="shared" si="135"/>
        <v>3</v>
      </c>
    </row>
    <row r="840" spans="1:22" x14ac:dyDescent="0.25">
      <c r="A840">
        <v>94</v>
      </c>
      <c r="B840">
        <v>2</v>
      </c>
      <c r="C840">
        <v>85</v>
      </c>
      <c r="D840">
        <v>1</v>
      </c>
      <c r="E840">
        <v>1</v>
      </c>
      <c r="F840">
        <v>0</v>
      </c>
      <c r="G840">
        <v>0</v>
      </c>
      <c r="H840">
        <v>350</v>
      </c>
      <c r="I840">
        <f t="shared" si="127"/>
        <v>837</v>
      </c>
      <c r="J840" s="6">
        <f t="array" aca="1" ref="J840:N840" ca="1">TRANSPOSE(ols(OFFSET($C$2:$C$10,I840,0),OFFSET($D$2:$H$10,I840,0)))</f>
        <v>171.54761904761563</v>
      </c>
      <c r="K840" s="6">
        <f ca="1"/>
        <v>-1.0714285714286689</v>
      </c>
      <c r="L840" s="6">
        <f ca="1"/>
        <v>-60.952380952380281</v>
      </c>
      <c r="M840" s="6">
        <f ca="1"/>
        <v>25.476190476190595</v>
      </c>
      <c r="N840" s="6">
        <f ca="1"/>
        <v>-0.27380952380952195</v>
      </c>
      <c r="O840" s="6">
        <f t="shared" ca="1" si="128"/>
        <v>74.642857142854268</v>
      </c>
      <c r="P840" t="str">
        <f t="shared" si="129"/>
        <v>NA</v>
      </c>
      <c r="Q840" s="10">
        <f t="shared" ca="1" si="130"/>
        <v>40.238095238093251</v>
      </c>
      <c r="R840" s="10">
        <f t="shared" ca="1" si="131"/>
        <v>170.47619047618696</v>
      </c>
      <c r="S840" s="10">
        <f t="shared" ca="1" si="132"/>
        <v>-130.23809523809371</v>
      </c>
      <c r="T840" s="10">
        <f t="shared" ca="1" si="133"/>
        <v>475.65217391304111</v>
      </c>
      <c r="U840" s="10">
        <f t="shared" ca="1" si="134"/>
        <v>475.65217391304111</v>
      </c>
      <c r="V840">
        <f t="shared" si="135"/>
        <v>2</v>
      </c>
    </row>
    <row r="841" spans="1:22" x14ac:dyDescent="0.25">
      <c r="A841">
        <v>94</v>
      </c>
      <c r="B841">
        <v>3</v>
      </c>
      <c r="C841">
        <v>30</v>
      </c>
      <c r="D841">
        <v>1</v>
      </c>
      <c r="E841">
        <v>1</v>
      </c>
      <c r="F841">
        <v>0</v>
      </c>
      <c r="G841">
        <v>0</v>
      </c>
      <c r="H841">
        <v>450</v>
      </c>
      <c r="I841">
        <f t="shared" si="127"/>
        <v>837</v>
      </c>
      <c r="J841" s="6">
        <f t="array" aca="1" ref="J841:N841" ca="1">TRANSPOSE(ols(OFFSET($C$2:$C$10,I841,0),OFFSET($D$2:$H$10,I841,0)))</f>
        <v>171.54761904761563</v>
      </c>
      <c r="K841" s="6">
        <f ca="1"/>
        <v>-1.0714285714286689</v>
      </c>
      <c r="L841" s="6">
        <f ca="1"/>
        <v>-60.952380952380281</v>
      </c>
      <c r="M841" s="6">
        <f ca="1"/>
        <v>25.476190476190595</v>
      </c>
      <c r="N841" s="6">
        <f ca="1"/>
        <v>-0.27380952380952195</v>
      </c>
      <c r="O841" s="6">
        <f t="shared" ca="1" si="128"/>
        <v>47.261904761902088</v>
      </c>
      <c r="P841" t="str">
        <f t="shared" si="129"/>
        <v>NA</v>
      </c>
      <c r="Q841" s="10">
        <f t="shared" ca="1" si="130"/>
        <v>40.238095238093251</v>
      </c>
      <c r="R841" s="10">
        <f t="shared" ca="1" si="131"/>
        <v>170.47619047618696</v>
      </c>
      <c r="S841" s="10">
        <f t="shared" ca="1" si="132"/>
        <v>-130.23809523809371</v>
      </c>
      <c r="T841" s="10">
        <f t="shared" ca="1" si="133"/>
        <v>475.65217391304111</v>
      </c>
      <c r="U841" s="10">
        <f t="shared" ca="1" si="134"/>
        <v>475.65217391304111</v>
      </c>
      <c r="V841">
        <f t="shared" si="135"/>
        <v>2</v>
      </c>
    </row>
    <row r="842" spans="1:22" x14ac:dyDescent="0.25">
      <c r="A842">
        <v>94</v>
      </c>
      <c r="B842">
        <v>4</v>
      </c>
      <c r="C842">
        <v>20</v>
      </c>
      <c r="D842">
        <v>1</v>
      </c>
      <c r="E842">
        <v>0</v>
      </c>
      <c r="F842">
        <v>0</v>
      </c>
      <c r="G842">
        <v>0</v>
      </c>
      <c r="H842">
        <v>550</v>
      </c>
      <c r="I842">
        <f t="shared" si="127"/>
        <v>837</v>
      </c>
      <c r="J842" s="6">
        <f t="array" aca="1" ref="J842:N842" ca="1">TRANSPOSE(ols(OFFSET($C$2:$C$10,I842,0),OFFSET($D$2:$H$10,I842,0)))</f>
        <v>171.54761904761563</v>
      </c>
      <c r="K842" s="6">
        <f ca="1"/>
        <v>-1.0714285714286689</v>
      </c>
      <c r="L842" s="6">
        <f ca="1"/>
        <v>-60.952380952380281</v>
      </c>
      <c r="M842" s="6">
        <f ca="1"/>
        <v>25.476190476190595</v>
      </c>
      <c r="N842" s="6">
        <f ca="1"/>
        <v>-0.27380952380952195</v>
      </c>
      <c r="O842" s="6">
        <f t="shared" ca="1" si="128"/>
        <v>20.952380952378547</v>
      </c>
      <c r="P842" t="str">
        <f t="shared" si="129"/>
        <v>NA</v>
      </c>
      <c r="Q842" s="10">
        <f t="shared" ca="1" si="130"/>
        <v>40.238095238093251</v>
      </c>
      <c r="R842" s="10">
        <f t="shared" ca="1" si="131"/>
        <v>171.54761904761563</v>
      </c>
      <c r="S842" s="10">
        <f t="shared" ca="1" si="132"/>
        <v>-131.30952380952237</v>
      </c>
      <c r="T842" s="10">
        <f t="shared" ca="1" si="133"/>
        <v>479.56521739130238</v>
      </c>
      <c r="U842" s="10">
        <f t="shared" ca="1" si="134"/>
        <v>479.56521739130238</v>
      </c>
      <c r="V842">
        <f t="shared" si="135"/>
        <v>1</v>
      </c>
    </row>
    <row r="843" spans="1:22" x14ac:dyDescent="0.25">
      <c r="A843">
        <v>94</v>
      </c>
      <c r="B843">
        <v>5</v>
      </c>
      <c r="C843">
        <v>50</v>
      </c>
      <c r="D843">
        <v>1</v>
      </c>
      <c r="E843">
        <v>0</v>
      </c>
      <c r="F843">
        <v>1</v>
      </c>
      <c r="G843">
        <v>1</v>
      </c>
      <c r="H843">
        <v>250</v>
      </c>
      <c r="I843">
        <f t="shared" si="127"/>
        <v>837</v>
      </c>
      <c r="J843" s="6">
        <f t="array" aca="1" ref="J843:N843" ca="1">TRANSPOSE(ols(OFFSET($C$2:$C$10,I843,0),OFFSET($D$2:$H$10,I843,0)))</f>
        <v>171.54761904761563</v>
      </c>
      <c r="K843" s="6">
        <f ca="1"/>
        <v>-1.0714285714286689</v>
      </c>
      <c r="L843" s="6">
        <f ca="1"/>
        <v>-60.952380952380281</v>
      </c>
      <c r="M843" s="6">
        <f ca="1"/>
        <v>25.476190476190595</v>
      </c>
      <c r="N843" s="6">
        <f ca="1"/>
        <v>-0.27380952380952195</v>
      </c>
      <c r="O843" s="6">
        <f t="shared" ca="1" si="128"/>
        <v>67.61904761904546</v>
      </c>
      <c r="P843" t="str">
        <f t="shared" si="129"/>
        <v>NA</v>
      </c>
      <c r="Q843" s="10">
        <f t="shared" ca="1" si="130"/>
        <v>40.238095238093251</v>
      </c>
      <c r="R843" s="10">
        <f t="shared" ca="1" si="131"/>
        <v>136.07142857142594</v>
      </c>
      <c r="S843" s="10">
        <f t="shared" ca="1" si="132"/>
        <v>-95.833333333332689</v>
      </c>
      <c r="T843" s="10">
        <f t="shared" ca="1" si="133"/>
        <v>350</v>
      </c>
      <c r="U843" s="10">
        <f t="shared" ca="1" si="134"/>
        <v>350</v>
      </c>
      <c r="V843">
        <f t="shared" si="135"/>
        <v>6</v>
      </c>
    </row>
    <row r="844" spans="1:22" x14ac:dyDescent="0.25">
      <c r="A844">
        <v>94</v>
      </c>
      <c r="B844">
        <v>6</v>
      </c>
      <c r="C844">
        <v>50</v>
      </c>
      <c r="D844">
        <v>1</v>
      </c>
      <c r="E844">
        <v>0</v>
      </c>
      <c r="F844">
        <v>1</v>
      </c>
      <c r="G844">
        <v>1</v>
      </c>
      <c r="H844">
        <v>350</v>
      </c>
      <c r="I844">
        <f t="shared" ref="I844:I907" si="136">IF(A844&gt;A843,I843+9,I843)</f>
        <v>837</v>
      </c>
      <c r="J844" s="6">
        <f t="array" aca="1" ref="J844:N844" ca="1">TRANSPOSE(ols(OFFSET($C$2:$C$10,I844,0),OFFSET($D$2:$H$10,I844,0)))</f>
        <v>171.54761904761563</v>
      </c>
      <c r="K844" s="6">
        <f ca="1"/>
        <v>-1.0714285714286689</v>
      </c>
      <c r="L844" s="6">
        <f ca="1"/>
        <v>-60.952380952380281</v>
      </c>
      <c r="M844" s="6">
        <f ca="1"/>
        <v>25.476190476190595</v>
      </c>
      <c r="N844" s="6">
        <f ca="1"/>
        <v>-0.27380952380952195</v>
      </c>
      <c r="O844" s="6">
        <f t="shared" ca="1" si="128"/>
        <v>40.238095238093251</v>
      </c>
      <c r="P844">
        <f t="shared" ca="1" si="129"/>
        <v>40.238095238093251</v>
      </c>
      <c r="Q844" s="10">
        <f t="shared" ca="1" si="130"/>
        <v>40.238095238093251</v>
      </c>
      <c r="R844" s="10">
        <f t="shared" ca="1" si="131"/>
        <v>136.07142857142594</v>
      </c>
      <c r="S844" s="10">
        <f t="shared" ca="1" si="132"/>
        <v>-95.833333333332689</v>
      </c>
      <c r="T844" s="10">
        <f t="shared" ca="1" si="133"/>
        <v>350</v>
      </c>
      <c r="U844" s="10">
        <f t="shared" ca="1" si="134"/>
        <v>350</v>
      </c>
      <c r="V844">
        <f t="shared" si="135"/>
        <v>6</v>
      </c>
    </row>
    <row r="845" spans="1:22" x14ac:dyDescent="0.25">
      <c r="A845">
        <v>94</v>
      </c>
      <c r="B845">
        <v>7</v>
      </c>
      <c r="C845">
        <v>80</v>
      </c>
      <c r="D845">
        <v>1</v>
      </c>
      <c r="E845">
        <v>1</v>
      </c>
      <c r="F845">
        <v>0</v>
      </c>
      <c r="G845">
        <v>1</v>
      </c>
      <c r="H845">
        <v>450</v>
      </c>
      <c r="I845">
        <f t="shared" si="136"/>
        <v>837</v>
      </c>
      <c r="J845" s="6">
        <f t="array" aca="1" ref="J845:N845" ca="1">TRANSPOSE(ols(OFFSET($C$2:$C$10,I845,0),OFFSET($D$2:$H$10,I845,0)))</f>
        <v>171.54761904761563</v>
      </c>
      <c r="K845" s="6">
        <f ca="1"/>
        <v>-1.0714285714286689</v>
      </c>
      <c r="L845" s="6">
        <f ca="1"/>
        <v>-60.952380952380281</v>
      </c>
      <c r="M845" s="6">
        <f ca="1"/>
        <v>25.476190476190595</v>
      </c>
      <c r="N845" s="6">
        <f ca="1"/>
        <v>-0.27380952380952195</v>
      </c>
      <c r="O845" s="6">
        <f t="shared" ca="1" si="128"/>
        <v>72.738095238092683</v>
      </c>
      <c r="P845" t="str">
        <f t="shared" si="129"/>
        <v>NA</v>
      </c>
      <c r="Q845" s="10">
        <f t="shared" ca="1" si="130"/>
        <v>40.238095238093251</v>
      </c>
      <c r="R845" s="10">
        <f t="shared" ca="1" si="131"/>
        <v>195.95238095237755</v>
      </c>
      <c r="S845" s="10">
        <f t="shared" ca="1" si="132"/>
        <v>-155.7142857142843</v>
      </c>
      <c r="T845" s="10">
        <f t="shared" ca="1" si="133"/>
        <v>568.69565217391175</v>
      </c>
      <c r="U845" s="10">
        <f t="shared" ca="1" si="134"/>
        <v>568.69565217391175</v>
      </c>
      <c r="V845">
        <f t="shared" si="135"/>
        <v>5</v>
      </c>
    </row>
    <row r="846" spans="1:22" x14ac:dyDescent="0.25">
      <c r="A846">
        <v>94</v>
      </c>
      <c r="B846">
        <v>8</v>
      </c>
      <c r="C846">
        <v>45</v>
      </c>
      <c r="D846">
        <v>1</v>
      </c>
      <c r="E846">
        <v>1</v>
      </c>
      <c r="F846">
        <v>0</v>
      </c>
      <c r="G846">
        <v>1</v>
      </c>
      <c r="H846">
        <v>550</v>
      </c>
      <c r="I846">
        <f t="shared" si="136"/>
        <v>837</v>
      </c>
      <c r="J846" s="6">
        <f t="array" aca="1" ref="J846:N846" ca="1">TRANSPOSE(ols(OFFSET($C$2:$C$10,I846,0),OFFSET($D$2:$H$10,I846,0)))</f>
        <v>171.54761904761563</v>
      </c>
      <c r="K846" s="6">
        <f ca="1"/>
        <v>-1.0714285714286689</v>
      </c>
      <c r="L846" s="6">
        <f ca="1"/>
        <v>-60.952380952380281</v>
      </c>
      <c r="M846" s="6">
        <f ca="1"/>
        <v>25.476190476190595</v>
      </c>
      <c r="N846" s="6">
        <f ca="1"/>
        <v>-0.27380952380952195</v>
      </c>
      <c r="O846" s="6">
        <f t="shared" ca="1" si="128"/>
        <v>45.357142857140474</v>
      </c>
      <c r="P846" t="str">
        <f t="shared" si="129"/>
        <v>NA</v>
      </c>
      <c r="Q846" s="10">
        <f t="shared" ca="1" si="130"/>
        <v>40.238095238093251</v>
      </c>
      <c r="R846" s="10">
        <f t="shared" ca="1" si="131"/>
        <v>195.95238095237755</v>
      </c>
      <c r="S846" s="10">
        <f t="shared" ca="1" si="132"/>
        <v>-155.7142857142843</v>
      </c>
      <c r="T846" s="10">
        <f t="shared" ca="1" si="133"/>
        <v>568.69565217391175</v>
      </c>
      <c r="U846" s="10">
        <f t="shared" ca="1" si="134"/>
        <v>568.69565217391175</v>
      </c>
      <c r="V846">
        <f t="shared" si="135"/>
        <v>5</v>
      </c>
    </row>
    <row r="847" spans="1:22" x14ac:dyDescent="0.25">
      <c r="A847">
        <v>94</v>
      </c>
      <c r="B847">
        <v>9</v>
      </c>
      <c r="C847">
        <v>20</v>
      </c>
      <c r="D847">
        <v>1</v>
      </c>
      <c r="E847">
        <v>0</v>
      </c>
      <c r="F847">
        <v>0</v>
      </c>
      <c r="G847">
        <v>1</v>
      </c>
      <c r="H847">
        <v>650</v>
      </c>
      <c r="I847">
        <f t="shared" si="136"/>
        <v>837</v>
      </c>
      <c r="J847" s="6">
        <f t="array" aca="1" ref="J847:N847" ca="1">TRANSPOSE(ols(OFFSET($C$2:$C$10,I847,0),OFFSET($D$2:$H$10,I847,0)))</f>
        <v>171.54761904761563</v>
      </c>
      <c r="K847" s="6">
        <f ca="1"/>
        <v>-1.0714285714286689</v>
      </c>
      <c r="L847" s="6">
        <f ca="1"/>
        <v>-60.952380952380281</v>
      </c>
      <c r="M847" s="6">
        <f ca="1"/>
        <v>25.476190476190595</v>
      </c>
      <c r="N847" s="6">
        <f ca="1"/>
        <v>-0.27380952380952195</v>
      </c>
      <c r="O847" s="6">
        <f t="shared" ca="1" si="128"/>
        <v>19.047619047616962</v>
      </c>
      <c r="P847" t="str">
        <f t="shared" si="129"/>
        <v>NA</v>
      </c>
      <c r="Q847" s="10">
        <f t="shared" ca="1" si="130"/>
        <v>40.238095238093251</v>
      </c>
      <c r="R847" s="10">
        <f t="shared" ca="1" si="131"/>
        <v>197.02380952380622</v>
      </c>
      <c r="S847" s="10">
        <f t="shared" ca="1" si="132"/>
        <v>-156.78571428571297</v>
      </c>
      <c r="T847" s="10">
        <f t="shared" ca="1" si="133"/>
        <v>572.60869565217297</v>
      </c>
      <c r="U847" s="10">
        <f t="shared" ca="1" si="134"/>
        <v>572.60869565217297</v>
      </c>
      <c r="V847">
        <f t="shared" si="135"/>
        <v>4</v>
      </c>
    </row>
    <row r="848" spans="1:22" x14ac:dyDescent="0.25">
      <c r="A848">
        <v>95</v>
      </c>
      <c r="B848">
        <v>1</v>
      </c>
      <c r="C848">
        <v>15</v>
      </c>
      <c r="D848">
        <v>1</v>
      </c>
      <c r="E848">
        <v>0</v>
      </c>
      <c r="F848">
        <v>1</v>
      </c>
      <c r="G848">
        <v>0</v>
      </c>
      <c r="H848">
        <v>250</v>
      </c>
      <c r="I848">
        <f t="shared" si="136"/>
        <v>846</v>
      </c>
      <c r="J848" s="6">
        <f t="array" aca="1" ref="J848:N848" ca="1">TRANSPOSE(ols(OFFSET($C$2:$C$10,I848,0),OFFSET($D$2:$H$10,I848,0)))</f>
        <v>79.96428571428396</v>
      </c>
      <c r="K848" s="6">
        <f ca="1"/>
        <v>-12.071428571428214</v>
      </c>
      <c r="L848" s="6">
        <f ca="1"/>
        <v>-23.285714285713766</v>
      </c>
      <c r="M848" s="6">
        <f ca="1"/>
        <v>33.642857142857224</v>
      </c>
      <c r="N848" s="6">
        <f ca="1"/>
        <v>-0.13214285714285889</v>
      </c>
      <c r="O848" s="6">
        <f t="shared" ca="1" si="128"/>
        <v>23.642857142855469</v>
      </c>
      <c r="P848" t="str">
        <f t="shared" si="129"/>
        <v>NA</v>
      </c>
      <c r="Q848" s="10">
        <f t="shared" ca="1" si="130"/>
        <v>44.071428571426807</v>
      </c>
      <c r="R848" s="10">
        <f t="shared" ca="1" si="131"/>
        <v>56.678571428570194</v>
      </c>
      <c r="S848" s="10">
        <f t="shared" ca="1" si="132"/>
        <v>-12.607142857143387</v>
      </c>
      <c r="T848" s="10">
        <f t="shared" ca="1" si="133"/>
        <v>95.405405405408146</v>
      </c>
      <c r="U848" s="10" t="str">
        <f t="shared" ca="1" si="134"/>
        <v>OR</v>
      </c>
      <c r="V848">
        <f t="shared" si="135"/>
        <v>3</v>
      </c>
    </row>
    <row r="849" spans="1:22" x14ac:dyDescent="0.25">
      <c r="A849">
        <v>95</v>
      </c>
      <c r="B849">
        <v>2</v>
      </c>
      <c r="C849">
        <v>16</v>
      </c>
      <c r="D849">
        <v>1</v>
      </c>
      <c r="E849">
        <v>1</v>
      </c>
      <c r="F849">
        <v>0</v>
      </c>
      <c r="G849">
        <v>0</v>
      </c>
      <c r="H849">
        <v>350</v>
      </c>
      <c r="I849">
        <f t="shared" si="136"/>
        <v>846</v>
      </c>
      <c r="J849" s="6">
        <f t="array" aca="1" ref="J849:N849" ca="1">TRANSPOSE(ols(OFFSET($C$2:$C$10,I849,0),OFFSET($D$2:$H$10,I849,0)))</f>
        <v>79.96428571428396</v>
      </c>
      <c r="K849" s="6">
        <f ca="1"/>
        <v>-12.071428571428214</v>
      </c>
      <c r="L849" s="6">
        <f ca="1"/>
        <v>-23.285714285713766</v>
      </c>
      <c r="M849" s="6">
        <f ca="1"/>
        <v>33.642857142857224</v>
      </c>
      <c r="N849" s="6">
        <f ca="1"/>
        <v>-0.13214285714285889</v>
      </c>
      <c r="O849" s="6">
        <f t="shared" ca="1" si="128"/>
        <v>21.642857142855135</v>
      </c>
      <c r="P849" t="str">
        <f t="shared" si="129"/>
        <v>NA</v>
      </c>
      <c r="Q849" s="10">
        <f t="shared" ca="1" si="130"/>
        <v>44.071428571426807</v>
      </c>
      <c r="R849" s="10">
        <f t="shared" ca="1" si="131"/>
        <v>67.892857142855746</v>
      </c>
      <c r="S849" s="10">
        <f t="shared" ca="1" si="132"/>
        <v>-23.821428571428939</v>
      </c>
      <c r="T849" s="10">
        <f t="shared" ca="1" si="133"/>
        <v>180.27027027027066</v>
      </c>
      <c r="U849" s="10" t="str">
        <f t="shared" ca="1" si="134"/>
        <v>OR</v>
      </c>
      <c r="V849">
        <f t="shared" si="135"/>
        <v>2</v>
      </c>
    </row>
    <row r="850" spans="1:22" x14ac:dyDescent="0.25">
      <c r="A850">
        <v>95</v>
      </c>
      <c r="B850">
        <v>3</v>
      </c>
      <c r="C850">
        <v>15</v>
      </c>
      <c r="D850">
        <v>1</v>
      </c>
      <c r="E850">
        <v>1</v>
      </c>
      <c r="F850">
        <v>0</v>
      </c>
      <c r="G850">
        <v>0</v>
      </c>
      <c r="H850">
        <v>450</v>
      </c>
      <c r="I850">
        <f t="shared" si="136"/>
        <v>846</v>
      </c>
      <c r="J850" s="6">
        <f t="array" aca="1" ref="J850:N850" ca="1">TRANSPOSE(ols(OFFSET($C$2:$C$10,I850,0),OFFSET($D$2:$H$10,I850,0)))</f>
        <v>79.96428571428396</v>
      </c>
      <c r="K850" s="6">
        <f ca="1"/>
        <v>-12.071428571428214</v>
      </c>
      <c r="L850" s="6">
        <f ca="1"/>
        <v>-23.285714285713766</v>
      </c>
      <c r="M850" s="6">
        <f ca="1"/>
        <v>33.642857142857224</v>
      </c>
      <c r="N850" s="6">
        <f ca="1"/>
        <v>-0.13214285714285889</v>
      </c>
      <c r="O850" s="6">
        <f t="shared" ca="1" si="128"/>
        <v>8.4285714285692421</v>
      </c>
      <c r="P850" t="str">
        <f t="shared" si="129"/>
        <v>NA</v>
      </c>
      <c r="Q850" s="10">
        <f t="shared" ca="1" si="130"/>
        <v>44.071428571426807</v>
      </c>
      <c r="R850" s="10">
        <f t="shared" ca="1" si="131"/>
        <v>67.892857142855746</v>
      </c>
      <c r="S850" s="10">
        <f t="shared" ca="1" si="132"/>
        <v>-23.821428571428939</v>
      </c>
      <c r="T850" s="10">
        <f t="shared" ca="1" si="133"/>
        <v>180.27027027027066</v>
      </c>
      <c r="U850" s="10" t="str">
        <f t="shared" ca="1" si="134"/>
        <v>OR</v>
      </c>
      <c r="V850">
        <f t="shared" si="135"/>
        <v>2</v>
      </c>
    </row>
    <row r="851" spans="1:22" x14ac:dyDescent="0.25">
      <c r="A851">
        <v>95</v>
      </c>
      <c r="B851">
        <v>4</v>
      </c>
      <c r="C851">
        <v>15</v>
      </c>
      <c r="D851">
        <v>1</v>
      </c>
      <c r="E851">
        <v>0</v>
      </c>
      <c r="F851">
        <v>0</v>
      </c>
      <c r="G851">
        <v>0</v>
      </c>
      <c r="H851">
        <v>550</v>
      </c>
      <c r="I851">
        <f t="shared" si="136"/>
        <v>846</v>
      </c>
      <c r="J851" s="6">
        <f t="array" aca="1" ref="J851:N851" ca="1">TRANSPOSE(ols(OFFSET($C$2:$C$10,I851,0),OFFSET($D$2:$H$10,I851,0)))</f>
        <v>79.96428571428396</v>
      </c>
      <c r="K851" s="6">
        <f ca="1"/>
        <v>-12.071428571428214</v>
      </c>
      <c r="L851" s="6">
        <f ca="1"/>
        <v>-23.285714285713766</v>
      </c>
      <c r="M851" s="6">
        <f ca="1"/>
        <v>33.642857142857224</v>
      </c>
      <c r="N851" s="6">
        <f ca="1"/>
        <v>-0.13214285714285889</v>
      </c>
      <c r="O851" s="6">
        <f t="shared" ca="1" si="128"/>
        <v>7.2857142857115633</v>
      </c>
      <c r="P851" t="str">
        <f t="shared" si="129"/>
        <v>NA</v>
      </c>
      <c r="Q851" s="10">
        <f t="shared" ca="1" si="130"/>
        <v>44.071428571426807</v>
      </c>
      <c r="R851" s="10">
        <f t="shared" ca="1" si="131"/>
        <v>79.96428571428396</v>
      </c>
      <c r="S851" s="10">
        <f t="shared" ca="1" si="132"/>
        <v>-35.892857142857153</v>
      </c>
      <c r="T851" s="10">
        <f t="shared" ca="1" si="133"/>
        <v>271.62162162161809</v>
      </c>
      <c r="U851" s="10">
        <f t="shared" ca="1" si="134"/>
        <v>271.62162162161809</v>
      </c>
      <c r="V851">
        <f t="shared" si="135"/>
        <v>1</v>
      </c>
    </row>
    <row r="852" spans="1:22" x14ac:dyDescent="0.25">
      <c r="A852">
        <v>95</v>
      </c>
      <c r="B852">
        <v>5</v>
      </c>
      <c r="C852">
        <v>60</v>
      </c>
      <c r="D852">
        <v>1</v>
      </c>
      <c r="E852">
        <v>0</v>
      </c>
      <c r="F852">
        <v>1</v>
      </c>
      <c r="G852">
        <v>1</v>
      </c>
      <c r="H852">
        <v>250</v>
      </c>
      <c r="I852">
        <f t="shared" si="136"/>
        <v>846</v>
      </c>
      <c r="J852" s="6">
        <f t="array" aca="1" ref="J852:N852" ca="1">TRANSPOSE(ols(OFFSET($C$2:$C$10,I852,0),OFFSET($D$2:$H$10,I852,0)))</f>
        <v>79.96428571428396</v>
      </c>
      <c r="K852" s="6">
        <f ca="1"/>
        <v>-12.071428571428214</v>
      </c>
      <c r="L852" s="6">
        <f ca="1"/>
        <v>-23.285714285713766</v>
      </c>
      <c r="M852" s="6">
        <f ca="1"/>
        <v>33.642857142857224</v>
      </c>
      <c r="N852" s="6">
        <f ca="1"/>
        <v>-0.13214285714285889</v>
      </c>
      <c r="O852" s="6">
        <f t="shared" ca="1" si="128"/>
        <v>57.285714285712693</v>
      </c>
      <c r="P852" t="str">
        <f t="shared" si="129"/>
        <v>NA</v>
      </c>
      <c r="Q852" s="10">
        <f t="shared" ca="1" si="130"/>
        <v>44.071428571426807</v>
      </c>
      <c r="R852" s="10">
        <f t="shared" ca="1" si="131"/>
        <v>90.321428571427418</v>
      </c>
      <c r="S852" s="10">
        <f t="shared" ca="1" si="132"/>
        <v>-46.250000000000611</v>
      </c>
      <c r="T852" s="10">
        <f t="shared" ca="1" si="133"/>
        <v>350</v>
      </c>
      <c r="U852" s="10">
        <f t="shared" ca="1" si="134"/>
        <v>350</v>
      </c>
      <c r="V852">
        <f t="shared" si="135"/>
        <v>6</v>
      </c>
    </row>
    <row r="853" spans="1:22" x14ac:dyDescent="0.25">
      <c r="A853">
        <v>95</v>
      </c>
      <c r="B853">
        <v>6</v>
      </c>
      <c r="C853">
        <v>50</v>
      </c>
      <c r="D853">
        <v>1</v>
      </c>
      <c r="E853">
        <v>0</v>
      </c>
      <c r="F853">
        <v>1</v>
      </c>
      <c r="G853">
        <v>1</v>
      </c>
      <c r="H853">
        <v>350</v>
      </c>
      <c r="I853">
        <f t="shared" si="136"/>
        <v>846</v>
      </c>
      <c r="J853" s="6">
        <f t="array" aca="1" ref="J853:N853" ca="1">TRANSPOSE(ols(OFFSET($C$2:$C$10,I853,0),OFFSET($D$2:$H$10,I853,0)))</f>
        <v>79.96428571428396</v>
      </c>
      <c r="K853" s="6">
        <f ca="1"/>
        <v>-12.071428571428214</v>
      </c>
      <c r="L853" s="6">
        <f ca="1"/>
        <v>-23.285714285713766</v>
      </c>
      <c r="M853" s="6">
        <f ca="1"/>
        <v>33.642857142857224</v>
      </c>
      <c r="N853" s="6">
        <f ca="1"/>
        <v>-0.13214285714285889</v>
      </c>
      <c r="O853" s="6">
        <f t="shared" ca="1" si="128"/>
        <v>44.071428571426807</v>
      </c>
      <c r="P853">
        <f t="shared" ca="1" si="129"/>
        <v>44.071428571426807</v>
      </c>
      <c r="Q853" s="10">
        <f t="shared" ca="1" si="130"/>
        <v>44.071428571426807</v>
      </c>
      <c r="R853" s="10">
        <f t="shared" ca="1" si="131"/>
        <v>90.321428571427418</v>
      </c>
      <c r="S853" s="10">
        <f t="shared" ca="1" si="132"/>
        <v>-46.250000000000611</v>
      </c>
      <c r="T853" s="10">
        <f t="shared" ca="1" si="133"/>
        <v>350</v>
      </c>
      <c r="U853" s="10">
        <f t="shared" ca="1" si="134"/>
        <v>350</v>
      </c>
      <c r="V853">
        <f t="shared" si="135"/>
        <v>6</v>
      </c>
    </row>
    <row r="854" spans="1:22" x14ac:dyDescent="0.25">
      <c r="A854">
        <v>95</v>
      </c>
      <c r="B854">
        <v>7</v>
      </c>
      <c r="C854">
        <v>45</v>
      </c>
      <c r="D854">
        <v>1</v>
      </c>
      <c r="E854">
        <v>1</v>
      </c>
      <c r="F854">
        <v>0</v>
      </c>
      <c r="G854">
        <v>1</v>
      </c>
      <c r="H854">
        <v>450</v>
      </c>
      <c r="I854">
        <f t="shared" si="136"/>
        <v>846</v>
      </c>
      <c r="J854" s="6">
        <f t="array" aca="1" ref="J854:N854" ca="1">TRANSPOSE(ols(OFFSET($C$2:$C$10,I854,0),OFFSET($D$2:$H$10,I854,0)))</f>
        <v>79.96428571428396</v>
      </c>
      <c r="K854" s="6">
        <f ca="1"/>
        <v>-12.071428571428214</v>
      </c>
      <c r="L854" s="6">
        <f ca="1"/>
        <v>-23.285714285713766</v>
      </c>
      <c r="M854" s="6">
        <f ca="1"/>
        <v>33.642857142857224</v>
      </c>
      <c r="N854" s="6">
        <f ca="1"/>
        <v>-0.13214285714285889</v>
      </c>
      <c r="O854" s="6">
        <f t="shared" ca="1" si="128"/>
        <v>42.071428571426466</v>
      </c>
      <c r="P854" t="str">
        <f t="shared" si="129"/>
        <v>NA</v>
      </c>
      <c r="Q854" s="10">
        <f t="shared" ca="1" si="130"/>
        <v>44.071428571426807</v>
      </c>
      <c r="R854" s="10">
        <f t="shared" ca="1" si="131"/>
        <v>101.53571428571297</v>
      </c>
      <c r="S854" s="10">
        <f t="shared" ca="1" si="132"/>
        <v>-57.464285714286163</v>
      </c>
      <c r="T854" s="10">
        <f t="shared" ca="1" si="133"/>
        <v>434.86486486486251</v>
      </c>
      <c r="U854" s="10">
        <f t="shared" ca="1" si="134"/>
        <v>434.86486486486251</v>
      </c>
      <c r="V854">
        <f t="shared" si="135"/>
        <v>5</v>
      </c>
    </row>
    <row r="855" spans="1:22" x14ac:dyDescent="0.25">
      <c r="A855">
        <v>95</v>
      </c>
      <c r="B855">
        <v>8</v>
      </c>
      <c r="C855">
        <v>25</v>
      </c>
      <c r="D855">
        <v>1</v>
      </c>
      <c r="E855">
        <v>1</v>
      </c>
      <c r="F855">
        <v>0</v>
      </c>
      <c r="G855">
        <v>1</v>
      </c>
      <c r="H855">
        <v>550</v>
      </c>
      <c r="I855">
        <f t="shared" si="136"/>
        <v>846</v>
      </c>
      <c r="J855" s="6">
        <f t="array" aca="1" ref="J855:N855" ca="1">TRANSPOSE(ols(OFFSET($C$2:$C$10,I855,0),OFFSET($D$2:$H$10,I855,0)))</f>
        <v>79.96428571428396</v>
      </c>
      <c r="K855" s="6">
        <f ca="1"/>
        <v>-12.071428571428214</v>
      </c>
      <c r="L855" s="6">
        <f ca="1"/>
        <v>-23.285714285713766</v>
      </c>
      <c r="M855" s="6">
        <f ca="1"/>
        <v>33.642857142857224</v>
      </c>
      <c r="N855" s="6">
        <f ca="1"/>
        <v>-0.13214285714285889</v>
      </c>
      <c r="O855" s="6">
        <f t="shared" ca="1" si="128"/>
        <v>28.857142857140573</v>
      </c>
      <c r="P855" t="str">
        <f t="shared" si="129"/>
        <v>NA</v>
      </c>
      <c r="Q855" s="10">
        <f t="shared" ca="1" si="130"/>
        <v>44.071428571426807</v>
      </c>
      <c r="R855" s="10">
        <f t="shared" ca="1" si="131"/>
        <v>101.53571428571297</v>
      </c>
      <c r="S855" s="10">
        <f t="shared" ca="1" si="132"/>
        <v>-57.464285714286163</v>
      </c>
      <c r="T855" s="10">
        <f t="shared" ca="1" si="133"/>
        <v>434.86486486486251</v>
      </c>
      <c r="U855" s="10">
        <f t="shared" ca="1" si="134"/>
        <v>434.86486486486251</v>
      </c>
      <c r="V855">
        <f t="shared" si="135"/>
        <v>5</v>
      </c>
    </row>
    <row r="856" spans="1:22" x14ac:dyDescent="0.25">
      <c r="A856">
        <v>95</v>
      </c>
      <c r="B856">
        <v>9</v>
      </c>
      <c r="C856">
        <v>20</v>
      </c>
      <c r="D856">
        <v>1</v>
      </c>
      <c r="E856">
        <v>0</v>
      </c>
      <c r="F856">
        <v>0</v>
      </c>
      <c r="G856">
        <v>1</v>
      </c>
      <c r="H856">
        <v>650</v>
      </c>
      <c r="I856">
        <f t="shared" si="136"/>
        <v>846</v>
      </c>
      <c r="J856" s="6">
        <f t="array" aca="1" ref="J856:N856" ca="1">TRANSPOSE(ols(OFFSET($C$2:$C$10,I856,0),OFFSET($D$2:$H$10,I856,0)))</f>
        <v>79.96428571428396</v>
      </c>
      <c r="K856" s="6">
        <f ca="1"/>
        <v>-12.071428571428214</v>
      </c>
      <c r="L856" s="6">
        <f ca="1"/>
        <v>-23.285714285713766</v>
      </c>
      <c r="M856" s="6">
        <f ca="1"/>
        <v>33.642857142857224</v>
      </c>
      <c r="N856" s="6">
        <f ca="1"/>
        <v>-0.13214285714285889</v>
      </c>
      <c r="O856" s="6">
        <f t="shared" ca="1" si="128"/>
        <v>27.714285714282909</v>
      </c>
      <c r="P856" t="str">
        <f t="shared" si="129"/>
        <v>NA</v>
      </c>
      <c r="Q856" s="10">
        <f t="shared" ca="1" si="130"/>
        <v>44.071428571426807</v>
      </c>
      <c r="R856" s="10">
        <f t="shared" ca="1" si="131"/>
        <v>113.60714285714118</v>
      </c>
      <c r="S856" s="10">
        <f t="shared" ca="1" si="132"/>
        <v>-69.535714285714377</v>
      </c>
      <c r="T856" s="10">
        <f t="shared" ca="1" si="133"/>
        <v>526.21621621620989</v>
      </c>
      <c r="U856" s="10">
        <f t="shared" ca="1" si="134"/>
        <v>526.21621621620989</v>
      </c>
      <c r="V856">
        <f t="shared" si="135"/>
        <v>4</v>
      </c>
    </row>
    <row r="857" spans="1:22" x14ac:dyDescent="0.25">
      <c r="A857">
        <v>96</v>
      </c>
      <c r="B857">
        <v>1</v>
      </c>
      <c r="C857">
        <v>32.5</v>
      </c>
      <c r="D857">
        <v>1</v>
      </c>
      <c r="E857">
        <v>0</v>
      </c>
      <c r="F857">
        <v>1</v>
      </c>
      <c r="G857">
        <v>0</v>
      </c>
      <c r="H857">
        <v>250</v>
      </c>
      <c r="I857">
        <f t="shared" si="136"/>
        <v>855</v>
      </c>
      <c r="J857" s="6">
        <f t="array" aca="1" ref="J857:N857" ca="1">TRANSPOSE(ols(OFFSET($C$2:$C$10,I857,0),OFFSET($D$2:$H$10,I857,0)))</f>
        <v>104.68452380952294</v>
      </c>
      <c r="K857" s="6">
        <f ca="1"/>
        <v>7.7857142857146755</v>
      </c>
      <c r="L857" s="6">
        <f ca="1"/>
        <v>-47.690476190476147</v>
      </c>
      <c r="M857" s="6">
        <f ca="1"/>
        <v>16.845238095238187</v>
      </c>
      <c r="N857" s="6">
        <f ca="1"/>
        <v>-0.14726190476190659</v>
      </c>
      <c r="O857" s="6">
        <f t="shared" ca="1" si="128"/>
        <v>20.178571428570152</v>
      </c>
      <c r="P857" t="str">
        <f t="shared" si="129"/>
        <v>NA</v>
      </c>
      <c r="Q857" s="10">
        <f t="shared" ca="1" si="130"/>
        <v>22.297619047617673</v>
      </c>
      <c r="R857" s="10">
        <f t="shared" ca="1" si="131"/>
        <v>56.994047619046796</v>
      </c>
      <c r="S857" s="10">
        <f t="shared" ca="1" si="132"/>
        <v>-34.696428571429124</v>
      </c>
      <c r="T857" s="10">
        <f t="shared" ca="1" si="133"/>
        <v>235.61034761519889</v>
      </c>
      <c r="U857" s="10" t="str">
        <f t="shared" ca="1" si="134"/>
        <v>OR</v>
      </c>
      <c r="V857">
        <f t="shared" si="135"/>
        <v>3</v>
      </c>
    </row>
    <row r="858" spans="1:22" x14ac:dyDescent="0.25">
      <c r="A858">
        <v>96</v>
      </c>
      <c r="B858">
        <v>2</v>
      </c>
      <c r="C858">
        <v>53.5</v>
      </c>
      <c r="D858">
        <v>1</v>
      </c>
      <c r="E858">
        <v>1</v>
      </c>
      <c r="F858">
        <v>0</v>
      </c>
      <c r="G858">
        <v>0</v>
      </c>
      <c r="H858">
        <v>350</v>
      </c>
      <c r="I858">
        <f t="shared" si="136"/>
        <v>855</v>
      </c>
      <c r="J858" s="6">
        <f t="array" aca="1" ref="J858:N858" ca="1">TRANSPOSE(ols(OFFSET($C$2:$C$10,I858,0),OFFSET($D$2:$H$10,I858,0)))</f>
        <v>104.68452380952294</v>
      </c>
      <c r="K858" s="6">
        <f ca="1"/>
        <v>7.7857142857146755</v>
      </c>
      <c r="L858" s="6">
        <f ca="1"/>
        <v>-47.690476190476147</v>
      </c>
      <c r="M858" s="6">
        <f ca="1"/>
        <v>16.845238095238187</v>
      </c>
      <c r="N858" s="6">
        <f ca="1"/>
        <v>-0.14726190476190659</v>
      </c>
      <c r="O858" s="6">
        <f t="shared" ca="1" si="128"/>
        <v>60.928571428570308</v>
      </c>
      <c r="P858" t="str">
        <f t="shared" si="129"/>
        <v>NA</v>
      </c>
      <c r="Q858" s="10">
        <f t="shared" ca="1" si="130"/>
        <v>22.297619047617673</v>
      </c>
      <c r="R858" s="10">
        <f t="shared" ca="1" si="131"/>
        <v>112.47023809523762</v>
      </c>
      <c r="S858" s="10">
        <f t="shared" ca="1" si="132"/>
        <v>-90.172619047619946</v>
      </c>
      <c r="T858" s="10">
        <f t="shared" ca="1" si="133"/>
        <v>612.32821341956196</v>
      </c>
      <c r="U858" s="10">
        <f t="shared" ca="1" si="134"/>
        <v>612.32821341956196</v>
      </c>
      <c r="V858">
        <f t="shared" si="135"/>
        <v>2</v>
      </c>
    </row>
    <row r="859" spans="1:22" x14ac:dyDescent="0.25">
      <c r="A859">
        <v>96</v>
      </c>
      <c r="B859">
        <v>3</v>
      </c>
      <c r="C859">
        <v>37.5</v>
      </c>
      <c r="D859">
        <v>1</v>
      </c>
      <c r="E859">
        <v>1</v>
      </c>
      <c r="F859">
        <v>0</v>
      </c>
      <c r="G859">
        <v>0</v>
      </c>
      <c r="H859">
        <v>450</v>
      </c>
      <c r="I859">
        <f t="shared" si="136"/>
        <v>855</v>
      </c>
      <c r="J859" s="6">
        <f t="array" aca="1" ref="J859:N859" ca="1">TRANSPOSE(ols(OFFSET($C$2:$C$10,I859,0),OFFSET($D$2:$H$10,I859,0)))</f>
        <v>104.68452380952294</v>
      </c>
      <c r="K859" s="6">
        <f ca="1"/>
        <v>7.7857142857146755</v>
      </c>
      <c r="L859" s="6">
        <f ca="1"/>
        <v>-47.690476190476147</v>
      </c>
      <c r="M859" s="6">
        <f ca="1"/>
        <v>16.845238095238187</v>
      </c>
      <c r="N859" s="6">
        <f ca="1"/>
        <v>-0.14726190476190659</v>
      </c>
      <c r="O859" s="6">
        <f t="shared" ca="1" si="128"/>
        <v>46.202380952379656</v>
      </c>
      <c r="P859" t="str">
        <f t="shared" si="129"/>
        <v>NA</v>
      </c>
      <c r="Q859" s="10">
        <f t="shared" ca="1" si="130"/>
        <v>22.297619047617673</v>
      </c>
      <c r="R859" s="10">
        <f t="shared" ca="1" si="131"/>
        <v>112.47023809523762</v>
      </c>
      <c r="S859" s="10">
        <f t="shared" ca="1" si="132"/>
        <v>-90.172619047619946</v>
      </c>
      <c r="T859" s="10">
        <f t="shared" ca="1" si="133"/>
        <v>612.32821341956196</v>
      </c>
      <c r="U859" s="10">
        <f t="shared" ca="1" si="134"/>
        <v>612.32821341956196</v>
      </c>
      <c r="V859">
        <f t="shared" si="135"/>
        <v>2</v>
      </c>
    </row>
    <row r="860" spans="1:22" x14ac:dyDescent="0.25">
      <c r="A860">
        <v>96</v>
      </c>
      <c r="B860">
        <v>4</v>
      </c>
      <c r="C860">
        <v>27.5</v>
      </c>
      <c r="D860">
        <v>1</v>
      </c>
      <c r="E860">
        <v>0</v>
      </c>
      <c r="F860">
        <v>0</v>
      </c>
      <c r="G860">
        <v>0</v>
      </c>
      <c r="H860">
        <v>550</v>
      </c>
      <c r="I860">
        <f t="shared" si="136"/>
        <v>855</v>
      </c>
      <c r="J860" s="6">
        <f t="array" aca="1" ref="J860:N860" ca="1">TRANSPOSE(ols(OFFSET($C$2:$C$10,I860,0),OFFSET($D$2:$H$10,I860,0)))</f>
        <v>104.68452380952294</v>
      </c>
      <c r="K860" s="6">
        <f ca="1"/>
        <v>7.7857142857146755</v>
      </c>
      <c r="L860" s="6">
        <f ca="1"/>
        <v>-47.690476190476147</v>
      </c>
      <c r="M860" s="6">
        <f ca="1"/>
        <v>16.845238095238187</v>
      </c>
      <c r="N860" s="6">
        <f ca="1"/>
        <v>-0.14726190476190659</v>
      </c>
      <c r="O860" s="6">
        <f t="shared" ca="1" si="128"/>
        <v>23.690476190474314</v>
      </c>
      <c r="P860" t="str">
        <f t="shared" si="129"/>
        <v>NA</v>
      </c>
      <c r="Q860" s="10">
        <f t="shared" ca="1" si="130"/>
        <v>22.297619047617673</v>
      </c>
      <c r="R860" s="10">
        <f t="shared" ca="1" si="131"/>
        <v>104.68452380952294</v>
      </c>
      <c r="S860" s="10">
        <f t="shared" ca="1" si="132"/>
        <v>-82.386904761905271</v>
      </c>
      <c r="T860" s="10">
        <f t="shared" ca="1" si="133"/>
        <v>559.45836701697306</v>
      </c>
      <c r="U860" s="10">
        <f t="shared" ca="1" si="134"/>
        <v>559.45836701697306</v>
      </c>
      <c r="V860">
        <f t="shared" si="135"/>
        <v>1</v>
      </c>
    </row>
    <row r="861" spans="1:22" x14ac:dyDescent="0.25">
      <c r="A861">
        <v>96</v>
      </c>
      <c r="B861">
        <v>5</v>
      </c>
      <c r="C861">
        <v>30</v>
      </c>
      <c r="D861">
        <v>1</v>
      </c>
      <c r="E861">
        <v>0</v>
      </c>
      <c r="F861">
        <v>1</v>
      </c>
      <c r="G861">
        <v>1</v>
      </c>
      <c r="H861">
        <v>250</v>
      </c>
      <c r="I861">
        <f t="shared" si="136"/>
        <v>855</v>
      </c>
      <c r="J861" s="6">
        <f t="array" aca="1" ref="J861:N861" ca="1">TRANSPOSE(ols(OFFSET($C$2:$C$10,I861,0),OFFSET($D$2:$H$10,I861,0)))</f>
        <v>104.68452380952294</v>
      </c>
      <c r="K861" s="6">
        <f ca="1"/>
        <v>7.7857142857146755</v>
      </c>
      <c r="L861" s="6">
        <f ca="1"/>
        <v>-47.690476190476147</v>
      </c>
      <c r="M861" s="6">
        <f ca="1"/>
        <v>16.845238095238187</v>
      </c>
      <c r="N861" s="6">
        <f ca="1"/>
        <v>-0.14726190476190659</v>
      </c>
      <c r="O861" s="6">
        <f t="shared" ca="1" si="128"/>
        <v>37.023809523808339</v>
      </c>
      <c r="P861" t="str">
        <f t="shared" si="129"/>
        <v>NA</v>
      </c>
      <c r="Q861" s="10">
        <f t="shared" ca="1" si="130"/>
        <v>22.297619047617673</v>
      </c>
      <c r="R861" s="10">
        <f t="shared" ca="1" si="131"/>
        <v>73.839285714284983</v>
      </c>
      <c r="S861" s="10">
        <f t="shared" ca="1" si="132"/>
        <v>-51.541666666667311</v>
      </c>
      <c r="T861" s="10">
        <f t="shared" ca="1" si="133"/>
        <v>350</v>
      </c>
      <c r="U861" s="10">
        <f t="shared" ca="1" si="134"/>
        <v>350</v>
      </c>
      <c r="V861">
        <f t="shared" si="135"/>
        <v>6</v>
      </c>
    </row>
    <row r="862" spans="1:22" x14ac:dyDescent="0.25">
      <c r="A862">
        <v>96</v>
      </c>
      <c r="B862">
        <v>6</v>
      </c>
      <c r="C862">
        <v>17</v>
      </c>
      <c r="D862">
        <v>1</v>
      </c>
      <c r="E862">
        <v>0</v>
      </c>
      <c r="F862">
        <v>1</v>
      </c>
      <c r="G862">
        <v>1</v>
      </c>
      <c r="H862">
        <v>350</v>
      </c>
      <c r="I862">
        <f t="shared" si="136"/>
        <v>855</v>
      </c>
      <c r="J862" s="6">
        <f t="array" aca="1" ref="J862:N862" ca="1">TRANSPOSE(ols(OFFSET($C$2:$C$10,I862,0),OFFSET($D$2:$H$10,I862,0)))</f>
        <v>104.68452380952294</v>
      </c>
      <c r="K862" s="6">
        <f ca="1"/>
        <v>7.7857142857146755</v>
      </c>
      <c r="L862" s="6">
        <f ca="1"/>
        <v>-47.690476190476147</v>
      </c>
      <c r="M862" s="6">
        <f ca="1"/>
        <v>16.845238095238187</v>
      </c>
      <c r="N862" s="6">
        <f ca="1"/>
        <v>-0.14726190476190659</v>
      </c>
      <c r="O862" s="6">
        <f t="shared" ca="1" si="128"/>
        <v>22.297619047617673</v>
      </c>
      <c r="P862">
        <f t="shared" ca="1" si="129"/>
        <v>22.297619047617673</v>
      </c>
      <c r="Q862" s="10">
        <f t="shared" ca="1" si="130"/>
        <v>22.297619047617673</v>
      </c>
      <c r="R862" s="10">
        <f t="shared" ca="1" si="131"/>
        <v>73.839285714284983</v>
      </c>
      <c r="S862" s="10">
        <f t="shared" ca="1" si="132"/>
        <v>-51.541666666667311</v>
      </c>
      <c r="T862" s="10">
        <f t="shared" ca="1" si="133"/>
        <v>350</v>
      </c>
      <c r="U862" s="10">
        <f t="shared" ca="1" si="134"/>
        <v>350</v>
      </c>
      <c r="V862">
        <f t="shared" si="135"/>
        <v>6</v>
      </c>
    </row>
    <row r="863" spans="1:22" x14ac:dyDescent="0.25">
      <c r="A863">
        <v>96</v>
      </c>
      <c r="B863">
        <v>7</v>
      </c>
      <c r="C863">
        <v>77.5</v>
      </c>
      <c r="D863">
        <v>1</v>
      </c>
      <c r="E863">
        <v>1</v>
      </c>
      <c r="F863">
        <v>0</v>
      </c>
      <c r="G863">
        <v>1</v>
      </c>
      <c r="H863">
        <v>450</v>
      </c>
      <c r="I863">
        <f t="shared" si="136"/>
        <v>855</v>
      </c>
      <c r="J863" s="6">
        <f t="array" aca="1" ref="J863:N863" ca="1">TRANSPOSE(ols(OFFSET($C$2:$C$10,I863,0),OFFSET($D$2:$H$10,I863,0)))</f>
        <v>104.68452380952294</v>
      </c>
      <c r="K863" s="6">
        <f ca="1"/>
        <v>7.7857142857146755</v>
      </c>
      <c r="L863" s="6">
        <f ca="1"/>
        <v>-47.690476190476147</v>
      </c>
      <c r="M863" s="6">
        <f ca="1"/>
        <v>16.845238095238187</v>
      </c>
      <c r="N863" s="6">
        <f ca="1"/>
        <v>-0.14726190476190659</v>
      </c>
      <c r="O863" s="6">
        <f t="shared" ca="1" si="128"/>
        <v>63.047619047617843</v>
      </c>
      <c r="P863" t="str">
        <f t="shared" si="129"/>
        <v>NA</v>
      </c>
      <c r="Q863" s="10">
        <f t="shared" ca="1" si="130"/>
        <v>22.297619047617673</v>
      </c>
      <c r="R863" s="10">
        <f t="shared" ca="1" si="131"/>
        <v>129.31547619047581</v>
      </c>
      <c r="S863" s="10">
        <f t="shared" ca="1" si="132"/>
        <v>-107.01785714285813</v>
      </c>
      <c r="T863" s="10">
        <f t="shared" ca="1" si="133"/>
        <v>726.7178658043631</v>
      </c>
      <c r="U863" s="10" t="str">
        <f t="shared" ca="1" si="134"/>
        <v>OR</v>
      </c>
      <c r="V863">
        <f t="shared" si="135"/>
        <v>5</v>
      </c>
    </row>
    <row r="864" spans="1:22" x14ac:dyDescent="0.25">
      <c r="A864">
        <v>96</v>
      </c>
      <c r="B864">
        <v>8</v>
      </c>
      <c r="C864">
        <v>50</v>
      </c>
      <c r="D864">
        <v>1</v>
      </c>
      <c r="E864">
        <v>1</v>
      </c>
      <c r="F864">
        <v>0</v>
      </c>
      <c r="G864">
        <v>1</v>
      </c>
      <c r="H864">
        <v>550</v>
      </c>
      <c r="I864">
        <f t="shared" si="136"/>
        <v>855</v>
      </c>
      <c r="J864" s="6">
        <f t="array" aca="1" ref="J864:N864" ca="1">TRANSPOSE(ols(OFFSET($C$2:$C$10,I864,0),OFFSET($D$2:$H$10,I864,0)))</f>
        <v>104.68452380952294</v>
      </c>
      <c r="K864" s="6">
        <f ca="1"/>
        <v>7.7857142857146755</v>
      </c>
      <c r="L864" s="6">
        <f ca="1"/>
        <v>-47.690476190476147</v>
      </c>
      <c r="M864" s="6">
        <f ca="1"/>
        <v>16.845238095238187</v>
      </c>
      <c r="N864" s="6">
        <f ca="1"/>
        <v>-0.14726190476190659</v>
      </c>
      <c r="O864" s="6">
        <f t="shared" ca="1" si="128"/>
        <v>48.321428571427177</v>
      </c>
      <c r="P864" t="str">
        <f t="shared" si="129"/>
        <v>NA</v>
      </c>
      <c r="Q864" s="10">
        <f t="shared" ca="1" si="130"/>
        <v>22.297619047617673</v>
      </c>
      <c r="R864" s="10">
        <f t="shared" ca="1" si="131"/>
        <v>129.31547619047581</v>
      </c>
      <c r="S864" s="10">
        <f t="shared" ca="1" si="132"/>
        <v>-107.01785714285813</v>
      </c>
      <c r="T864" s="10">
        <f t="shared" ca="1" si="133"/>
        <v>726.7178658043631</v>
      </c>
      <c r="U864" s="10" t="str">
        <f t="shared" ca="1" si="134"/>
        <v>OR</v>
      </c>
      <c r="V864">
        <f t="shared" si="135"/>
        <v>5</v>
      </c>
    </row>
    <row r="865" spans="1:22" x14ac:dyDescent="0.25">
      <c r="A865">
        <v>96</v>
      </c>
      <c r="B865">
        <v>9</v>
      </c>
      <c r="C865">
        <v>22</v>
      </c>
      <c r="D865">
        <v>1</v>
      </c>
      <c r="E865">
        <v>0</v>
      </c>
      <c r="F865">
        <v>0</v>
      </c>
      <c r="G865">
        <v>1</v>
      </c>
      <c r="H865">
        <v>650</v>
      </c>
      <c r="I865">
        <f t="shared" si="136"/>
        <v>855</v>
      </c>
      <c r="J865" s="6">
        <f t="array" aca="1" ref="J865:N865" ca="1">TRANSPOSE(ols(OFFSET($C$2:$C$10,I865,0),OFFSET($D$2:$H$10,I865,0)))</f>
        <v>104.68452380952294</v>
      </c>
      <c r="K865" s="6">
        <f ca="1"/>
        <v>7.7857142857146755</v>
      </c>
      <c r="L865" s="6">
        <f ca="1"/>
        <v>-47.690476190476147</v>
      </c>
      <c r="M865" s="6">
        <f ca="1"/>
        <v>16.845238095238187</v>
      </c>
      <c r="N865" s="6">
        <f ca="1"/>
        <v>-0.14726190476190659</v>
      </c>
      <c r="O865" s="6">
        <f t="shared" ca="1" si="128"/>
        <v>25.809523809521849</v>
      </c>
      <c r="P865" t="str">
        <f t="shared" si="129"/>
        <v>NA</v>
      </c>
      <c r="Q865" s="10">
        <f t="shared" ca="1" si="130"/>
        <v>22.297619047617673</v>
      </c>
      <c r="R865" s="10">
        <f t="shared" ca="1" si="131"/>
        <v>121.52976190476113</v>
      </c>
      <c r="S865" s="10">
        <f t="shared" ca="1" si="132"/>
        <v>-99.232142857143458</v>
      </c>
      <c r="T865" s="10">
        <f t="shared" ca="1" si="133"/>
        <v>673.8480194017742</v>
      </c>
      <c r="U865" s="10" t="str">
        <f t="shared" ca="1" si="134"/>
        <v>OR</v>
      </c>
      <c r="V865">
        <f t="shared" si="135"/>
        <v>4</v>
      </c>
    </row>
    <row r="866" spans="1:22" x14ac:dyDescent="0.25">
      <c r="A866">
        <v>97</v>
      </c>
      <c r="B866">
        <v>1</v>
      </c>
      <c r="C866">
        <v>80</v>
      </c>
      <c r="D866">
        <v>1</v>
      </c>
      <c r="E866">
        <v>0</v>
      </c>
      <c r="F866">
        <v>1</v>
      </c>
      <c r="G866">
        <v>0</v>
      </c>
      <c r="H866">
        <v>250</v>
      </c>
      <c r="I866">
        <f t="shared" si="136"/>
        <v>864</v>
      </c>
      <c r="J866" s="6">
        <f t="array" aca="1" ref="J866:N866" ca="1">TRANSPOSE(ols(OFFSET($C$2:$C$10,I866,0),OFFSET($D$2:$H$10,I866,0)))</f>
        <v>219.70238095237801</v>
      </c>
      <c r="K866" s="6">
        <f ca="1"/>
        <v>-16.428571428571104</v>
      </c>
      <c r="L866" s="6">
        <f ca="1"/>
        <v>-44.047619047617445</v>
      </c>
      <c r="M866" s="6">
        <f ca="1"/>
        <v>42.023809523809291</v>
      </c>
      <c r="N866" s="6">
        <f ca="1"/>
        <v>-0.40119047619047343</v>
      </c>
      <c r="O866" s="6">
        <f t="shared" ca="1" si="128"/>
        <v>75.357142857142208</v>
      </c>
      <c r="P866" t="str">
        <f t="shared" si="129"/>
        <v>NA</v>
      </c>
      <c r="Q866" s="10">
        <f t="shared" ca="1" si="130"/>
        <v>77.261904761904162</v>
      </c>
      <c r="R866" s="10">
        <f t="shared" ca="1" si="131"/>
        <v>175.65476190476056</v>
      </c>
      <c r="S866" s="10">
        <f t="shared" ca="1" si="132"/>
        <v>-98.3928571428564</v>
      </c>
      <c r="T866" s="10">
        <f t="shared" ca="1" si="133"/>
        <v>245.25222551928766</v>
      </c>
      <c r="U866" s="10" t="str">
        <f t="shared" ca="1" si="134"/>
        <v>OR</v>
      </c>
      <c r="V866">
        <f t="shared" si="135"/>
        <v>3</v>
      </c>
    </row>
    <row r="867" spans="1:22" x14ac:dyDescent="0.25">
      <c r="A867">
        <v>97</v>
      </c>
      <c r="B867">
        <v>2</v>
      </c>
      <c r="C867">
        <v>70</v>
      </c>
      <c r="D867">
        <v>1</v>
      </c>
      <c r="E867">
        <v>1</v>
      </c>
      <c r="F867">
        <v>0</v>
      </c>
      <c r="G867">
        <v>0</v>
      </c>
      <c r="H867">
        <v>350</v>
      </c>
      <c r="I867">
        <f t="shared" si="136"/>
        <v>864</v>
      </c>
      <c r="J867" s="6">
        <f t="array" aca="1" ref="J867:N867" ca="1">TRANSPOSE(ols(OFFSET($C$2:$C$10,I867,0),OFFSET($D$2:$H$10,I867,0)))</f>
        <v>219.70238095237801</v>
      </c>
      <c r="K867" s="6">
        <f ca="1"/>
        <v>-16.428571428571104</v>
      </c>
      <c r="L867" s="6">
        <f ca="1"/>
        <v>-44.047619047617445</v>
      </c>
      <c r="M867" s="6">
        <f ca="1"/>
        <v>42.023809523809291</v>
      </c>
      <c r="N867" s="6">
        <f ca="1"/>
        <v>-0.40119047619047343</v>
      </c>
      <c r="O867" s="6">
        <f t="shared" ca="1" si="128"/>
        <v>62.857142857141213</v>
      </c>
      <c r="P867" t="str">
        <f t="shared" si="129"/>
        <v>NA</v>
      </c>
      <c r="Q867" s="10">
        <f t="shared" ca="1" si="130"/>
        <v>77.261904761904162</v>
      </c>
      <c r="R867" s="10">
        <f t="shared" ca="1" si="131"/>
        <v>203.2738095238069</v>
      </c>
      <c r="S867" s="10">
        <f t="shared" ca="1" si="132"/>
        <v>-126.01190476190274</v>
      </c>
      <c r="T867" s="10">
        <f t="shared" ca="1" si="133"/>
        <v>314.09495548961138</v>
      </c>
      <c r="U867" s="10">
        <f t="shared" ca="1" si="134"/>
        <v>314.09495548961138</v>
      </c>
      <c r="V867">
        <f t="shared" si="135"/>
        <v>2</v>
      </c>
    </row>
    <row r="868" spans="1:22" x14ac:dyDescent="0.25">
      <c r="A868">
        <v>97</v>
      </c>
      <c r="B868">
        <v>3</v>
      </c>
      <c r="C868">
        <v>10</v>
      </c>
      <c r="D868">
        <v>1</v>
      </c>
      <c r="E868">
        <v>1</v>
      </c>
      <c r="F868">
        <v>0</v>
      </c>
      <c r="G868">
        <v>0</v>
      </c>
      <c r="H868">
        <v>450</v>
      </c>
      <c r="I868">
        <f t="shared" si="136"/>
        <v>864</v>
      </c>
      <c r="J868" s="6">
        <f t="array" aca="1" ref="J868:N868" ca="1">TRANSPOSE(ols(OFFSET($C$2:$C$10,I868,0),OFFSET($D$2:$H$10,I868,0)))</f>
        <v>219.70238095237801</v>
      </c>
      <c r="K868" s="6">
        <f ca="1"/>
        <v>-16.428571428571104</v>
      </c>
      <c r="L868" s="6">
        <f ca="1"/>
        <v>-44.047619047617445</v>
      </c>
      <c r="M868" s="6">
        <f ca="1"/>
        <v>42.023809523809291</v>
      </c>
      <c r="N868" s="6">
        <f ca="1"/>
        <v>-0.40119047619047343</v>
      </c>
      <c r="O868" s="6">
        <f t="shared" ca="1" si="128"/>
        <v>22.738095238093848</v>
      </c>
      <c r="P868" t="str">
        <f t="shared" si="129"/>
        <v>NA</v>
      </c>
      <c r="Q868" s="10">
        <f t="shared" ca="1" si="130"/>
        <v>77.261904761904162</v>
      </c>
      <c r="R868" s="10">
        <f t="shared" ca="1" si="131"/>
        <v>203.2738095238069</v>
      </c>
      <c r="S868" s="10">
        <f t="shared" ca="1" si="132"/>
        <v>-126.01190476190274</v>
      </c>
      <c r="T868" s="10">
        <f t="shared" ca="1" si="133"/>
        <v>314.09495548961138</v>
      </c>
      <c r="U868" s="10">
        <f t="shared" ca="1" si="134"/>
        <v>314.09495548961138</v>
      </c>
      <c r="V868">
        <f t="shared" si="135"/>
        <v>2</v>
      </c>
    </row>
    <row r="869" spans="1:22" x14ac:dyDescent="0.25">
      <c r="A869">
        <v>97</v>
      </c>
      <c r="B869">
        <v>4</v>
      </c>
      <c r="C869">
        <v>0</v>
      </c>
      <c r="D869">
        <v>1</v>
      </c>
      <c r="E869">
        <v>0</v>
      </c>
      <c r="F869">
        <v>0</v>
      </c>
      <c r="G869">
        <v>0</v>
      </c>
      <c r="H869">
        <v>550</v>
      </c>
      <c r="I869">
        <f t="shared" si="136"/>
        <v>864</v>
      </c>
      <c r="J869" s="6">
        <f t="array" aca="1" ref="J869:N869" ca="1">TRANSPOSE(ols(OFFSET($C$2:$C$10,I869,0),OFFSET($D$2:$H$10,I869,0)))</f>
        <v>219.70238095237801</v>
      </c>
      <c r="K869" s="6">
        <f ca="1"/>
        <v>-16.428571428571104</v>
      </c>
      <c r="L869" s="6">
        <f ca="1"/>
        <v>-44.047619047617445</v>
      </c>
      <c r="M869" s="6">
        <f ca="1"/>
        <v>42.023809523809291</v>
      </c>
      <c r="N869" s="6">
        <f ca="1"/>
        <v>-0.40119047619047343</v>
      </c>
      <c r="O869" s="6">
        <f t="shared" ca="1" si="128"/>
        <v>-0.95238095238238429</v>
      </c>
      <c r="P869" t="str">
        <f t="shared" si="129"/>
        <v>NA</v>
      </c>
      <c r="Q869" s="10">
        <f t="shared" ca="1" si="130"/>
        <v>77.261904761904162</v>
      </c>
      <c r="R869" s="10">
        <f t="shared" ca="1" si="131"/>
        <v>219.70238095237801</v>
      </c>
      <c r="S869" s="10">
        <f t="shared" ca="1" si="132"/>
        <v>-142.44047619047385</v>
      </c>
      <c r="T869" s="10">
        <f t="shared" ca="1" si="133"/>
        <v>355.04451038575326</v>
      </c>
      <c r="U869" s="10">
        <f t="shared" ca="1" si="134"/>
        <v>355.04451038575326</v>
      </c>
      <c r="V869">
        <f t="shared" si="135"/>
        <v>1</v>
      </c>
    </row>
    <row r="870" spans="1:22" x14ac:dyDescent="0.25">
      <c r="A870">
        <v>97</v>
      </c>
      <c r="B870">
        <v>5</v>
      </c>
      <c r="C870">
        <v>100</v>
      </c>
      <c r="D870">
        <v>1</v>
      </c>
      <c r="E870">
        <v>0</v>
      </c>
      <c r="F870">
        <v>1</v>
      </c>
      <c r="G870">
        <v>1</v>
      </c>
      <c r="H870">
        <v>250</v>
      </c>
      <c r="I870">
        <f t="shared" si="136"/>
        <v>864</v>
      </c>
      <c r="J870" s="6">
        <f t="array" aca="1" ref="J870:N870" ca="1">TRANSPOSE(ols(OFFSET($C$2:$C$10,I870,0),OFFSET($D$2:$H$10,I870,0)))</f>
        <v>219.70238095237801</v>
      </c>
      <c r="K870" s="6">
        <f ca="1"/>
        <v>-16.428571428571104</v>
      </c>
      <c r="L870" s="6">
        <f ca="1"/>
        <v>-44.047619047617445</v>
      </c>
      <c r="M870" s="6">
        <f ca="1"/>
        <v>42.023809523809291</v>
      </c>
      <c r="N870" s="6">
        <f ca="1"/>
        <v>-0.40119047619047343</v>
      </c>
      <c r="O870" s="6">
        <f t="shared" ca="1" si="128"/>
        <v>117.3809523809515</v>
      </c>
      <c r="P870" t="str">
        <f t="shared" si="129"/>
        <v>NA</v>
      </c>
      <c r="Q870" s="10">
        <f t="shared" ca="1" si="130"/>
        <v>77.261904761904162</v>
      </c>
      <c r="R870" s="10">
        <f t="shared" ca="1" si="131"/>
        <v>217.67857142856985</v>
      </c>
      <c r="S870" s="10">
        <f t="shared" ca="1" si="132"/>
        <v>-140.41666666666569</v>
      </c>
      <c r="T870" s="10">
        <f t="shared" ca="1" si="133"/>
        <v>350</v>
      </c>
      <c r="U870" s="10">
        <f t="shared" ca="1" si="134"/>
        <v>350</v>
      </c>
      <c r="V870">
        <f t="shared" si="135"/>
        <v>6</v>
      </c>
    </row>
    <row r="871" spans="1:22" x14ac:dyDescent="0.25">
      <c r="A871">
        <v>97</v>
      </c>
      <c r="B871">
        <v>6</v>
      </c>
      <c r="C871">
        <v>90</v>
      </c>
      <c r="D871">
        <v>1</v>
      </c>
      <c r="E871">
        <v>0</v>
      </c>
      <c r="F871">
        <v>1</v>
      </c>
      <c r="G871">
        <v>1</v>
      </c>
      <c r="H871">
        <v>350</v>
      </c>
      <c r="I871">
        <f t="shared" si="136"/>
        <v>864</v>
      </c>
      <c r="J871" s="6">
        <f t="array" aca="1" ref="J871:N871" ca="1">TRANSPOSE(ols(OFFSET($C$2:$C$10,I871,0),OFFSET($D$2:$H$10,I871,0)))</f>
        <v>219.70238095237801</v>
      </c>
      <c r="K871" s="6">
        <f ca="1"/>
        <v>-16.428571428571104</v>
      </c>
      <c r="L871" s="6">
        <f ca="1"/>
        <v>-44.047619047617445</v>
      </c>
      <c r="M871" s="6">
        <f ca="1"/>
        <v>42.023809523809291</v>
      </c>
      <c r="N871" s="6">
        <f ca="1"/>
        <v>-0.40119047619047343</v>
      </c>
      <c r="O871" s="6">
        <f t="shared" ca="1" si="128"/>
        <v>77.261904761904162</v>
      </c>
      <c r="P871">
        <f t="shared" ca="1" si="129"/>
        <v>77.261904761904162</v>
      </c>
      <c r="Q871" s="10">
        <f t="shared" ca="1" si="130"/>
        <v>77.261904761904162</v>
      </c>
      <c r="R871" s="10">
        <f t="shared" ca="1" si="131"/>
        <v>217.67857142856985</v>
      </c>
      <c r="S871" s="10">
        <f t="shared" ca="1" si="132"/>
        <v>-140.41666666666569</v>
      </c>
      <c r="T871" s="10">
        <f t="shared" ca="1" si="133"/>
        <v>350</v>
      </c>
      <c r="U871" s="10">
        <f t="shared" ca="1" si="134"/>
        <v>350</v>
      </c>
      <c r="V871">
        <f t="shared" si="135"/>
        <v>6</v>
      </c>
    </row>
    <row r="872" spans="1:22" x14ac:dyDescent="0.25">
      <c r="A872">
        <v>97</v>
      </c>
      <c r="B872">
        <v>7</v>
      </c>
      <c r="C872">
        <v>75</v>
      </c>
      <c r="D872">
        <v>1</v>
      </c>
      <c r="E872">
        <v>1</v>
      </c>
      <c r="F872">
        <v>0</v>
      </c>
      <c r="G872">
        <v>1</v>
      </c>
      <c r="H872">
        <v>450</v>
      </c>
      <c r="I872">
        <f t="shared" si="136"/>
        <v>864</v>
      </c>
      <c r="J872" s="6">
        <f t="array" aca="1" ref="J872:N872" ca="1">TRANSPOSE(ols(OFFSET($C$2:$C$10,I872,0),OFFSET($D$2:$H$10,I872,0)))</f>
        <v>219.70238095237801</v>
      </c>
      <c r="K872" s="6">
        <f ca="1"/>
        <v>-16.428571428571104</v>
      </c>
      <c r="L872" s="6">
        <f ca="1"/>
        <v>-44.047619047617445</v>
      </c>
      <c r="M872" s="6">
        <f ca="1"/>
        <v>42.023809523809291</v>
      </c>
      <c r="N872" s="6">
        <f ca="1"/>
        <v>-0.40119047619047343</v>
      </c>
      <c r="O872" s="6">
        <f t="shared" ca="1" si="128"/>
        <v>64.761904761903139</v>
      </c>
      <c r="P872" t="str">
        <f t="shared" si="129"/>
        <v>NA</v>
      </c>
      <c r="Q872" s="10">
        <f t="shared" ca="1" si="130"/>
        <v>77.261904761904162</v>
      </c>
      <c r="R872" s="10">
        <f t="shared" ca="1" si="131"/>
        <v>245.29761904761619</v>
      </c>
      <c r="S872" s="10">
        <f t="shared" ca="1" si="132"/>
        <v>-168.03571428571203</v>
      </c>
      <c r="T872" s="10">
        <f t="shared" ca="1" si="133"/>
        <v>418.84272997032366</v>
      </c>
      <c r="U872" s="10">
        <f t="shared" ca="1" si="134"/>
        <v>418.84272997032366</v>
      </c>
      <c r="V872">
        <f t="shared" si="135"/>
        <v>5</v>
      </c>
    </row>
    <row r="873" spans="1:22" x14ac:dyDescent="0.25">
      <c r="A873">
        <v>97</v>
      </c>
      <c r="B873">
        <v>8</v>
      </c>
      <c r="C873">
        <v>20</v>
      </c>
      <c r="D873">
        <v>1</v>
      </c>
      <c r="E873">
        <v>1</v>
      </c>
      <c r="F873">
        <v>0</v>
      </c>
      <c r="G873">
        <v>1</v>
      </c>
      <c r="H873">
        <v>550</v>
      </c>
      <c r="I873">
        <f t="shared" si="136"/>
        <v>864</v>
      </c>
      <c r="J873" s="6">
        <f t="array" aca="1" ref="J873:N873" ca="1">TRANSPOSE(ols(OFFSET($C$2:$C$10,I873,0),OFFSET($D$2:$H$10,I873,0)))</f>
        <v>219.70238095237801</v>
      </c>
      <c r="K873" s="6">
        <f ca="1"/>
        <v>-16.428571428571104</v>
      </c>
      <c r="L873" s="6">
        <f ca="1"/>
        <v>-44.047619047617445</v>
      </c>
      <c r="M873" s="6">
        <f ca="1"/>
        <v>42.023809523809291</v>
      </c>
      <c r="N873" s="6">
        <f ca="1"/>
        <v>-0.40119047619047343</v>
      </c>
      <c r="O873" s="6">
        <f t="shared" ca="1" si="128"/>
        <v>24.642857142855803</v>
      </c>
      <c r="P873" t="str">
        <f t="shared" si="129"/>
        <v>NA</v>
      </c>
      <c r="Q873" s="10">
        <f t="shared" ca="1" si="130"/>
        <v>77.261904761904162</v>
      </c>
      <c r="R873" s="10">
        <f t="shared" ca="1" si="131"/>
        <v>245.29761904761619</v>
      </c>
      <c r="S873" s="10">
        <f t="shared" ca="1" si="132"/>
        <v>-168.03571428571203</v>
      </c>
      <c r="T873" s="10">
        <f t="shared" ca="1" si="133"/>
        <v>418.84272997032366</v>
      </c>
      <c r="U873" s="10">
        <f t="shared" ca="1" si="134"/>
        <v>418.84272997032366</v>
      </c>
      <c r="V873">
        <f t="shared" si="135"/>
        <v>5</v>
      </c>
    </row>
    <row r="874" spans="1:22" x14ac:dyDescent="0.25">
      <c r="A874">
        <v>97</v>
      </c>
      <c r="B874">
        <v>9</v>
      </c>
      <c r="C874">
        <v>0</v>
      </c>
      <c r="D874">
        <v>1</v>
      </c>
      <c r="E874">
        <v>0</v>
      </c>
      <c r="F874">
        <v>0</v>
      </c>
      <c r="G874">
        <v>1</v>
      </c>
      <c r="H874">
        <v>650</v>
      </c>
      <c r="I874">
        <f t="shared" si="136"/>
        <v>864</v>
      </c>
      <c r="J874" s="6">
        <f t="array" aca="1" ref="J874:N874" ca="1">TRANSPOSE(ols(OFFSET($C$2:$C$10,I874,0),OFFSET($D$2:$H$10,I874,0)))</f>
        <v>219.70238095237801</v>
      </c>
      <c r="K874" s="6">
        <f ca="1"/>
        <v>-16.428571428571104</v>
      </c>
      <c r="L874" s="6">
        <f ca="1"/>
        <v>-44.047619047617445</v>
      </c>
      <c r="M874" s="6">
        <f ca="1"/>
        <v>42.023809523809291</v>
      </c>
      <c r="N874" s="6">
        <f ca="1"/>
        <v>-0.40119047619047343</v>
      </c>
      <c r="O874" s="6">
        <f t="shared" ca="1" si="128"/>
        <v>0.95238095237954212</v>
      </c>
      <c r="P874" t="str">
        <f t="shared" si="129"/>
        <v>NA</v>
      </c>
      <c r="Q874" s="10">
        <f t="shared" ca="1" si="130"/>
        <v>77.261904761904162</v>
      </c>
      <c r="R874" s="10">
        <f t="shared" ca="1" si="131"/>
        <v>261.7261904761873</v>
      </c>
      <c r="S874" s="10">
        <f t="shared" ca="1" si="132"/>
        <v>-184.46428571428314</v>
      </c>
      <c r="T874" s="10">
        <f t="shared" ca="1" si="133"/>
        <v>459.79228486646559</v>
      </c>
      <c r="U874" s="10">
        <f t="shared" ca="1" si="134"/>
        <v>459.79228486646559</v>
      </c>
      <c r="V874">
        <f t="shared" si="135"/>
        <v>4</v>
      </c>
    </row>
    <row r="875" spans="1:22" x14ac:dyDescent="0.25">
      <c r="A875">
        <v>98</v>
      </c>
      <c r="B875">
        <v>1</v>
      </c>
      <c r="C875">
        <v>80</v>
      </c>
      <c r="D875">
        <v>1</v>
      </c>
      <c r="E875">
        <v>0</v>
      </c>
      <c r="F875">
        <v>1</v>
      </c>
      <c r="G875">
        <v>0</v>
      </c>
      <c r="H875">
        <v>250</v>
      </c>
      <c r="I875">
        <f t="shared" si="136"/>
        <v>873</v>
      </c>
      <c r="J875" s="6">
        <f t="array" aca="1" ref="J875:N875" ca="1">TRANSPOSE(ols(OFFSET($C$2:$C$10,I875,0),OFFSET($D$2:$H$10,I875,0)))</f>
        <v>173.80952380952112</v>
      </c>
      <c r="K875" s="6">
        <f ca="1"/>
        <v>-10.714285714285325</v>
      </c>
      <c r="L875" s="6">
        <f ca="1"/>
        <v>-36.190476190475238</v>
      </c>
      <c r="M875" s="6">
        <f ca="1"/>
        <v>13.095238095238528</v>
      </c>
      <c r="N875" s="6">
        <f ca="1"/>
        <v>-0.20476190476190581</v>
      </c>
      <c r="O875" s="6">
        <f t="shared" ca="1" si="128"/>
        <v>86.428571428569427</v>
      </c>
      <c r="P875" t="str">
        <f t="shared" si="129"/>
        <v>NA</v>
      </c>
      <c r="Q875" s="10">
        <f t="shared" ca="1" si="130"/>
        <v>79.047619047617388</v>
      </c>
      <c r="R875" s="10">
        <f t="shared" ca="1" si="131"/>
        <v>137.61904761904589</v>
      </c>
      <c r="S875" s="10">
        <f t="shared" ca="1" si="132"/>
        <v>-58.571428571428498</v>
      </c>
      <c r="T875" s="10">
        <f t="shared" ca="1" si="133"/>
        <v>286.04651162790515</v>
      </c>
      <c r="U875" s="10">
        <f t="shared" ca="1" si="134"/>
        <v>286.04651162790515</v>
      </c>
      <c r="V875">
        <f t="shared" si="135"/>
        <v>3</v>
      </c>
    </row>
    <row r="876" spans="1:22" x14ac:dyDescent="0.25">
      <c r="A876">
        <v>98</v>
      </c>
      <c r="B876">
        <v>2</v>
      </c>
      <c r="C876">
        <v>95</v>
      </c>
      <c r="D876">
        <v>1</v>
      </c>
      <c r="E876">
        <v>1</v>
      </c>
      <c r="F876">
        <v>0</v>
      </c>
      <c r="G876">
        <v>0</v>
      </c>
      <c r="H876">
        <v>350</v>
      </c>
      <c r="I876">
        <f t="shared" si="136"/>
        <v>873</v>
      </c>
      <c r="J876" s="6">
        <f t="array" aca="1" ref="J876:N876" ca="1">TRANSPOSE(ols(OFFSET($C$2:$C$10,I876,0),OFFSET($D$2:$H$10,I876,0)))</f>
        <v>173.80952380952112</v>
      </c>
      <c r="K876" s="6">
        <f ca="1"/>
        <v>-10.714285714285325</v>
      </c>
      <c r="L876" s="6">
        <f ca="1"/>
        <v>-36.190476190475238</v>
      </c>
      <c r="M876" s="6">
        <f ca="1"/>
        <v>13.095238095238528</v>
      </c>
      <c r="N876" s="6">
        <f ca="1"/>
        <v>-0.20476190476190581</v>
      </c>
      <c r="O876" s="6">
        <f t="shared" ca="1" si="128"/>
        <v>91.428571428568773</v>
      </c>
      <c r="P876" t="str">
        <f t="shared" si="129"/>
        <v>NA</v>
      </c>
      <c r="Q876" s="10">
        <f t="shared" ca="1" si="130"/>
        <v>79.047619047617388</v>
      </c>
      <c r="R876" s="10">
        <f t="shared" ca="1" si="131"/>
        <v>163.0952380952358</v>
      </c>
      <c r="S876" s="10">
        <f t="shared" ca="1" si="132"/>
        <v>-84.047619047618412</v>
      </c>
      <c r="T876" s="10">
        <f t="shared" ca="1" si="133"/>
        <v>410.46511627906455</v>
      </c>
      <c r="U876" s="10">
        <f t="shared" ca="1" si="134"/>
        <v>410.46511627906455</v>
      </c>
      <c r="V876">
        <f t="shared" si="135"/>
        <v>2</v>
      </c>
    </row>
    <row r="877" spans="1:22" x14ac:dyDescent="0.25">
      <c r="A877">
        <v>98</v>
      </c>
      <c r="B877">
        <v>3</v>
      </c>
      <c r="C877">
        <v>75</v>
      </c>
      <c r="D877">
        <v>1</v>
      </c>
      <c r="E877">
        <v>1</v>
      </c>
      <c r="F877">
        <v>0</v>
      </c>
      <c r="G877">
        <v>0</v>
      </c>
      <c r="H877">
        <v>450</v>
      </c>
      <c r="I877">
        <f t="shared" si="136"/>
        <v>873</v>
      </c>
      <c r="J877" s="6">
        <f t="array" aca="1" ref="J877:N877" ca="1">TRANSPOSE(ols(OFFSET($C$2:$C$10,I877,0),OFFSET($D$2:$H$10,I877,0)))</f>
        <v>173.80952380952112</v>
      </c>
      <c r="K877" s="6">
        <f ca="1"/>
        <v>-10.714285714285325</v>
      </c>
      <c r="L877" s="6">
        <f ca="1"/>
        <v>-36.190476190475238</v>
      </c>
      <c r="M877" s="6">
        <f ca="1"/>
        <v>13.095238095238528</v>
      </c>
      <c r="N877" s="6">
        <f ca="1"/>
        <v>-0.20476190476190581</v>
      </c>
      <c r="O877" s="6">
        <f t="shared" ca="1" si="128"/>
        <v>70.952380952378178</v>
      </c>
      <c r="P877" t="str">
        <f t="shared" si="129"/>
        <v>NA</v>
      </c>
      <c r="Q877" s="10">
        <f t="shared" ca="1" si="130"/>
        <v>79.047619047617388</v>
      </c>
      <c r="R877" s="10">
        <f t="shared" ca="1" si="131"/>
        <v>163.0952380952358</v>
      </c>
      <c r="S877" s="10">
        <f t="shared" ca="1" si="132"/>
        <v>-84.047619047618412</v>
      </c>
      <c r="T877" s="10">
        <f t="shared" ca="1" si="133"/>
        <v>410.46511627906455</v>
      </c>
      <c r="U877" s="10">
        <f t="shared" ca="1" si="134"/>
        <v>410.46511627906455</v>
      </c>
      <c r="V877">
        <f t="shared" si="135"/>
        <v>2</v>
      </c>
    </row>
    <row r="878" spans="1:22" x14ac:dyDescent="0.25">
      <c r="A878">
        <v>98</v>
      </c>
      <c r="B878">
        <v>4</v>
      </c>
      <c r="C878">
        <v>60</v>
      </c>
      <c r="D878">
        <v>1</v>
      </c>
      <c r="E878">
        <v>0</v>
      </c>
      <c r="F878">
        <v>0</v>
      </c>
      <c r="G878">
        <v>0</v>
      </c>
      <c r="H878">
        <v>550</v>
      </c>
      <c r="I878">
        <f t="shared" si="136"/>
        <v>873</v>
      </c>
      <c r="J878" s="6">
        <f t="array" aca="1" ref="J878:N878" ca="1">TRANSPOSE(ols(OFFSET($C$2:$C$10,I878,0),OFFSET($D$2:$H$10,I878,0)))</f>
        <v>173.80952380952112</v>
      </c>
      <c r="K878" s="6">
        <f ca="1"/>
        <v>-10.714285714285325</v>
      </c>
      <c r="L878" s="6">
        <f ca="1"/>
        <v>-36.190476190475238</v>
      </c>
      <c r="M878" s="6">
        <f ca="1"/>
        <v>13.095238095238528</v>
      </c>
      <c r="N878" s="6">
        <f ca="1"/>
        <v>-0.20476190476190581</v>
      </c>
      <c r="O878" s="6">
        <f t="shared" ca="1" si="128"/>
        <v>61.190476190472936</v>
      </c>
      <c r="P878" t="str">
        <f t="shared" si="129"/>
        <v>NA</v>
      </c>
      <c r="Q878" s="10">
        <f t="shared" ca="1" si="130"/>
        <v>79.047619047617388</v>
      </c>
      <c r="R878" s="10">
        <f t="shared" ca="1" si="131"/>
        <v>173.80952380952112</v>
      </c>
      <c r="S878" s="10">
        <f t="shared" ca="1" si="132"/>
        <v>-94.761904761903736</v>
      </c>
      <c r="T878" s="10">
        <f t="shared" ca="1" si="133"/>
        <v>462.79069767441121</v>
      </c>
      <c r="U878" s="10">
        <f t="shared" ca="1" si="134"/>
        <v>462.79069767441121</v>
      </c>
      <c r="V878">
        <f t="shared" si="135"/>
        <v>1</v>
      </c>
    </row>
    <row r="879" spans="1:22" x14ac:dyDescent="0.25">
      <c r="A879">
        <v>98</v>
      </c>
      <c r="B879">
        <v>5</v>
      </c>
      <c r="C879">
        <v>100</v>
      </c>
      <c r="D879">
        <v>1</v>
      </c>
      <c r="E879">
        <v>0</v>
      </c>
      <c r="F879">
        <v>1</v>
      </c>
      <c r="G879">
        <v>1</v>
      </c>
      <c r="H879">
        <v>250</v>
      </c>
      <c r="I879">
        <f t="shared" si="136"/>
        <v>873</v>
      </c>
      <c r="J879" s="6">
        <f t="array" aca="1" ref="J879:N879" ca="1">TRANSPOSE(ols(OFFSET($C$2:$C$10,I879,0),OFFSET($D$2:$H$10,I879,0)))</f>
        <v>173.80952380952112</v>
      </c>
      <c r="K879" s="6">
        <f ca="1"/>
        <v>-10.714285714285325</v>
      </c>
      <c r="L879" s="6">
        <f ca="1"/>
        <v>-36.190476190475238</v>
      </c>
      <c r="M879" s="6">
        <f ca="1"/>
        <v>13.095238095238528</v>
      </c>
      <c r="N879" s="6">
        <f ca="1"/>
        <v>-0.20476190476190581</v>
      </c>
      <c r="O879" s="6">
        <f t="shared" ca="1" si="128"/>
        <v>99.523809523807955</v>
      </c>
      <c r="P879" t="str">
        <f t="shared" si="129"/>
        <v>NA</v>
      </c>
      <c r="Q879" s="10">
        <f t="shared" ca="1" si="130"/>
        <v>79.047619047617388</v>
      </c>
      <c r="R879" s="10">
        <f t="shared" ca="1" si="131"/>
        <v>150.71428571428442</v>
      </c>
      <c r="S879" s="10">
        <f t="shared" ca="1" si="132"/>
        <v>-71.666666666667027</v>
      </c>
      <c r="T879" s="10">
        <f t="shared" ca="1" si="133"/>
        <v>349.99999999999994</v>
      </c>
      <c r="U879" s="10">
        <f t="shared" ca="1" si="134"/>
        <v>349.99999999999994</v>
      </c>
      <c r="V879">
        <f t="shared" si="135"/>
        <v>6</v>
      </c>
    </row>
    <row r="880" spans="1:22" x14ac:dyDescent="0.25">
      <c r="A880">
        <v>98</v>
      </c>
      <c r="B880">
        <v>6</v>
      </c>
      <c r="C880">
        <v>85</v>
      </c>
      <c r="D880">
        <v>1</v>
      </c>
      <c r="E880">
        <v>0</v>
      </c>
      <c r="F880">
        <v>1</v>
      </c>
      <c r="G880">
        <v>1</v>
      </c>
      <c r="H880">
        <v>350</v>
      </c>
      <c r="I880">
        <f t="shared" si="136"/>
        <v>873</v>
      </c>
      <c r="J880" s="6">
        <f t="array" aca="1" ref="J880:N880" ca="1">TRANSPOSE(ols(OFFSET($C$2:$C$10,I880,0),OFFSET($D$2:$H$10,I880,0)))</f>
        <v>173.80952380952112</v>
      </c>
      <c r="K880" s="6">
        <f ca="1"/>
        <v>-10.714285714285325</v>
      </c>
      <c r="L880" s="6">
        <f ca="1"/>
        <v>-36.190476190475238</v>
      </c>
      <c r="M880" s="6">
        <f ca="1"/>
        <v>13.095238095238528</v>
      </c>
      <c r="N880" s="6">
        <f ca="1"/>
        <v>-0.20476190476190581</v>
      </c>
      <c r="O880" s="6">
        <f t="shared" ca="1" si="128"/>
        <v>79.047619047617388</v>
      </c>
      <c r="P880">
        <f t="shared" ca="1" si="129"/>
        <v>79.047619047617388</v>
      </c>
      <c r="Q880" s="10">
        <f t="shared" ca="1" si="130"/>
        <v>79.047619047617388</v>
      </c>
      <c r="R880" s="10">
        <f t="shared" ca="1" si="131"/>
        <v>150.71428571428442</v>
      </c>
      <c r="S880" s="10">
        <f t="shared" ca="1" si="132"/>
        <v>-71.666666666667027</v>
      </c>
      <c r="T880" s="10">
        <f t="shared" ca="1" si="133"/>
        <v>349.99999999999994</v>
      </c>
      <c r="U880" s="10">
        <f t="shared" ca="1" si="134"/>
        <v>349.99999999999994</v>
      </c>
      <c r="V880">
        <f t="shared" si="135"/>
        <v>6</v>
      </c>
    </row>
    <row r="881" spans="1:22" x14ac:dyDescent="0.25">
      <c r="A881">
        <v>98</v>
      </c>
      <c r="B881">
        <v>7</v>
      </c>
      <c r="C881">
        <v>80</v>
      </c>
      <c r="D881">
        <v>1</v>
      </c>
      <c r="E881">
        <v>1</v>
      </c>
      <c r="F881">
        <v>0</v>
      </c>
      <c r="G881">
        <v>1</v>
      </c>
      <c r="H881">
        <v>450</v>
      </c>
      <c r="I881">
        <f t="shared" si="136"/>
        <v>873</v>
      </c>
      <c r="J881" s="6">
        <f t="array" aca="1" ref="J881:N881" ca="1">TRANSPOSE(ols(OFFSET($C$2:$C$10,I881,0),OFFSET($D$2:$H$10,I881,0)))</f>
        <v>173.80952380952112</v>
      </c>
      <c r="K881" s="6">
        <f ca="1"/>
        <v>-10.714285714285325</v>
      </c>
      <c r="L881" s="6">
        <f ca="1"/>
        <v>-36.190476190475238</v>
      </c>
      <c r="M881" s="6">
        <f ca="1"/>
        <v>13.095238095238528</v>
      </c>
      <c r="N881" s="6">
        <f ca="1"/>
        <v>-0.20476190476190581</v>
      </c>
      <c r="O881" s="6">
        <f t="shared" ca="1" si="128"/>
        <v>84.047619047616706</v>
      </c>
      <c r="P881" t="str">
        <f t="shared" si="129"/>
        <v>NA</v>
      </c>
      <c r="Q881" s="10">
        <f t="shared" ca="1" si="130"/>
        <v>79.047619047617388</v>
      </c>
      <c r="R881" s="10">
        <f t="shared" ca="1" si="131"/>
        <v>176.19047619047433</v>
      </c>
      <c r="S881" s="10">
        <f t="shared" ca="1" si="132"/>
        <v>-97.14285714285694</v>
      </c>
      <c r="T881" s="10">
        <f t="shared" ca="1" si="133"/>
        <v>474.41860465115934</v>
      </c>
      <c r="U881" s="10">
        <f t="shared" ca="1" si="134"/>
        <v>474.41860465115934</v>
      </c>
      <c r="V881">
        <f t="shared" si="135"/>
        <v>5</v>
      </c>
    </row>
    <row r="882" spans="1:22" x14ac:dyDescent="0.25">
      <c r="A882">
        <v>98</v>
      </c>
      <c r="B882">
        <v>8</v>
      </c>
      <c r="C882">
        <v>60</v>
      </c>
      <c r="D882">
        <v>1</v>
      </c>
      <c r="E882">
        <v>1</v>
      </c>
      <c r="F882">
        <v>0</v>
      </c>
      <c r="G882">
        <v>1</v>
      </c>
      <c r="H882">
        <v>550</v>
      </c>
      <c r="I882">
        <f t="shared" si="136"/>
        <v>873</v>
      </c>
      <c r="J882" s="6">
        <f t="array" aca="1" ref="J882:N882" ca="1">TRANSPOSE(ols(OFFSET($C$2:$C$10,I882,0),OFFSET($D$2:$H$10,I882,0)))</f>
        <v>173.80952380952112</v>
      </c>
      <c r="K882" s="6">
        <f ca="1"/>
        <v>-10.714285714285325</v>
      </c>
      <c r="L882" s="6">
        <f ca="1"/>
        <v>-36.190476190475238</v>
      </c>
      <c r="M882" s="6">
        <f ca="1"/>
        <v>13.095238095238528</v>
      </c>
      <c r="N882" s="6">
        <f ca="1"/>
        <v>-0.20476190476190581</v>
      </c>
      <c r="O882" s="6">
        <f t="shared" ca="1" si="128"/>
        <v>63.571428571426139</v>
      </c>
      <c r="P882" t="str">
        <f t="shared" si="129"/>
        <v>NA</v>
      </c>
      <c r="Q882" s="10">
        <f t="shared" ca="1" si="130"/>
        <v>79.047619047617388</v>
      </c>
      <c r="R882" s="10">
        <f t="shared" ca="1" si="131"/>
        <v>176.19047619047433</v>
      </c>
      <c r="S882" s="10">
        <f t="shared" ca="1" si="132"/>
        <v>-97.14285714285694</v>
      </c>
      <c r="T882" s="10">
        <f t="shared" ca="1" si="133"/>
        <v>474.41860465115934</v>
      </c>
      <c r="U882" s="10">
        <f t="shared" ca="1" si="134"/>
        <v>474.41860465115934</v>
      </c>
      <c r="V882">
        <f t="shared" si="135"/>
        <v>5</v>
      </c>
    </row>
    <row r="883" spans="1:22" x14ac:dyDescent="0.25">
      <c r="A883">
        <v>98</v>
      </c>
      <c r="B883">
        <v>9</v>
      </c>
      <c r="C883">
        <v>55</v>
      </c>
      <c r="D883">
        <v>1</v>
      </c>
      <c r="E883">
        <v>0</v>
      </c>
      <c r="F883">
        <v>0</v>
      </c>
      <c r="G883">
        <v>1</v>
      </c>
      <c r="H883">
        <v>650</v>
      </c>
      <c r="I883">
        <f t="shared" si="136"/>
        <v>873</v>
      </c>
      <c r="J883" s="6">
        <f t="array" aca="1" ref="J883:N883" ca="1">TRANSPOSE(ols(OFFSET($C$2:$C$10,I883,0),OFFSET($D$2:$H$10,I883,0)))</f>
        <v>173.80952380952112</v>
      </c>
      <c r="K883" s="6">
        <f ca="1"/>
        <v>-10.714285714285325</v>
      </c>
      <c r="L883" s="6">
        <f ca="1"/>
        <v>-36.190476190475238</v>
      </c>
      <c r="M883" s="6">
        <f ca="1"/>
        <v>13.095238095238528</v>
      </c>
      <c r="N883" s="6">
        <f ca="1"/>
        <v>-0.20476190476190581</v>
      </c>
      <c r="O883" s="6">
        <f t="shared" ca="1" si="128"/>
        <v>53.809523809520869</v>
      </c>
      <c r="P883" t="str">
        <f t="shared" si="129"/>
        <v>NA</v>
      </c>
      <c r="Q883" s="10">
        <f t="shared" ca="1" si="130"/>
        <v>79.047619047617388</v>
      </c>
      <c r="R883" s="10">
        <f t="shared" ca="1" si="131"/>
        <v>186.90476190475965</v>
      </c>
      <c r="S883" s="10">
        <f t="shared" ca="1" si="132"/>
        <v>-107.85714285714226</v>
      </c>
      <c r="T883" s="10">
        <f t="shared" ca="1" si="133"/>
        <v>526.744186046506</v>
      </c>
      <c r="U883" s="10">
        <f t="shared" ca="1" si="134"/>
        <v>526.744186046506</v>
      </c>
      <c r="V883">
        <f t="shared" si="135"/>
        <v>4</v>
      </c>
    </row>
    <row r="884" spans="1:22" x14ac:dyDescent="0.25">
      <c r="A884">
        <v>99</v>
      </c>
      <c r="B884">
        <v>1</v>
      </c>
      <c r="C884">
        <v>0</v>
      </c>
      <c r="D884">
        <v>1</v>
      </c>
      <c r="E884">
        <v>0</v>
      </c>
      <c r="F884">
        <v>1</v>
      </c>
      <c r="G884">
        <v>0</v>
      </c>
      <c r="H884">
        <v>250</v>
      </c>
      <c r="I884">
        <f t="shared" si="136"/>
        <v>882</v>
      </c>
      <c r="J884" s="6">
        <f t="array" aca="1" ref="J884:N884" ca="1">TRANSPOSE(ols(OFFSET($C$2:$C$10,I884,0),OFFSET($D$2:$H$10,I884,0)))</f>
        <v>89.047619047616536</v>
      </c>
      <c r="K884" s="6">
        <f ca="1"/>
        <v>31.428571428571558</v>
      </c>
      <c r="L884" s="6">
        <f ca="1"/>
        <v>-60.952380952381191</v>
      </c>
      <c r="M884" s="6">
        <f ca="1"/>
        <v>10.476190476190595</v>
      </c>
      <c r="N884" s="6">
        <f ca="1"/>
        <v>-0.12380952380952337</v>
      </c>
      <c r="O884" s="6">
        <f t="shared" ca="1" si="128"/>
        <v>-2.8571428571454973</v>
      </c>
      <c r="P884" t="str">
        <f t="shared" si="129"/>
        <v>NA</v>
      </c>
      <c r="Q884" s="10">
        <f t="shared" ca="1" si="130"/>
        <v>-4.761904761907239</v>
      </c>
      <c r="R884" s="10">
        <f t="shared" ca="1" si="131"/>
        <v>28.095238095235345</v>
      </c>
      <c r="S884" s="10">
        <f t="shared" ca="1" si="132"/>
        <v>-32.857142857142584</v>
      </c>
      <c r="T884" s="10">
        <f t="shared" ca="1" si="133"/>
        <v>265.38461538461411</v>
      </c>
      <c r="U884" s="10">
        <f t="shared" ca="1" si="134"/>
        <v>265.38461538461411</v>
      </c>
      <c r="V884">
        <f t="shared" si="135"/>
        <v>3</v>
      </c>
    </row>
    <row r="885" spans="1:22" x14ac:dyDescent="0.25">
      <c r="A885">
        <v>99</v>
      </c>
      <c r="B885">
        <v>2</v>
      </c>
      <c r="C885">
        <v>80</v>
      </c>
      <c r="D885">
        <v>1</v>
      </c>
      <c r="E885">
        <v>1</v>
      </c>
      <c r="F885">
        <v>0</v>
      </c>
      <c r="G885">
        <v>0</v>
      </c>
      <c r="H885">
        <v>350</v>
      </c>
      <c r="I885">
        <f t="shared" si="136"/>
        <v>882</v>
      </c>
      <c r="J885" s="6">
        <f t="array" aca="1" ref="J885:N885" ca="1">TRANSPOSE(ols(OFFSET($C$2:$C$10,I885,0),OFFSET($D$2:$H$10,I885,0)))</f>
        <v>89.047619047616536</v>
      </c>
      <c r="K885" s="6">
        <f ca="1"/>
        <v>31.428571428571558</v>
      </c>
      <c r="L885" s="6">
        <f ca="1"/>
        <v>-60.952380952381191</v>
      </c>
      <c r="M885" s="6">
        <f ca="1"/>
        <v>10.476190476190595</v>
      </c>
      <c r="N885" s="6">
        <f ca="1"/>
        <v>-0.12380952380952337</v>
      </c>
      <c r="O885" s="6">
        <f t="shared" ca="1" si="128"/>
        <v>77.142857142854922</v>
      </c>
      <c r="P885" t="str">
        <f t="shared" si="129"/>
        <v>NA</v>
      </c>
      <c r="Q885" s="10">
        <f t="shared" ca="1" si="130"/>
        <v>-4.761904761907239</v>
      </c>
      <c r="R885" s="10">
        <f t="shared" ca="1" si="131"/>
        <v>120.47619047618809</v>
      </c>
      <c r="S885" s="10">
        <f t="shared" ca="1" si="132"/>
        <v>-125.23809523809533</v>
      </c>
      <c r="T885" s="10">
        <f t="shared" ca="1" si="133"/>
        <v>1011.5384615384659</v>
      </c>
      <c r="U885" s="10" t="str">
        <f t="shared" ca="1" si="134"/>
        <v>OR</v>
      </c>
      <c r="V885">
        <f t="shared" si="135"/>
        <v>2</v>
      </c>
    </row>
    <row r="886" spans="1:22" x14ac:dyDescent="0.25">
      <c r="A886">
        <v>99</v>
      </c>
      <c r="B886">
        <v>3</v>
      </c>
      <c r="C886">
        <v>60</v>
      </c>
      <c r="D886">
        <v>1</v>
      </c>
      <c r="E886">
        <v>1</v>
      </c>
      <c r="F886">
        <v>0</v>
      </c>
      <c r="G886">
        <v>0</v>
      </c>
      <c r="H886">
        <v>450</v>
      </c>
      <c r="I886">
        <f t="shared" si="136"/>
        <v>882</v>
      </c>
      <c r="J886" s="6">
        <f t="array" aca="1" ref="J886:N886" ca="1">TRANSPOSE(ols(OFFSET($C$2:$C$10,I886,0),OFFSET($D$2:$H$10,I886,0)))</f>
        <v>89.047619047616536</v>
      </c>
      <c r="K886" s="6">
        <f ca="1"/>
        <v>31.428571428571558</v>
      </c>
      <c r="L886" s="6">
        <f ca="1"/>
        <v>-60.952380952381191</v>
      </c>
      <c r="M886" s="6">
        <f ca="1"/>
        <v>10.476190476190595</v>
      </c>
      <c r="N886" s="6">
        <f ca="1"/>
        <v>-0.12380952380952337</v>
      </c>
      <c r="O886" s="6">
        <f t="shared" ca="1" si="128"/>
        <v>64.761904761902571</v>
      </c>
      <c r="P886" t="str">
        <f t="shared" si="129"/>
        <v>NA</v>
      </c>
      <c r="Q886" s="10">
        <f t="shared" ca="1" si="130"/>
        <v>-4.761904761907239</v>
      </c>
      <c r="R886" s="10">
        <f t="shared" ca="1" si="131"/>
        <v>120.47619047618809</v>
      </c>
      <c r="S886" s="10">
        <f t="shared" ca="1" si="132"/>
        <v>-125.23809523809533</v>
      </c>
      <c r="T886" s="10">
        <f t="shared" ca="1" si="133"/>
        <v>1011.5384615384659</v>
      </c>
      <c r="U886" s="10" t="str">
        <f t="shared" ca="1" si="134"/>
        <v>OR</v>
      </c>
      <c r="V886">
        <f t="shared" si="135"/>
        <v>2</v>
      </c>
    </row>
    <row r="887" spans="1:22" x14ac:dyDescent="0.25">
      <c r="A887">
        <v>99</v>
      </c>
      <c r="B887">
        <v>4</v>
      </c>
      <c r="C887">
        <v>20</v>
      </c>
      <c r="D887">
        <v>1</v>
      </c>
      <c r="E887">
        <v>0</v>
      </c>
      <c r="F887">
        <v>0</v>
      </c>
      <c r="G887">
        <v>0</v>
      </c>
      <c r="H887">
        <v>550</v>
      </c>
      <c r="I887">
        <f t="shared" si="136"/>
        <v>882</v>
      </c>
      <c r="J887" s="6">
        <f t="array" aca="1" ref="J887:N887" ca="1">TRANSPOSE(ols(OFFSET($C$2:$C$10,I887,0),OFFSET($D$2:$H$10,I887,0)))</f>
        <v>89.047619047616536</v>
      </c>
      <c r="K887" s="6">
        <f ca="1"/>
        <v>31.428571428571558</v>
      </c>
      <c r="L887" s="6">
        <f ca="1"/>
        <v>-60.952380952381191</v>
      </c>
      <c r="M887" s="6">
        <f ca="1"/>
        <v>10.476190476190595</v>
      </c>
      <c r="N887" s="6">
        <f ca="1"/>
        <v>-0.12380952380952337</v>
      </c>
      <c r="O887" s="6">
        <f t="shared" ca="1" si="128"/>
        <v>20.952380952378689</v>
      </c>
      <c r="P887" t="str">
        <f t="shared" si="129"/>
        <v>NA</v>
      </c>
      <c r="Q887" s="10">
        <f t="shared" ca="1" si="130"/>
        <v>-4.761904761907239</v>
      </c>
      <c r="R887" s="10">
        <f t="shared" ca="1" si="131"/>
        <v>89.047619047616536</v>
      </c>
      <c r="S887" s="10">
        <f t="shared" ca="1" si="132"/>
        <v>-93.809523809523768</v>
      </c>
      <c r="T887" s="10">
        <f t="shared" ca="1" si="133"/>
        <v>757.69230769231001</v>
      </c>
      <c r="U887" s="10" t="str">
        <f t="shared" ca="1" si="134"/>
        <v>OR</v>
      </c>
      <c r="V887">
        <f t="shared" si="135"/>
        <v>1</v>
      </c>
    </row>
    <row r="888" spans="1:22" x14ac:dyDescent="0.25">
      <c r="A888">
        <v>99</v>
      </c>
      <c r="B888">
        <v>5</v>
      </c>
      <c r="C888">
        <v>0</v>
      </c>
      <c r="D888">
        <v>1</v>
      </c>
      <c r="E888">
        <v>0</v>
      </c>
      <c r="F888">
        <v>1</v>
      </c>
      <c r="G888">
        <v>1</v>
      </c>
      <c r="H888">
        <v>250</v>
      </c>
      <c r="I888">
        <f t="shared" si="136"/>
        <v>882</v>
      </c>
      <c r="J888" s="6">
        <f t="array" aca="1" ref="J888:N888" ca="1">TRANSPOSE(ols(OFFSET($C$2:$C$10,I888,0),OFFSET($D$2:$H$10,I888,0)))</f>
        <v>89.047619047616536</v>
      </c>
      <c r="K888" s="6">
        <f ca="1"/>
        <v>31.428571428571558</v>
      </c>
      <c r="L888" s="6">
        <f ca="1"/>
        <v>-60.952380952381191</v>
      </c>
      <c r="M888" s="6">
        <f ca="1"/>
        <v>10.476190476190595</v>
      </c>
      <c r="N888" s="6">
        <f ca="1"/>
        <v>-0.12380952380952337</v>
      </c>
      <c r="O888" s="6">
        <f t="shared" ca="1" si="128"/>
        <v>7.619047619045098</v>
      </c>
      <c r="P888" t="str">
        <f t="shared" si="129"/>
        <v>NA</v>
      </c>
      <c r="Q888" s="10">
        <f t="shared" ca="1" si="130"/>
        <v>-4.761904761907239</v>
      </c>
      <c r="R888" s="10">
        <f t="shared" ca="1" si="131"/>
        <v>38.57142857142594</v>
      </c>
      <c r="S888" s="10">
        <f t="shared" ca="1" si="132"/>
        <v>-43.333333333333179</v>
      </c>
      <c r="T888" s="10">
        <f t="shared" ca="1" si="133"/>
        <v>350</v>
      </c>
      <c r="U888" s="10">
        <f t="shared" ca="1" si="134"/>
        <v>350</v>
      </c>
      <c r="V888">
        <f t="shared" si="135"/>
        <v>6</v>
      </c>
    </row>
    <row r="889" spans="1:22" x14ac:dyDescent="0.25">
      <c r="A889">
        <v>99</v>
      </c>
      <c r="B889">
        <v>6</v>
      </c>
      <c r="C889">
        <v>0</v>
      </c>
      <c r="D889">
        <v>1</v>
      </c>
      <c r="E889">
        <v>0</v>
      </c>
      <c r="F889">
        <v>1</v>
      </c>
      <c r="G889">
        <v>1</v>
      </c>
      <c r="H889">
        <v>350</v>
      </c>
      <c r="I889">
        <f t="shared" si="136"/>
        <v>882</v>
      </c>
      <c r="J889" s="6">
        <f t="array" aca="1" ref="J889:N889" ca="1">TRANSPOSE(ols(OFFSET($C$2:$C$10,I889,0),OFFSET($D$2:$H$10,I889,0)))</f>
        <v>89.047619047616536</v>
      </c>
      <c r="K889" s="6">
        <f ca="1"/>
        <v>31.428571428571558</v>
      </c>
      <c r="L889" s="6">
        <f ca="1"/>
        <v>-60.952380952381191</v>
      </c>
      <c r="M889" s="6">
        <f ca="1"/>
        <v>10.476190476190595</v>
      </c>
      <c r="N889" s="6">
        <f ca="1"/>
        <v>-0.12380952380952337</v>
      </c>
      <c r="O889" s="6">
        <f t="shared" ca="1" si="128"/>
        <v>-4.761904761907239</v>
      </c>
      <c r="P889">
        <f t="shared" ca="1" si="129"/>
        <v>-4.761904761907239</v>
      </c>
      <c r="Q889" s="10">
        <f t="shared" ca="1" si="130"/>
        <v>-4.761904761907239</v>
      </c>
      <c r="R889" s="10">
        <f t="shared" ca="1" si="131"/>
        <v>38.57142857142594</v>
      </c>
      <c r="S889" s="10">
        <f t="shared" ca="1" si="132"/>
        <v>-43.333333333333179</v>
      </c>
      <c r="T889" s="10">
        <f t="shared" ca="1" si="133"/>
        <v>350</v>
      </c>
      <c r="U889" s="10">
        <f t="shared" ca="1" si="134"/>
        <v>350</v>
      </c>
      <c r="V889">
        <f t="shared" si="135"/>
        <v>6</v>
      </c>
    </row>
    <row r="890" spans="1:22" x14ac:dyDescent="0.25">
      <c r="A890">
        <v>99</v>
      </c>
      <c r="B890">
        <v>7</v>
      </c>
      <c r="C890">
        <v>80</v>
      </c>
      <c r="D890">
        <v>1</v>
      </c>
      <c r="E890">
        <v>1</v>
      </c>
      <c r="F890">
        <v>0</v>
      </c>
      <c r="G890">
        <v>1</v>
      </c>
      <c r="H890">
        <v>450</v>
      </c>
      <c r="I890">
        <f t="shared" si="136"/>
        <v>882</v>
      </c>
      <c r="J890" s="6">
        <f t="array" aca="1" ref="J890:N890" ca="1">TRANSPOSE(ols(OFFSET($C$2:$C$10,I890,0),OFFSET($D$2:$H$10,I890,0)))</f>
        <v>89.047619047616536</v>
      </c>
      <c r="K890" s="6">
        <f ca="1"/>
        <v>31.428571428571558</v>
      </c>
      <c r="L890" s="6">
        <f ca="1"/>
        <v>-60.952380952381191</v>
      </c>
      <c r="M890" s="6">
        <f ca="1"/>
        <v>10.476190476190595</v>
      </c>
      <c r="N890" s="6">
        <f ca="1"/>
        <v>-0.12380952380952337</v>
      </c>
      <c r="O890" s="6">
        <f t="shared" ca="1" si="128"/>
        <v>75.238095238093166</v>
      </c>
      <c r="P890" t="str">
        <f t="shared" si="129"/>
        <v>NA</v>
      </c>
      <c r="Q890" s="10">
        <f t="shared" ca="1" si="130"/>
        <v>-4.761904761907239</v>
      </c>
      <c r="R890" s="10">
        <f t="shared" ca="1" si="131"/>
        <v>130.95238095237869</v>
      </c>
      <c r="S890" s="10">
        <f t="shared" ca="1" si="132"/>
        <v>-135.71428571428592</v>
      </c>
      <c r="T890" s="10">
        <f t="shared" ca="1" si="133"/>
        <v>1096.1538461538516</v>
      </c>
      <c r="U890" s="10" t="str">
        <f t="shared" ca="1" si="134"/>
        <v>OR</v>
      </c>
      <c r="V890">
        <f t="shared" si="135"/>
        <v>5</v>
      </c>
    </row>
    <row r="891" spans="1:22" x14ac:dyDescent="0.25">
      <c r="A891">
        <v>99</v>
      </c>
      <c r="B891">
        <v>8</v>
      </c>
      <c r="C891">
        <v>60</v>
      </c>
      <c r="D891">
        <v>1</v>
      </c>
      <c r="E891">
        <v>1</v>
      </c>
      <c r="F891">
        <v>0</v>
      </c>
      <c r="G891">
        <v>1</v>
      </c>
      <c r="H891">
        <v>550</v>
      </c>
      <c r="I891">
        <f t="shared" si="136"/>
        <v>882</v>
      </c>
      <c r="J891" s="6">
        <f t="array" aca="1" ref="J891:N891" ca="1">TRANSPOSE(ols(OFFSET($C$2:$C$10,I891,0),OFFSET($D$2:$H$10,I891,0)))</f>
        <v>89.047619047616536</v>
      </c>
      <c r="K891" s="6">
        <f ca="1"/>
        <v>31.428571428571558</v>
      </c>
      <c r="L891" s="6">
        <f ca="1"/>
        <v>-60.952380952381191</v>
      </c>
      <c r="M891" s="6">
        <f ca="1"/>
        <v>10.476190476190595</v>
      </c>
      <c r="N891" s="6">
        <f ca="1"/>
        <v>-0.12380952380952337</v>
      </c>
      <c r="O891" s="6">
        <f t="shared" ca="1" si="128"/>
        <v>62.857142857140843</v>
      </c>
      <c r="P891" t="str">
        <f t="shared" si="129"/>
        <v>NA</v>
      </c>
      <c r="Q891" s="10">
        <f t="shared" ca="1" si="130"/>
        <v>-4.761904761907239</v>
      </c>
      <c r="R891" s="10">
        <f t="shared" ca="1" si="131"/>
        <v>130.95238095237869</v>
      </c>
      <c r="S891" s="10">
        <f t="shared" ca="1" si="132"/>
        <v>-135.71428571428592</v>
      </c>
      <c r="T891" s="10">
        <f t="shared" ca="1" si="133"/>
        <v>1096.1538461538516</v>
      </c>
      <c r="U891" s="10" t="str">
        <f t="shared" ca="1" si="134"/>
        <v>OR</v>
      </c>
      <c r="V891">
        <f t="shared" si="135"/>
        <v>5</v>
      </c>
    </row>
    <row r="892" spans="1:22" x14ac:dyDescent="0.25">
      <c r="A892">
        <v>99</v>
      </c>
      <c r="B892">
        <v>9</v>
      </c>
      <c r="C892">
        <v>20</v>
      </c>
      <c r="D892">
        <v>1</v>
      </c>
      <c r="E892">
        <v>0</v>
      </c>
      <c r="F892">
        <v>0</v>
      </c>
      <c r="G892">
        <v>1</v>
      </c>
      <c r="H892">
        <v>650</v>
      </c>
      <c r="I892">
        <f t="shared" si="136"/>
        <v>882</v>
      </c>
      <c r="J892" s="6">
        <f t="array" aca="1" ref="J892:N892" ca="1">TRANSPOSE(ols(OFFSET($C$2:$C$10,I892,0),OFFSET($D$2:$H$10,I892,0)))</f>
        <v>89.047619047616536</v>
      </c>
      <c r="K892" s="6">
        <f ca="1"/>
        <v>31.428571428571558</v>
      </c>
      <c r="L892" s="6">
        <f ca="1"/>
        <v>-60.952380952381191</v>
      </c>
      <c r="M892" s="6">
        <f ca="1"/>
        <v>10.476190476190595</v>
      </c>
      <c r="N892" s="6">
        <f ca="1"/>
        <v>-0.12380952380952337</v>
      </c>
      <c r="O892" s="6">
        <f t="shared" ca="1" si="128"/>
        <v>19.047619047616934</v>
      </c>
      <c r="P892" t="str">
        <f t="shared" si="129"/>
        <v>NA</v>
      </c>
      <c r="Q892" s="10">
        <f t="shared" ca="1" si="130"/>
        <v>-4.761904761907239</v>
      </c>
      <c r="R892" s="10">
        <f t="shared" ca="1" si="131"/>
        <v>99.523809523807131</v>
      </c>
      <c r="S892" s="10">
        <f t="shared" ca="1" si="132"/>
        <v>-104.28571428571436</v>
      </c>
      <c r="T892" s="10">
        <f t="shared" ca="1" si="133"/>
        <v>842.3076923076959</v>
      </c>
      <c r="U892" s="10" t="str">
        <f t="shared" ca="1" si="134"/>
        <v>OR</v>
      </c>
      <c r="V892">
        <f t="shared" si="135"/>
        <v>4</v>
      </c>
    </row>
    <row r="893" spans="1:22" x14ac:dyDescent="0.25">
      <c r="A893">
        <v>100</v>
      </c>
      <c r="B893">
        <v>1</v>
      </c>
      <c r="C893">
        <v>45</v>
      </c>
      <c r="D893">
        <v>1</v>
      </c>
      <c r="E893">
        <v>0</v>
      </c>
      <c r="F893">
        <v>1</v>
      </c>
      <c r="G893">
        <v>0</v>
      </c>
      <c r="H893">
        <v>250</v>
      </c>
      <c r="I893">
        <f t="shared" si="136"/>
        <v>891</v>
      </c>
      <c r="J893" s="6">
        <f t="array" aca="1" ref="J893:N893" ca="1">TRANSPOSE(ols(OFFSET($C$2:$C$10,I893,0),OFFSET($D$2:$H$10,I893,0)))</f>
        <v>113.45238095237801</v>
      </c>
      <c r="K893" s="6">
        <f ca="1"/>
        <v>-6.4285714285715585</v>
      </c>
      <c r="L893" s="6">
        <f ca="1"/>
        <v>-39.047619047618355</v>
      </c>
      <c r="M893" s="6">
        <f ca="1"/>
        <v>4.5238095238097458</v>
      </c>
      <c r="N893" s="6">
        <f ca="1"/>
        <v>-0.12619047619047841</v>
      </c>
      <c r="O893" s="6">
        <f t="shared" ca="1" si="128"/>
        <v>42.857142857140047</v>
      </c>
      <c r="P893" t="str">
        <f t="shared" si="129"/>
        <v>NA</v>
      </c>
      <c r="Q893" s="10">
        <f t="shared" ca="1" si="130"/>
        <v>34.76190476190196</v>
      </c>
      <c r="R893" s="10">
        <f t="shared" ca="1" si="131"/>
        <v>74.404761904759653</v>
      </c>
      <c r="S893" s="10">
        <f t="shared" ca="1" si="132"/>
        <v>-39.642857142857693</v>
      </c>
      <c r="T893" s="10">
        <f t="shared" ca="1" si="133"/>
        <v>314.15094339622527</v>
      </c>
      <c r="U893" s="10">
        <f t="shared" ca="1" si="134"/>
        <v>314.15094339622527</v>
      </c>
      <c r="V893">
        <f t="shared" si="135"/>
        <v>3</v>
      </c>
    </row>
    <row r="894" spans="1:22" x14ac:dyDescent="0.25">
      <c r="A894">
        <v>100</v>
      </c>
      <c r="B894">
        <v>2</v>
      </c>
      <c r="C894">
        <v>60</v>
      </c>
      <c r="D894">
        <v>1</v>
      </c>
      <c r="E894">
        <v>1</v>
      </c>
      <c r="F894">
        <v>0</v>
      </c>
      <c r="G894">
        <v>0</v>
      </c>
      <c r="H894">
        <v>350</v>
      </c>
      <c r="I894">
        <f t="shared" si="136"/>
        <v>891</v>
      </c>
      <c r="J894" s="6">
        <f t="array" aca="1" ref="J894:N894" ca="1">TRANSPOSE(ols(OFFSET($C$2:$C$10,I894,0),OFFSET($D$2:$H$10,I894,0)))</f>
        <v>113.45238095237801</v>
      </c>
      <c r="K894" s="6">
        <f ca="1"/>
        <v>-6.4285714285715585</v>
      </c>
      <c r="L894" s="6">
        <f ca="1"/>
        <v>-39.047619047618355</v>
      </c>
      <c r="M894" s="6">
        <f ca="1"/>
        <v>4.5238095238097458</v>
      </c>
      <c r="N894" s="6">
        <f ca="1"/>
        <v>-0.12619047619047841</v>
      </c>
      <c r="O894" s="6">
        <f t="shared" ca="1" si="128"/>
        <v>62.85714285713901</v>
      </c>
      <c r="P894" t="str">
        <f t="shared" si="129"/>
        <v>NA</v>
      </c>
      <c r="Q894" s="10">
        <f t="shared" ca="1" si="130"/>
        <v>34.76190476190196</v>
      </c>
      <c r="R894" s="10">
        <f t="shared" ca="1" si="131"/>
        <v>107.02380952380645</v>
      </c>
      <c r="S894" s="10">
        <f t="shared" ca="1" si="132"/>
        <v>-72.261904761904489</v>
      </c>
      <c r="T894" s="10">
        <f t="shared" ca="1" si="133"/>
        <v>572.64150943395009</v>
      </c>
      <c r="U894" s="10">
        <f t="shared" ca="1" si="134"/>
        <v>572.64150943395009</v>
      </c>
      <c r="V894">
        <f t="shared" si="135"/>
        <v>2</v>
      </c>
    </row>
    <row r="895" spans="1:22" x14ac:dyDescent="0.25">
      <c r="A895">
        <v>100</v>
      </c>
      <c r="B895">
        <v>3</v>
      </c>
      <c r="C895">
        <v>50</v>
      </c>
      <c r="D895">
        <v>1</v>
      </c>
      <c r="E895">
        <v>1</v>
      </c>
      <c r="F895">
        <v>0</v>
      </c>
      <c r="G895">
        <v>0</v>
      </c>
      <c r="H895">
        <v>450</v>
      </c>
      <c r="I895">
        <f t="shared" si="136"/>
        <v>891</v>
      </c>
      <c r="J895" s="6">
        <f t="array" aca="1" ref="J895:N895" ca="1">TRANSPOSE(ols(OFFSET($C$2:$C$10,I895,0),OFFSET($D$2:$H$10,I895,0)))</f>
        <v>113.45238095237801</v>
      </c>
      <c r="K895" s="6">
        <f ca="1"/>
        <v>-6.4285714285715585</v>
      </c>
      <c r="L895" s="6">
        <f ca="1"/>
        <v>-39.047619047618355</v>
      </c>
      <c r="M895" s="6">
        <f ca="1"/>
        <v>4.5238095238097458</v>
      </c>
      <c r="N895" s="6">
        <f ca="1"/>
        <v>-0.12619047619047841</v>
      </c>
      <c r="O895" s="6">
        <f t="shared" ca="1" si="128"/>
        <v>50.238095238091162</v>
      </c>
      <c r="P895" t="str">
        <f t="shared" si="129"/>
        <v>NA</v>
      </c>
      <c r="Q895" s="10">
        <f t="shared" ca="1" si="130"/>
        <v>34.76190476190196</v>
      </c>
      <c r="R895" s="10">
        <f t="shared" ca="1" si="131"/>
        <v>107.02380952380645</v>
      </c>
      <c r="S895" s="10">
        <f t="shared" ca="1" si="132"/>
        <v>-72.261904761904489</v>
      </c>
      <c r="T895" s="10">
        <f t="shared" ca="1" si="133"/>
        <v>572.64150943395009</v>
      </c>
      <c r="U895" s="10">
        <f t="shared" ca="1" si="134"/>
        <v>572.64150943395009</v>
      </c>
      <c r="V895">
        <f t="shared" si="135"/>
        <v>2</v>
      </c>
    </row>
    <row r="896" spans="1:22" x14ac:dyDescent="0.25">
      <c r="A896">
        <v>100</v>
      </c>
      <c r="B896">
        <v>4</v>
      </c>
      <c r="C896">
        <v>45</v>
      </c>
      <c r="D896">
        <v>1</v>
      </c>
      <c r="E896">
        <v>0</v>
      </c>
      <c r="F896">
        <v>0</v>
      </c>
      <c r="G896">
        <v>0</v>
      </c>
      <c r="H896">
        <v>550</v>
      </c>
      <c r="I896">
        <f t="shared" si="136"/>
        <v>891</v>
      </c>
      <c r="J896" s="6">
        <f t="array" aca="1" ref="J896:N896" ca="1">TRANSPOSE(ols(OFFSET($C$2:$C$10,I896,0),OFFSET($D$2:$H$10,I896,0)))</f>
        <v>113.45238095237801</v>
      </c>
      <c r="K896" s="6">
        <f ca="1"/>
        <v>-6.4285714285715585</v>
      </c>
      <c r="L896" s="6">
        <f ca="1"/>
        <v>-39.047619047618355</v>
      </c>
      <c r="M896" s="6">
        <f ca="1"/>
        <v>4.5238095238097458</v>
      </c>
      <c r="N896" s="6">
        <f ca="1"/>
        <v>-0.12619047619047841</v>
      </c>
      <c r="O896" s="6">
        <f t="shared" ca="1" si="128"/>
        <v>44.047619047614887</v>
      </c>
      <c r="P896" t="str">
        <f t="shared" si="129"/>
        <v>NA</v>
      </c>
      <c r="Q896" s="10">
        <f t="shared" ca="1" si="130"/>
        <v>34.76190476190196</v>
      </c>
      <c r="R896" s="10">
        <f t="shared" ca="1" si="131"/>
        <v>113.45238095237801</v>
      </c>
      <c r="S896" s="10">
        <f t="shared" ca="1" si="132"/>
        <v>-78.690476190476048</v>
      </c>
      <c r="T896" s="10">
        <f t="shared" ca="1" si="133"/>
        <v>623.58490566036528</v>
      </c>
      <c r="U896" s="10">
        <f t="shared" ca="1" si="134"/>
        <v>623.58490566036528</v>
      </c>
      <c r="V896">
        <f t="shared" si="135"/>
        <v>1</v>
      </c>
    </row>
    <row r="897" spans="1:22" x14ac:dyDescent="0.25">
      <c r="A897">
        <v>100</v>
      </c>
      <c r="B897">
        <v>5</v>
      </c>
      <c r="C897">
        <v>45</v>
      </c>
      <c r="D897">
        <v>1</v>
      </c>
      <c r="E897">
        <v>0</v>
      </c>
      <c r="F897">
        <v>1</v>
      </c>
      <c r="G897">
        <v>1</v>
      </c>
      <c r="H897">
        <v>250</v>
      </c>
      <c r="I897">
        <f t="shared" si="136"/>
        <v>891</v>
      </c>
      <c r="J897" s="6">
        <f t="array" aca="1" ref="J897:N897" ca="1">TRANSPOSE(ols(OFFSET($C$2:$C$10,I897,0),OFFSET($D$2:$H$10,I897,0)))</f>
        <v>113.45238095237801</v>
      </c>
      <c r="K897" s="6">
        <f ca="1"/>
        <v>-6.4285714285715585</v>
      </c>
      <c r="L897" s="6">
        <f ca="1"/>
        <v>-39.047619047618355</v>
      </c>
      <c r="M897" s="6">
        <f ca="1"/>
        <v>4.5238095238097458</v>
      </c>
      <c r="N897" s="6">
        <f ca="1"/>
        <v>-0.12619047619047841</v>
      </c>
      <c r="O897" s="6">
        <f t="shared" ca="1" si="128"/>
        <v>47.380952380949793</v>
      </c>
      <c r="P897" t="str">
        <f t="shared" si="129"/>
        <v>NA</v>
      </c>
      <c r="Q897" s="10">
        <f t="shared" ca="1" si="130"/>
        <v>34.76190476190196</v>
      </c>
      <c r="R897" s="10">
        <f t="shared" ca="1" si="131"/>
        <v>78.928571428569398</v>
      </c>
      <c r="S897" s="10">
        <f t="shared" ca="1" si="132"/>
        <v>-44.166666666667439</v>
      </c>
      <c r="T897" s="10">
        <f t="shared" ca="1" si="133"/>
        <v>350</v>
      </c>
      <c r="U897" s="10">
        <f t="shared" ca="1" si="134"/>
        <v>350</v>
      </c>
      <c r="V897">
        <f t="shared" si="135"/>
        <v>6</v>
      </c>
    </row>
    <row r="898" spans="1:22" x14ac:dyDescent="0.25">
      <c r="A898">
        <v>100</v>
      </c>
      <c r="B898">
        <v>6</v>
      </c>
      <c r="C898">
        <v>35</v>
      </c>
      <c r="D898">
        <v>1</v>
      </c>
      <c r="E898">
        <v>0</v>
      </c>
      <c r="F898">
        <v>1</v>
      </c>
      <c r="G898">
        <v>1</v>
      </c>
      <c r="H898">
        <v>350</v>
      </c>
      <c r="I898">
        <f t="shared" si="136"/>
        <v>891</v>
      </c>
      <c r="J898" s="6">
        <f t="array" aca="1" ref="J898:N898" ca="1">TRANSPOSE(ols(OFFSET($C$2:$C$10,I898,0),OFFSET($D$2:$H$10,I898,0)))</f>
        <v>113.45238095237801</v>
      </c>
      <c r="K898" s="6">
        <f ca="1"/>
        <v>-6.4285714285715585</v>
      </c>
      <c r="L898" s="6">
        <f ca="1"/>
        <v>-39.047619047618355</v>
      </c>
      <c r="M898" s="6">
        <f ca="1"/>
        <v>4.5238095238097458</v>
      </c>
      <c r="N898" s="6">
        <f ca="1"/>
        <v>-0.12619047619047841</v>
      </c>
      <c r="O898" s="6">
        <f t="shared" ca="1" si="128"/>
        <v>34.76190476190196</v>
      </c>
      <c r="P898">
        <f t="shared" ca="1" si="129"/>
        <v>34.76190476190196</v>
      </c>
      <c r="Q898" s="10">
        <f t="shared" ca="1" si="130"/>
        <v>34.76190476190196</v>
      </c>
      <c r="R898" s="10">
        <f t="shared" ca="1" si="131"/>
        <v>78.928571428569398</v>
      </c>
      <c r="S898" s="10">
        <f t="shared" ca="1" si="132"/>
        <v>-44.166666666667439</v>
      </c>
      <c r="T898" s="10">
        <f t="shared" ca="1" si="133"/>
        <v>350</v>
      </c>
      <c r="U898" s="10">
        <f t="shared" ca="1" si="134"/>
        <v>350</v>
      </c>
      <c r="V898">
        <f t="shared" si="135"/>
        <v>6</v>
      </c>
    </row>
    <row r="899" spans="1:22" x14ac:dyDescent="0.25">
      <c r="A899">
        <v>100</v>
      </c>
      <c r="B899">
        <v>7</v>
      </c>
      <c r="C899">
        <v>60</v>
      </c>
      <c r="D899">
        <v>1</v>
      </c>
      <c r="E899">
        <v>1</v>
      </c>
      <c r="F899">
        <v>0</v>
      </c>
      <c r="G899">
        <v>1</v>
      </c>
      <c r="H899">
        <v>450</v>
      </c>
      <c r="I899">
        <f t="shared" si="136"/>
        <v>891</v>
      </c>
      <c r="J899" s="6">
        <f t="array" aca="1" ref="J899:N899" ca="1">TRANSPOSE(ols(OFFSET($C$2:$C$10,I899,0),OFFSET($D$2:$H$10,I899,0)))</f>
        <v>113.45238095237801</v>
      </c>
      <c r="K899" s="6">
        <f ca="1"/>
        <v>-6.4285714285715585</v>
      </c>
      <c r="L899" s="6">
        <f ca="1"/>
        <v>-39.047619047618355</v>
      </c>
      <c r="M899" s="6">
        <f ca="1"/>
        <v>4.5238095238097458</v>
      </c>
      <c r="N899" s="6">
        <f ca="1"/>
        <v>-0.12619047619047841</v>
      </c>
      <c r="O899" s="6">
        <f t="shared" ref="O899:O962" ca="1" si="137">SUMPRODUCT(J899:N899,D899:H899)</f>
        <v>54.761904761900908</v>
      </c>
      <c r="P899" t="str">
        <f t="shared" ref="P899:P962" si="138">IF(AND(F899=1,G899=1,H899=350),O899,"NA")</f>
        <v>NA</v>
      </c>
      <c r="Q899" s="10">
        <f t="shared" ref="Q899:Q962" ca="1" si="139">AVERAGEIF($A$2:$A$5383,A899,$P$2:$P$5383)</f>
        <v>34.76190476190196</v>
      </c>
      <c r="R899" s="10">
        <f t="shared" ref="R899:R962" ca="1" si="140">O899-N899*H899</f>
        <v>111.54761904761619</v>
      </c>
      <c r="S899" s="10">
        <f t="shared" ref="S899:S962" ca="1" si="141">Q899-R899</f>
        <v>-76.785714285714235</v>
      </c>
      <c r="T899" s="10">
        <f t="shared" ref="T899:T962" ca="1" si="142">S899/N899</f>
        <v>608.49056603772476</v>
      </c>
      <c r="U899" s="10">
        <f t="shared" ref="U899:U962" ca="1" si="143">IF(OR(T899&lt;250,T899&gt;650),"OR",T899)</f>
        <v>608.49056603772476</v>
      </c>
      <c r="V899">
        <f t="shared" ref="V899:V962" si="144">IF(AND(E899=1,G899=0),2,IF(AND(F899=1,G899=0),3,IF(AND(E899=1,G899=1),5,IF(AND(F899=1,G899=1),6,IF(G899=0,1,IF(G899=1,4))))))</f>
        <v>5</v>
      </c>
    </row>
    <row r="900" spans="1:22" x14ac:dyDescent="0.25">
      <c r="A900">
        <v>100</v>
      </c>
      <c r="B900">
        <v>8</v>
      </c>
      <c r="C900">
        <v>40</v>
      </c>
      <c r="D900">
        <v>1</v>
      </c>
      <c r="E900">
        <v>1</v>
      </c>
      <c r="F900">
        <v>0</v>
      </c>
      <c r="G900">
        <v>1</v>
      </c>
      <c r="H900">
        <v>550</v>
      </c>
      <c r="I900">
        <f t="shared" si="136"/>
        <v>891</v>
      </c>
      <c r="J900" s="6">
        <f t="array" aca="1" ref="J900:N900" ca="1">TRANSPOSE(ols(OFFSET($C$2:$C$10,I900,0),OFFSET($D$2:$H$10,I900,0)))</f>
        <v>113.45238095237801</v>
      </c>
      <c r="K900" s="6">
        <f ca="1"/>
        <v>-6.4285714285715585</v>
      </c>
      <c r="L900" s="6">
        <f ca="1"/>
        <v>-39.047619047618355</v>
      </c>
      <c r="M900" s="6">
        <f ca="1"/>
        <v>4.5238095238097458</v>
      </c>
      <c r="N900" s="6">
        <f ca="1"/>
        <v>-0.12619047619047841</v>
      </c>
      <c r="O900" s="6">
        <f t="shared" ca="1" si="137"/>
        <v>42.142857142853074</v>
      </c>
      <c r="P900" t="str">
        <f t="shared" si="138"/>
        <v>NA</v>
      </c>
      <c r="Q900" s="10">
        <f t="shared" ca="1" si="139"/>
        <v>34.76190476190196</v>
      </c>
      <c r="R900" s="10">
        <f t="shared" ca="1" si="140"/>
        <v>111.54761904761619</v>
      </c>
      <c r="S900" s="10">
        <f t="shared" ca="1" si="141"/>
        <v>-76.785714285714235</v>
      </c>
      <c r="T900" s="10">
        <f t="shared" ca="1" si="142"/>
        <v>608.49056603772476</v>
      </c>
      <c r="U900" s="10">
        <f t="shared" ca="1" si="143"/>
        <v>608.49056603772476</v>
      </c>
      <c r="V900">
        <f t="shared" si="144"/>
        <v>5</v>
      </c>
    </row>
    <row r="901" spans="1:22" x14ac:dyDescent="0.25">
      <c r="A901">
        <v>100</v>
      </c>
      <c r="B901">
        <v>9</v>
      </c>
      <c r="C901">
        <v>35</v>
      </c>
      <c r="D901">
        <v>1</v>
      </c>
      <c r="E901">
        <v>0</v>
      </c>
      <c r="F901">
        <v>0</v>
      </c>
      <c r="G901">
        <v>1</v>
      </c>
      <c r="H901">
        <v>650</v>
      </c>
      <c r="I901">
        <f t="shared" si="136"/>
        <v>891</v>
      </c>
      <c r="J901" s="6">
        <f t="array" aca="1" ref="J901:N901" ca="1">TRANSPOSE(ols(OFFSET($C$2:$C$10,I901,0),OFFSET($D$2:$H$10,I901,0)))</f>
        <v>113.45238095237801</v>
      </c>
      <c r="K901" s="6">
        <f ca="1"/>
        <v>-6.4285714285715585</v>
      </c>
      <c r="L901" s="6">
        <f ca="1"/>
        <v>-39.047619047618355</v>
      </c>
      <c r="M901" s="6">
        <f ca="1"/>
        <v>4.5238095238097458</v>
      </c>
      <c r="N901" s="6">
        <f ca="1"/>
        <v>-0.12619047619047841</v>
      </c>
      <c r="O901" s="6">
        <f t="shared" ca="1" si="137"/>
        <v>35.952380952376785</v>
      </c>
      <c r="P901" t="str">
        <f t="shared" si="138"/>
        <v>NA</v>
      </c>
      <c r="Q901" s="10">
        <f t="shared" ca="1" si="139"/>
        <v>34.76190476190196</v>
      </c>
      <c r="R901" s="10">
        <f t="shared" ca="1" si="140"/>
        <v>117.97619047618775</v>
      </c>
      <c r="S901" s="10">
        <f t="shared" ca="1" si="141"/>
        <v>-83.214285714285793</v>
      </c>
      <c r="T901" s="10">
        <f t="shared" ca="1" si="142"/>
        <v>659.43396226413995</v>
      </c>
      <c r="U901" s="10" t="str">
        <f t="shared" ca="1" si="143"/>
        <v>OR</v>
      </c>
      <c r="V901">
        <f t="shared" si="144"/>
        <v>4</v>
      </c>
    </row>
    <row r="902" spans="1:22" x14ac:dyDescent="0.25">
      <c r="A902">
        <v>101</v>
      </c>
      <c r="B902">
        <v>1</v>
      </c>
      <c r="C902">
        <v>30</v>
      </c>
      <c r="D902">
        <v>1</v>
      </c>
      <c r="E902">
        <v>0</v>
      </c>
      <c r="F902">
        <v>1</v>
      </c>
      <c r="G902">
        <v>0</v>
      </c>
      <c r="H902">
        <v>250</v>
      </c>
      <c r="I902">
        <f t="shared" si="136"/>
        <v>900</v>
      </c>
      <c r="J902" s="6">
        <f t="array" aca="1" ref="J902:N902" ca="1">TRANSPOSE(ols(OFFSET($C$2:$C$10,I902,0),OFFSET($D$2:$H$10,I902,0)))</f>
        <v>86.130952380952294</v>
      </c>
      <c r="K902" s="6">
        <f ca="1"/>
        <v>-8.5714285714283278</v>
      </c>
      <c r="L902" s="6">
        <f ca="1"/>
        <v>-27.619047619047251</v>
      </c>
      <c r="M902" s="6">
        <f ca="1"/>
        <v>6.3095238095238528</v>
      </c>
      <c r="N902" s="6">
        <f ca="1"/>
        <v>-0.11547619047619051</v>
      </c>
      <c r="O902" s="6">
        <f t="shared" ca="1" si="137"/>
        <v>29.642857142857416</v>
      </c>
      <c r="P902" t="str">
        <f t="shared" si="138"/>
        <v>NA</v>
      </c>
      <c r="Q902" s="10">
        <f t="shared" ca="1" si="139"/>
        <v>24.404761904762218</v>
      </c>
      <c r="R902" s="10">
        <f t="shared" ca="1" si="140"/>
        <v>58.511904761905043</v>
      </c>
      <c r="S902" s="10">
        <f t="shared" ca="1" si="141"/>
        <v>-34.107142857142826</v>
      </c>
      <c r="T902" s="10">
        <f t="shared" ca="1" si="142"/>
        <v>295.36082474226771</v>
      </c>
      <c r="U902" s="10">
        <f t="shared" ca="1" si="143"/>
        <v>295.36082474226771</v>
      </c>
      <c r="V902">
        <f t="shared" si="144"/>
        <v>3</v>
      </c>
    </row>
    <row r="903" spans="1:22" x14ac:dyDescent="0.25">
      <c r="A903">
        <v>101</v>
      </c>
      <c r="B903">
        <v>2</v>
      </c>
      <c r="C903">
        <v>35</v>
      </c>
      <c r="D903">
        <v>1</v>
      </c>
      <c r="E903">
        <v>1</v>
      </c>
      <c r="F903">
        <v>0</v>
      </c>
      <c r="G903">
        <v>0</v>
      </c>
      <c r="H903">
        <v>350</v>
      </c>
      <c r="I903">
        <f t="shared" si="136"/>
        <v>900</v>
      </c>
      <c r="J903" s="6">
        <f t="array" aca="1" ref="J903:N903" ca="1">TRANSPOSE(ols(OFFSET($C$2:$C$10,I903,0),OFFSET($D$2:$H$10,I903,0)))</f>
        <v>86.130952380952294</v>
      </c>
      <c r="K903" s="6">
        <f ca="1"/>
        <v>-8.5714285714283278</v>
      </c>
      <c r="L903" s="6">
        <f ca="1"/>
        <v>-27.619047619047251</v>
      </c>
      <c r="M903" s="6">
        <f ca="1"/>
        <v>6.3095238095238528</v>
      </c>
      <c r="N903" s="6">
        <f ca="1"/>
        <v>-0.11547619047619051</v>
      </c>
      <c r="O903" s="6">
        <f t="shared" ca="1" si="137"/>
        <v>37.142857142857288</v>
      </c>
      <c r="P903" t="str">
        <f t="shared" si="138"/>
        <v>NA</v>
      </c>
      <c r="Q903" s="10">
        <f t="shared" ca="1" si="139"/>
        <v>24.404761904762218</v>
      </c>
      <c r="R903" s="10">
        <f t="shared" ca="1" si="140"/>
        <v>77.559523809523967</v>
      </c>
      <c r="S903" s="10">
        <f t="shared" ca="1" si="141"/>
        <v>-53.154761904761749</v>
      </c>
      <c r="T903" s="10">
        <f t="shared" ca="1" si="142"/>
        <v>460.30927835051398</v>
      </c>
      <c r="U903" s="10">
        <f t="shared" ca="1" si="143"/>
        <v>460.30927835051398</v>
      </c>
      <c r="V903">
        <f t="shared" si="144"/>
        <v>2</v>
      </c>
    </row>
    <row r="904" spans="1:22" x14ac:dyDescent="0.25">
      <c r="A904">
        <v>101</v>
      </c>
      <c r="B904">
        <v>3</v>
      </c>
      <c r="C904">
        <v>25</v>
      </c>
      <c r="D904">
        <v>1</v>
      </c>
      <c r="E904">
        <v>1</v>
      </c>
      <c r="F904">
        <v>0</v>
      </c>
      <c r="G904">
        <v>0</v>
      </c>
      <c r="H904">
        <v>450</v>
      </c>
      <c r="I904">
        <f t="shared" si="136"/>
        <v>900</v>
      </c>
      <c r="J904" s="6">
        <f t="array" aca="1" ref="J904:N904" ca="1">TRANSPOSE(ols(OFFSET($C$2:$C$10,I904,0),OFFSET($D$2:$H$10,I904,0)))</f>
        <v>86.130952380952294</v>
      </c>
      <c r="K904" s="6">
        <f ca="1"/>
        <v>-8.5714285714283278</v>
      </c>
      <c r="L904" s="6">
        <f ca="1"/>
        <v>-27.619047619047251</v>
      </c>
      <c r="M904" s="6">
        <f ca="1"/>
        <v>6.3095238095238528</v>
      </c>
      <c r="N904" s="6">
        <f ca="1"/>
        <v>-0.11547619047619051</v>
      </c>
      <c r="O904" s="6">
        <f t="shared" ca="1" si="137"/>
        <v>25.595238095238237</v>
      </c>
      <c r="P904" t="str">
        <f t="shared" si="138"/>
        <v>NA</v>
      </c>
      <c r="Q904" s="10">
        <f t="shared" ca="1" si="139"/>
        <v>24.404761904762218</v>
      </c>
      <c r="R904" s="10">
        <f t="shared" ca="1" si="140"/>
        <v>77.559523809523967</v>
      </c>
      <c r="S904" s="10">
        <f t="shared" ca="1" si="141"/>
        <v>-53.154761904761749</v>
      </c>
      <c r="T904" s="10">
        <f t="shared" ca="1" si="142"/>
        <v>460.30927835051398</v>
      </c>
      <c r="U904" s="10">
        <f t="shared" ca="1" si="143"/>
        <v>460.30927835051398</v>
      </c>
      <c r="V904">
        <f t="shared" si="144"/>
        <v>2</v>
      </c>
    </row>
    <row r="905" spans="1:22" x14ac:dyDescent="0.25">
      <c r="A905">
        <v>101</v>
      </c>
      <c r="B905">
        <v>4</v>
      </c>
      <c r="C905">
        <v>25</v>
      </c>
      <c r="D905">
        <v>1</v>
      </c>
      <c r="E905">
        <v>0</v>
      </c>
      <c r="F905">
        <v>0</v>
      </c>
      <c r="G905">
        <v>0</v>
      </c>
      <c r="H905">
        <v>550</v>
      </c>
      <c r="I905">
        <f t="shared" si="136"/>
        <v>900</v>
      </c>
      <c r="J905" s="6">
        <f t="array" aca="1" ref="J905:N905" ca="1">TRANSPOSE(ols(OFFSET($C$2:$C$10,I905,0),OFFSET($D$2:$H$10,I905,0)))</f>
        <v>86.130952380952294</v>
      </c>
      <c r="K905" s="6">
        <f ca="1"/>
        <v>-8.5714285714283278</v>
      </c>
      <c r="L905" s="6">
        <f ca="1"/>
        <v>-27.619047619047251</v>
      </c>
      <c r="M905" s="6">
        <f ca="1"/>
        <v>6.3095238095238528</v>
      </c>
      <c r="N905" s="6">
        <f ca="1"/>
        <v>-0.11547619047619051</v>
      </c>
      <c r="O905" s="6">
        <f t="shared" ca="1" si="137"/>
        <v>22.619047619047514</v>
      </c>
      <c r="P905" t="str">
        <f t="shared" si="138"/>
        <v>NA</v>
      </c>
      <c r="Q905" s="10">
        <f t="shared" ca="1" si="139"/>
        <v>24.404761904762218</v>
      </c>
      <c r="R905" s="10">
        <f t="shared" ca="1" si="140"/>
        <v>86.130952380952294</v>
      </c>
      <c r="S905" s="10">
        <f t="shared" ca="1" si="141"/>
        <v>-61.726190476190077</v>
      </c>
      <c r="T905" s="10">
        <f t="shared" ca="1" si="142"/>
        <v>534.53608247422324</v>
      </c>
      <c r="U905" s="10">
        <f t="shared" ca="1" si="143"/>
        <v>534.53608247422324</v>
      </c>
      <c r="V905">
        <f t="shared" si="144"/>
        <v>1</v>
      </c>
    </row>
    <row r="906" spans="1:22" x14ac:dyDescent="0.25">
      <c r="A906">
        <v>101</v>
      </c>
      <c r="B906">
        <v>5</v>
      </c>
      <c r="C906">
        <v>35</v>
      </c>
      <c r="D906">
        <v>1</v>
      </c>
      <c r="E906">
        <v>0</v>
      </c>
      <c r="F906">
        <v>1</v>
      </c>
      <c r="G906">
        <v>1</v>
      </c>
      <c r="H906">
        <v>250</v>
      </c>
      <c r="I906">
        <f t="shared" si="136"/>
        <v>900</v>
      </c>
      <c r="J906" s="6">
        <f t="array" aca="1" ref="J906:N906" ca="1">TRANSPOSE(ols(OFFSET($C$2:$C$10,I906,0),OFFSET($D$2:$H$10,I906,0)))</f>
        <v>86.130952380952294</v>
      </c>
      <c r="K906" s="6">
        <f ca="1"/>
        <v>-8.5714285714283278</v>
      </c>
      <c r="L906" s="6">
        <f ca="1"/>
        <v>-27.619047619047251</v>
      </c>
      <c r="M906" s="6">
        <f ca="1"/>
        <v>6.3095238095238528</v>
      </c>
      <c r="N906" s="6">
        <f ca="1"/>
        <v>-0.11547619047619051</v>
      </c>
      <c r="O906" s="6">
        <f t="shared" ca="1" si="137"/>
        <v>35.952380952381269</v>
      </c>
      <c r="P906" t="str">
        <f t="shared" si="138"/>
        <v>NA</v>
      </c>
      <c r="Q906" s="10">
        <f t="shared" ca="1" si="139"/>
        <v>24.404761904762218</v>
      </c>
      <c r="R906" s="10">
        <f t="shared" ca="1" si="140"/>
        <v>64.821428571428896</v>
      </c>
      <c r="S906" s="10">
        <f t="shared" ca="1" si="141"/>
        <v>-40.416666666666679</v>
      </c>
      <c r="T906" s="10">
        <f t="shared" ca="1" si="142"/>
        <v>350</v>
      </c>
      <c r="U906" s="10">
        <f t="shared" ca="1" si="143"/>
        <v>350</v>
      </c>
      <c r="V906">
        <f t="shared" si="144"/>
        <v>6</v>
      </c>
    </row>
    <row r="907" spans="1:22" x14ac:dyDescent="0.25">
      <c r="A907">
        <v>101</v>
      </c>
      <c r="B907">
        <v>6</v>
      </c>
      <c r="C907">
        <v>25</v>
      </c>
      <c r="D907">
        <v>1</v>
      </c>
      <c r="E907">
        <v>0</v>
      </c>
      <c r="F907">
        <v>1</v>
      </c>
      <c r="G907">
        <v>1</v>
      </c>
      <c r="H907">
        <v>350</v>
      </c>
      <c r="I907">
        <f t="shared" si="136"/>
        <v>900</v>
      </c>
      <c r="J907" s="6">
        <f t="array" aca="1" ref="J907:N907" ca="1">TRANSPOSE(ols(OFFSET($C$2:$C$10,I907,0),OFFSET($D$2:$H$10,I907,0)))</f>
        <v>86.130952380952294</v>
      </c>
      <c r="K907" s="6">
        <f ca="1"/>
        <v>-8.5714285714283278</v>
      </c>
      <c r="L907" s="6">
        <f ca="1"/>
        <v>-27.619047619047251</v>
      </c>
      <c r="M907" s="6">
        <f ca="1"/>
        <v>6.3095238095238528</v>
      </c>
      <c r="N907" s="6">
        <f ca="1"/>
        <v>-0.11547619047619051</v>
      </c>
      <c r="O907" s="6">
        <f t="shared" ca="1" si="137"/>
        <v>24.404761904762218</v>
      </c>
      <c r="P907">
        <f t="shared" ca="1" si="138"/>
        <v>24.404761904762218</v>
      </c>
      <c r="Q907" s="10">
        <f t="shared" ca="1" si="139"/>
        <v>24.404761904762218</v>
      </c>
      <c r="R907" s="10">
        <f t="shared" ca="1" si="140"/>
        <v>64.821428571428896</v>
      </c>
      <c r="S907" s="10">
        <f t="shared" ca="1" si="141"/>
        <v>-40.416666666666679</v>
      </c>
      <c r="T907" s="10">
        <f t="shared" ca="1" si="142"/>
        <v>350</v>
      </c>
      <c r="U907" s="10">
        <f t="shared" ca="1" si="143"/>
        <v>350</v>
      </c>
      <c r="V907">
        <f t="shared" si="144"/>
        <v>6</v>
      </c>
    </row>
    <row r="908" spans="1:22" x14ac:dyDescent="0.25">
      <c r="A908">
        <v>101</v>
      </c>
      <c r="B908">
        <v>7</v>
      </c>
      <c r="C908">
        <v>35</v>
      </c>
      <c r="D908">
        <v>1</v>
      </c>
      <c r="E908">
        <v>1</v>
      </c>
      <c r="F908">
        <v>0</v>
      </c>
      <c r="G908">
        <v>1</v>
      </c>
      <c r="H908">
        <v>450</v>
      </c>
      <c r="I908">
        <f t="shared" ref="I908:I971" si="145">IF(A908&gt;A907,I907+9,I907)</f>
        <v>900</v>
      </c>
      <c r="J908" s="6">
        <f t="array" aca="1" ref="J908:N908" ca="1">TRANSPOSE(ols(OFFSET($C$2:$C$10,I908,0),OFFSET($D$2:$H$10,I908,0)))</f>
        <v>86.130952380952294</v>
      </c>
      <c r="K908" s="6">
        <f ca="1"/>
        <v>-8.5714285714283278</v>
      </c>
      <c r="L908" s="6">
        <f ca="1"/>
        <v>-27.619047619047251</v>
      </c>
      <c r="M908" s="6">
        <f ca="1"/>
        <v>6.3095238095238528</v>
      </c>
      <c r="N908" s="6">
        <f ca="1"/>
        <v>-0.11547619047619051</v>
      </c>
      <c r="O908" s="6">
        <f t="shared" ca="1" si="137"/>
        <v>31.90476190476209</v>
      </c>
      <c r="P908" t="str">
        <f t="shared" si="138"/>
        <v>NA</v>
      </c>
      <c r="Q908" s="10">
        <f t="shared" ca="1" si="139"/>
        <v>24.404761904762218</v>
      </c>
      <c r="R908" s="10">
        <f t="shared" ca="1" si="140"/>
        <v>83.869047619047819</v>
      </c>
      <c r="S908" s="10">
        <f t="shared" ca="1" si="141"/>
        <v>-59.464285714285602</v>
      </c>
      <c r="T908" s="10">
        <f t="shared" ca="1" si="142"/>
        <v>514.94845360824627</v>
      </c>
      <c r="U908" s="10">
        <f t="shared" ca="1" si="143"/>
        <v>514.94845360824627</v>
      </c>
      <c r="V908">
        <f t="shared" si="144"/>
        <v>5</v>
      </c>
    </row>
    <row r="909" spans="1:22" x14ac:dyDescent="0.25">
      <c r="A909">
        <v>101</v>
      </c>
      <c r="B909">
        <v>8</v>
      </c>
      <c r="C909">
        <v>20</v>
      </c>
      <c r="D909">
        <v>1</v>
      </c>
      <c r="E909">
        <v>1</v>
      </c>
      <c r="F909">
        <v>0</v>
      </c>
      <c r="G909">
        <v>1</v>
      </c>
      <c r="H909">
        <v>550</v>
      </c>
      <c r="I909">
        <f t="shared" si="145"/>
        <v>900</v>
      </c>
      <c r="J909" s="6">
        <f t="array" aca="1" ref="J909:N909" ca="1">TRANSPOSE(ols(OFFSET($C$2:$C$10,I909,0),OFFSET($D$2:$H$10,I909,0)))</f>
        <v>86.130952380952294</v>
      </c>
      <c r="K909" s="6">
        <f ca="1"/>
        <v>-8.5714285714283278</v>
      </c>
      <c r="L909" s="6">
        <f ca="1"/>
        <v>-27.619047619047251</v>
      </c>
      <c r="M909" s="6">
        <f ca="1"/>
        <v>6.3095238095238528</v>
      </c>
      <c r="N909" s="6">
        <f ca="1"/>
        <v>-0.11547619047619051</v>
      </c>
      <c r="O909" s="6">
        <f t="shared" ca="1" si="137"/>
        <v>20.357142857143039</v>
      </c>
      <c r="P909" t="str">
        <f t="shared" si="138"/>
        <v>NA</v>
      </c>
      <c r="Q909" s="10">
        <f t="shared" ca="1" si="139"/>
        <v>24.404761904762218</v>
      </c>
      <c r="R909" s="10">
        <f t="shared" ca="1" si="140"/>
        <v>83.869047619047819</v>
      </c>
      <c r="S909" s="10">
        <f t="shared" ca="1" si="141"/>
        <v>-59.464285714285602</v>
      </c>
      <c r="T909" s="10">
        <f t="shared" ca="1" si="142"/>
        <v>514.94845360824627</v>
      </c>
      <c r="U909" s="10">
        <f t="shared" ca="1" si="143"/>
        <v>514.94845360824627</v>
      </c>
      <c r="V909">
        <f t="shared" si="144"/>
        <v>5</v>
      </c>
    </row>
    <row r="910" spans="1:22" x14ac:dyDescent="0.25">
      <c r="A910">
        <v>101</v>
      </c>
      <c r="B910">
        <v>9</v>
      </c>
      <c r="C910">
        <v>15</v>
      </c>
      <c r="D910">
        <v>1</v>
      </c>
      <c r="E910">
        <v>0</v>
      </c>
      <c r="F910">
        <v>0</v>
      </c>
      <c r="G910">
        <v>1</v>
      </c>
      <c r="H910">
        <v>650</v>
      </c>
      <c r="I910">
        <f t="shared" si="145"/>
        <v>900</v>
      </c>
      <c r="J910" s="6">
        <f t="array" aca="1" ref="J910:N910" ca="1">TRANSPOSE(ols(OFFSET($C$2:$C$10,I910,0),OFFSET($D$2:$H$10,I910,0)))</f>
        <v>86.130952380952294</v>
      </c>
      <c r="K910" s="6">
        <f ca="1"/>
        <v>-8.5714285714283278</v>
      </c>
      <c r="L910" s="6">
        <f ca="1"/>
        <v>-27.619047619047251</v>
      </c>
      <c r="M910" s="6">
        <f ca="1"/>
        <v>6.3095238095238528</v>
      </c>
      <c r="N910" s="6">
        <f ca="1"/>
        <v>-0.11547619047619051</v>
      </c>
      <c r="O910" s="6">
        <f t="shared" ca="1" si="137"/>
        <v>17.380952380952323</v>
      </c>
      <c r="P910" t="str">
        <f t="shared" si="138"/>
        <v>NA</v>
      </c>
      <c r="Q910" s="10">
        <f t="shared" ca="1" si="139"/>
        <v>24.404761904762218</v>
      </c>
      <c r="R910" s="10">
        <f t="shared" ca="1" si="140"/>
        <v>92.440476190476147</v>
      </c>
      <c r="S910" s="10">
        <f t="shared" ca="1" si="141"/>
        <v>-68.035714285713937</v>
      </c>
      <c r="T910" s="10">
        <f t="shared" ca="1" si="142"/>
        <v>589.17525773195553</v>
      </c>
      <c r="U910" s="10">
        <f t="shared" ca="1" si="143"/>
        <v>589.17525773195553</v>
      </c>
      <c r="V910">
        <f t="shared" si="144"/>
        <v>4</v>
      </c>
    </row>
    <row r="911" spans="1:22" x14ac:dyDescent="0.25">
      <c r="A911">
        <v>102</v>
      </c>
      <c r="B911">
        <v>1</v>
      </c>
      <c r="C911">
        <v>5</v>
      </c>
      <c r="D911">
        <v>1</v>
      </c>
      <c r="E911">
        <v>0</v>
      </c>
      <c r="F911">
        <v>1</v>
      </c>
      <c r="G911">
        <v>0</v>
      </c>
      <c r="H911">
        <v>250</v>
      </c>
      <c r="I911">
        <f t="shared" si="145"/>
        <v>909</v>
      </c>
      <c r="J911" s="6">
        <f t="array" aca="1" ref="J911:N911" ca="1">TRANSPOSE(ols(OFFSET($C$2:$C$10,I911,0),OFFSET($D$2:$H$10,I911,0)))</f>
        <v>39.940476190475579</v>
      </c>
      <c r="K911" s="6">
        <f ca="1"/>
        <v>-1.7857142857141355</v>
      </c>
      <c r="L911" s="6">
        <f ca="1"/>
        <v>-18.809523809523569</v>
      </c>
      <c r="M911" s="6">
        <f ca="1"/>
        <v>4.4047619047618696</v>
      </c>
      <c r="N911" s="6">
        <f ca="1"/>
        <v>-7.0238095238094544E-2</v>
      </c>
      <c r="O911" s="6">
        <f t="shared" ca="1" si="137"/>
        <v>3.571428571428374</v>
      </c>
      <c r="P911" t="str">
        <f t="shared" si="138"/>
        <v>NA</v>
      </c>
      <c r="Q911" s="10">
        <f t="shared" ca="1" si="139"/>
        <v>0.95238095238078913</v>
      </c>
      <c r="R911" s="10">
        <f t="shared" ca="1" si="140"/>
        <v>21.13095238095201</v>
      </c>
      <c r="S911" s="10">
        <f t="shared" ca="1" si="141"/>
        <v>-20.178571428571221</v>
      </c>
      <c r="T911" s="10">
        <f t="shared" ca="1" si="142"/>
        <v>287.2881355932202</v>
      </c>
      <c r="U911" s="10">
        <f t="shared" ca="1" si="143"/>
        <v>287.2881355932202</v>
      </c>
      <c r="V911">
        <f t="shared" si="144"/>
        <v>3</v>
      </c>
    </row>
    <row r="912" spans="1:22" x14ac:dyDescent="0.25">
      <c r="A912">
        <v>102</v>
      </c>
      <c r="B912">
        <v>2</v>
      </c>
      <c r="C912">
        <v>15</v>
      </c>
      <c r="D912">
        <v>1</v>
      </c>
      <c r="E912">
        <v>1</v>
      </c>
      <c r="F912">
        <v>0</v>
      </c>
      <c r="G912">
        <v>0</v>
      </c>
      <c r="H912">
        <v>350</v>
      </c>
      <c r="I912">
        <f t="shared" si="145"/>
        <v>909</v>
      </c>
      <c r="J912" s="6">
        <f t="array" aca="1" ref="J912:N912" ca="1">TRANSPOSE(ols(OFFSET($C$2:$C$10,I912,0),OFFSET($D$2:$H$10,I912,0)))</f>
        <v>39.940476190475579</v>
      </c>
      <c r="K912" s="6">
        <f ca="1"/>
        <v>-1.7857142857141355</v>
      </c>
      <c r="L912" s="6">
        <f ca="1"/>
        <v>-18.809523809523569</v>
      </c>
      <c r="M912" s="6">
        <f ca="1"/>
        <v>4.4047619047618696</v>
      </c>
      <c r="N912" s="6">
        <f ca="1"/>
        <v>-7.0238095238094544E-2</v>
      </c>
      <c r="O912" s="6">
        <f t="shared" ca="1" si="137"/>
        <v>13.571428571428353</v>
      </c>
      <c r="P912" t="str">
        <f t="shared" si="138"/>
        <v>NA</v>
      </c>
      <c r="Q912" s="10">
        <f t="shared" ca="1" si="139"/>
        <v>0.95238095238078913</v>
      </c>
      <c r="R912" s="10">
        <f t="shared" ca="1" si="140"/>
        <v>38.154761904761443</v>
      </c>
      <c r="S912" s="10">
        <f t="shared" ca="1" si="141"/>
        <v>-37.202380952380651</v>
      </c>
      <c r="T912" s="10">
        <f t="shared" ca="1" si="142"/>
        <v>529.66101694915346</v>
      </c>
      <c r="U912" s="10">
        <f t="shared" ca="1" si="143"/>
        <v>529.66101694915346</v>
      </c>
      <c r="V912">
        <f t="shared" si="144"/>
        <v>2</v>
      </c>
    </row>
    <row r="913" spans="1:22" x14ac:dyDescent="0.25">
      <c r="A913">
        <v>102</v>
      </c>
      <c r="B913">
        <v>3</v>
      </c>
      <c r="C913">
        <v>5</v>
      </c>
      <c r="D913">
        <v>1</v>
      </c>
      <c r="E913">
        <v>1</v>
      </c>
      <c r="F913">
        <v>0</v>
      </c>
      <c r="G913">
        <v>0</v>
      </c>
      <c r="H913">
        <v>450</v>
      </c>
      <c r="I913">
        <f t="shared" si="145"/>
        <v>909</v>
      </c>
      <c r="J913" s="6">
        <f t="array" aca="1" ref="J913:N913" ca="1">TRANSPOSE(ols(OFFSET($C$2:$C$10,I913,0),OFFSET($D$2:$H$10,I913,0)))</f>
        <v>39.940476190475579</v>
      </c>
      <c r="K913" s="6">
        <f ca="1"/>
        <v>-1.7857142857141355</v>
      </c>
      <c r="L913" s="6">
        <f ca="1"/>
        <v>-18.809523809523569</v>
      </c>
      <c r="M913" s="6">
        <f ca="1"/>
        <v>4.4047619047618696</v>
      </c>
      <c r="N913" s="6">
        <f ca="1"/>
        <v>-7.0238095238094544E-2</v>
      </c>
      <c r="O913" s="6">
        <f t="shared" ca="1" si="137"/>
        <v>6.5476190476188982</v>
      </c>
      <c r="P913" t="str">
        <f t="shared" si="138"/>
        <v>NA</v>
      </c>
      <c r="Q913" s="10">
        <f t="shared" ca="1" si="139"/>
        <v>0.95238095238078913</v>
      </c>
      <c r="R913" s="10">
        <f t="shared" ca="1" si="140"/>
        <v>38.154761904761443</v>
      </c>
      <c r="S913" s="10">
        <f t="shared" ca="1" si="141"/>
        <v>-37.202380952380651</v>
      </c>
      <c r="T913" s="10">
        <f t="shared" ca="1" si="142"/>
        <v>529.66101694915346</v>
      </c>
      <c r="U913" s="10">
        <f t="shared" ca="1" si="143"/>
        <v>529.66101694915346</v>
      </c>
      <c r="V913">
        <f t="shared" si="144"/>
        <v>2</v>
      </c>
    </row>
    <row r="914" spans="1:22" x14ac:dyDescent="0.25">
      <c r="A914">
        <v>102</v>
      </c>
      <c r="B914">
        <v>4</v>
      </c>
      <c r="C914">
        <v>0</v>
      </c>
      <c r="D914">
        <v>1</v>
      </c>
      <c r="E914">
        <v>0</v>
      </c>
      <c r="F914">
        <v>0</v>
      </c>
      <c r="G914">
        <v>0</v>
      </c>
      <c r="H914">
        <v>550</v>
      </c>
      <c r="I914">
        <f t="shared" si="145"/>
        <v>909</v>
      </c>
      <c r="J914" s="6">
        <f t="array" aca="1" ref="J914:N914" ca="1">TRANSPOSE(ols(OFFSET($C$2:$C$10,I914,0),OFFSET($D$2:$H$10,I914,0)))</f>
        <v>39.940476190475579</v>
      </c>
      <c r="K914" s="6">
        <f ca="1"/>
        <v>-1.7857142857141355</v>
      </c>
      <c r="L914" s="6">
        <f ca="1"/>
        <v>-18.809523809523569</v>
      </c>
      <c r="M914" s="6">
        <f ca="1"/>
        <v>4.4047619047618696</v>
      </c>
      <c r="N914" s="6">
        <f ca="1"/>
        <v>-7.0238095238094544E-2</v>
      </c>
      <c r="O914" s="6">
        <f t="shared" ca="1" si="137"/>
        <v>1.3095238095235828</v>
      </c>
      <c r="P914" t="str">
        <f t="shared" si="138"/>
        <v>NA</v>
      </c>
      <c r="Q914" s="10">
        <f t="shared" ca="1" si="139"/>
        <v>0.95238095238078913</v>
      </c>
      <c r="R914" s="10">
        <f t="shared" ca="1" si="140"/>
        <v>39.940476190475579</v>
      </c>
      <c r="S914" s="10">
        <f t="shared" ca="1" si="141"/>
        <v>-38.988095238094786</v>
      </c>
      <c r="T914" s="10">
        <f t="shared" ca="1" si="142"/>
        <v>555.0847457627109</v>
      </c>
      <c r="U914" s="10">
        <f t="shared" ca="1" si="143"/>
        <v>555.0847457627109</v>
      </c>
      <c r="V914">
        <f t="shared" si="144"/>
        <v>1</v>
      </c>
    </row>
    <row r="915" spans="1:22" x14ac:dyDescent="0.25">
      <c r="A915">
        <v>102</v>
      </c>
      <c r="B915">
        <v>5</v>
      </c>
      <c r="C915">
        <v>5</v>
      </c>
      <c r="D915">
        <v>1</v>
      </c>
      <c r="E915">
        <v>0</v>
      </c>
      <c r="F915">
        <v>1</v>
      </c>
      <c r="G915">
        <v>1</v>
      </c>
      <c r="H915">
        <v>250</v>
      </c>
      <c r="I915">
        <f t="shared" si="145"/>
        <v>909</v>
      </c>
      <c r="J915" s="6">
        <f t="array" aca="1" ref="J915:N915" ca="1">TRANSPOSE(ols(OFFSET($C$2:$C$10,I915,0),OFFSET($D$2:$H$10,I915,0)))</f>
        <v>39.940476190475579</v>
      </c>
      <c r="K915" s="6">
        <f ca="1"/>
        <v>-1.7857142857141355</v>
      </c>
      <c r="L915" s="6">
        <f ca="1"/>
        <v>-18.809523809523569</v>
      </c>
      <c r="M915" s="6">
        <f ca="1"/>
        <v>4.4047619047618696</v>
      </c>
      <c r="N915" s="6">
        <f ca="1"/>
        <v>-7.0238095238094544E-2</v>
      </c>
      <c r="O915" s="6">
        <f t="shared" ca="1" si="137"/>
        <v>7.9761904761902436</v>
      </c>
      <c r="P915" t="str">
        <f t="shared" si="138"/>
        <v>NA</v>
      </c>
      <c r="Q915" s="10">
        <f t="shared" ca="1" si="139"/>
        <v>0.95238095238078913</v>
      </c>
      <c r="R915" s="10">
        <f t="shared" ca="1" si="140"/>
        <v>25.53571428571388</v>
      </c>
      <c r="S915" s="10">
        <f t="shared" ca="1" si="141"/>
        <v>-24.583333333333091</v>
      </c>
      <c r="T915" s="10">
        <f t="shared" ca="1" si="142"/>
        <v>350</v>
      </c>
      <c r="U915" s="10">
        <f t="shared" ca="1" si="143"/>
        <v>350</v>
      </c>
      <c r="V915">
        <f t="shared" si="144"/>
        <v>6</v>
      </c>
    </row>
    <row r="916" spans="1:22" x14ac:dyDescent="0.25">
      <c r="A916">
        <v>102</v>
      </c>
      <c r="B916">
        <v>6</v>
      </c>
      <c r="C916">
        <v>2.5</v>
      </c>
      <c r="D916">
        <v>1</v>
      </c>
      <c r="E916">
        <v>0</v>
      </c>
      <c r="F916">
        <v>1</v>
      </c>
      <c r="G916">
        <v>1</v>
      </c>
      <c r="H916">
        <v>350</v>
      </c>
      <c r="I916">
        <f t="shared" si="145"/>
        <v>909</v>
      </c>
      <c r="J916" s="6">
        <f t="array" aca="1" ref="J916:N916" ca="1">TRANSPOSE(ols(OFFSET($C$2:$C$10,I916,0),OFFSET($D$2:$H$10,I916,0)))</f>
        <v>39.940476190475579</v>
      </c>
      <c r="K916" s="6">
        <f ca="1"/>
        <v>-1.7857142857141355</v>
      </c>
      <c r="L916" s="6">
        <f ca="1"/>
        <v>-18.809523809523569</v>
      </c>
      <c r="M916" s="6">
        <f ca="1"/>
        <v>4.4047619047618696</v>
      </c>
      <c r="N916" s="6">
        <f ca="1"/>
        <v>-7.0238095238094544E-2</v>
      </c>
      <c r="O916" s="6">
        <f t="shared" ca="1" si="137"/>
        <v>0.95238095238078913</v>
      </c>
      <c r="P916">
        <f t="shared" ca="1" si="138"/>
        <v>0.95238095238078913</v>
      </c>
      <c r="Q916" s="10">
        <f t="shared" ca="1" si="139"/>
        <v>0.95238095238078913</v>
      </c>
      <c r="R916" s="10">
        <f t="shared" ca="1" si="140"/>
        <v>25.53571428571388</v>
      </c>
      <c r="S916" s="10">
        <f t="shared" ca="1" si="141"/>
        <v>-24.583333333333091</v>
      </c>
      <c r="T916" s="10">
        <f t="shared" ca="1" si="142"/>
        <v>350</v>
      </c>
      <c r="U916" s="10">
        <f t="shared" ca="1" si="143"/>
        <v>350</v>
      </c>
      <c r="V916">
        <f t="shared" si="144"/>
        <v>6</v>
      </c>
    </row>
    <row r="917" spans="1:22" x14ac:dyDescent="0.25">
      <c r="A917">
        <v>102</v>
      </c>
      <c r="B917">
        <v>7</v>
      </c>
      <c r="C917">
        <v>12.5</v>
      </c>
      <c r="D917">
        <v>1</v>
      </c>
      <c r="E917">
        <v>1</v>
      </c>
      <c r="F917">
        <v>0</v>
      </c>
      <c r="G917">
        <v>1</v>
      </c>
      <c r="H917">
        <v>450</v>
      </c>
      <c r="I917">
        <f t="shared" si="145"/>
        <v>909</v>
      </c>
      <c r="J917" s="6">
        <f t="array" aca="1" ref="J917:N917" ca="1">TRANSPOSE(ols(OFFSET($C$2:$C$10,I917,0),OFFSET($D$2:$H$10,I917,0)))</f>
        <v>39.940476190475579</v>
      </c>
      <c r="K917" s="6">
        <f ca="1"/>
        <v>-1.7857142857141355</v>
      </c>
      <c r="L917" s="6">
        <f ca="1"/>
        <v>-18.809523809523569</v>
      </c>
      <c r="M917" s="6">
        <f ca="1"/>
        <v>4.4047619047618696</v>
      </c>
      <c r="N917" s="6">
        <f ca="1"/>
        <v>-7.0238095238094544E-2</v>
      </c>
      <c r="O917" s="6">
        <f t="shared" ca="1" si="137"/>
        <v>10.952380952380768</v>
      </c>
      <c r="P917" t="str">
        <f t="shared" si="138"/>
        <v>NA</v>
      </c>
      <c r="Q917" s="10">
        <f t="shared" ca="1" si="139"/>
        <v>0.95238095238078913</v>
      </c>
      <c r="R917" s="10">
        <f t="shared" ca="1" si="140"/>
        <v>42.559523809523313</v>
      </c>
      <c r="S917" s="10">
        <f t="shared" ca="1" si="141"/>
        <v>-41.60714285714252</v>
      </c>
      <c r="T917" s="10">
        <f t="shared" ca="1" si="142"/>
        <v>592.37288135593326</v>
      </c>
      <c r="U917" s="10">
        <f t="shared" ca="1" si="143"/>
        <v>592.37288135593326</v>
      </c>
      <c r="V917">
        <f t="shared" si="144"/>
        <v>5</v>
      </c>
    </row>
    <row r="918" spans="1:22" x14ac:dyDescent="0.25">
      <c r="A918">
        <v>102</v>
      </c>
      <c r="B918">
        <v>8</v>
      </c>
      <c r="C918">
        <v>2.5</v>
      </c>
      <c r="D918">
        <v>1</v>
      </c>
      <c r="E918">
        <v>1</v>
      </c>
      <c r="F918">
        <v>0</v>
      </c>
      <c r="G918">
        <v>1</v>
      </c>
      <c r="H918">
        <v>550</v>
      </c>
      <c r="I918">
        <f t="shared" si="145"/>
        <v>909</v>
      </c>
      <c r="J918" s="6">
        <f t="array" aca="1" ref="J918:N918" ca="1">TRANSPOSE(ols(OFFSET($C$2:$C$10,I918,0),OFFSET($D$2:$H$10,I918,0)))</f>
        <v>39.940476190475579</v>
      </c>
      <c r="K918" s="6">
        <f ca="1"/>
        <v>-1.7857142857141355</v>
      </c>
      <c r="L918" s="6">
        <f ca="1"/>
        <v>-18.809523809523569</v>
      </c>
      <c r="M918" s="6">
        <f ca="1"/>
        <v>4.4047619047618696</v>
      </c>
      <c r="N918" s="6">
        <f ca="1"/>
        <v>-7.0238095238094544E-2</v>
      </c>
      <c r="O918" s="6">
        <f t="shared" ca="1" si="137"/>
        <v>3.9285714285713169</v>
      </c>
      <c r="P918" t="str">
        <f t="shared" si="138"/>
        <v>NA</v>
      </c>
      <c r="Q918" s="10">
        <f t="shared" ca="1" si="139"/>
        <v>0.95238095238078913</v>
      </c>
      <c r="R918" s="10">
        <f t="shared" ca="1" si="140"/>
        <v>42.559523809523313</v>
      </c>
      <c r="S918" s="10">
        <f t="shared" ca="1" si="141"/>
        <v>-41.60714285714252</v>
      </c>
      <c r="T918" s="10">
        <f t="shared" ca="1" si="142"/>
        <v>592.37288135593326</v>
      </c>
      <c r="U918" s="10">
        <f t="shared" ca="1" si="143"/>
        <v>592.37288135593326</v>
      </c>
      <c r="V918">
        <f t="shared" si="144"/>
        <v>5</v>
      </c>
    </row>
    <row r="919" spans="1:22" x14ac:dyDescent="0.25">
      <c r="A919">
        <v>102</v>
      </c>
      <c r="B919">
        <v>9</v>
      </c>
      <c r="C919">
        <v>0</v>
      </c>
      <c r="D919">
        <v>1</v>
      </c>
      <c r="E919">
        <v>0</v>
      </c>
      <c r="F919">
        <v>0</v>
      </c>
      <c r="G919">
        <v>1</v>
      </c>
      <c r="H919">
        <v>650</v>
      </c>
      <c r="I919">
        <f t="shared" si="145"/>
        <v>909</v>
      </c>
      <c r="J919" s="6">
        <f t="array" aca="1" ref="J919:N919" ca="1">TRANSPOSE(ols(OFFSET($C$2:$C$10,I919,0),OFFSET($D$2:$H$10,I919,0)))</f>
        <v>39.940476190475579</v>
      </c>
      <c r="K919" s="6">
        <f ca="1"/>
        <v>-1.7857142857141355</v>
      </c>
      <c r="L919" s="6">
        <f ca="1"/>
        <v>-18.809523809523569</v>
      </c>
      <c r="M919" s="6">
        <f ca="1"/>
        <v>4.4047619047618696</v>
      </c>
      <c r="N919" s="6">
        <f ca="1"/>
        <v>-7.0238095238094544E-2</v>
      </c>
      <c r="O919" s="6">
        <f t="shared" ca="1" si="137"/>
        <v>-1.3095238095240092</v>
      </c>
      <c r="P919" t="str">
        <f t="shared" si="138"/>
        <v>NA</v>
      </c>
      <c r="Q919" s="10">
        <f t="shared" ca="1" si="139"/>
        <v>0.95238095238078913</v>
      </c>
      <c r="R919" s="10">
        <f t="shared" ca="1" si="140"/>
        <v>44.345238095237448</v>
      </c>
      <c r="S919" s="10">
        <f t="shared" ca="1" si="141"/>
        <v>-43.392857142856656</v>
      </c>
      <c r="T919" s="10">
        <f t="shared" ca="1" si="142"/>
        <v>617.79661016949069</v>
      </c>
      <c r="U919" s="10">
        <f t="shared" ca="1" si="143"/>
        <v>617.79661016949069</v>
      </c>
      <c r="V919">
        <f t="shared" si="144"/>
        <v>4</v>
      </c>
    </row>
    <row r="920" spans="1:22" x14ac:dyDescent="0.25">
      <c r="A920">
        <v>103</v>
      </c>
      <c r="B920">
        <v>1</v>
      </c>
      <c r="C920">
        <v>55</v>
      </c>
      <c r="D920">
        <v>1</v>
      </c>
      <c r="E920">
        <v>0</v>
      </c>
      <c r="F920">
        <v>1</v>
      </c>
      <c r="G920">
        <v>0</v>
      </c>
      <c r="H920">
        <v>250</v>
      </c>
      <c r="I920">
        <f t="shared" si="145"/>
        <v>918</v>
      </c>
      <c r="J920" s="6">
        <f t="array" aca="1" ref="J920:N920" ca="1">TRANSPOSE(ols(OFFSET($C$2:$C$10,I920,0),OFFSET($D$2:$H$10,I920,0)))</f>
        <v>154.10714285714039</v>
      </c>
      <c r="K920" s="6">
        <f ca="1"/>
        <v>-9.2857142857142208</v>
      </c>
      <c r="L920" s="6">
        <f ca="1"/>
        <v>-47.142857142857338</v>
      </c>
      <c r="M920" s="6">
        <f ca="1"/>
        <v>1.0714285714287826</v>
      </c>
      <c r="N920" s="6">
        <f ca="1"/>
        <v>-0.2035714285714274</v>
      </c>
      <c r="O920" s="6">
        <f t="shared" ca="1" si="137"/>
        <v>56.071428571426196</v>
      </c>
      <c r="P920" t="str">
        <f t="shared" si="138"/>
        <v>NA</v>
      </c>
      <c r="Q920" s="10">
        <f t="shared" ca="1" si="139"/>
        <v>36.785714285712245</v>
      </c>
      <c r="R920" s="10">
        <f t="shared" ca="1" si="140"/>
        <v>106.96428571428305</v>
      </c>
      <c r="S920" s="10">
        <f t="shared" ca="1" si="141"/>
        <v>-70.178571428570805</v>
      </c>
      <c r="T920" s="10">
        <f t="shared" ca="1" si="142"/>
        <v>344.7368421052621</v>
      </c>
      <c r="U920" s="10">
        <f t="shared" ca="1" si="143"/>
        <v>344.7368421052621</v>
      </c>
      <c r="V920">
        <f t="shared" si="144"/>
        <v>3</v>
      </c>
    </row>
    <row r="921" spans="1:22" x14ac:dyDescent="0.25">
      <c r="A921">
        <v>103</v>
      </c>
      <c r="B921">
        <v>2</v>
      </c>
      <c r="C921">
        <v>70</v>
      </c>
      <c r="D921">
        <v>1</v>
      </c>
      <c r="E921">
        <v>1</v>
      </c>
      <c r="F921">
        <v>0</v>
      </c>
      <c r="G921">
        <v>0</v>
      </c>
      <c r="H921">
        <v>350</v>
      </c>
      <c r="I921">
        <f t="shared" si="145"/>
        <v>918</v>
      </c>
      <c r="J921" s="6">
        <f t="array" aca="1" ref="J921:N921" ca="1">TRANSPOSE(ols(OFFSET($C$2:$C$10,I921,0),OFFSET($D$2:$H$10,I921,0)))</f>
        <v>154.10714285714039</v>
      </c>
      <c r="K921" s="6">
        <f ca="1"/>
        <v>-9.2857142857142208</v>
      </c>
      <c r="L921" s="6">
        <f ca="1"/>
        <v>-47.142857142857338</v>
      </c>
      <c r="M921" s="6">
        <f ca="1"/>
        <v>1.0714285714287826</v>
      </c>
      <c r="N921" s="6">
        <f ca="1"/>
        <v>-0.2035714285714274</v>
      </c>
      <c r="O921" s="6">
        <f t="shared" ca="1" si="137"/>
        <v>73.57142857142658</v>
      </c>
      <c r="P921" t="str">
        <f t="shared" si="138"/>
        <v>NA</v>
      </c>
      <c r="Q921" s="10">
        <f t="shared" ca="1" si="139"/>
        <v>36.785714285712245</v>
      </c>
      <c r="R921" s="10">
        <f t="shared" ca="1" si="140"/>
        <v>144.82142857142617</v>
      </c>
      <c r="S921" s="10">
        <f t="shared" ca="1" si="141"/>
        <v>-108.03571428571392</v>
      </c>
      <c r="T921" s="10">
        <f t="shared" ca="1" si="142"/>
        <v>530.70175438596618</v>
      </c>
      <c r="U921" s="10">
        <f t="shared" ca="1" si="143"/>
        <v>530.70175438596618</v>
      </c>
      <c r="V921">
        <f t="shared" si="144"/>
        <v>2</v>
      </c>
    </row>
    <row r="922" spans="1:22" x14ac:dyDescent="0.25">
      <c r="A922">
        <v>103</v>
      </c>
      <c r="B922">
        <v>3</v>
      </c>
      <c r="C922">
        <v>50</v>
      </c>
      <c r="D922">
        <v>1</v>
      </c>
      <c r="E922">
        <v>1</v>
      </c>
      <c r="F922">
        <v>0</v>
      </c>
      <c r="G922">
        <v>0</v>
      </c>
      <c r="H922">
        <v>450</v>
      </c>
      <c r="I922">
        <f t="shared" si="145"/>
        <v>918</v>
      </c>
      <c r="J922" s="6">
        <f t="array" aca="1" ref="J922:N922" ca="1">TRANSPOSE(ols(OFFSET($C$2:$C$10,I922,0),OFFSET($D$2:$H$10,I922,0)))</f>
        <v>154.10714285714039</v>
      </c>
      <c r="K922" s="6">
        <f ca="1"/>
        <v>-9.2857142857142208</v>
      </c>
      <c r="L922" s="6">
        <f ca="1"/>
        <v>-47.142857142857338</v>
      </c>
      <c r="M922" s="6">
        <f ca="1"/>
        <v>1.0714285714287826</v>
      </c>
      <c r="N922" s="6">
        <f ca="1"/>
        <v>-0.2035714285714274</v>
      </c>
      <c r="O922" s="6">
        <f t="shared" ca="1" si="137"/>
        <v>53.214285714283832</v>
      </c>
      <c r="P922" t="str">
        <f t="shared" si="138"/>
        <v>NA</v>
      </c>
      <c r="Q922" s="10">
        <f t="shared" ca="1" si="139"/>
        <v>36.785714285712245</v>
      </c>
      <c r="R922" s="10">
        <f t="shared" ca="1" si="140"/>
        <v>144.82142857142617</v>
      </c>
      <c r="S922" s="10">
        <f t="shared" ca="1" si="141"/>
        <v>-108.03571428571392</v>
      </c>
      <c r="T922" s="10">
        <f t="shared" ca="1" si="142"/>
        <v>530.70175438596618</v>
      </c>
      <c r="U922" s="10">
        <f t="shared" ca="1" si="143"/>
        <v>530.70175438596618</v>
      </c>
      <c r="V922">
        <f t="shared" si="144"/>
        <v>2</v>
      </c>
    </row>
    <row r="923" spans="1:22" x14ac:dyDescent="0.25">
      <c r="A923">
        <v>103</v>
      </c>
      <c r="B923">
        <v>4</v>
      </c>
      <c r="C923">
        <v>50</v>
      </c>
      <c r="D923">
        <v>1</v>
      </c>
      <c r="E923">
        <v>0</v>
      </c>
      <c r="F923">
        <v>0</v>
      </c>
      <c r="G923">
        <v>0</v>
      </c>
      <c r="H923">
        <v>550</v>
      </c>
      <c r="I923">
        <f t="shared" si="145"/>
        <v>918</v>
      </c>
      <c r="J923" s="6">
        <f t="array" aca="1" ref="J923:N923" ca="1">TRANSPOSE(ols(OFFSET($C$2:$C$10,I923,0),OFFSET($D$2:$H$10,I923,0)))</f>
        <v>154.10714285714039</v>
      </c>
      <c r="K923" s="6">
        <f ca="1"/>
        <v>-9.2857142857142208</v>
      </c>
      <c r="L923" s="6">
        <f ca="1"/>
        <v>-47.142857142857338</v>
      </c>
      <c r="M923" s="6">
        <f ca="1"/>
        <v>1.0714285714287826</v>
      </c>
      <c r="N923" s="6">
        <f ca="1"/>
        <v>-0.2035714285714274</v>
      </c>
      <c r="O923" s="6">
        <f t="shared" ca="1" si="137"/>
        <v>42.14285714285532</v>
      </c>
      <c r="P923" t="str">
        <f t="shared" si="138"/>
        <v>NA</v>
      </c>
      <c r="Q923" s="10">
        <f t="shared" ca="1" si="139"/>
        <v>36.785714285712245</v>
      </c>
      <c r="R923" s="10">
        <f t="shared" ca="1" si="140"/>
        <v>154.10714285714039</v>
      </c>
      <c r="S923" s="10">
        <f t="shared" ca="1" si="141"/>
        <v>-117.32142857142814</v>
      </c>
      <c r="T923" s="10">
        <f t="shared" ca="1" si="142"/>
        <v>576.31578947368541</v>
      </c>
      <c r="U923" s="10">
        <f t="shared" ca="1" si="143"/>
        <v>576.31578947368541</v>
      </c>
      <c r="V923">
        <f t="shared" si="144"/>
        <v>1</v>
      </c>
    </row>
    <row r="924" spans="1:22" x14ac:dyDescent="0.25">
      <c r="A924">
        <v>103</v>
      </c>
      <c r="B924">
        <v>5</v>
      </c>
      <c r="C924">
        <v>55</v>
      </c>
      <c r="D924">
        <v>1</v>
      </c>
      <c r="E924">
        <v>0</v>
      </c>
      <c r="F924">
        <v>1</v>
      </c>
      <c r="G924">
        <v>1</v>
      </c>
      <c r="H924">
        <v>250</v>
      </c>
      <c r="I924">
        <f t="shared" si="145"/>
        <v>918</v>
      </c>
      <c r="J924" s="6">
        <f t="array" aca="1" ref="J924:N924" ca="1">TRANSPOSE(ols(OFFSET($C$2:$C$10,I924,0),OFFSET($D$2:$H$10,I924,0)))</f>
        <v>154.10714285714039</v>
      </c>
      <c r="K924" s="6">
        <f ca="1"/>
        <v>-9.2857142857142208</v>
      </c>
      <c r="L924" s="6">
        <f ca="1"/>
        <v>-47.142857142857338</v>
      </c>
      <c r="M924" s="6">
        <f ca="1"/>
        <v>1.0714285714287826</v>
      </c>
      <c r="N924" s="6">
        <f ca="1"/>
        <v>-0.2035714285714274</v>
      </c>
      <c r="O924" s="6">
        <f t="shared" ca="1" si="137"/>
        <v>57.142857142854979</v>
      </c>
      <c r="P924" t="str">
        <f t="shared" si="138"/>
        <v>NA</v>
      </c>
      <c r="Q924" s="10">
        <f t="shared" ca="1" si="139"/>
        <v>36.785714285712245</v>
      </c>
      <c r="R924" s="10">
        <f t="shared" ca="1" si="140"/>
        <v>108.03571428571183</v>
      </c>
      <c r="S924" s="10">
        <f t="shared" ca="1" si="141"/>
        <v>-71.249999999999588</v>
      </c>
      <c r="T924" s="10">
        <f t="shared" ca="1" si="142"/>
        <v>350</v>
      </c>
      <c r="U924" s="10">
        <f t="shared" ca="1" si="143"/>
        <v>350</v>
      </c>
      <c r="V924">
        <f t="shared" si="144"/>
        <v>6</v>
      </c>
    </row>
    <row r="925" spans="1:22" x14ac:dyDescent="0.25">
      <c r="A925">
        <v>103</v>
      </c>
      <c r="B925">
        <v>6</v>
      </c>
      <c r="C925">
        <v>40</v>
      </c>
      <c r="D925">
        <v>1</v>
      </c>
      <c r="E925">
        <v>0</v>
      </c>
      <c r="F925">
        <v>1</v>
      </c>
      <c r="G925">
        <v>1</v>
      </c>
      <c r="H925">
        <v>350</v>
      </c>
      <c r="I925">
        <f t="shared" si="145"/>
        <v>918</v>
      </c>
      <c r="J925" s="6">
        <f t="array" aca="1" ref="J925:N925" ca="1">TRANSPOSE(ols(OFFSET($C$2:$C$10,I925,0),OFFSET($D$2:$H$10,I925,0)))</f>
        <v>154.10714285714039</v>
      </c>
      <c r="K925" s="6">
        <f ca="1"/>
        <v>-9.2857142857142208</v>
      </c>
      <c r="L925" s="6">
        <f ca="1"/>
        <v>-47.142857142857338</v>
      </c>
      <c r="M925" s="6">
        <f ca="1"/>
        <v>1.0714285714287826</v>
      </c>
      <c r="N925" s="6">
        <f ca="1"/>
        <v>-0.2035714285714274</v>
      </c>
      <c r="O925" s="6">
        <f t="shared" ca="1" si="137"/>
        <v>36.785714285712245</v>
      </c>
      <c r="P925">
        <f t="shared" ca="1" si="138"/>
        <v>36.785714285712245</v>
      </c>
      <c r="Q925" s="10">
        <f t="shared" ca="1" si="139"/>
        <v>36.785714285712245</v>
      </c>
      <c r="R925" s="10">
        <f t="shared" ca="1" si="140"/>
        <v>108.03571428571183</v>
      </c>
      <c r="S925" s="10">
        <f t="shared" ca="1" si="141"/>
        <v>-71.249999999999588</v>
      </c>
      <c r="T925" s="10">
        <f t="shared" ca="1" si="142"/>
        <v>350</v>
      </c>
      <c r="U925" s="10">
        <f t="shared" ca="1" si="143"/>
        <v>350</v>
      </c>
      <c r="V925">
        <f t="shared" si="144"/>
        <v>6</v>
      </c>
    </row>
    <row r="926" spans="1:22" x14ac:dyDescent="0.25">
      <c r="A926">
        <v>103</v>
      </c>
      <c r="B926">
        <v>7</v>
      </c>
      <c r="C926">
        <v>60</v>
      </c>
      <c r="D926">
        <v>1</v>
      </c>
      <c r="E926">
        <v>1</v>
      </c>
      <c r="F926">
        <v>0</v>
      </c>
      <c r="G926">
        <v>1</v>
      </c>
      <c r="H926">
        <v>450</v>
      </c>
      <c r="I926">
        <f t="shared" si="145"/>
        <v>918</v>
      </c>
      <c r="J926" s="6">
        <f t="array" aca="1" ref="J926:N926" ca="1">TRANSPOSE(ols(OFFSET($C$2:$C$10,I926,0),OFFSET($D$2:$H$10,I926,0)))</f>
        <v>154.10714285714039</v>
      </c>
      <c r="K926" s="6">
        <f ca="1"/>
        <v>-9.2857142857142208</v>
      </c>
      <c r="L926" s="6">
        <f ca="1"/>
        <v>-47.142857142857338</v>
      </c>
      <c r="M926" s="6">
        <f ca="1"/>
        <v>1.0714285714287826</v>
      </c>
      <c r="N926" s="6">
        <f ca="1"/>
        <v>-0.2035714285714274</v>
      </c>
      <c r="O926" s="6">
        <f t="shared" ca="1" si="137"/>
        <v>54.285714285712615</v>
      </c>
      <c r="P926" t="str">
        <f t="shared" si="138"/>
        <v>NA</v>
      </c>
      <c r="Q926" s="10">
        <f t="shared" ca="1" si="139"/>
        <v>36.785714285712245</v>
      </c>
      <c r="R926" s="10">
        <f t="shared" ca="1" si="140"/>
        <v>145.89285714285495</v>
      </c>
      <c r="S926" s="10">
        <f t="shared" ca="1" si="141"/>
        <v>-109.1071428571427</v>
      </c>
      <c r="T926" s="10">
        <f t="shared" ca="1" si="142"/>
        <v>535.96491228070408</v>
      </c>
      <c r="U926" s="10">
        <f t="shared" ca="1" si="143"/>
        <v>535.96491228070408</v>
      </c>
      <c r="V926">
        <f t="shared" si="144"/>
        <v>5</v>
      </c>
    </row>
    <row r="927" spans="1:22" x14ac:dyDescent="0.25">
      <c r="A927">
        <v>103</v>
      </c>
      <c r="B927">
        <v>8</v>
      </c>
      <c r="C927">
        <v>35</v>
      </c>
      <c r="D927">
        <v>1</v>
      </c>
      <c r="E927">
        <v>1</v>
      </c>
      <c r="F927">
        <v>0</v>
      </c>
      <c r="G927">
        <v>1</v>
      </c>
      <c r="H927">
        <v>550</v>
      </c>
      <c r="I927">
        <f t="shared" si="145"/>
        <v>918</v>
      </c>
      <c r="J927" s="6">
        <f t="array" aca="1" ref="J927:N927" ca="1">TRANSPOSE(ols(OFFSET($C$2:$C$10,I927,0),OFFSET($D$2:$H$10,I927,0)))</f>
        <v>154.10714285714039</v>
      </c>
      <c r="K927" s="6">
        <f ca="1"/>
        <v>-9.2857142857142208</v>
      </c>
      <c r="L927" s="6">
        <f ca="1"/>
        <v>-47.142857142857338</v>
      </c>
      <c r="M927" s="6">
        <f ca="1"/>
        <v>1.0714285714287826</v>
      </c>
      <c r="N927" s="6">
        <f ca="1"/>
        <v>-0.2035714285714274</v>
      </c>
      <c r="O927" s="6">
        <f t="shared" ca="1" si="137"/>
        <v>33.928571428569882</v>
      </c>
      <c r="P927" t="str">
        <f t="shared" si="138"/>
        <v>NA</v>
      </c>
      <c r="Q927" s="10">
        <f t="shared" ca="1" si="139"/>
        <v>36.785714285712245</v>
      </c>
      <c r="R927" s="10">
        <f t="shared" ca="1" si="140"/>
        <v>145.89285714285495</v>
      </c>
      <c r="S927" s="10">
        <f t="shared" ca="1" si="141"/>
        <v>-109.1071428571427</v>
      </c>
      <c r="T927" s="10">
        <f t="shared" ca="1" si="142"/>
        <v>535.96491228070408</v>
      </c>
      <c r="U927" s="10">
        <f t="shared" ca="1" si="143"/>
        <v>535.96491228070408</v>
      </c>
      <c r="V927">
        <f t="shared" si="144"/>
        <v>5</v>
      </c>
    </row>
    <row r="928" spans="1:22" x14ac:dyDescent="0.25">
      <c r="A928">
        <v>103</v>
      </c>
      <c r="B928">
        <v>9</v>
      </c>
      <c r="C928">
        <v>15</v>
      </c>
      <c r="D928">
        <v>1</v>
      </c>
      <c r="E928">
        <v>0</v>
      </c>
      <c r="F928">
        <v>0</v>
      </c>
      <c r="G928">
        <v>1</v>
      </c>
      <c r="H928">
        <v>650</v>
      </c>
      <c r="I928">
        <f t="shared" si="145"/>
        <v>918</v>
      </c>
      <c r="J928" s="6">
        <f t="array" aca="1" ref="J928:N928" ca="1">TRANSPOSE(ols(OFFSET($C$2:$C$10,I928,0),OFFSET($D$2:$H$10,I928,0)))</f>
        <v>154.10714285714039</v>
      </c>
      <c r="K928" s="6">
        <f ca="1"/>
        <v>-9.2857142857142208</v>
      </c>
      <c r="L928" s="6">
        <f ca="1"/>
        <v>-47.142857142857338</v>
      </c>
      <c r="M928" s="6">
        <f ca="1"/>
        <v>1.0714285714287826</v>
      </c>
      <c r="N928" s="6">
        <f ca="1"/>
        <v>-0.2035714285714274</v>
      </c>
      <c r="O928" s="6">
        <f t="shared" ca="1" si="137"/>
        <v>22.857142857141355</v>
      </c>
      <c r="P928" t="str">
        <f t="shared" si="138"/>
        <v>NA</v>
      </c>
      <c r="Q928" s="10">
        <f t="shared" ca="1" si="139"/>
        <v>36.785714285712245</v>
      </c>
      <c r="R928" s="10">
        <f t="shared" ca="1" si="140"/>
        <v>155.17857142856917</v>
      </c>
      <c r="S928" s="10">
        <f t="shared" ca="1" si="141"/>
        <v>-118.39285714285693</v>
      </c>
      <c r="T928" s="10">
        <f t="shared" ca="1" si="142"/>
        <v>581.57894736842331</v>
      </c>
      <c r="U928" s="10">
        <f t="shared" ca="1" si="143"/>
        <v>581.57894736842331</v>
      </c>
      <c r="V928">
        <f t="shared" si="144"/>
        <v>4</v>
      </c>
    </row>
    <row r="929" spans="1:22" x14ac:dyDescent="0.25">
      <c r="A929">
        <v>104</v>
      </c>
      <c r="B929">
        <v>1</v>
      </c>
      <c r="C929">
        <v>90</v>
      </c>
      <c r="D929">
        <v>1</v>
      </c>
      <c r="E929">
        <v>0</v>
      </c>
      <c r="F929">
        <v>1</v>
      </c>
      <c r="G929">
        <v>0</v>
      </c>
      <c r="H929">
        <v>250</v>
      </c>
      <c r="I929">
        <f t="shared" si="145"/>
        <v>927</v>
      </c>
      <c r="J929" s="6">
        <f t="array" aca="1" ref="J929:N929" ca="1">TRANSPOSE(ols(OFFSET($C$2:$C$10,I929,0),OFFSET($D$2:$H$10,I929,0)))</f>
        <v>107.20238095237983</v>
      </c>
      <c r="K929" s="6">
        <f ca="1"/>
        <v>-3.9285714285711038</v>
      </c>
      <c r="L929" s="6">
        <f ca="1"/>
        <v>-4.0476190476192642</v>
      </c>
      <c r="M929" s="6">
        <f ca="1"/>
        <v>2.0238095238100868</v>
      </c>
      <c r="N929" s="6">
        <f ca="1"/>
        <v>-5.1190476190477341E-2</v>
      </c>
      <c r="O929" s="6">
        <f t="shared" ca="1" si="137"/>
        <v>90.357142857141227</v>
      </c>
      <c r="P929" t="str">
        <f t="shared" si="138"/>
        <v>NA</v>
      </c>
      <c r="Q929" s="10">
        <f t="shared" ca="1" si="139"/>
        <v>87.26190476190358</v>
      </c>
      <c r="R929" s="10">
        <f t="shared" ca="1" si="140"/>
        <v>103.15476190476056</v>
      </c>
      <c r="S929" s="10">
        <f t="shared" ca="1" si="141"/>
        <v>-15.892857142856982</v>
      </c>
      <c r="T929" s="10">
        <f t="shared" ca="1" si="142"/>
        <v>310.46511627905966</v>
      </c>
      <c r="U929" s="10">
        <f t="shared" ca="1" si="143"/>
        <v>310.46511627905966</v>
      </c>
      <c r="V929">
        <f t="shared" si="144"/>
        <v>3</v>
      </c>
    </row>
    <row r="930" spans="1:22" x14ac:dyDescent="0.25">
      <c r="A930">
        <v>104</v>
      </c>
      <c r="B930">
        <v>2</v>
      </c>
      <c r="C930">
        <v>90</v>
      </c>
      <c r="D930">
        <v>1</v>
      </c>
      <c r="E930">
        <v>1</v>
      </c>
      <c r="F930">
        <v>0</v>
      </c>
      <c r="G930">
        <v>0</v>
      </c>
      <c r="H930">
        <v>350</v>
      </c>
      <c r="I930">
        <f t="shared" si="145"/>
        <v>927</v>
      </c>
      <c r="J930" s="6">
        <f t="array" aca="1" ref="J930:N930" ca="1">TRANSPOSE(ols(OFFSET($C$2:$C$10,I930,0),OFFSET($D$2:$H$10,I930,0)))</f>
        <v>107.20238095237983</v>
      </c>
      <c r="K930" s="6">
        <f ca="1"/>
        <v>-3.9285714285711038</v>
      </c>
      <c r="L930" s="6">
        <f ca="1"/>
        <v>-4.0476190476192642</v>
      </c>
      <c r="M930" s="6">
        <f ca="1"/>
        <v>2.0238095238100868</v>
      </c>
      <c r="N930" s="6">
        <f ca="1"/>
        <v>-5.1190476190477341E-2</v>
      </c>
      <c r="O930" s="6">
        <f t="shared" ca="1" si="137"/>
        <v>85.357142857141653</v>
      </c>
      <c r="P930" t="str">
        <f t="shared" si="138"/>
        <v>NA</v>
      </c>
      <c r="Q930" s="10">
        <f t="shared" ca="1" si="139"/>
        <v>87.26190476190358</v>
      </c>
      <c r="R930" s="10">
        <f t="shared" ca="1" si="140"/>
        <v>103.27380952380872</v>
      </c>
      <c r="S930" s="10">
        <f t="shared" ca="1" si="141"/>
        <v>-16.011904761905143</v>
      </c>
      <c r="T930" s="10">
        <f t="shared" ca="1" si="142"/>
        <v>312.79069767441899</v>
      </c>
      <c r="U930" s="10">
        <f t="shared" ca="1" si="143"/>
        <v>312.79069767441899</v>
      </c>
      <c r="V930">
        <f t="shared" si="144"/>
        <v>2</v>
      </c>
    </row>
    <row r="931" spans="1:22" x14ac:dyDescent="0.25">
      <c r="A931">
        <v>104</v>
      </c>
      <c r="B931">
        <v>3</v>
      </c>
      <c r="C931">
        <v>80</v>
      </c>
      <c r="D931">
        <v>1</v>
      </c>
      <c r="E931">
        <v>1</v>
      </c>
      <c r="F931">
        <v>0</v>
      </c>
      <c r="G931">
        <v>0</v>
      </c>
      <c r="H931">
        <v>450</v>
      </c>
      <c r="I931">
        <f t="shared" si="145"/>
        <v>927</v>
      </c>
      <c r="J931" s="6">
        <f t="array" aca="1" ref="J931:N931" ca="1">TRANSPOSE(ols(OFFSET($C$2:$C$10,I931,0),OFFSET($D$2:$H$10,I931,0)))</f>
        <v>107.20238095237983</v>
      </c>
      <c r="K931" s="6">
        <f ca="1"/>
        <v>-3.9285714285711038</v>
      </c>
      <c r="L931" s="6">
        <f ca="1"/>
        <v>-4.0476190476192642</v>
      </c>
      <c r="M931" s="6">
        <f ca="1"/>
        <v>2.0238095238100868</v>
      </c>
      <c r="N931" s="6">
        <f ca="1"/>
        <v>-5.1190476190477341E-2</v>
      </c>
      <c r="O931" s="6">
        <f t="shared" ca="1" si="137"/>
        <v>80.238095238093919</v>
      </c>
      <c r="P931" t="str">
        <f t="shared" si="138"/>
        <v>NA</v>
      </c>
      <c r="Q931" s="10">
        <f t="shared" ca="1" si="139"/>
        <v>87.26190476190358</v>
      </c>
      <c r="R931" s="10">
        <f t="shared" ca="1" si="140"/>
        <v>103.27380952380872</v>
      </c>
      <c r="S931" s="10">
        <f t="shared" ca="1" si="141"/>
        <v>-16.011904761905143</v>
      </c>
      <c r="T931" s="10">
        <f t="shared" ca="1" si="142"/>
        <v>312.79069767441899</v>
      </c>
      <c r="U931" s="10">
        <f t="shared" ca="1" si="143"/>
        <v>312.79069767441899</v>
      </c>
      <c r="V931">
        <f t="shared" si="144"/>
        <v>2</v>
      </c>
    </row>
    <row r="932" spans="1:22" x14ac:dyDescent="0.25">
      <c r="A932">
        <v>104</v>
      </c>
      <c r="B932">
        <v>4</v>
      </c>
      <c r="C932">
        <v>75</v>
      </c>
      <c r="D932">
        <v>1</v>
      </c>
      <c r="E932">
        <v>0</v>
      </c>
      <c r="F932">
        <v>0</v>
      </c>
      <c r="G932">
        <v>0</v>
      </c>
      <c r="H932">
        <v>550</v>
      </c>
      <c r="I932">
        <f t="shared" si="145"/>
        <v>927</v>
      </c>
      <c r="J932" s="6">
        <f t="array" aca="1" ref="J932:N932" ca="1">TRANSPOSE(ols(OFFSET($C$2:$C$10,I932,0),OFFSET($D$2:$H$10,I932,0)))</f>
        <v>107.20238095237983</v>
      </c>
      <c r="K932" s="6">
        <f ca="1"/>
        <v>-3.9285714285711038</v>
      </c>
      <c r="L932" s="6">
        <f ca="1"/>
        <v>-4.0476190476192642</v>
      </c>
      <c r="M932" s="6">
        <f ca="1"/>
        <v>2.0238095238100868</v>
      </c>
      <c r="N932" s="6">
        <f ca="1"/>
        <v>-5.1190476190477341E-2</v>
      </c>
      <c r="O932" s="6">
        <f t="shared" ca="1" si="137"/>
        <v>79.047619047617289</v>
      </c>
      <c r="P932" t="str">
        <f t="shared" si="138"/>
        <v>NA</v>
      </c>
      <c r="Q932" s="10">
        <f t="shared" ca="1" si="139"/>
        <v>87.26190476190358</v>
      </c>
      <c r="R932" s="10">
        <f t="shared" ca="1" si="140"/>
        <v>107.20238095237983</v>
      </c>
      <c r="S932" s="10">
        <f t="shared" ca="1" si="141"/>
        <v>-19.940476190476247</v>
      </c>
      <c r="T932" s="10">
        <f t="shared" ca="1" si="142"/>
        <v>389.53488372092255</v>
      </c>
      <c r="U932" s="10">
        <f t="shared" ca="1" si="143"/>
        <v>389.53488372092255</v>
      </c>
      <c r="V932">
        <f t="shared" si="144"/>
        <v>1</v>
      </c>
    </row>
    <row r="933" spans="1:22" x14ac:dyDescent="0.25">
      <c r="A933">
        <v>104</v>
      </c>
      <c r="B933">
        <v>5</v>
      </c>
      <c r="C933">
        <v>90</v>
      </c>
      <c r="D933">
        <v>1</v>
      </c>
      <c r="E933">
        <v>0</v>
      </c>
      <c r="F933">
        <v>1</v>
      </c>
      <c r="G933">
        <v>1</v>
      </c>
      <c r="H933">
        <v>250</v>
      </c>
      <c r="I933">
        <f t="shared" si="145"/>
        <v>927</v>
      </c>
      <c r="J933" s="6">
        <f t="array" aca="1" ref="J933:N933" ca="1">TRANSPOSE(ols(OFFSET($C$2:$C$10,I933,0),OFFSET($D$2:$H$10,I933,0)))</f>
        <v>107.20238095237983</v>
      </c>
      <c r="K933" s="6">
        <f ca="1"/>
        <v>-3.9285714285711038</v>
      </c>
      <c r="L933" s="6">
        <f ca="1"/>
        <v>-4.0476190476192642</v>
      </c>
      <c r="M933" s="6">
        <f ca="1"/>
        <v>2.0238095238100868</v>
      </c>
      <c r="N933" s="6">
        <f ca="1"/>
        <v>-5.1190476190477341E-2</v>
      </c>
      <c r="O933" s="6">
        <f t="shared" ca="1" si="137"/>
        <v>92.380952380951314</v>
      </c>
      <c r="P933" t="str">
        <f t="shared" si="138"/>
        <v>NA</v>
      </c>
      <c r="Q933" s="10">
        <f t="shared" ca="1" si="139"/>
        <v>87.26190476190358</v>
      </c>
      <c r="R933" s="10">
        <f t="shared" ca="1" si="140"/>
        <v>105.17857142857065</v>
      </c>
      <c r="S933" s="10">
        <f t="shared" ca="1" si="141"/>
        <v>-17.916666666667069</v>
      </c>
      <c r="T933" s="10">
        <f t="shared" ca="1" si="142"/>
        <v>350</v>
      </c>
      <c r="U933" s="10">
        <f t="shared" ca="1" si="143"/>
        <v>350</v>
      </c>
      <c r="V933">
        <f t="shared" si="144"/>
        <v>6</v>
      </c>
    </row>
    <row r="934" spans="1:22" x14ac:dyDescent="0.25">
      <c r="A934">
        <v>104</v>
      </c>
      <c r="B934">
        <v>6</v>
      </c>
      <c r="C934">
        <v>90</v>
      </c>
      <c r="D934">
        <v>1</v>
      </c>
      <c r="E934">
        <v>0</v>
      </c>
      <c r="F934">
        <v>1</v>
      </c>
      <c r="G934">
        <v>1</v>
      </c>
      <c r="H934">
        <v>350</v>
      </c>
      <c r="I934">
        <f t="shared" si="145"/>
        <v>927</v>
      </c>
      <c r="J934" s="6">
        <f t="array" aca="1" ref="J934:N934" ca="1">TRANSPOSE(ols(OFFSET($C$2:$C$10,I934,0),OFFSET($D$2:$H$10,I934,0)))</f>
        <v>107.20238095237983</v>
      </c>
      <c r="K934" s="6">
        <f ca="1"/>
        <v>-3.9285714285711038</v>
      </c>
      <c r="L934" s="6">
        <f ca="1"/>
        <v>-4.0476190476192642</v>
      </c>
      <c r="M934" s="6">
        <f ca="1"/>
        <v>2.0238095238100868</v>
      </c>
      <c r="N934" s="6">
        <f ca="1"/>
        <v>-5.1190476190477341E-2</v>
      </c>
      <c r="O934" s="6">
        <f t="shared" ca="1" si="137"/>
        <v>87.26190476190358</v>
      </c>
      <c r="P934">
        <f t="shared" ca="1" si="138"/>
        <v>87.26190476190358</v>
      </c>
      <c r="Q934" s="10">
        <f t="shared" ca="1" si="139"/>
        <v>87.26190476190358</v>
      </c>
      <c r="R934" s="10">
        <f t="shared" ca="1" si="140"/>
        <v>105.17857142857065</v>
      </c>
      <c r="S934" s="10">
        <f t="shared" ca="1" si="141"/>
        <v>-17.916666666667069</v>
      </c>
      <c r="T934" s="10">
        <f t="shared" ca="1" si="142"/>
        <v>350</v>
      </c>
      <c r="U934" s="10">
        <f t="shared" ca="1" si="143"/>
        <v>350</v>
      </c>
      <c r="V934">
        <f t="shared" si="144"/>
        <v>6</v>
      </c>
    </row>
    <row r="935" spans="1:22" x14ac:dyDescent="0.25">
      <c r="A935">
        <v>104</v>
      </c>
      <c r="B935">
        <v>7</v>
      </c>
      <c r="C935">
        <v>80</v>
      </c>
      <c r="D935">
        <v>1</v>
      </c>
      <c r="E935">
        <v>1</v>
      </c>
      <c r="F935">
        <v>0</v>
      </c>
      <c r="G935">
        <v>1</v>
      </c>
      <c r="H935">
        <v>450</v>
      </c>
      <c r="I935">
        <f t="shared" si="145"/>
        <v>927</v>
      </c>
      <c r="J935" s="6">
        <f t="array" aca="1" ref="J935:N935" ca="1">TRANSPOSE(ols(OFFSET($C$2:$C$10,I935,0),OFFSET($D$2:$H$10,I935,0)))</f>
        <v>107.20238095237983</v>
      </c>
      <c r="K935" s="6">
        <f ca="1"/>
        <v>-3.9285714285711038</v>
      </c>
      <c r="L935" s="6">
        <f ca="1"/>
        <v>-4.0476190476192642</v>
      </c>
      <c r="M935" s="6">
        <f ca="1"/>
        <v>2.0238095238100868</v>
      </c>
      <c r="N935" s="6">
        <f ca="1"/>
        <v>-5.1190476190477341E-2</v>
      </c>
      <c r="O935" s="6">
        <f t="shared" ca="1" si="137"/>
        <v>82.261904761904006</v>
      </c>
      <c r="P935" t="str">
        <f t="shared" si="138"/>
        <v>NA</v>
      </c>
      <c r="Q935" s="10">
        <f t="shared" ca="1" si="139"/>
        <v>87.26190476190358</v>
      </c>
      <c r="R935" s="10">
        <f t="shared" ca="1" si="140"/>
        <v>105.29761904761881</v>
      </c>
      <c r="S935" s="10">
        <f t="shared" ca="1" si="141"/>
        <v>-18.03571428571523</v>
      </c>
      <c r="T935" s="10">
        <f t="shared" ca="1" si="142"/>
        <v>352.32558139535934</v>
      </c>
      <c r="U935" s="10">
        <f t="shared" ca="1" si="143"/>
        <v>352.32558139535934</v>
      </c>
      <c r="V935">
        <f t="shared" si="144"/>
        <v>5</v>
      </c>
    </row>
    <row r="936" spans="1:22" x14ac:dyDescent="0.25">
      <c r="A936">
        <v>104</v>
      </c>
      <c r="B936">
        <v>8</v>
      </c>
      <c r="C936">
        <v>75</v>
      </c>
      <c r="D936">
        <v>1</v>
      </c>
      <c r="E936">
        <v>1</v>
      </c>
      <c r="F936">
        <v>0</v>
      </c>
      <c r="G936">
        <v>1</v>
      </c>
      <c r="H936">
        <v>550</v>
      </c>
      <c r="I936">
        <f t="shared" si="145"/>
        <v>927</v>
      </c>
      <c r="J936" s="6">
        <f t="array" aca="1" ref="J936:N936" ca="1">TRANSPOSE(ols(OFFSET($C$2:$C$10,I936,0),OFFSET($D$2:$H$10,I936,0)))</f>
        <v>107.20238095237983</v>
      </c>
      <c r="K936" s="6">
        <f ca="1"/>
        <v>-3.9285714285711038</v>
      </c>
      <c r="L936" s="6">
        <f ca="1"/>
        <v>-4.0476190476192642</v>
      </c>
      <c r="M936" s="6">
        <f ca="1"/>
        <v>2.0238095238100868</v>
      </c>
      <c r="N936" s="6">
        <f ca="1"/>
        <v>-5.1190476190477341E-2</v>
      </c>
      <c r="O936" s="6">
        <f t="shared" ca="1" si="137"/>
        <v>77.142857142856272</v>
      </c>
      <c r="P936" t="str">
        <f t="shared" si="138"/>
        <v>NA</v>
      </c>
      <c r="Q936" s="10">
        <f t="shared" ca="1" si="139"/>
        <v>87.26190476190358</v>
      </c>
      <c r="R936" s="10">
        <f t="shared" ca="1" si="140"/>
        <v>105.29761904761881</v>
      </c>
      <c r="S936" s="10">
        <f t="shared" ca="1" si="141"/>
        <v>-18.03571428571523</v>
      </c>
      <c r="T936" s="10">
        <f t="shared" ca="1" si="142"/>
        <v>352.32558139535934</v>
      </c>
      <c r="U936" s="10">
        <f t="shared" ca="1" si="143"/>
        <v>352.32558139535934</v>
      </c>
      <c r="V936">
        <f t="shared" si="144"/>
        <v>5</v>
      </c>
    </row>
    <row r="937" spans="1:22" x14ac:dyDescent="0.25">
      <c r="A937">
        <v>104</v>
      </c>
      <c r="B937">
        <v>9</v>
      </c>
      <c r="C937">
        <v>80</v>
      </c>
      <c r="D937">
        <v>1</v>
      </c>
      <c r="E937">
        <v>0</v>
      </c>
      <c r="F937">
        <v>0</v>
      </c>
      <c r="G937">
        <v>1</v>
      </c>
      <c r="H937">
        <v>650</v>
      </c>
      <c r="I937">
        <f t="shared" si="145"/>
        <v>927</v>
      </c>
      <c r="J937" s="6">
        <f t="array" aca="1" ref="J937:N937" ca="1">TRANSPOSE(ols(OFFSET($C$2:$C$10,I937,0),OFFSET($D$2:$H$10,I937,0)))</f>
        <v>107.20238095237983</v>
      </c>
      <c r="K937" s="6">
        <f ca="1"/>
        <v>-3.9285714285711038</v>
      </c>
      <c r="L937" s="6">
        <f ca="1"/>
        <v>-4.0476190476192642</v>
      </c>
      <c r="M937" s="6">
        <f ca="1"/>
        <v>2.0238095238100868</v>
      </c>
      <c r="N937" s="6">
        <f ca="1"/>
        <v>-5.1190476190477341E-2</v>
      </c>
      <c r="O937" s="6">
        <f t="shared" ca="1" si="137"/>
        <v>75.952380952379642</v>
      </c>
      <c r="P937" t="str">
        <f t="shared" si="138"/>
        <v>NA</v>
      </c>
      <c r="Q937" s="10">
        <f t="shared" ca="1" si="139"/>
        <v>87.26190476190358</v>
      </c>
      <c r="R937" s="10">
        <f t="shared" ca="1" si="140"/>
        <v>109.22619047618991</v>
      </c>
      <c r="S937" s="10">
        <f t="shared" ca="1" si="141"/>
        <v>-21.964285714286333</v>
      </c>
      <c r="T937" s="10">
        <f t="shared" ca="1" si="142"/>
        <v>429.06976744186289</v>
      </c>
      <c r="U937" s="10">
        <f t="shared" ca="1" si="143"/>
        <v>429.06976744186289</v>
      </c>
      <c r="V937">
        <f t="shared" si="144"/>
        <v>4</v>
      </c>
    </row>
    <row r="938" spans="1:22" x14ac:dyDescent="0.25">
      <c r="A938">
        <v>105</v>
      </c>
      <c r="B938">
        <v>1</v>
      </c>
      <c r="C938">
        <v>60</v>
      </c>
      <c r="D938">
        <v>1</v>
      </c>
      <c r="E938">
        <v>0</v>
      </c>
      <c r="F938">
        <v>1</v>
      </c>
      <c r="G938">
        <v>0</v>
      </c>
      <c r="H938">
        <v>250</v>
      </c>
      <c r="I938">
        <f t="shared" si="145"/>
        <v>936</v>
      </c>
      <c r="J938" s="6">
        <f t="array" aca="1" ref="J938:N938" ca="1">TRANSPOSE(ols(OFFSET($C$2:$C$10,I938,0),OFFSET($D$2:$H$10,I938,0)))</f>
        <v>113.33333333333212</v>
      </c>
      <c r="K938" s="6">
        <f ca="1"/>
        <v>-2.4999999999997726</v>
      </c>
      <c r="L938" s="6">
        <f ca="1"/>
        <v>-6.6666666666665151</v>
      </c>
      <c r="M938" s="6">
        <f ca="1"/>
        <v>-1.6666666666666288</v>
      </c>
      <c r="N938" s="6">
        <f ca="1"/>
        <v>-0.16666666666666519</v>
      </c>
      <c r="O938" s="6">
        <f t="shared" ca="1" si="137"/>
        <v>64.999999999999318</v>
      </c>
      <c r="P938" t="str">
        <f t="shared" si="138"/>
        <v>NA</v>
      </c>
      <c r="Q938" s="10">
        <f t="shared" ca="1" si="139"/>
        <v>46.66666666666616</v>
      </c>
      <c r="R938" s="10">
        <f t="shared" ca="1" si="140"/>
        <v>106.66666666666561</v>
      </c>
      <c r="S938" s="10">
        <f t="shared" ca="1" si="141"/>
        <v>-59.999999999999446</v>
      </c>
      <c r="T938" s="10">
        <f t="shared" ca="1" si="142"/>
        <v>359.99999999999989</v>
      </c>
      <c r="U938" s="10">
        <f t="shared" ca="1" si="143"/>
        <v>359.99999999999989</v>
      </c>
      <c r="V938">
        <f t="shared" si="144"/>
        <v>3</v>
      </c>
    </row>
    <row r="939" spans="1:22" x14ac:dyDescent="0.25">
      <c r="A939">
        <v>105</v>
      </c>
      <c r="B939">
        <v>2</v>
      </c>
      <c r="C939">
        <v>60</v>
      </c>
      <c r="D939">
        <v>1</v>
      </c>
      <c r="E939">
        <v>1</v>
      </c>
      <c r="F939">
        <v>0</v>
      </c>
      <c r="G939">
        <v>0</v>
      </c>
      <c r="H939">
        <v>350</v>
      </c>
      <c r="I939">
        <f t="shared" si="145"/>
        <v>936</v>
      </c>
      <c r="J939" s="6">
        <f t="array" aca="1" ref="J939:N939" ca="1">TRANSPOSE(ols(OFFSET($C$2:$C$10,I939,0),OFFSET($D$2:$H$10,I939,0)))</f>
        <v>113.33333333333212</v>
      </c>
      <c r="K939" s="6">
        <f ca="1"/>
        <v>-2.4999999999997726</v>
      </c>
      <c r="L939" s="6">
        <f ca="1"/>
        <v>-6.6666666666665151</v>
      </c>
      <c r="M939" s="6">
        <f ca="1"/>
        <v>-1.6666666666666288</v>
      </c>
      <c r="N939" s="6">
        <f ca="1"/>
        <v>-0.16666666666666519</v>
      </c>
      <c r="O939" s="6">
        <f t="shared" ca="1" si="137"/>
        <v>52.499999999999531</v>
      </c>
      <c r="P939" t="str">
        <f t="shared" si="138"/>
        <v>NA</v>
      </c>
      <c r="Q939" s="10">
        <f t="shared" ca="1" si="139"/>
        <v>46.66666666666616</v>
      </c>
      <c r="R939" s="10">
        <f t="shared" ca="1" si="140"/>
        <v>110.83333333333235</v>
      </c>
      <c r="S939" s="10">
        <f t="shared" ca="1" si="141"/>
        <v>-64.166666666666188</v>
      </c>
      <c r="T939" s="10">
        <f t="shared" ca="1" si="142"/>
        <v>385.00000000000057</v>
      </c>
      <c r="U939" s="10">
        <f t="shared" ca="1" si="143"/>
        <v>385.00000000000057</v>
      </c>
      <c r="V939">
        <f t="shared" si="144"/>
        <v>2</v>
      </c>
    </row>
    <row r="940" spans="1:22" x14ac:dyDescent="0.25">
      <c r="A940">
        <v>105</v>
      </c>
      <c r="B940">
        <v>3</v>
      </c>
      <c r="C940">
        <v>35</v>
      </c>
      <c r="D940">
        <v>1</v>
      </c>
      <c r="E940">
        <v>1</v>
      </c>
      <c r="F940">
        <v>0</v>
      </c>
      <c r="G940">
        <v>0</v>
      </c>
      <c r="H940">
        <v>450</v>
      </c>
      <c r="I940">
        <f t="shared" si="145"/>
        <v>936</v>
      </c>
      <c r="J940" s="6">
        <f t="array" aca="1" ref="J940:N940" ca="1">TRANSPOSE(ols(OFFSET($C$2:$C$10,I940,0),OFFSET($D$2:$H$10,I940,0)))</f>
        <v>113.33333333333212</v>
      </c>
      <c r="K940" s="6">
        <f ca="1"/>
        <v>-2.4999999999997726</v>
      </c>
      <c r="L940" s="6">
        <f ca="1"/>
        <v>-6.6666666666665151</v>
      </c>
      <c r="M940" s="6">
        <f ca="1"/>
        <v>-1.6666666666666288</v>
      </c>
      <c r="N940" s="6">
        <f ca="1"/>
        <v>-0.16666666666666519</v>
      </c>
      <c r="O940" s="6">
        <f t="shared" ca="1" si="137"/>
        <v>35.833333333333016</v>
      </c>
      <c r="P940" t="str">
        <f t="shared" si="138"/>
        <v>NA</v>
      </c>
      <c r="Q940" s="10">
        <f t="shared" ca="1" si="139"/>
        <v>46.66666666666616</v>
      </c>
      <c r="R940" s="10">
        <f t="shared" ca="1" si="140"/>
        <v>110.83333333333235</v>
      </c>
      <c r="S940" s="10">
        <f t="shared" ca="1" si="141"/>
        <v>-64.166666666666188</v>
      </c>
      <c r="T940" s="10">
        <f t="shared" ca="1" si="142"/>
        <v>385.00000000000057</v>
      </c>
      <c r="U940" s="10">
        <f t="shared" ca="1" si="143"/>
        <v>385.00000000000057</v>
      </c>
      <c r="V940">
        <f t="shared" si="144"/>
        <v>2</v>
      </c>
    </row>
    <row r="941" spans="1:22" x14ac:dyDescent="0.25">
      <c r="A941">
        <v>105</v>
      </c>
      <c r="B941">
        <v>4</v>
      </c>
      <c r="C941">
        <v>20</v>
      </c>
      <c r="D941">
        <v>1</v>
      </c>
      <c r="E941">
        <v>0</v>
      </c>
      <c r="F941">
        <v>0</v>
      </c>
      <c r="G941">
        <v>0</v>
      </c>
      <c r="H941">
        <v>550</v>
      </c>
      <c r="I941">
        <f t="shared" si="145"/>
        <v>936</v>
      </c>
      <c r="J941" s="6">
        <f t="array" aca="1" ref="J941:N941" ca="1">TRANSPOSE(ols(OFFSET($C$2:$C$10,I941,0),OFFSET($D$2:$H$10,I941,0)))</f>
        <v>113.33333333333212</v>
      </c>
      <c r="K941" s="6">
        <f ca="1"/>
        <v>-2.4999999999997726</v>
      </c>
      <c r="L941" s="6">
        <f ca="1"/>
        <v>-6.6666666666665151</v>
      </c>
      <c r="M941" s="6">
        <f ca="1"/>
        <v>-1.6666666666666288</v>
      </c>
      <c r="N941" s="6">
        <f ca="1"/>
        <v>-0.16666666666666519</v>
      </c>
      <c r="O941" s="6">
        <f t="shared" ca="1" si="137"/>
        <v>21.666666666666273</v>
      </c>
      <c r="P941" t="str">
        <f t="shared" si="138"/>
        <v>NA</v>
      </c>
      <c r="Q941" s="10">
        <f t="shared" ca="1" si="139"/>
        <v>46.66666666666616</v>
      </c>
      <c r="R941" s="10">
        <f t="shared" ca="1" si="140"/>
        <v>113.33333333333212</v>
      </c>
      <c r="S941" s="10">
        <f t="shared" ca="1" si="141"/>
        <v>-66.666666666665961</v>
      </c>
      <c r="T941" s="10">
        <f t="shared" ca="1" si="142"/>
        <v>399.99999999999932</v>
      </c>
      <c r="U941" s="10">
        <f t="shared" ca="1" si="143"/>
        <v>399.99999999999932</v>
      </c>
      <c r="V941">
        <f t="shared" si="144"/>
        <v>1</v>
      </c>
    </row>
    <row r="942" spans="1:22" x14ac:dyDescent="0.25">
      <c r="A942">
        <v>105</v>
      </c>
      <c r="B942">
        <v>5</v>
      </c>
      <c r="C942">
        <v>60</v>
      </c>
      <c r="D942">
        <v>1</v>
      </c>
      <c r="E942">
        <v>0</v>
      </c>
      <c r="F942">
        <v>1</v>
      </c>
      <c r="G942">
        <v>1</v>
      </c>
      <c r="H942">
        <v>250</v>
      </c>
      <c r="I942">
        <f t="shared" si="145"/>
        <v>936</v>
      </c>
      <c r="J942" s="6">
        <f t="array" aca="1" ref="J942:N942" ca="1">TRANSPOSE(ols(OFFSET($C$2:$C$10,I942,0),OFFSET($D$2:$H$10,I942,0)))</f>
        <v>113.33333333333212</v>
      </c>
      <c r="K942" s="6">
        <f ca="1"/>
        <v>-2.4999999999997726</v>
      </c>
      <c r="L942" s="6">
        <f ca="1"/>
        <v>-6.6666666666665151</v>
      </c>
      <c r="M942" s="6">
        <f ca="1"/>
        <v>-1.6666666666666288</v>
      </c>
      <c r="N942" s="6">
        <f ca="1"/>
        <v>-0.16666666666666519</v>
      </c>
      <c r="O942" s="6">
        <f t="shared" ca="1" si="137"/>
        <v>63.333333333332682</v>
      </c>
      <c r="P942" t="str">
        <f t="shared" si="138"/>
        <v>NA</v>
      </c>
      <c r="Q942" s="10">
        <f t="shared" ca="1" si="139"/>
        <v>46.66666666666616</v>
      </c>
      <c r="R942" s="10">
        <f t="shared" ca="1" si="140"/>
        <v>104.99999999999898</v>
      </c>
      <c r="S942" s="10">
        <f t="shared" ca="1" si="141"/>
        <v>-58.333333333332817</v>
      </c>
      <c r="T942" s="10">
        <f t="shared" ca="1" si="142"/>
        <v>350</v>
      </c>
      <c r="U942" s="10">
        <f t="shared" ca="1" si="143"/>
        <v>350</v>
      </c>
      <c r="V942">
        <f t="shared" si="144"/>
        <v>6</v>
      </c>
    </row>
    <row r="943" spans="1:22" x14ac:dyDescent="0.25">
      <c r="A943">
        <v>105</v>
      </c>
      <c r="B943">
        <v>6</v>
      </c>
      <c r="C943">
        <v>55</v>
      </c>
      <c r="D943">
        <v>1</v>
      </c>
      <c r="E943">
        <v>0</v>
      </c>
      <c r="F943">
        <v>1</v>
      </c>
      <c r="G943">
        <v>1</v>
      </c>
      <c r="H943">
        <v>350</v>
      </c>
      <c r="I943">
        <f t="shared" si="145"/>
        <v>936</v>
      </c>
      <c r="J943" s="6">
        <f t="array" aca="1" ref="J943:N943" ca="1">TRANSPOSE(ols(OFFSET($C$2:$C$10,I943,0),OFFSET($D$2:$H$10,I943,0)))</f>
        <v>113.33333333333212</v>
      </c>
      <c r="K943" s="6">
        <f ca="1"/>
        <v>-2.4999999999997726</v>
      </c>
      <c r="L943" s="6">
        <f ca="1"/>
        <v>-6.6666666666665151</v>
      </c>
      <c r="M943" s="6">
        <f ca="1"/>
        <v>-1.6666666666666288</v>
      </c>
      <c r="N943" s="6">
        <f ca="1"/>
        <v>-0.16666666666666519</v>
      </c>
      <c r="O943" s="6">
        <f t="shared" ca="1" si="137"/>
        <v>46.66666666666616</v>
      </c>
      <c r="P943">
        <f t="shared" ca="1" si="138"/>
        <v>46.66666666666616</v>
      </c>
      <c r="Q943" s="10">
        <f t="shared" ca="1" si="139"/>
        <v>46.66666666666616</v>
      </c>
      <c r="R943" s="10">
        <f t="shared" ca="1" si="140"/>
        <v>104.99999999999898</v>
      </c>
      <c r="S943" s="10">
        <f t="shared" ca="1" si="141"/>
        <v>-58.333333333332817</v>
      </c>
      <c r="T943" s="10">
        <f t="shared" ca="1" si="142"/>
        <v>350</v>
      </c>
      <c r="U943" s="10">
        <f t="shared" ca="1" si="143"/>
        <v>350</v>
      </c>
      <c r="V943">
        <f t="shared" si="144"/>
        <v>6</v>
      </c>
    </row>
    <row r="944" spans="1:22" x14ac:dyDescent="0.25">
      <c r="A944">
        <v>105</v>
      </c>
      <c r="B944">
        <v>7</v>
      </c>
      <c r="C944">
        <v>30</v>
      </c>
      <c r="D944">
        <v>1</v>
      </c>
      <c r="E944">
        <v>1</v>
      </c>
      <c r="F944">
        <v>0</v>
      </c>
      <c r="G944">
        <v>1</v>
      </c>
      <c r="H944">
        <v>450</v>
      </c>
      <c r="I944">
        <f t="shared" si="145"/>
        <v>936</v>
      </c>
      <c r="J944" s="6">
        <f t="array" aca="1" ref="J944:N944" ca="1">TRANSPOSE(ols(OFFSET($C$2:$C$10,I944,0),OFFSET($D$2:$H$10,I944,0)))</f>
        <v>113.33333333333212</v>
      </c>
      <c r="K944" s="6">
        <f ca="1"/>
        <v>-2.4999999999997726</v>
      </c>
      <c r="L944" s="6">
        <f ca="1"/>
        <v>-6.6666666666665151</v>
      </c>
      <c r="M944" s="6">
        <f ca="1"/>
        <v>-1.6666666666666288</v>
      </c>
      <c r="N944" s="6">
        <f ca="1"/>
        <v>-0.16666666666666519</v>
      </c>
      <c r="O944" s="6">
        <f t="shared" ca="1" si="137"/>
        <v>34.166666666666387</v>
      </c>
      <c r="P944" t="str">
        <f t="shared" si="138"/>
        <v>NA</v>
      </c>
      <c r="Q944" s="10">
        <f t="shared" ca="1" si="139"/>
        <v>46.66666666666616</v>
      </c>
      <c r="R944" s="10">
        <f t="shared" ca="1" si="140"/>
        <v>109.16666666666572</v>
      </c>
      <c r="S944" s="10">
        <f t="shared" ca="1" si="141"/>
        <v>-62.499999999999559</v>
      </c>
      <c r="T944" s="10">
        <f t="shared" ca="1" si="142"/>
        <v>375.00000000000068</v>
      </c>
      <c r="U944" s="10">
        <f t="shared" ca="1" si="143"/>
        <v>375.00000000000068</v>
      </c>
      <c r="V944">
        <f t="shared" si="144"/>
        <v>5</v>
      </c>
    </row>
    <row r="945" spans="1:22" x14ac:dyDescent="0.25">
      <c r="A945">
        <v>105</v>
      </c>
      <c r="B945">
        <v>8</v>
      </c>
      <c r="C945">
        <v>15</v>
      </c>
      <c r="D945">
        <v>1</v>
      </c>
      <c r="E945">
        <v>1</v>
      </c>
      <c r="F945">
        <v>0</v>
      </c>
      <c r="G945">
        <v>1</v>
      </c>
      <c r="H945">
        <v>550</v>
      </c>
      <c r="I945">
        <f t="shared" si="145"/>
        <v>936</v>
      </c>
      <c r="J945" s="6">
        <f t="array" aca="1" ref="J945:N945" ca="1">TRANSPOSE(ols(OFFSET($C$2:$C$10,I945,0),OFFSET($D$2:$H$10,I945,0)))</f>
        <v>113.33333333333212</v>
      </c>
      <c r="K945" s="6">
        <f ca="1"/>
        <v>-2.4999999999997726</v>
      </c>
      <c r="L945" s="6">
        <f ca="1"/>
        <v>-6.6666666666665151</v>
      </c>
      <c r="M945" s="6">
        <f ca="1"/>
        <v>-1.6666666666666288</v>
      </c>
      <c r="N945" s="6">
        <f ca="1"/>
        <v>-0.16666666666666519</v>
      </c>
      <c r="O945" s="6">
        <f t="shared" ca="1" si="137"/>
        <v>17.499999999999872</v>
      </c>
      <c r="P945" t="str">
        <f t="shared" si="138"/>
        <v>NA</v>
      </c>
      <c r="Q945" s="10">
        <f t="shared" ca="1" si="139"/>
        <v>46.66666666666616</v>
      </c>
      <c r="R945" s="10">
        <f t="shared" ca="1" si="140"/>
        <v>109.16666666666572</v>
      </c>
      <c r="S945" s="10">
        <f t="shared" ca="1" si="141"/>
        <v>-62.499999999999559</v>
      </c>
      <c r="T945" s="10">
        <f t="shared" ca="1" si="142"/>
        <v>375.00000000000068</v>
      </c>
      <c r="U945" s="10">
        <f t="shared" ca="1" si="143"/>
        <v>375.00000000000068</v>
      </c>
      <c r="V945">
        <f t="shared" si="144"/>
        <v>5</v>
      </c>
    </row>
    <row r="946" spans="1:22" x14ac:dyDescent="0.25">
      <c r="A946">
        <v>105</v>
      </c>
      <c r="B946">
        <v>9</v>
      </c>
      <c r="C946">
        <v>5</v>
      </c>
      <c r="D946">
        <v>1</v>
      </c>
      <c r="E946">
        <v>0</v>
      </c>
      <c r="F946">
        <v>0</v>
      </c>
      <c r="G946">
        <v>1</v>
      </c>
      <c r="H946">
        <v>650</v>
      </c>
      <c r="I946">
        <f t="shared" si="145"/>
        <v>936</v>
      </c>
      <c r="J946" s="6">
        <f t="array" aca="1" ref="J946:N946" ca="1">TRANSPOSE(ols(OFFSET($C$2:$C$10,I946,0),OFFSET($D$2:$H$10,I946,0)))</f>
        <v>113.33333333333212</v>
      </c>
      <c r="K946" s="6">
        <f ca="1"/>
        <v>-2.4999999999997726</v>
      </c>
      <c r="L946" s="6">
        <f ca="1"/>
        <v>-6.6666666666665151</v>
      </c>
      <c r="M946" s="6">
        <f ca="1"/>
        <v>-1.6666666666666288</v>
      </c>
      <c r="N946" s="6">
        <f ca="1"/>
        <v>-0.16666666666666519</v>
      </c>
      <c r="O946" s="6">
        <f t="shared" ca="1" si="137"/>
        <v>3.3333333333331154</v>
      </c>
      <c r="P946" t="str">
        <f t="shared" si="138"/>
        <v>NA</v>
      </c>
      <c r="Q946" s="10">
        <f t="shared" ca="1" si="139"/>
        <v>46.66666666666616</v>
      </c>
      <c r="R946" s="10">
        <f t="shared" ca="1" si="140"/>
        <v>111.66666666666549</v>
      </c>
      <c r="S946" s="10">
        <f t="shared" ca="1" si="141"/>
        <v>-64.999999999999332</v>
      </c>
      <c r="T946" s="10">
        <f t="shared" ca="1" si="142"/>
        <v>389.99999999999943</v>
      </c>
      <c r="U946" s="10">
        <f t="shared" ca="1" si="143"/>
        <v>389.99999999999943</v>
      </c>
      <c r="V946">
        <f t="shared" si="144"/>
        <v>4</v>
      </c>
    </row>
    <row r="947" spans="1:22" x14ac:dyDescent="0.25">
      <c r="A947">
        <v>106</v>
      </c>
      <c r="B947">
        <v>1</v>
      </c>
      <c r="C947">
        <v>67.5</v>
      </c>
      <c r="D947">
        <v>1</v>
      </c>
      <c r="E947">
        <v>0</v>
      </c>
      <c r="F947">
        <v>1</v>
      </c>
      <c r="G947">
        <v>0</v>
      </c>
      <c r="H947">
        <v>250</v>
      </c>
      <c r="I947">
        <f t="shared" si="145"/>
        <v>945</v>
      </c>
      <c r="J947" s="6">
        <f t="array" aca="1" ref="J947:N947" ca="1">TRANSPOSE(ols(OFFSET($C$2:$C$10,I947,0),OFFSET($D$2:$H$10,I947,0)))</f>
        <v>88.113095238094502</v>
      </c>
      <c r="K947" s="6">
        <f ca="1"/>
        <v>5.1428571428571104</v>
      </c>
      <c r="L947" s="6">
        <f ca="1"/>
        <v>2.2380952380954113</v>
      </c>
      <c r="M947" s="6">
        <f ca="1"/>
        <v>6.6309523809525217</v>
      </c>
      <c r="N947" s="6">
        <f ca="1"/>
        <v>-8.1547619047622533E-2</v>
      </c>
      <c r="O947" s="6">
        <f t="shared" ca="1" si="137"/>
        <v>69.964285714284273</v>
      </c>
      <c r="P947" t="str">
        <f t="shared" si="138"/>
        <v>NA</v>
      </c>
      <c r="Q947" s="10">
        <f t="shared" ca="1" si="139"/>
        <v>68.440476190474556</v>
      </c>
      <c r="R947" s="10">
        <f t="shared" ca="1" si="140"/>
        <v>90.351190476189913</v>
      </c>
      <c r="S947" s="10">
        <f t="shared" ca="1" si="141"/>
        <v>-21.910714285715358</v>
      </c>
      <c r="T947" s="10">
        <f t="shared" ca="1" si="142"/>
        <v>268.686131386863</v>
      </c>
      <c r="U947" s="10">
        <f t="shared" ca="1" si="143"/>
        <v>268.686131386863</v>
      </c>
      <c r="V947">
        <f t="shared" si="144"/>
        <v>3</v>
      </c>
    </row>
    <row r="948" spans="1:22" x14ac:dyDescent="0.25">
      <c r="A948">
        <v>106</v>
      </c>
      <c r="B948">
        <v>2</v>
      </c>
      <c r="C948">
        <v>64.5</v>
      </c>
      <c r="D948">
        <v>1</v>
      </c>
      <c r="E948">
        <v>1</v>
      </c>
      <c r="F948">
        <v>0</v>
      </c>
      <c r="G948">
        <v>0</v>
      </c>
      <c r="H948">
        <v>350</v>
      </c>
      <c r="I948">
        <f t="shared" si="145"/>
        <v>945</v>
      </c>
      <c r="J948" s="6">
        <f t="array" aca="1" ref="J948:N948" ca="1">TRANSPOSE(ols(OFFSET($C$2:$C$10,I948,0),OFFSET($D$2:$H$10,I948,0)))</f>
        <v>88.113095238094502</v>
      </c>
      <c r="K948" s="6">
        <f ca="1"/>
        <v>5.1428571428571104</v>
      </c>
      <c r="L948" s="6">
        <f ca="1"/>
        <v>2.2380952380954113</v>
      </c>
      <c r="M948" s="6">
        <f ca="1"/>
        <v>6.6309523809525217</v>
      </c>
      <c r="N948" s="6">
        <f ca="1"/>
        <v>-8.1547619047622533E-2</v>
      </c>
      <c r="O948" s="6">
        <f t="shared" ca="1" si="137"/>
        <v>64.714285714283733</v>
      </c>
      <c r="P948" t="str">
        <f t="shared" si="138"/>
        <v>NA</v>
      </c>
      <c r="Q948" s="10">
        <f t="shared" ca="1" si="139"/>
        <v>68.440476190474556</v>
      </c>
      <c r="R948" s="10">
        <f t="shared" ca="1" si="140"/>
        <v>93.255952380951612</v>
      </c>
      <c r="S948" s="10">
        <f t="shared" ca="1" si="141"/>
        <v>-24.815476190477057</v>
      </c>
      <c r="T948" s="10">
        <f t="shared" ca="1" si="142"/>
        <v>304.3065693430633</v>
      </c>
      <c r="U948" s="10">
        <f t="shared" ca="1" si="143"/>
        <v>304.3065693430633</v>
      </c>
      <c r="V948">
        <f t="shared" si="144"/>
        <v>2</v>
      </c>
    </row>
    <row r="949" spans="1:22" x14ac:dyDescent="0.25">
      <c r="A949">
        <v>106</v>
      </c>
      <c r="B949">
        <v>3</v>
      </c>
      <c r="C949">
        <v>57.5</v>
      </c>
      <c r="D949">
        <v>1</v>
      </c>
      <c r="E949">
        <v>1</v>
      </c>
      <c r="F949">
        <v>0</v>
      </c>
      <c r="G949">
        <v>0</v>
      </c>
      <c r="H949">
        <v>450</v>
      </c>
      <c r="I949">
        <f t="shared" si="145"/>
        <v>945</v>
      </c>
      <c r="J949" s="6">
        <f t="array" aca="1" ref="J949:N949" ca="1">TRANSPOSE(ols(OFFSET($C$2:$C$10,I949,0),OFFSET($D$2:$H$10,I949,0)))</f>
        <v>88.113095238094502</v>
      </c>
      <c r="K949" s="6">
        <f ca="1"/>
        <v>5.1428571428571104</v>
      </c>
      <c r="L949" s="6">
        <f ca="1"/>
        <v>2.2380952380954113</v>
      </c>
      <c r="M949" s="6">
        <f ca="1"/>
        <v>6.6309523809525217</v>
      </c>
      <c r="N949" s="6">
        <f ca="1"/>
        <v>-8.1547619047622533E-2</v>
      </c>
      <c r="O949" s="6">
        <f t="shared" ca="1" si="137"/>
        <v>56.559523809521473</v>
      </c>
      <c r="P949" t="str">
        <f t="shared" si="138"/>
        <v>NA</v>
      </c>
      <c r="Q949" s="10">
        <f t="shared" ca="1" si="139"/>
        <v>68.440476190474556</v>
      </c>
      <c r="R949" s="10">
        <f t="shared" ca="1" si="140"/>
        <v>93.255952380951612</v>
      </c>
      <c r="S949" s="10">
        <f t="shared" ca="1" si="141"/>
        <v>-24.815476190477057</v>
      </c>
      <c r="T949" s="10">
        <f t="shared" ca="1" si="142"/>
        <v>304.3065693430633</v>
      </c>
      <c r="U949" s="10">
        <f t="shared" ca="1" si="143"/>
        <v>304.3065693430633</v>
      </c>
      <c r="V949">
        <f t="shared" si="144"/>
        <v>2</v>
      </c>
    </row>
    <row r="950" spans="1:22" x14ac:dyDescent="0.25">
      <c r="A950">
        <v>106</v>
      </c>
      <c r="B950">
        <v>4</v>
      </c>
      <c r="C950">
        <v>45</v>
      </c>
      <c r="D950">
        <v>1</v>
      </c>
      <c r="E950">
        <v>0</v>
      </c>
      <c r="F950">
        <v>0</v>
      </c>
      <c r="G950">
        <v>0</v>
      </c>
      <c r="H950">
        <v>550</v>
      </c>
      <c r="I950">
        <f t="shared" si="145"/>
        <v>945</v>
      </c>
      <c r="J950" s="6">
        <f t="array" aca="1" ref="J950:N950" ca="1">TRANSPOSE(ols(OFFSET($C$2:$C$10,I950,0),OFFSET($D$2:$H$10,I950,0)))</f>
        <v>88.113095238094502</v>
      </c>
      <c r="K950" s="6">
        <f ca="1"/>
        <v>5.1428571428571104</v>
      </c>
      <c r="L950" s="6">
        <f ca="1"/>
        <v>2.2380952380954113</v>
      </c>
      <c r="M950" s="6">
        <f ca="1"/>
        <v>6.6309523809525217</v>
      </c>
      <c r="N950" s="6">
        <f ca="1"/>
        <v>-8.1547619047622533E-2</v>
      </c>
      <c r="O950" s="6">
        <f t="shared" ca="1" si="137"/>
        <v>43.261904761902109</v>
      </c>
      <c r="P950" t="str">
        <f t="shared" si="138"/>
        <v>NA</v>
      </c>
      <c r="Q950" s="10">
        <f t="shared" ca="1" si="139"/>
        <v>68.440476190474556</v>
      </c>
      <c r="R950" s="10">
        <f t="shared" ca="1" si="140"/>
        <v>88.113095238094502</v>
      </c>
      <c r="S950" s="10">
        <f t="shared" ca="1" si="141"/>
        <v>-19.672619047619946</v>
      </c>
      <c r="T950" s="10">
        <f t="shared" ca="1" si="142"/>
        <v>241.24087591240948</v>
      </c>
      <c r="U950" s="10" t="str">
        <f t="shared" ca="1" si="143"/>
        <v>OR</v>
      </c>
      <c r="V950">
        <f t="shared" si="144"/>
        <v>1</v>
      </c>
    </row>
    <row r="951" spans="1:22" x14ac:dyDescent="0.25">
      <c r="A951">
        <v>106</v>
      </c>
      <c r="B951">
        <v>5</v>
      </c>
      <c r="C951">
        <v>77.5</v>
      </c>
      <c r="D951">
        <v>1</v>
      </c>
      <c r="E951">
        <v>0</v>
      </c>
      <c r="F951">
        <v>1</v>
      </c>
      <c r="G951">
        <v>1</v>
      </c>
      <c r="H951">
        <v>250</v>
      </c>
      <c r="I951">
        <f t="shared" si="145"/>
        <v>945</v>
      </c>
      <c r="J951" s="6">
        <f t="array" aca="1" ref="J951:N951" ca="1">TRANSPOSE(ols(OFFSET($C$2:$C$10,I951,0),OFFSET($D$2:$H$10,I951,0)))</f>
        <v>88.113095238094502</v>
      </c>
      <c r="K951" s="6">
        <f ca="1"/>
        <v>5.1428571428571104</v>
      </c>
      <c r="L951" s="6">
        <f ca="1"/>
        <v>2.2380952380954113</v>
      </c>
      <c r="M951" s="6">
        <f ca="1"/>
        <v>6.6309523809525217</v>
      </c>
      <c r="N951" s="6">
        <f ca="1"/>
        <v>-8.1547619047622533E-2</v>
      </c>
      <c r="O951" s="6">
        <f t="shared" ca="1" si="137"/>
        <v>76.595238095236795</v>
      </c>
      <c r="P951" t="str">
        <f t="shared" si="138"/>
        <v>NA</v>
      </c>
      <c r="Q951" s="10">
        <f t="shared" ca="1" si="139"/>
        <v>68.440476190474556</v>
      </c>
      <c r="R951" s="10">
        <f t="shared" ca="1" si="140"/>
        <v>96.982142857142435</v>
      </c>
      <c r="S951" s="10">
        <f t="shared" ca="1" si="141"/>
        <v>-28.541666666667879</v>
      </c>
      <c r="T951" s="10">
        <f t="shared" ca="1" si="142"/>
        <v>349.99999999999989</v>
      </c>
      <c r="U951" s="10">
        <f t="shared" ca="1" si="143"/>
        <v>349.99999999999989</v>
      </c>
      <c r="V951">
        <f t="shared" si="144"/>
        <v>6</v>
      </c>
    </row>
    <row r="952" spans="1:22" x14ac:dyDescent="0.25">
      <c r="A952">
        <v>106</v>
      </c>
      <c r="B952">
        <v>6</v>
      </c>
      <c r="C952">
        <v>70</v>
      </c>
      <c r="D952">
        <v>1</v>
      </c>
      <c r="E952">
        <v>0</v>
      </c>
      <c r="F952">
        <v>1</v>
      </c>
      <c r="G952">
        <v>1</v>
      </c>
      <c r="H952">
        <v>350</v>
      </c>
      <c r="I952">
        <f t="shared" si="145"/>
        <v>945</v>
      </c>
      <c r="J952" s="6">
        <f t="array" aca="1" ref="J952:N952" ca="1">TRANSPOSE(ols(OFFSET($C$2:$C$10,I952,0),OFFSET($D$2:$H$10,I952,0)))</f>
        <v>88.113095238094502</v>
      </c>
      <c r="K952" s="6">
        <f ca="1"/>
        <v>5.1428571428571104</v>
      </c>
      <c r="L952" s="6">
        <f ca="1"/>
        <v>2.2380952380954113</v>
      </c>
      <c r="M952" s="6">
        <f ca="1"/>
        <v>6.6309523809525217</v>
      </c>
      <c r="N952" s="6">
        <f ca="1"/>
        <v>-8.1547619047622533E-2</v>
      </c>
      <c r="O952" s="6">
        <f t="shared" ca="1" si="137"/>
        <v>68.440476190474556</v>
      </c>
      <c r="P952">
        <f t="shared" ca="1" si="138"/>
        <v>68.440476190474556</v>
      </c>
      <c r="Q952" s="10">
        <f t="shared" ca="1" si="139"/>
        <v>68.440476190474556</v>
      </c>
      <c r="R952" s="10">
        <f t="shared" ca="1" si="140"/>
        <v>96.982142857142435</v>
      </c>
      <c r="S952" s="10">
        <f t="shared" ca="1" si="141"/>
        <v>-28.541666666667879</v>
      </c>
      <c r="T952" s="10">
        <f t="shared" ca="1" si="142"/>
        <v>349.99999999999989</v>
      </c>
      <c r="U952" s="10">
        <f t="shared" ca="1" si="143"/>
        <v>349.99999999999989</v>
      </c>
      <c r="V952">
        <f t="shared" si="144"/>
        <v>6</v>
      </c>
    </row>
    <row r="953" spans="1:22" x14ac:dyDescent="0.25">
      <c r="A953">
        <v>106</v>
      </c>
      <c r="B953">
        <v>7</v>
      </c>
      <c r="C953">
        <v>62.5</v>
      </c>
      <c r="D953">
        <v>1</v>
      </c>
      <c r="E953">
        <v>1</v>
      </c>
      <c r="F953">
        <v>0</v>
      </c>
      <c r="G953">
        <v>1</v>
      </c>
      <c r="H953">
        <v>450</v>
      </c>
      <c r="I953">
        <f t="shared" si="145"/>
        <v>945</v>
      </c>
      <c r="J953" s="6">
        <f t="array" aca="1" ref="J953:N953" ca="1">TRANSPOSE(ols(OFFSET($C$2:$C$10,I953,0),OFFSET($D$2:$H$10,I953,0)))</f>
        <v>88.113095238094502</v>
      </c>
      <c r="K953" s="6">
        <f ca="1"/>
        <v>5.1428571428571104</v>
      </c>
      <c r="L953" s="6">
        <f ca="1"/>
        <v>2.2380952380954113</v>
      </c>
      <c r="M953" s="6">
        <f ca="1"/>
        <v>6.6309523809525217</v>
      </c>
      <c r="N953" s="6">
        <f ca="1"/>
        <v>-8.1547619047622533E-2</v>
      </c>
      <c r="O953" s="6">
        <f t="shared" ca="1" si="137"/>
        <v>63.190476190473994</v>
      </c>
      <c r="P953" t="str">
        <f t="shared" si="138"/>
        <v>NA</v>
      </c>
      <c r="Q953" s="10">
        <f t="shared" ca="1" si="139"/>
        <v>68.440476190474556</v>
      </c>
      <c r="R953" s="10">
        <f t="shared" ca="1" si="140"/>
        <v>99.886904761904134</v>
      </c>
      <c r="S953" s="10">
        <f t="shared" ca="1" si="141"/>
        <v>-31.446428571429578</v>
      </c>
      <c r="T953" s="10">
        <f t="shared" ca="1" si="142"/>
        <v>385.62043795620025</v>
      </c>
      <c r="U953" s="10">
        <f t="shared" ca="1" si="143"/>
        <v>385.62043795620025</v>
      </c>
      <c r="V953">
        <f t="shared" si="144"/>
        <v>5</v>
      </c>
    </row>
    <row r="954" spans="1:22" x14ac:dyDescent="0.25">
      <c r="A954">
        <v>106</v>
      </c>
      <c r="B954">
        <v>8</v>
      </c>
      <c r="C954">
        <v>55</v>
      </c>
      <c r="D954">
        <v>1</v>
      </c>
      <c r="E954">
        <v>1</v>
      </c>
      <c r="F954">
        <v>0</v>
      </c>
      <c r="G954">
        <v>1</v>
      </c>
      <c r="H954">
        <v>550</v>
      </c>
      <c r="I954">
        <f t="shared" si="145"/>
        <v>945</v>
      </c>
      <c r="J954" s="6">
        <f t="array" aca="1" ref="J954:N954" ca="1">TRANSPOSE(ols(OFFSET($C$2:$C$10,I954,0),OFFSET($D$2:$H$10,I954,0)))</f>
        <v>88.113095238094502</v>
      </c>
      <c r="K954" s="6">
        <f ca="1"/>
        <v>5.1428571428571104</v>
      </c>
      <c r="L954" s="6">
        <f ca="1"/>
        <v>2.2380952380954113</v>
      </c>
      <c r="M954" s="6">
        <f ca="1"/>
        <v>6.6309523809525217</v>
      </c>
      <c r="N954" s="6">
        <f ca="1"/>
        <v>-8.1547619047622533E-2</v>
      </c>
      <c r="O954" s="6">
        <f t="shared" ca="1" si="137"/>
        <v>55.035714285711741</v>
      </c>
      <c r="P954" t="str">
        <f t="shared" si="138"/>
        <v>NA</v>
      </c>
      <c r="Q954" s="10">
        <f t="shared" ca="1" si="139"/>
        <v>68.440476190474556</v>
      </c>
      <c r="R954" s="10">
        <f t="shared" ca="1" si="140"/>
        <v>99.886904761904134</v>
      </c>
      <c r="S954" s="10">
        <f t="shared" ca="1" si="141"/>
        <v>-31.446428571429578</v>
      </c>
      <c r="T954" s="10">
        <f t="shared" ca="1" si="142"/>
        <v>385.62043795620025</v>
      </c>
      <c r="U954" s="10">
        <f t="shared" ca="1" si="143"/>
        <v>385.62043795620025</v>
      </c>
      <c r="V954">
        <f t="shared" si="144"/>
        <v>5</v>
      </c>
    </row>
    <row r="955" spans="1:22" x14ac:dyDescent="0.25">
      <c r="A955">
        <v>106</v>
      </c>
      <c r="B955">
        <v>9</v>
      </c>
      <c r="C955">
        <v>40</v>
      </c>
      <c r="D955">
        <v>1</v>
      </c>
      <c r="E955">
        <v>0</v>
      </c>
      <c r="F955">
        <v>0</v>
      </c>
      <c r="G955">
        <v>1</v>
      </c>
      <c r="H955">
        <v>650</v>
      </c>
      <c r="I955">
        <f t="shared" si="145"/>
        <v>945</v>
      </c>
      <c r="J955" s="6">
        <f t="array" aca="1" ref="J955:N955" ca="1">TRANSPOSE(ols(OFFSET($C$2:$C$10,I955,0),OFFSET($D$2:$H$10,I955,0)))</f>
        <v>88.113095238094502</v>
      </c>
      <c r="K955" s="6">
        <f ca="1"/>
        <v>5.1428571428571104</v>
      </c>
      <c r="L955" s="6">
        <f ca="1"/>
        <v>2.2380952380954113</v>
      </c>
      <c r="M955" s="6">
        <f ca="1"/>
        <v>6.6309523809525217</v>
      </c>
      <c r="N955" s="6">
        <f ca="1"/>
        <v>-8.1547619047622533E-2</v>
      </c>
      <c r="O955" s="6">
        <f t="shared" ca="1" si="137"/>
        <v>41.738095238092377</v>
      </c>
      <c r="P955" t="str">
        <f t="shared" si="138"/>
        <v>NA</v>
      </c>
      <c r="Q955" s="10">
        <f t="shared" ca="1" si="139"/>
        <v>68.440476190474556</v>
      </c>
      <c r="R955" s="10">
        <f t="shared" ca="1" si="140"/>
        <v>94.744047619047024</v>
      </c>
      <c r="S955" s="10">
        <f t="shared" ca="1" si="141"/>
        <v>-26.303571428572468</v>
      </c>
      <c r="T955" s="10">
        <f t="shared" ca="1" si="142"/>
        <v>322.55474452554643</v>
      </c>
      <c r="U955" s="10">
        <f t="shared" ca="1" si="143"/>
        <v>322.55474452554643</v>
      </c>
      <c r="V955">
        <f t="shared" si="144"/>
        <v>4</v>
      </c>
    </row>
    <row r="956" spans="1:22" x14ac:dyDescent="0.25">
      <c r="A956">
        <v>107</v>
      </c>
      <c r="B956">
        <v>1</v>
      </c>
      <c r="C956">
        <v>55</v>
      </c>
      <c r="D956">
        <v>1</v>
      </c>
      <c r="E956">
        <v>0</v>
      </c>
      <c r="F956">
        <v>1</v>
      </c>
      <c r="G956">
        <v>0</v>
      </c>
      <c r="H956">
        <v>250</v>
      </c>
      <c r="I956">
        <f t="shared" si="145"/>
        <v>954</v>
      </c>
      <c r="J956" s="6">
        <f t="array" aca="1" ref="J956:N956" ca="1">TRANSPOSE(ols(OFFSET($C$2:$C$10,I956,0),OFFSET($D$2:$H$10,I956,0)))</f>
        <v>86.845238095237619</v>
      </c>
      <c r="K956" s="6">
        <f ca="1"/>
        <v>7.8571428571428896</v>
      </c>
      <c r="L956" s="6">
        <f ca="1"/>
        <v>-16.904761904762381</v>
      </c>
      <c r="M956" s="6">
        <f ca="1"/>
        <v>-1.5476190476188094</v>
      </c>
      <c r="N956" s="6">
        <f ca="1"/>
        <v>-7.2619047619049581E-2</v>
      </c>
      <c r="O956" s="6">
        <f t="shared" ca="1" si="137"/>
        <v>51.785714285712842</v>
      </c>
      <c r="P956" t="str">
        <f t="shared" si="138"/>
        <v>NA</v>
      </c>
      <c r="Q956" s="10">
        <f t="shared" ca="1" si="139"/>
        <v>42.976190476189075</v>
      </c>
      <c r="R956" s="10">
        <f t="shared" ca="1" si="140"/>
        <v>69.940476190475238</v>
      </c>
      <c r="S956" s="10">
        <f t="shared" ca="1" si="141"/>
        <v>-26.964285714286163</v>
      </c>
      <c r="T956" s="10">
        <f t="shared" ca="1" si="142"/>
        <v>371.31147540983221</v>
      </c>
      <c r="U956" s="10">
        <f t="shared" ca="1" si="143"/>
        <v>371.31147540983221</v>
      </c>
      <c r="V956">
        <f t="shared" si="144"/>
        <v>3</v>
      </c>
    </row>
    <row r="957" spans="1:22" x14ac:dyDescent="0.25">
      <c r="A957">
        <v>107</v>
      </c>
      <c r="B957">
        <v>2</v>
      </c>
      <c r="C957">
        <v>70</v>
      </c>
      <c r="D957">
        <v>1</v>
      </c>
      <c r="E957">
        <v>1</v>
      </c>
      <c r="F957">
        <v>0</v>
      </c>
      <c r="G957">
        <v>0</v>
      </c>
      <c r="H957">
        <v>350</v>
      </c>
      <c r="I957">
        <f t="shared" si="145"/>
        <v>954</v>
      </c>
      <c r="J957" s="6">
        <f t="array" aca="1" ref="J957:N957" ca="1">TRANSPOSE(ols(OFFSET($C$2:$C$10,I957,0),OFFSET($D$2:$H$10,I957,0)))</f>
        <v>86.845238095237619</v>
      </c>
      <c r="K957" s="6">
        <f ca="1"/>
        <v>7.8571428571428896</v>
      </c>
      <c r="L957" s="6">
        <f ca="1"/>
        <v>-16.904761904762381</v>
      </c>
      <c r="M957" s="6">
        <f ca="1"/>
        <v>-1.5476190476188094</v>
      </c>
      <c r="N957" s="6">
        <f ca="1"/>
        <v>-7.2619047619049581E-2</v>
      </c>
      <c r="O957" s="6">
        <f t="shared" ca="1" si="137"/>
        <v>69.285714285713155</v>
      </c>
      <c r="P957" t="str">
        <f t="shared" si="138"/>
        <v>NA</v>
      </c>
      <c r="Q957" s="10">
        <f t="shared" ca="1" si="139"/>
        <v>42.976190476189075</v>
      </c>
      <c r="R957" s="10">
        <f t="shared" ca="1" si="140"/>
        <v>94.702380952380508</v>
      </c>
      <c r="S957" s="10">
        <f t="shared" ca="1" si="141"/>
        <v>-51.726190476191434</v>
      </c>
      <c r="T957" s="10">
        <f t="shared" ca="1" si="142"/>
        <v>712.29508196720701</v>
      </c>
      <c r="U957" s="10" t="str">
        <f t="shared" ca="1" si="143"/>
        <v>OR</v>
      </c>
      <c r="V957">
        <f t="shared" si="144"/>
        <v>2</v>
      </c>
    </row>
    <row r="958" spans="1:22" x14ac:dyDescent="0.25">
      <c r="A958">
        <v>107</v>
      </c>
      <c r="B958">
        <v>3</v>
      </c>
      <c r="C958">
        <v>60</v>
      </c>
      <c r="D958">
        <v>1</v>
      </c>
      <c r="E958">
        <v>1</v>
      </c>
      <c r="F958">
        <v>0</v>
      </c>
      <c r="G958">
        <v>0</v>
      </c>
      <c r="H958">
        <v>450</v>
      </c>
      <c r="I958">
        <f t="shared" si="145"/>
        <v>954</v>
      </c>
      <c r="J958" s="6">
        <f t="array" aca="1" ref="J958:N958" ca="1">TRANSPOSE(ols(OFFSET($C$2:$C$10,I958,0),OFFSET($D$2:$H$10,I958,0)))</f>
        <v>86.845238095237619</v>
      </c>
      <c r="K958" s="6">
        <f ca="1"/>
        <v>7.8571428571428896</v>
      </c>
      <c r="L958" s="6">
        <f ca="1"/>
        <v>-16.904761904762381</v>
      </c>
      <c r="M958" s="6">
        <f ca="1"/>
        <v>-1.5476190476188094</v>
      </c>
      <c r="N958" s="6">
        <f ca="1"/>
        <v>-7.2619047619049581E-2</v>
      </c>
      <c r="O958" s="6">
        <f t="shared" ca="1" si="137"/>
        <v>62.023809523808197</v>
      </c>
      <c r="P958" t="str">
        <f t="shared" si="138"/>
        <v>NA</v>
      </c>
      <c r="Q958" s="10">
        <f t="shared" ca="1" si="139"/>
        <v>42.976190476189075</v>
      </c>
      <c r="R958" s="10">
        <f t="shared" ca="1" si="140"/>
        <v>94.702380952380508</v>
      </c>
      <c r="S958" s="10">
        <f t="shared" ca="1" si="141"/>
        <v>-51.726190476191434</v>
      </c>
      <c r="T958" s="10">
        <f t="shared" ca="1" si="142"/>
        <v>712.29508196720701</v>
      </c>
      <c r="U958" s="10" t="str">
        <f t="shared" ca="1" si="143"/>
        <v>OR</v>
      </c>
      <c r="V958">
        <f t="shared" si="144"/>
        <v>2</v>
      </c>
    </row>
    <row r="959" spans="1:22" x14ac:dyDescent="0.25">
      <c r="A959">
        <v>107</v>
      </c>
      <c r="B959">
        <v>4</v>
      </c>
      <c r="C959">
        <v>45</v>
      </c>
      <c r="D959">
        <v>1</v>
      </c>
      <c r="E959">
        <v>0</v>
      </c>
      <c r="F959">
        <v>0</v>
      </c>
      <c r="G959">
        <v>0</v>
      </c>
      <c r="H959">
        <v>550</v>
      </c>
      <c r="I959">
        <f t="shared" si="145"/>
        <v>954</v>
      </c>
      <c r="J959" s="6">
        <f t="array" aca="1" ref="J959:N959" ca="1">TRANSPOSE(ols(OFFSET($C$2:$C$10,I959,0),OFFSET($D$2:$H$10,I959,0)))</f>
        <v>86.845238095237619</v>
      </c>
      <c r="K959" s="6">
        <f ca="1"/>
        <v>7.8571428571428896</v>
      </c>
      <c r="L959" s="6">
        <f ca="1"/>
        <v>-16.904761904762381</v>
      </c>
      <c r="M959" s="6">
        <f ca="1"/>
        <v>-1.5476190476188094</v>
      </c>
      <c r="N959" s="6">
        <f ca="1"/>
        <v>-7.2619047619049581E-2</v>
      </c>
      <c r="O959" s="6">
        <f t="shared" ca="1" si="137"/>
        <v>46.904761904760349</v>
      </c>
      <c r="P959" t="str">
        <f t="shared" si="138"/>
        <v>NA</v>
      </c>
      <c r="Q959" s="10">
        <f t="shared" ca="1" si="139"/>
        <v>42.976190476189075</v>
      </c>
      <c r="R959" s="10">
        <f t="shared" ca="1" si="140"/>
        <v>86.845238095237619</v>
      </c>
      <c r="S959" s="10">
        <f t="shared" ca="1" si="141"/>
        <v>-43.869047619048544</v>
      </c>
      <c r="T959" s="10">
        <f t="shared" ca="1" si="142"/>
        <v>604.09836065573415</v>
      </c>
      <c r="U959" s="10">
        <f t="shared" ca="1" si="143"/>
        <v>604.09836065573415</v>
      </c>
      <c r="V959">
        <f t="shared" si="144"/>
        <v>1</v>
      </c>
    </row>
    <row r="960" spans="1:22" x14ac:dyDescent="0.25">
      <c r="A960">
        <v>107</v>
      </c>
      <c r="B960">
        <v>5</v>
      </c>
      <c r="C960">
        <v>45</v>
      </c>
      <c r="D960">
        <v>1</v>
      </c>
      <c r="E960">
        <v>0</v>
      </c>
      <c r="F960">
        <v>1</v>
      </c>
      <c r="G960">
        <v>1</v>
      </c>
      <c r="H960">
        <v>250</v>
      </c>
      <c r="I960">
        <f t="shared" si="145"/>
        <v>954</v>
      </c>
      <c r="J960" s="6">
        <f t="array" aca="1" ref="J960:N960" ca="1">TRANSPOSE(ols(OFFSET($C$2:$C$10,I960,0),OFFSET($D$2:$H$10,I960,0)))</f>
        <v>86.845238095237619</v>
      </c>
      <c r="K960" s="6">
        <f ca="1"/>
        <v>7.8571428571428896</v>
      </c>
      <c r="L960" s="6">
        <f ca="1"/>
        <v>-16.904761904762381</v>
      </c>
      <c r="M960" s="6">
        <f ca="1"/>
        <v>-1.5476190476188094</v>
      </c>
      <c r="N960" s="6">
        <f ca="1"/>
        <v>-7.2619047619049581E-2</v>
      </c>
      <c r="O960" s="6">
        <f t="shared" ca="1" si="137"/>
        <v>50.238095238094033</v>
      </c>
      <c r="P960" t="str">
        <f t="shared" si="138"/>
        <v>NA</v>
      </c>
      <c r="Q960" s="10">
        <f t="shared" ca="1" si="139"/>
        <v>42.976190476189075</v>
      </c>
      <c r="R960" s="10">
        <f t="shared" ca="1" si="140"/>
        <v>68.392857142856428</v>
      </c>
      <c r="S960" s="10">
        <f t="shared" ca="1" si="141"/>
        <v>-25.416666666667354</v>
      </c>
      <c r="T960" s="10">
        <f t="shared" ca="1" si="142"/>
        <v>350</v>
      </c>
      <c r="U960" s="10">
        <f t="shared" ca="1" si="143"/>
        <v>350</v>
      </c>
      <c r="V960">
        <f t="shared" si="144"/>
        <v>6</v>
      </c>
    </row>
    <row r="961" spans="1:22" x14ac:dyDescent="0.25">
      <c r="A961">
        <v>107</v>
      </c>
      <c r="B961">
        <v>6</v>
      </c>
      <c r="C961">
        <v>45</v>
      </c>
      <c r="D961">
        <v>1</v>
      </c>
      <c r="E961">
        <v>0</v>
      </c>
      <c r="F961">
        <v>1</v>
      </c>
      <c r="G961">
        <v>1</v>
      </c>
      <c r="H961">
        <v>350</v>
      </c>
      <c r="I961">
        <f t="shared" si="145"/>
        <v>954</v>
      </c>
      <c r="J961" s="6">
        <f t="array" aca="1" ref="J961:N961" ca="1">TRANSPOSE(ols(OFFSET($C$2:$C$10,I961,0),OFFSET($D$2:$H$10,I961,0)))</f>
        <v>86.845238095237619</v>
      </c>
      <c r="K961" s="6">
        <f ca="1"/>
        <v>7.8571428571428896</v>
      </c>
      <c r="L961" s="6">
        <f ca="1"/>
        <v>-16.904761904762381</v>
      </c>
      <c r="M961" s="6">
        <f ca="1"/>
        <v>-1.5476190476188094</v>
      </c>
      <c r="N961" s="6">
        <f ca="1"/>
        <v>-7.2619047619049581E-2</v>
      </c>
      <c r="O961" s="6">
        <f t="shared" ca="1" si="137"/>
        <v>42.976190476189075</v>
      </c>
      <c r="P961">
        <f t="shared" ca="1" si="138"/>
        <v>42.976190476189075</v>
      </c>
      <c r="Q961" s="10">
        <f t="shared" ca="1" si="139"/>
        <v>42.976190476189075</v>
      </c>
      <c r="R961" s="10">
        <f t="shared" ca="1" si="140"/>
        <v>68.392857142856428</v>
      </c>
      <c r="S961" s="10">
        <f t="shared" ca="1" si="141"/>
        <v>-25.416666666667354</v>
      </c>
      <c r="T961" s="10">
        <f t="shared" ca="1" si="142"/>
        <v>350</v>
      </c>
      <c r="U961" s="10">
        <f t="shared" ca="1" si="143"/>
        <v>350</v>
      </c>
      <c r="V961">
        <f t="shared" si="144"/>
        <v>6</v>
      </c>
    </row>
    <row r="962" spans="1:22" x14ac:dyDescent="0.25">
      <c r="A962">
        <v>107</v>
      </c>
      <c r="B962">
        <v>7</v>
      </c>
      <c r="C962">
        <v>65</v>
      </c>
      <c r="D962">
        <v>1</v>
      </c>
      <c r="E962">
        <v>1</v>
      </c>
      <c r="F962">
        <v>0</v>
      </c>
      <c r="G962">
        <v>1</v>
      </c>
      <c r="H962">
        <v>450</v>
      </c>
      <c r="I962">
        <f t="shared" si="145"/>
        <v>954</v>
      </c>
      <c r="J962" s="6">
        <f t="array" aca="1" ref="J962:N962" ca="1">TRANSPOSE(ols(OFFSET($C$2:$C$10,I962,0),OFFSET($D$2:$H$10,I962,0)))</f>
        <v>86.845238095237619</v>
      </c>
      <c r="K962" s="6">
        <f ca="1"/>
        <v>7.8571428571428896</v>
      </c>
      <c r="L962" s="6">
        <f ca="1"/>
        <v>-16.904761904762381</v>
      </c>
      <c r="M962" s="6">
        <f ca="1"/>
        <v>-1.5476190476188094</v>
      </c>
      <c r="N962" s="6">
        <f ca="1"/>
        <v>-7.2619047619049581E-2</v>
      </c>
      <c r="O962" s="6">
        <f t="shared" ca="1" si="137"/>
        <v>60.476190476189387</v>
      </c>
      <c r="P962" t="str">
        <f t="shared" si="138"/>
        <v>NA</v>
      </c>
      <c r="Q962" s="10">
        <f t="shared" ca="1" si="139"/>
        <v>42.976190476189075</v>
      </c>
      <c r="R962" s="10">
        <f t="shared" ca="1" si="140"/>
        <v>93.154761904761699</v>
      </c>
      <c r="S962" s="10">
        <f t="shared" ca="1" si="141"/>
        <v>-50.178571428572624</v>
      </c>
      <c r="T962" s="10">
        <f t="shared" ca="1" si="142"/>
        <v>690.98360655737486</v>
      </c>
      <c r="U962" s="10" t="str">
        <f t="shared" ca="1" si="143"/>
        <v>OR</v>
      </c>
      <c r="V962">
        <f t="shared" si="144"/>
        <v>5</v>
      </c>
    </row>
    <row r="963" spans="1:22" x14ac:dyDescent="0.25">
      <c r="A963">
        <v>107</v>
      </c>
      <c r="B963">
        <v>8</v>
      </c>
      <c r="C963">
        <v>50</v>
      </c>
      <c r="D963">
        <v>1</v>
      </c>
      <c r="E963">
        <v>1</v>
      </c>
      <c r="F963">
        <v>0</v>
      </c>
      <c r="G963">
        <v>1</v>
      </c>
      <c r="H963">
        <v>550</v>
      </c>
      <c r="I963">
        <f t="shared" si="145"/>
        <v>954</v>
      </c>
      <c r="J963" s="6">
        <f t="array" aca="1" ref="J963:N963" ca="1">TRANSPOSE(ols(OFFSET($C$2:$C$10,I963,0),OFFSET($D$2:$H$10,I963,0)))</f>
        <v>86.845238095237619</v>
      </c>
      <c r="K963" s="6">
        <f ca="1"/>
        <v>7.8571428571428896</v>
      </c>
      <c r="L963" s="6">
        <f ca="1"/>
        <v>-16.904761904762381</v>
      </c>
      <c r="M963" s="6">
        <f ca="1"/>
        <v>-1.5476190476188094</v>
      </c>
      <c r="N963" s="6">
        <f ca="1"/>
        <v>-7.2619047619049581E-2</v>
      </c>
      <c r="O963" s="6">
        <f t="shared" ref="O963:O1026" ca="1" si="146">SUMPRODUCT(J963:N963,D963:H963)</f>
        <v>53.214285714284429</v>
      </c>
      <c r="P963" t="str">
        <f t="shared" ref="P963:P1026" si="147">IF(AND(F963=1,G963=1,H963=350),O963,"NA")</f>
        <v>NA</v>
      </c>
      <c r="Q963" s="10">
        <f t="shared" ref="Q963:Q1026" ca="1" si="148">AVERAGEIF($A$2:$A$5383,A963,$P$2:$P$5383)</f>
        <v>42.976190476189075</v>
      </c>
      <c r="R963" s="10">
        <f t="shared" ref="R963:R1026" ca="1" si="149">O963-N963*H963</f>
        <v>93.154761904761699</v>
      </c>
      <c r="S963" s="10">
        <f t="shared" ref="S963:S1026" ca="1" si="150">Q963-R963</f>
        <v>-50.178571428572624</v>
      </c>
      <c r="T963" s="10">
        <f t="shared" ref="T963:T1026" ca="1" si="151">S963/N963</f>
        <v>690.98360655737486</v>
      </c>
      <c r="U963" s="10" t="str">
        <f t="shared" ref="U963:U1026" ca="1" si="152">IF(OR(T963&lt;250,T963&gt;650),"OR",T963)</f>
        <v>OR</v>
      </c>
      <c r="V963">
        <f t="shared" ref="V963:V1026" si="153">IF(AND(E963=1,G963=0),2,IF(AND(F963=1,G963=0),3,IF(AND(E963=1,G963=1),5,IF(AND(F963=1,G963=1),6,IF(G963=0,1,IF(G963=1,4))))))</f>
        <v>5</v>
      </c>
    </row>
    <row r="964" spans="1:22" x14ac:dyDescent="0.25">
      <c r="A964">
        <v>107</v>
      </c>
      <c r="B964">
        <v>9</v>
      </c>
      <c r="C964">
        <v>40</v>
      </c>
      <c r="D964">
        <v>1</v>
      </c>
      <c r="E964">
        <v>0</v>
      </c>
      <c r="F964">
        <v>0</v>
      </c>
      <c r="G964">
        <v>1</v>
      </c>
      <c r="H964">
        <v>650</v>
      </c>
      <c r="I964">
        <f t="shared" si="145"/>
        <v>954</v>
      </c>
      <c r="J964" s="6">
        <f t="array" aca="1" ref="J964:N964" ca="1">TRANSPOSE(ols(OFFSET($C$2:$C$10,I964,0),OFFSET($D$2:$H$10,I964,0)))</f>
        <v>86.845238095237619</v>
      </c>
      <c r="K964" s="6">
        <f ca="1"/>
        <v>7.8571428571428896</v>
      </c>
      <c r="L964" s="6">
        <f ca="1"/>
        <v>-16.904761904762381</v>
      </c>
      <c r="M964" s="6">
        <f ca="1"/>
        <v>-1.5476190476188094</v>
      </c>
      <c r="N964" s="6">
        <f ca="1"/>
        <v>-7.2619047619049581E-2</v>
      </c>
      <c r="O964" s="6">
        <f t="shared" ca="1" si="146"/>
        <v>38.095238095236581</v>
      </c>
      <c r="P964" t="str">
        <f t="shared" si="147"/>
        <v>NA</v>
      </c>
      <c r="Q964" s="10">
        <f t="shared" ca="1" si="148"/>
        <v>42.976190476189075</v>
      </c>
      <c r="R964" s="10">
        <f t="shared" ca="1" si="149"/>
        <v>85.297619047618809</v>
      </c>
      <c r="S964" s="10">
        <f t="shared" ca="1" si="150"/>
        <v>-42.321428571429735</v>
      </c>
      <c r="T964" s="10">
        <f t="shared" ca="1" si="151"/>
        <v>582.78688524590189</v>
      </c>
      <c r="U964" s="10">
        <f t="shared" ca="1" si="152"/>
        <v>582.78688524590189</v>
      </c>
      <c r="V964">
        <f t="shared" si="153"/>
        <v>4</v>
      </c>
    </row>
    <row r="965" spans="1:22" x14ac:dyDescent="0.25">
      <c r="A965">
        <v>108</v>
      </c>
      <c r="B965">
        <v>1</v>
      </c>
      <c r="C965">
        <v>75</v>
      </c>
      <c r="D965">
        <v>1</v>
      </c>
      <c r="E965">
        <v>0</v>
      </c>
      <c r="F965">
        <v>1</v>
      </c>
      <c r="G965">
        <v>0</v>
      </c>
      <c r="H965">
        <v>250</v>
      </c>
      <c r="I965">
        <f t="shared" si="145"/>
        <v>963</v>
      </c>
      <c r="J965" s="6">
        <f t="array" aca="1" ref="J965:N965" ca="1">TRANSPOSE(ols(OFFSET($C$2:$C$10,I965,0),OFFSET($D$2:$H$10,I965,0)))</f>
        <v>136.99404761904498</v>
      </c>
      <c r="K965" s="6">
        <f ca="1"/>
        <v>-2.6785714285711038</v>
      </c>
      <c r="L965" s="6">
        <f ca="1"/>
        <v>-4.8809523809509301</v>
      </c>
      <c r="M965" s="6">
        <f ca="1"/>
        <v>2.4404761904761472</v>
      </c>
      <c r="N965" s="6">
        <f ca="1"/>
        <v>-0.22202380952380718</v>
      </c>
      <c r="O965" s="6">
        <f t="shared" ca="1" si="146"/>
        <v>76.60714285714225</v>
      </c>
      <c r="P965" t="str">
        <f t="shared" si="147"/>
        <v>NA</v>
      </c>
      <c r="Q965" s="10">
        <f t="shared" ca="1" si="148"/>
        <v>56.845238095237676</v>
      </c>
      <c r="R965" s="10">
        <f t="shared" ca="1" si="149"/>
        <v>132.11309523809405</v>
      </c>
      <c r="S965" s="10">
        <f t="shared" ca="1" si="150"/>
        <v>-75.267857142856371</v>
      </c>
      <c r="T965" s="10">
        <f t="shared" ca="1" si="151"/>
        <v>339.00804289544249</v>
      </c>
      <c r="U965" s="10">
        <f t="shared" ca="1" si="152"/>
        <v>339.00804289544249</v>
      </c>
      <c r="V965">
        <f t="shared" si="153"/>
        <v>3</v>
      </c>
    </row>
    <row r="966" spans="1:22" x14ac:dyDescent="0.25">
      <c r="A966">
        <v>108</v>
      </c>
      <c r="B966">
        <v>2</v>
      </c>
      <c r="C966">
        <v>62.5</v>
      </c>
      <c r="D966">
        <v>1</v>
      </c>
      <c r="E966">
        <v>1</v>
      </c>
      <c r="F966">
        <v>0</v>
      </c>
      <c r="G966">
        <v>0</v>
      </c>
      <c r="H966">
        <v>350</v>
      </c>
      <c r="I966">
        <f t="shared" si="145"/>
        <v>963</v>
      </c>
      <c r="J966" s="6">
        <f t="array" aca="1" ref="J966:N966" ca="1">TRANSPOSE(ols(OFFSET($C$2:$C$10,I966,0),OFFSET($D$2:$H$10,I966,0)))</f>
        <v>136.99404761904498</v>
      </c>
      <c r="K966" s="6">
        <f ca="1"/>
        <v>-2.6785714285711038</v>
      </c>
      <c r="L966" s="6">
        <f ca="1"/>
        <v>-4.8809523809509301</v>
      </c>
      <c r="M966" s="6">
        <f ca="1"/>
        <v>2.4404761904761472</v>
      </c>
      <c r="N966" s="6">
        <f ca="1"/>
        <v>-0.22202380952380718</v>
      </c>
      <c r="O966" s="6">
        <f t="shared" ca="1" si="146"/>
        <v>56.607142857141355</v>
      </c>
      <c r="P966" t="str">
        <f t="shared" si="147"/>
        <v>NA</v>
      </c>
      <c r="Q966" s="10">
        <f t="shared" ca="1" si="148"/>
        <v>56.845238095237676</v>
      </c>
      <c r="R966" s="10">
        <f t="shared" ca="1" si="149"/>
        <v>134.31547619047387</v>
      </c>
      <c r="S966" s="10">
        <f t="shared" ca="1" si="150"/>
        <v>-77.470238095236198</v>
      </c>
      <c r="T966" s="10">
        <f t="shared" ca="1" si="151"/>
        <v>348.92761394101393</v>
      </c>
      <c r="U966" s="10">
        <f t="shared" ca="1" si="152"/>
        <v>348.92761394101393</v>
      </c>
      <c r="V966">
        <f t="shared" si="153"/>
        <v>2</v>
      </c>
    </row>
    <row r="967" spans="1:22" x14ac:dyDescent="0.25">
      <c r="A967">
        <v>108</v>
      </c>
      <c r="B967">
        <v>3</v>
      </c>
      <c r="C967">
        <v>35</v>
      </c>
      <c r="D967">
        <v>1</v>
      </c>
      <c r="E967">
        <v>1</v>
      </c>
      <c r="F967">
        <v>0</v>
      </c>
      <c r="G967">
        <v>0</v>
      </c>
      <c r="H967">
        <v>450</v>
      </c>
      <c r="I967">
        <f t="shared" si="145"/>
        <v>963</v>
      </c>
      <c r="J967" s="6">
        <f t="array" aca="1" ref="J967:N967" ca="1">TRANSPOSE(ols(OFFSET($C$2:$C$10,I967,0),OFFSET($D$2:$H$10,I967,0)))</f>
        <v>136.99404761904498</v>
      </c>
      <c r="K967" s="6">
        <f ca="1"/>
        <v>-2.6785714285711038</v>
      </c>
      <c r="L967" s="6">
        <f ca="1"/>
        <v>-4.8809523809509301</v>
      </c>
      <c r="M967" s="6">
        <f ca="1"/>
        <v>2.4404761904761472</v>
      </c>
      <c r="N967" s="6">
        <f ca="1"/>
        <v>-0.22202380952380718</v>
      </c>
      <c r="O967" s="6">
        <f t="shared" ca="1" si="146"/>
        <v>34.404761904760647</v>
      </c>
      <c r="P967" t="str">
        <f t="shared" si="147"/>
        <v>NA</v>
      </c>
      <c r="Q967" s="10">
        <f t="shared" ca="1" si="148"/>
        <v>56.845238095237676</v>
      </c>
      <c r="R967" s="10">
        <f t="shared" ca="1" si="149"/>
        <v>134.31547619047387</v>
      </c>
      <c r="S967" s="10">
        <f t="shared" ca="1" si="150"/>
        <v>-77.470238095236198</v>
      </c>
      <c r="T967" s="10">
        <f t="shared" ca="1" si="151"/>
        <v>348.92761394101393</v>
      </c>
      <c r="U967" s="10">
        <f t="shared" ca="1" si="152"/>
        <v>348.92761394101393</v>
      </c>
      <c r="V967">
        <f t="shared" si="153"/>
        <v>2</v>
      </c>
    </row>
    <row r="968" spans="1:22" x14ac:dyDescent="0.25">
      <c r="A968">
        <v>108</v>
      </c>
      <c r="B968">
        <v>4</v>
      </c>
      <c r="C968">
        <v>10</v>
      </c>
      <c r="D968">
        <v>1</v>
      </c>
      <c r="E968">
        <v>0</v>
      </c>
      <c r="F968">
        <v>0</v>
      </c>
      <c r="G968">
        <v>0</v>
      </c>
      <c r="H968">
        <v>550</v>
      </c>
      <c r="I968">
        <f t="shared" si="145"/>
        <v>963</v>
      </c>
      <c r="J968" s="6">
        <f t="array" aca="1" ref="J968:N968" ca="1">TRANSPOSE(ols(OFFSET($C$2:$C$10,I968,0),OFFSET($D$2:$H$10,I968,0)))</f>
        <v>136.99404761904498</v>
      </c>
      <c r="K968" s="6">
        <f ca="1"/>
        <v>-2.6785714285711038</v>
      </c>
      <c r="L968" s="6">
        <f ca="1"/>
        <v>-4.8809523809509301</v>
      </c>
      <c r="M968" s="6">
        <f ca="1"/>
        <v>2.4404761904761472</v>
      </c>
      <c r="N968" s="6">
        <f ca="1"/>
        <v>-0.22202380952380718</v>
      </c>
      <c r="O968" s="6">
        <f t="shared" ca="1" si="146"/>
        <v>14.88095238095103</v>
      </c>
      <c r="P968" t="str">
        <f t="shared" si="147"/>
        <v>NA</v>
      </c>
      <c r="Q968" s="10">
        <f t="shared" ca="1" si="148"/>
        <v>56.845238095237676</v>
      </c>
      <c r="R968" s="10">
        <f t="shared" ca="1" si="149"/>
        <v>136.99404761904498</v>
      </c>
      <c r="S968" s="10">
        <f t="shared" ca="1" si="150"/>
        <v>-80.148809523807302</v>
      </c>
      <c r="T968" s="10">
        <f t="shared" ca="1" si="151"/>
        <v>360.99195710455143</v>
      </c>
      <c r="U968" s="10">
        <f t="shared" ca="1" si="152"/>
        <v>360.99195710455143</v>
      </c>
      <c r="V968">
        <f t="shared" si="153"/>
        <v>1</v>
      </c>
    </row>
    <row r="969" spans="1:22" x14ac:dyDescent="0.25">
      <c r="A969">
        <v>108</v>
      </c>
      <c r="B969">
        <v>5</v>
      </c>
      <c r="C969">
        <v>75</v>
      </c>
      <c r="D969">
        <v>1</v>
      </c>
      <c r="E969">
        <v>0</v>
      </c>
      <c r="F969">
        <v>1</v>
      </c>
      <c r="G969">
        <v>1</v>
      </c>
      <c r="H969">
        <v>250</v>
      </c>
      <c r="I969">
        <f t="shared" si="145"/>
        <v>963</v>
      </c>
      <c r="J969" s="6">
        <f t="array" aca="1" ref="J969:N969" ca="1">TRANSPOSE(ols(OFFSET($C$2:$C$10,I969,0),OFFSET($D$2:$H$10,I969,0)))</f>
        <v>136.99404761904498</v>
      </c>
      <c r="K969" s="6">
        <f ca="1"/>
        <v>-2.6785714285711038</v>
      </c>
      <c r="L969" s="6">
        <f ca="1"/>
        <v>-4.8809523809509301</v>
      </c>
      <c r="M969" s="6">
        <f ca="1"/>
        <v>2.4404761904761472</v>
      </c>
      <c r="N969" s="6">
        <f ca="1"/>
        <v>-0.22202380952380718</v>
      </c>
      <c r="O969" s="6">
        <f t="shared" ca="1" si="146"/>
        <v>79.047619047618397</v>
      </c>
      <c r="P969" t="str">
        <f t="shared" si="147"/>
        <v>NA</v>
      </c>
      <c r="Q969" s="10">
        <f t="shared" ca="1" si="148"/>
        <v>56.845238095237676</v>
      </c>
      <c r="R969" s="10">
        <f t="shared" ca="1" si="149"/>
        <v>134.55357142857019</v>
      </c>
      <c r="S969" s="10">
        <f t="shared" ca="1" si="150"/>
        <v>-77.708333333332519</v>
      </c>
      <c r="T969" s="10">
        <f t="shared" ca="1" si="151"/>
        <v>350</v>
      </c>
      <c r="U969" s="10">
        <f t="shared" ca="1" si="152"/>
        <v>350</v>
      </c>
      <c r="V969">
        <f t="shared" si="153"/>
        <v>6</v>
      </c>
    </row>
    <row r="970" spans="1:22" x14ac:dyDescent="0.25">
      <c r="A970">
        <v>108</v>
      </c>
      <c r="B970">
        <v>6</v>
      </c>
      <c r="C970">
        <v>62.5</v>
      </c>
      <c r="D970">
        <v>1</v>
      </c>
      <c r="E970">
        <v>0</v>
      </c>
      <c r="F970">
        <v>1</v>
      </c>
      <c r="G970">
        <v>1</v>
      </c>
      <c r="H970">
        <v>350</v>
      </c>
      <c r="I970">
        <f t="shared" si="145"/>
        <v>963</v>
      </c>
      <c r="J970" s="6">
        <f t="array" aca="1" ref="J970:N970" ca="1">TRANSPOSE(ols(OFFSET($C$2:$C$10,I970,0),OFFSET($D$2:$H$10,I970,0)))</f>
        <v>136.99404761904498</v>
      </c>
      <c r="K970" s="6">
        <f ca="1"/>
        <v>-2.6785714285711038</v>
      </c>
      <c r="L970" s="6">
        <f ca="1"/>
        <v>-4.8809523809509301</v>
      </c>
      <c r="M970" s="6">
        <f ca="1"/>
        <v>2.4404761904761472</v>
      </c>
      <c r="N970" s="6">
        <f ca="1"/>
        <v>-0.22202380952380718</v>
      </c>
      <c r="O970" s="6">
        <f t="shared" ca="1" si="146"/>
        <v>56.845238095237676</v>
      </c>
      <c r="P970">
        <f t="shared" ca="1" si="147"/>
        <v>56.845238095237676</v>
      </c>
      <c r="Q970" s="10">
        <f t="shared" ca="1" si="148"/>
        <v>56.845238095237676</v>
      </c>
      <c r="R970" s="10">
        <f t="shared" ca="1" si="149"/>
        <v>134.55357142857019</v>
      </c>
      <c r="S970" s="10">
        <f t="shared" ca="1" si="150"/>
        <v>-77.708333333332519</v>
      </c>
      <c r="T970" s="10">
        <f t="shared" ca="1" si="151"/>
        <v>350</v>
      </c>
      <c r="U970" s="10">
        <f t="shared" ca="1" si="152"/>
        <v>350</v>
      </c>
      <c r="V970">
        <f t="shared" si="153"/>
        <v>6</v>
      </c>
    </row>
    <row r="971" spans="1:22" x14ac:dyDescent="0.25">
      <c r="A971">
        <v>108</v>
      </c>
      <c r="B971">
        <v>7</v>
      </c>
      <c r="C971">
        <v>35</v>
      </c>
      <c r="D971">
        <v>1</v>
      </c>
      <c r="E971">
        <v>1</v>
      </c>
      <c r="F971">
        <v>0</v>
      </c>
      <c r="G971">
        <v>1</v>
      </c>
      <c r="H971">
        <v>450</v>
      </c>
      <c r="I971">
        <f t="shared" si="145"/>
        <v>963</v>
      </c>
      <c r="J971" s="6">
        <f t="array" aca="1" ref="J971:N971" ca="1">TRANSPOSE(ols(OFFSET($C$2:$C$10,I971,0),OFFSET($D$2:$H$10,I971,0)))</f>
        <v>136.99404761904498</v>
      </c>
      <c r="K971" s="6">
        <f ca="1"/>
        <v>-2.6785714285711038</v>
      </c>
      <c r="L971" s="6">
        <f ca="1"/>
        <v>-4.8809523809509301</v>
      </c>
      <c r="M971" s="6">
        <f ca="1"/>
        <v>2.4404761904761472</v>
      </c>
      <c r="N971" s="6">
        <f ca="1"/>
        <v>-0.22202380952380718</v>
      </c>
      <c r="O971" s="6">
        <f t="shared" ca="1" si="146"/>
        <v>36.845238095236795</v>
      </c>
      <c r="P971" t="str">
        <f t="shared" si="147"/>
        <v>NA</v>
      </c>
      <c r="Q971" s="10">
        <f t="shared" ca="1" si="148"/>
        <v>56.845238095237676</v>
      </c>
      <c r="R971" s="10">
        <f t="shared" ca="1" si="149"/>
        <v>136.75595238095002</v>
      </c>
      <c r="S971" s="10">
        <f t="shared" ca="1" si="150"/>
        <v>-79.910714285712345</v>
      </c>
      <c r="T971" s="10">
        <f t="shared" ca="1" si="151"/>
        <v>359.91957104557144</v>
      </c>
      <c r="U971" s="10">
        <f t="shared" ca="1" si="152"/>
        <v>359.91957104557144</v>
      </c>
      <c r="V971">
        <f t="shared" si="153"/>
        <v>5</v>
      </c>
    </row>
    <row r="972" spans="1:22" x14ac:dyDescent="0.25">
      <c r="A972">
        <v>108</v>
      </c>
      <c r="B972">
        <v>8</v>
      </c>
      <c r="C972">
        <v>10</v>
      </c>
      <c r="D972">
        <v>1</v>
      </c>
      <c r="E972">
        <v>1</v>
      </c>
      <c r="F972">
        <v>0</v>
      </c>
      <c r="G972">
        <v>1</v>
      </c>
      <c r="H972">
        <v>550</v>
      </c>
      <c r="I972">
        <f t="shared" ref="I972:I1035" si="154">IF(A972&gt;A971,I971+9,I971)</f>
        <v>963</v>
      </c>
      <c r="J972" s="6">
        <f t="array" aca="1" ref="J972:N972" ca="1">TRANSPOSE(ols(OFFSET($C$2:$C$10,I972,0),OFFSET($D$2:$H$10,I972,0)))</f>
        <v>136.99404761904498</v>
      </c>
      <c r="K972" s="6">
        <f ca="1"/>
        <v>-2.6785714285711038</v>
      </c>
      <c r="L972" s="6">
        <f ca="1"/>
        <v>-4.8809523809509301</v>
      </c>
      <c r="M972" s="6">
        <f ca="1"/>
        <v>2.4404761904761472</v>
      </c>
      <c r="N972" s="6">
        <f ca="1"/>
        <v>-0.22202380952380718</v>
      </c>
      <c r="O972" s="6">
        <f t="shared" ca="1" si="146"/>
        <v>14.642857142856073</v>
      </c>
      <c r="P972" t="str">
        <f t="shared" si="147"/>
        <v>NA</v>
      </c>
      <c r="Q972" s="10">
        <f t="shared" ca="1" si="148"/>
        <v>56.845238095237676</v>
      </c>
      <c r="R972" s="10">
        <f t="shared" ca="1" si="149"/>
        <v>136.75595238095002</v>
      </c>
      <c r="S972" s="10">
        <f t="shared" ca="1" si="150"/>
        <v>-79.910714285712345</v>
      </c>
      <c r="T972" s="10">
        <f t="shared" ca="1" si="151"/>
        <v>359.91957104557144</v>
      </c>
      <c r="U972" s="10">
        <f t="shared" ca="1" si="152"/>
        <v>359.91957104557144</v>
      </c>
      <c r="V972">
        <f t="shared" si="153"/>
        <v>5</v>
      </c>
    </row>
    <row r="973" spans="1:22" x14ac:dyDescent="0.25">
      <c r="A973">
        <v>108</v>
      </c>
      <c r="B973">
        <v>9</v>
      </c>
      <c r="C973">
        <v>0</v>
      </c>
      <c r="D973">
        <v>1</v>
      </c>
      <c r="E973">
        <v>0</v>
      </c>
      <c r="F973">
        <v>0</v>
      </c>
      <c r="G973">
        <v>1</v>
      </c>
      <c r="H973">
        <v>650</v>
      </c>
      <c r="I973">
        <f t="shared" si="154"/>
        <v>963</v>
      </c>
      <c r="J973" s="6">
        <f t="array" aca="1" ref="J973:N973" ca="1">TRANSPOSE(ols(OFFSET($C$2:$C$10,I973,0),OFFSET($D$2:$H$10,I973,0)))</f>
        <v>136.99404761904498</v>
      </c>
      <c r="K973" s="6">
        <f ca="1"/>
        <v>-2.6785714285711038</v>
      </c>
      <c r="L973" s="6">
        <f ca="1"/>
        <v>-4.8809523809509301</v>
      </c>
      <c r="M973" s="6">
        <f ca="1"/>
        <v>2.4404761904761472</v>
      </c>
      <c r="N973" s="6">
        <f ca="1"/>
        <v>-0.22202380952380718</v>
      </c>
      <c r="O973" s="6">
        <f t="shared" ca="1" si="146"/>
        <v>-4.8809523809535449</v>
      </c>
      <c r="P973" t="str">
        <f t="shared" si="147"/>
        <v>NA</v>
      </c>
      <c r="Q973" s="10">
        <f t="shared" ca="1" si="148"/>
        <v>56.845238095237676</v>
      </c>
      <c r="R973" s="10">
        <f t="shared" ca="1" si="149"/>
        <v>139.43452380952112</v>
      </c>
      <c r="S973" s="10">
        <f t="shared" ca="1" si="150"/>
        <v>-82.589285714283449</v>
      </c>
      <c r="T973" s="10">
        <f t="shared" ca="1" si="151"/>
        <v>371.983914209109</v>
      </c>
      <c r="U973" s="10">
        <f t="shared" ca="1" si="152"/>
        <v>371.983914209109</v>
      </c>
      <c r="V973">
        <f t="shared" si="153"/>
        <v>4</v>
      </c>
    </row>
    <row r="974" spans="1:22" x14ac:dyDescent="0.25">
      <c r="A974">
        <v>109</v>
      </c>
      <c r="B974">
        <v>1</v>
      </c>
      <c r="C974">
        <v>5</v>
      </c>
      <c r="D974">
        <v>1</v>
      </c>
      <c r="E974">
        <v>0</v>
      </c>
      <c r="F974">
        <v>1</v>
      </c>
      <c r="G974">
        <v>0</v>
      </c>
      <c r="H974">
        <v>250</v>
      </c>
      <c r="I974">
        <f t="shared" si="154"/>
        <v>972</v>
      </c>
      <c r="J974" s="6">
        <f t="array" aca="1" ref="J974:N974" ca="1">TRANSPOSE(ols(OFFSET($C$2:$C$10,I974,0),OFFSET($D$2:$H$10,I974,0)))</f>
        <v>116.72619047618832</v>
      </c>
      <c r="K974" s="6">
        <f ca="1"/>
        <v>-0.71428571428526766</v>
      </c>
      <c r="L974" s="6">
        <f ca="1"/>
        <v>-69.523809523808495</v>
      </c>
      <c r="M974" s="6">
        <f ca="1"/>
        <v>22.261904761904589</v>
      </c>
      <c r="N974" s="6">
        <f ca="1"/>
        <v>-0.21309523809523556</v>
      </c>
      <c r="O974" s="6">
        <f t="shared" ca="1" si="146"/>
        <v>-6.0714285714290668</v>
      </c>
      <c r="P974" t="str">
        <f t="shared" si="147"/>
        <v>NA</v>
      </c>
      <c r="Q974" s="10">
        <f t="shared" ca="1" si="148"/>
        <v>-5.1190476190480325</v>
      </c>
      <c r="R974" s="10">
        <f t="shared" ca="1" si="149"/>
        <v>47.202380952379826</v>
      </c>
      <c r="S974" s="10">
        <f t="shared" ca="1" si="150"/>
        <v>-52.321428571427859</v>
      </c>
      <c r="T974" s="10">
        <f t="shared" ca="1" si="151"/>
        <v>245.5307262569828</v>
      </c>
      <c r="U974" s="10" t="str">
        <f t="shared" ca="1" si="152"/>
        <v>OR</v>
      </c>
      <c r="V974">
        <f t="shared" si="153"/>
        <v>3</v>
      </c>
    </row>
    <row r="975" spans="1:22" x14ac:dyDescent="0.25">
      <c r="A975">
        <v>109</v>
      </c>
      <c r="B975">
        <v>2</v>
      </c>
      <c r="C975">
        <v>50</v>
      </c>
      <c r="D975">
        <v>1</v>
      </c>
      <c r="E975">
        <v>1</v>
      </c>
      <c r="F975">
        <v>0</v>
      </c>
      <c r="G975">
        <v>0</v>
      </c>
      <c r="H975">
        <v>350</v>
      </c>
      <c r="I975">
        <f t="shared" si="154"/>
        <v>972</v>
      </c>
      <c r="J975" s="6">
        <f t="array" aca="1" ref="J975:N975" ca="1">TRANSPOSE(ols(OFFSET($C$2:$C$10,I975,0),OFFSET($D$2:$H$10,I975,0)))</f>
        <v>116.72619047618832</v>
      </c>
      <c r="K975" s="6">
        <f ca="1"/>
        <v>-0.71428571428526766</v>
      </c>
      <c r="L975" s="6">
        <f ca="1"/>
        <v>-69.523809523808495</v>
      </c>
      <c r="M975" s="6">
        <f ca="1"/>
        <v>22.261904761904589</v>
      </c>
      <c r="N975" s="6">
        <f ca="1"/>
        <v>-0.21309523809523556</v>
      </c>
      <c r="O975" s="6">
        <f t="shared" ca="1" si="146"/>
        <v>41.428571428570606</v>
      </c>
      <c r="P975" t="str">
        <f t="shared" si="147"/>
        <v>NA</v>
      </c>
      <c r="Q975" s="10">
        <f t="shared" ca="1" si="148"/>
        <v>-5.1190476190480325</v>
      </c>
      <c r="R975" s="10">
        <f t="shared" ca="1" si="149"/>
        <v>116.01190476190305</v>
      </c>
      <c r="S975" s="10">
        <f t="shared" ca="1" si="150"/>
        <v>-121.13095238095109</v>
      </c>
      <c r="T975" s="10">
        <f t="shared" ca="1" si="151"/>
        <v>568.43575418994487</v>
      </c>
      <c r="U975" s="10">
        <f t="shared" ca="1" si="152"/>
        <v>568.43575418994487</v>
      </c>
      <c r="V975">
        <f t="shared" si="153"/>
        <v>2</v>
      </c>
    </row>
    <row r="976" spans="1:22" x14ac:dyDescent="0.25">
      <c r="A976">
        <v>109</v>
      </c>
      <c r="B976">
        <v>3</v>
      </c>
      <c r="C976">
        <v>0</v>
      </c>
      <c r="D976">
        <v>1</v>
      </c>
      <c r="E976">
        <v>1</v>
      </c>
      <c r="F976">
        <v>0</v>
      </c>
      <c r="G976">
        <v>0</v>
      </c>
      <c r="H976">
        <v>450</v>
      </c>
      <c r="I976">
        <f t="shared" si="154"/>
        <v>972</v>
      </c>
      <c r="J976" s="6">
        <f t="array" aca="1" ref="J976:N976" ca="1">TRANSPOSE(ols(OFFSET($C$2:$C$10,I976,0),OFFSET($D$2:$H$10,I976,0)))</f>
        <v>116.72619047618832</v>
      </c>
      <c r="K976" s="6">
        <f ca="1"/>
        <v>-0.71428571428526766</v>
      </c>
      <c r="L976" s="6">
        <f ca="1"/>
        <v>-69.523809523808495</v>
      </c>
      <c r="M976" s="6">
        <f ca="1"/>
        <v>22.261904761904589</v>
      </c>
      <c r="N976" s="6">
        <f ca="1"/>
        <v>-0.21309523809523556</v>
      </c>
      <c r="O976" s="6">
        <f t="shared" ca="1" si="146"/>
        <v>20.119047619047052</v>
      </c>
      <c r="P976" t="str">
        <f t="shared" si="147"/>
        <v>NA</v>
      </c>
      <c r="Q976" s="10">
        <f t="shared" ca="1" si="148"/>
        <v>-5.1190476190480325</v>
      </c>
      <c r="R976" s="10">
        <f t="shared" ca="1" si="149"/>
        <v>116.01190476190305</v>
      </c>
      <c r="S976" s="10">
        <f t="shared" ca="1" si="150"/>
        <v>-121.13095238095109</v>
      </c>
      <c r="T976" s="10">
        <f t="shared" ca="1" si="151"/>
        <v>568.43575418994487</v>
      </c>
      <c r="U976" s="10">
        <f t="shared" ca="1" si="152"/>
        <v>568.43575418994487</v>
      </c>
      <c r="V976">
        <f t="shared" si="153"/>
        <v>2</v>
      </c>
    </row>
    <row r="977" spans="1:22" x14ac:dyDescent="0.25">
      <c r="A977">
        <v>109</v>
      </c>
      <c r="B977">
        <v>4</v>
      </c>
      <c r="C977">
        <v>0</v>
      </c>
      <c r="D977">
        <v>1</v>
      </c>
      <c r="E977">
        <v>0</v>
      </c>
      <c r="F977">
        <v>0</v>
      </c>
      <c r="G977">
        <v>0</v>
      </c>
      <c r="H977">
        <v>550</v>
      </c>
      <c r="I977">
        <f t="shared" si="154"/>
        <v>972</v>
      </c>
      <c r="J977" s="6">
        <f t="array" aca="1" ref="J977:N977" ca="1">TRANSPOSE(ols(OFFSET($C$2:$C$10,I977,0),OFFSET($D$2:$H$10,I977,0)))</f>
        <v>116.72619047618832</v>
      </c>
      <c r="K977" s="6">
        <f ca="1"/>
        <v>-0.71428571428526766</v>
      </c>
      <c r="L977" s="6">
        <f ca="1"/>
        <v>-69.523809523808495</v>
      </c>
      <c r="M977" s="6">
        <f ca="1"/>
        <v>22.261904761904589</v>
      </c>
      <c r="N977" s="6">
        <f ca="1"/>
        <v>-0.21309523809523556</v>
      </c>
      <c r="O977" s="6">
        <f t="shared" ca="1" si="146"/>
        <v>-0.47619047619123478</v>
      </c>
      <c r="P977" t="str">
        <f t="shared" si="147"/>
        <v>NA</v>
      </c>
      <c r="Q977" s="10">
        <f t="shared" ca="1" si="148"/>
        <v>-5.1190476190480325</v>
      </c>
      <c r="R977" s="10">
        <f t="shared" ca="1" si="149"/>
        <v>116.72619047618832</v>
      </c>
      <c r="S977" s="10">
        <f t="shared" ca="1" si="150"/>
        <v>-121.84523809523635</v>
      </c>
      <c r="T977" s="10">
        <f t="shared" ca="1" si="151"/>
        <v>571.78770949720536</v>
      </c>
      <c r="U977" s="10">
        <f t="shared" ca="1" si="152"/>
        <v>571.78770949720536</v>
      </c>
      <c r="V977">
        <f t="shared" si="153"/>
        <v>1</v>
      </c>
    </row>
    <row r="978" spans="1:22" x14ac:dyDescent="0.25">
      <c r="A978">
        <v>109</v>
      </c>
      <c r="B978">
        <v>5</v>
      </c>
      <c r="C978">
        <v>0</v>
      </c>
      <c r="D978">
        <v>1</v>
      </c>
      <c r="E978">
        <v>0</v>
      </c>
      <c r="F978">
        <v>1</v>
      </c>
      <c r="G978">
        <v>1</v>
      </c>
      <c r="H978">
        <v>250</v>
      </c>
      <c r="I978">
        <f t="shared" si="154"/>
        <v>972</v>
      </c>
      <c r="J978" s="6">
        <f t="array" aca="1" ref="J978:N978" ca="1">TRANSPOSE(ols(OFFSET($C$2:$C$10,I978,0),OFFSET($D$2:$H$10,I978,0)))</f>
        <v>116.72619047618832</v>
      </c>
      <c r="K978" s="6">
        <f ca="1"/>
        <v>-0.71428571428526766</v>
      </c>
      <c r="L978" s="6">
        <f ca="1"/>
        <v>-69.523809523808495</v>
      </c>
      <c r="M978" s="6">
        <f ca="1"/>
        <v>22.261904761904589</v>
      </c>
      <c r="N978" s="6">
        <f ca="1"/>
        <v>-0.21309523809523556</v>
      </c>
      <c r="O978" s="6">
        <f t="shared" ca="1" si="146"/>
        <v>16.190476190475522</v>
      </c>
      <c r="P978" t="str">
        <f t="shared" si="147"/>
        <v>NA</v>
      </c>
      <c r="Q978" s="10">
        <f t="shared" ca="1" si="148"/>
        <v>-5.1190476190480325</v>
      </c>
      <c r="R978" s="10">
        <f t="shared" ca="1" si="149"/>
        <v>69.464285714284415</v>
      </c>
      <c r="S978" s="10">
        <f t="shared" ca="1" si="150"/>
        <v>-74.583333333332448</v>
      </c>
      <c r="T978" s="10">
        <f t="shared" ca="1" si="151"/>
        <v>350</v>
      </c>
      <c r="U978" s="10">
        <f t="shared" ca="1" si="152"/>
        <v>350</v>
      </c>
      <c r="V978">
        <f t="shared" si="153"/>
        <v>6</v>
      </c>
    </row>
    <row r="979" spans="1:22" x14ac:dyDescent="0.25">
      <c r="A979">
        <v>109</v>
      </c>
      <c r="B979">
        <v>6</v>
      </c>
      <c r="C979">
        <v>0</v>
      </c>
      <c r="D979">
        <v>1</v>
      </c>
      <c r="E979">
        <v>0</v>
      </c>
      <c r="F979">
        <v>1</v>
      </c>
      <c r="G979">
        <v>1</v>
      </c>
      <c r="H979">
        <v>350</v>
      </c>
      <c r="I979">
        <f t="shared" si="154"/>
        <v>972</v>
      </c>
      <c r="J979" s="6">
        <f t="array" aca="1" ref="J979:N979" ca="1">TRANSPOSE(ols(OFFSET($C$2:$C$10,I979,0),OFFSET($D$2:$H$10,I979,0)))</f>
        <v>116.72619047618832</v>
      </c>
      <c r="K979" s="6">
        <f ca="1"/>
        <v>-0.71428571428526766</v>
      </c>
      <c r="L979" s="6">
        <f ca="1"/>
        <v>-69.523809523808495</v>
      </c>
      <c r="M979" s="6">
        <f ca="1"/>
        <v>22.261904761904589</v>
      </c>
      <c r="N979" s="6">
        <f ca="1"/>
        <v>-0.21309523809523556</v>
      </c>
      <c r="O979" s="6">
        <f t="shared" ca="1" si="146"/>
        <v>-5.1190476190480325</v>
      </c>
      <c r="P979">
        <f t="shared" ca="1" si="147"/>
        <v>-5.1190476190480325</v>
      </c>
      <c r="Q979" s="10">
        <f t="shared" ca="1" si="148"/>
        <v>-5.1190476190480325</v>
      </c>
      <c r="R979" s="10">
        <f t="shared" ca="1" si="149"/>
        <v>69.464285714284415</v>
      </c>
      <c r="S979" s="10">
        <f t="shared" ca="1" si="150"/>
        <v>-74.583333333332448</v>
      </c>
      <c r="T979" s="10">
        <f t="shared" ca="1" si="151"/>
        <v>350</v>
      </c>
      <c r="U979" s="10">
        <f t="shared" ca="1" si="152"/>
        <v>350</v>
      </c>
      <c r="V979">
        <f t="shared" si="153"/>
        <v>6</v>
      </c>
    </row>
    <row r="980" spans="1:22" x14ac:dyDescent="0.25">
      <c r="A980">
        <v>109</v>
      </c>
      <c r="B980">
        <v>7</v>
      </c>
      <c r="C980">
        <v>50</v>
      </c>
      <c r="D980">
        <v>1</v>
      </c>
      <c r="E980">
        <v>1</v>
      </c>
      <c r="F980">
        <v>0</v>
      </c>
      <c r="G980">
        <v>1</v>
      </c>
      <c r="H980">
        <v>450</v>
      </c>
      <c r="I980">
        <f t="shared" si="154"/>
        <v>972</v>
      </c>
      <c r="J980" s="6">
        <f t="array" aca="1" ref="J980:N980" ca="1">TRANSPOSE(ols(OFFSET($C$2:$C$10,I980,0),OFFSET($D$2:$H$10,I980,0)))</f>
        <v>116.72619047618832</v>
      </c>
      <c r="K980" s="6">
        <f ca="1"/>
        <v>-0.71428571428526766</v>
      </c>
      <c r="L980" s="6">
        <f ca="1"/>
        <v>-69.523809523808495</v>
      </c>
      <c r="M980" s="6">
        <f ca="1"/>
        <v>22.261904761904589</v>
      </c>
      <c r="N980" s="6">
        <f ca="1"/>
        <v>-0.21309523809523556</v>
      </c>
      <c r="O980" s="6">
        <f t="shared" ca="1" si="146"/>
        <v>42.380952380951641</v>
      </c>
      <c r="P980" t="str">
        <f t="shared" si="147"/>
        <v>NA</v>
      </c>
      <c r="Q980" s="10">
        <f t="shared" ca="1" si="148"/>
        <v>-5.1190476190480325</v>
      </c>
      <c r="R980" s="10">
        <f t="shared" ca="1" si="149"/>
        <v>138.27380952380764</v>
      </c>
      <c r="S980" s="10">
        <f t="shared" ca="1" si="150"/>
        <v>-143.39285714285569</v>
      </c>
      <c r="T980" s="10">
        <f t="shared" ca="1" si="151"/>
        <v>672.90502793296207</v>
      </c>
      <c r="U980" s="10" t="str">
        <f t="shared" ca="1" si="152"/>
        <v>OR</v>
      </c>
      <c r="V980">
        <f t="shared" si="153"/>
        <v>5</v>
      </c>
    </row>
    <row r="981" spans="1:22" x14ac:dyDescent="0.25">
      <c r="A981">
        <v>109</v>
      </c>
      <c r="B981">
        <v>8</v>
      </c>
      <c r="C981">
        <v>25</v>
      </c>
      <c r="D981">
        <v>1</v>
      </c>
      <c r="E981">
        <v>1</v>
      </c>
      <c r="F981">
        <v>0</v>
      </c>
      <c r="G981">
        <v>1</v>
      </c>
      <c r="H981">
        <v>550</v>
      </c>
      <c r="I981">
        <f t="shared" si="154"/>
        <v>972</v>
      </c>
      <c r="J981" s="6">
        <f t="array" aca="1" ref="J981:N981" ca="1">TRANSPOSE(ols(OFFSET($C$2:$C$10,I981,0),OFFSET($D$2:$H$10,I981,0)))</f>
        <v>116.72619047618832</v>
      </c>
      <c r="K981" s="6">
        <f ca="1"/>
        <v>-0.71428571428526766</v>
      </c>
      <c r="L981" s="6">
        <f ca="1"/>
        <v>-69.523809523808495</v>
      </c>
      <c r="M981" s="6">
        <f ca="1"/>
        <v>22.261904761904589</v>
      </c>
      <c r="N981" s="6">
        <f ca="1"/>
        <v>-0.21309523809523556</v>
      </c>
      <c r="O981" s="6">
        <f t="shared" ca="1" si="146"/>
        <v>21.071428571428086</v>
      </c>
      <c r="P981" t="str">
        <f t="shared" si="147"/>
        <v>NA</v>
      </c>
      <c r="Q981" s="10">
        <f t="shared" ca="1" si="148"/>
        <v>-5.1190476190480325</v>
      </c>
      <c r="R981" s="10">
        <f t="shared" ca="1" si="149"/>
        <v>138.27380952380764</v>
      </c>
      <c r="S981" s="10">
        <f t="shared" ca="1" si="150"/>
        <v>-143.39285714285569</v>
      </c>
      <c r="T981" s="10">
        <f t="shared" ca="1" si="151"/>
        <v>672.90502793296207</v>
      </c>
      <c r="U981" s="10" t="str">
        <f t="shared" ca="1" si="152"/>
        <v>OR</v>
      </c>
      <c r="V981">
        <f t="shared" si="153"/>
        <v>5</v>
      </c>
    </row>
    <row r="982" spans="1:22" x14ac:dyDescent="0.25">
      <c r="A982">
        <v>109</v>
      </c>
      <c r="B982">
        <v>9</v>
      </c>
      <c r="C982">
        <v>0</v>
      </c>
      <c r="D982">
        <v>1</v>
      </c>
      <c r="E982">
        <v>0</v>
      </c>
      <c r="F982">
        <v>0</v>
      </c>
      <c r="G982">
        <v>1</v>
      </c>
      <c r="H982">
        <v>650</v>
      </c>
      <c r="I982">
        <f t="shared" si="154"/>
        <v>972</v>
      </c>
      <c r="J982" s="6">
        <f t="array" aca="1" ref="J982:N982" ca="1">TRANSPOSE(ols(OFFSET($C$2:$C$10,I982,0),OFFSET($D$2:$H$10,I982,0)))</f>
        <v>116.72619047618832</v>
      </c>
      <c r="K982" s="6">
        <f ca="1"/>
        <v>-0.71428571428526766</v>
      </c>
      <c r="L982" s="6">
        <f ca="1"/>
        <v>-69.523809523808495</v>
      </c>
      <c r="M982" s="6">
        <f ca="1"/>
        <v>22.261904761904589</v>
      </c>
      <c r="N982" s="6">
        <f ca="1"/>
        <v>-0.21309523809523556</v>
      </c>
      <c r="O982" s="6">
        <f t="shared" ca="1" si="146"/>
        <v>0.47619047618979948</v>
      </c>
      <c r="P982" t="str">
        <f t="shared" si="147"/>
        <v>NA</v>
      </c>
      <c r="Q982" s="10">
        <f t="shared" ca="1" si="148"/>
        <v>-5.1190476190480325</v>
      </c>
      <c r="R982" s="10">
        <f t="shared" ca="1" si="149"/>
        <v>138.98809523809291</v>
      </c>
      <c r="S982" s="10">
        <f t="shared" ca="1" si="150"/>
        <v>-144.10714285714096</v>
      </c>
      <c r="T982" s="10">
        <f t="shared" ca="1" si="151"/>
        <v>676.25698324022255</v>
      </c>
      <c r="U982" s="10" t="str">
        <f t="shared" ca="1" si="152"/>
        <v>OR</v>
      </c>
      <c r="V982">
        <f t="shared" si="153"/>
        <v>4</v>
      </c>
    </row>
    <row r="983" spans="1:22" x14ac:dyDescent="0.25">
      <c r="A983">
        <v>110</v>
      </c>
      <c r="B983">
        <v>1</v>
      </c>
      <c r="C983">
        <v>25</v>
      </c>
      <c r="D983">
        <v>1</v>
      </c>
      <c r="E983">
        <v>0</v>
      </c>
      <c r="F983">
        <v>1</v>
      </c>
      <c r="G983">
        <v>0</v>
      </c>
      <c r="H983">
        <v>250</v>
      </c>
      <c r="I983">
        <f t="shared" si="154"/>
        <v>981</v>
      </c>
      <c r="J983" s="6">
        <f t="array" aca="1" ref="J983:N983" ca="1">TRANSPOSE(ols(OFFSET($C$2:$C$10,I983,0),OFFSET($D$2:$H$10,I983,0)))</f>
        <v>76.96428571428487</v>
      </c>
      <c r="K983" s="6">
        <f ca="1"/>
        <v>-1.0714285714283278</v>
      </c>
      <c r="L983" s="6">
        <f ca="1"/>
        <v>-44.285714285713539</v>
      </c>
      <c r="M983" s="6">
        <f ca="1"/>
        <v>19.64285714285711</v>
      </c>
      <c r="N983" s="6">
        <f ca="1"/>
        <v>-0.13214285714285623</v>
      </c>
      <c r="O983" s="6">
        <f t="shared" ca="1" si="146"/>
        <v>-0.3571428571427262</v>
      </c>
      <c r="P983" t="str">
        <f t="shared" si="147"/>
        <v>NA</v>
      </c>
      <c r="Q983" s="10">
        <f t="shared" ca="1" si="148"/>
        <v>6.0714285714287612</v>
      </c>
      <c r="R983" s="10">
        <f t="shared" ca="1" si="149"/>
        <v>32.678571428571331</v>
      </c>
      <c r="S983" s="10">
        <f t="shared" ca="1" si="150"/>
        <v>-26.60714285714257</v>
      </c>
      <c r="T983" s="10">
        <f t="shared" ca="1" si="151"/>
        <v>201.35135135135056</v>
      </c>
      <c r="U983" s="10" t="str">
        <f t="shared" ca="1" si="152"/>
        <v>OR</v>
      </c>
      <c r="V983">
        <f t="shared" si="153"/>
        <v>3</v>
      </c>
    </row>
    <row r="984" spans="1:22" x14ac:dyDescent="0.25">
      <c r="A984">
        <v>110</v>
      </c>
      <c r="B984">
        <v>2</v>
      </c>
      <c r="C984">
        <v>25</v>
      </c>
      <c r="D984">
        <v>1</v>
      </c>
      <c r="E984">
        <v>1</v>
      </c>
      <c r="F984">
        <v>0</v>
      </c>
      <c r="G984">
        <v>0</v>
      </c>
      <c r="H984">
        <v>350</v>
      </c>
      <c r="I984">
        <f t="shared" si="154"/>
        <v>981</v>
      </c>
      <c r="J984" s="6">
        <f t="array" aca="1" ref="J984:N984" ca="1">TRANSPOSE(ols(OFFSET($C$2:$C$10,I984,0),OFFSET($D$2:$H$10,I984,0)))</f>
        <v>76.96428571428487</v>
      </c>
      <c r="K984" s="6">
        <f ca="1"/>
        <v>-1.0714285714283278</v>
      </c>
      <c r="L984" s="6">
        <f ca="1"/>
        <v>-44.285714285713539</v>
      </c>
      <c r="M984" s="6">
        <f ca="1"/>
        <v>19.64285714285711</v>
      </c>
      <c r="N984" s="6">
        <f ca="1"/>
        <v>-0.13214285714285623</v>
      </c>
      <c r="O984" s="6">
        <f t="shared" ca="1" si="146"/>
        <v>29.642857142856862</v>
      </c>
      <c r="P984" t="str">
        <f t="shared" si="147"/>
        <v>NA</v>
      </c>
      <c r="Q984" s="10">
        <f t="shared" ca="1" si="148"/>
        <v>6.0714285714287612</v>
      </c>
      <c r="R984" s="10">
        <f t="shared" ca="1" si="149"/>
        <v>75.892857142856542</v>
      </c>
      <c r="S984" s="10">
        <f t="shared" ca="1" si="150"/>
        <v>-69.821428571427788</v>
      </c>
      <c r="T984" s="10">
        <f t="shared" ca="1" si="151"/>
        <v>528.37837837837606</v>
      </c>
      <c r="U984" s="10">
        <f t="shared" ca="1" si="152"/>
        <v>528.37837837837606</v>
      </c>
      <c r="V984">
        <f t="shared" si="153"/>
        <v>2</v>
      </c>
    </row>
    <row r="985" spans="1:22" x14ac:dyDescent="0.25">
      <c r="A985">
        <v>110</v>
      </c>
      <c r="B985">
        <v>3</v>
      </c>
      <c r="C985">
        <v>0</v>
      </c>
      <c r="D985">
        <v>1</v>
      </c>
      <c r="E985">
        <v>1</v>
      </c>
      <c r="F985">
        <v>0</v>
      </c>
      <c r="G985">
        <v>0</v>
      </c>
      <c r="H985">
        <v>450</v>
      </c>
      <c r="I985">
        <f t="shared" si="154"/>
        <v>981</v>
      </c>
      <c r="J985" s="6">
        <f t="array" aca="1" ref="J985:N985" ca="1">TRANSPOSE(ols(OFFSET($C$2:$C$10,I985,0),OFFSET($D$2:$H$10,I985,0)))</f>
        <v>76.96428571428487</v>
      </c>
      <c r="K985" s="6">
        <f ca="1"/>
        <v>-1.0714285714283278</v>
      </c>
      <c r="L985" s="6">
        <f ca="1"/>
        <v>-44.285714285713539</v>
      </c>
      <c r="M985" s="6">
        <f ca="1"/>
        <v>19.64285714285711</v>
      </c>
      <c r="N985" s="6">
        <f ca="1"/>
        <v>-0.13214285714285623</v>
      </c>
      <c r="O985" s="6">
        <f t="shared" ca="1" si="146"/>
        <v>16.428571428571239</v>
      </c>
      <c r="P985" t="str">
        <f t="shared" si="147"/>
        <v>NA</v>
      </c>
      <c r="Q985" s="10">
        <f t="shared" ca="1" si="148"/>
        <v>6.0714285714287612</v>
      </c>
      <c r="R985" s="10">
        <f t="shared" ca="1" si="149"/>
        <v>75.892857142856542</v>
      </c>
      <c r="S985" s="10">
        <f t="shared" ca="1" si="150"/>
        <v>-69.821428571427788</v>
      </c>
      <c r="T985" s="10">
        <f t="shared" ca="1" si="151"/>
        <v>528.37837837837606</v>
      </c>
      <c r="U985" s="10">
        <f t="shared" ca="1" si="152"/>
        <v>528.37837837837606</v>
      </c>
      <c r="V985">
        <f t="shared" si="153"/>
        <v>2</v>
      </c>
    </row>
    <row r="986" spans="1:22" x14ac:dyDescent="0.25">
      <c r="A986">
        <v>110</v>
      </c>
      <c r="B986">
        <v>4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550</v>
      </c>
      <c r="I986">
        <f t="shared" si="154"/>
        <v>981</v>
      </c>
      <c r="J986" s="6">
        <f t="array" aca="1" ref="J986:N986" ca="1">TRANSPOSE(ols(OFFSET($C$2:$C$10,I986,0),OFFSET($D$2:$H$10,I986,0)))</f>
        <v>76.96428571428487</v>
      </c>
      <c r="K986" s="6">
        <f ca="1"/>
        <v>-1.0714285714283278</v>
      </c>
      <c r="L986" s="6">
        <f ca="1"/>
        <v>-44.285714285713539</v>
      </c>
      <c r="M986" s="6">
        <f ca="1"/>
        <v>19.64285714285711</v>
      </c>
      <c r="N986" s="6">
        <f ca="1"/>
        <v>-0.13214285714285623</v>
      </c>
      <c r="O986" s="6">
        <f t="shared" ca="1" si="146"/>
        <v>4.2857142857139365</v>
      </c>
      <c r="P986" t="str">
        <f t="shared" si="147"/>
        <v>NA</v>
      </c>
      <c r="Q986" s="10">
        <f t="shared" ca="1" si="148"/>
        <v>6.0714285714287612</v>
      </c>
      <c r="R986" s="10">
        <f t="shared" ca="1" si="149"/>
        <v>76.96428571428487</v>
      </c>
      <c r="S986" s="10">
        <f t="shared" ca="1" si="150"/>
        <v>-70.892857142856116</v>
      </c>
      <c r="T986" s="10">
        <f t="shared" ca="1" si="151"/>
        <v>536.48648648648248</v>
      </c>
      <c r="U986" s="10">
        <f t="shared" ca="1" si="152"/>
        <v>536.48648648648248</v>
      </c>
      <c r="V986">
        <f t="shared" si="153"/>
        <v>1</v>
      </c>
    </row>
    <row r="987" spans="1:22" x14ac:dyDescent="0.25">
      <c r="A987">
        <v>110</v>
      </c>
      <c r="B987">
        <v>5</v>
      </c>
      <c r="C987">
        <v>0</v>
      </c>
      <c r="D987">
        <v>1</v>
      </c>
      <c r="E987">
        <v>0</v>
      </c>
      <c r="F987">
        <v>1</v>
      </c>
      <c r="G987">
        <v>1</v>
      </c>
      <c r="H987">
        <v>250</v>
      </c>
      <c r="I987">
        <f t="shared" si="154"/>
        <v>981</v>
      </c>
      <c r="J987" s="6">
        <f t="array" aca="1" ref="J987:N987" ca="1">TRANSPOSE(ols(OFFSET($C$2:$C$10,I987,0),OFFSET($D$2:$H$10,I987,0)))</f>
        <v>76.96428571428487</v>
      </c>
      <c r="K987" s="6">
        <f ca="1"/>
        <v>-1.0714285714283278</v>
      </c>
      <c r="L987" s="6">
        <f ca="1"/>
        <v>-44.285714285713539</v>
      </c>
      <c r="M987" s="6">
        <f ca="1"/>
        <v>19.64285714285711</v>
      </c>
      <c r="N987" s="6">
        <f ca="1"/>
        <v>-0.13214285714285623</v>
      </c>
      <c r="O987" s="6">
        <f t="shared" ca="1" si="146"/>
        <v>19.285714285714384</v>
      </c>
      <c r="P987" t="str">
        <f t="shared" si="147"/>
        <v>NA</v>
      </c>
      <c r="Q987" s="10">
        <f t="shared" ca="1" si="148"/>
        <v>6.0714285714287612</v>
      </c>
      <c r="R987" s="10">
        <f t="shared" ca="1" si="149"/>
        <v>52.321428571428442</v>
      </c>
      <c r="S987" s="10">
        <f t="shared" ca="1" si="150"/>
        <v>-46.24999999999968</v>
      </c>
      <c r="T987" s="10">
        <f t="shared" ca="1" si="151"/>
        <v>350</v>
      </c>
      <c r="U987" s="10">
        <f t="shared" ca="1" si="152"/>
        <v>350</v>
      </c>
      <c r="V987">
        <f t="shared" si="153"/>
        <v>6</v>
      </c>
    </row>
    <row r="988" spans="1:22" x14ac:dyDescent="0.25">
      <c r="A988">
        <v>110</v>
      </c>
      <c r="B988">
        <v>6</v>
      </c>
      <c r="C988">
        <v>0</v>
      </c>
      <c r="D988">
        <v>1</v>
      </c>
      <c r="E988">
        <v>0</v>
      </c>
      <c r="F988">
        <v>1</v>
      </c>
      <c r="G988">
        <v>1</v>
      </c>
      <c r="H988">
        <v>350</v>
      </c>
      <c r="I988">
        <f t="shared" si="154"/>
        <v>981</v>
      </c>
      <c r="J988" s="6">
        <f t="array" aca="1" ref="J988:N988" ca="1">TRANSPOSE(ols(OFFSET($C$2:$C$10,I988,0),OFFSET($D$2:$H$10,I988,0)))</f>
        <v>76.96428571428487</v>
      </c>
      <c r="K988" s="6">
        <f ca="1"/>
        <v>-1.0714285714283278</v>
      </c>
      <c r="L988" s="6">
        <f ca="1"/>
        <v>-44.285714285713539</v>
      </c>
      <c r="M988" s="6">
        <f ca="1"/>
        <v>19.64285714285711</v>
      </c>
      <c r="N988" s="6">
        <f ca="1"/>
        <v>-0.13214285714285623</v>
      </c>
      <c r="O988" s="6">
        <f t="shared" ca="1" si="146"/>
        <v>6.0714285714287612</v>
      </c>
      <c r="P988">
        <f t="shared" ca="1" si="147"/>
        <v>6.0714285714287612</v>
      </c>
      <c r="Q988" s="10">
        <f t="shared" ca="1" si="148"/>
        <v>6.0714285714287612</v>
      </c>
      <c r="R988" s="10">
        <f t="shared" ca="1" si="149"/>
        <v>52.321428571428442</v>
      </c>
      <c r="S988" s="10">
        <f t="shared" ca="1" si="150"/>
        <v>-46.24999999999968</v>
      </c>
      <c r="T988" s="10">
        <f t="shared" ca="1" si="151"/>
        <v>350</v>
      </c>
      <c r="U988" s="10">
        <f t="shared" ca="1" si="152"/>
        <v>350</v>
      </c>
      <c r="V988">
        <f t="shared" si="153"/>
        <v>6</v>
      </c>
    </row>
    <row r="989" spans="1:22" x14ac:dyDescent="0.25">
      <c r="A989">
        <v>110</v>
      </c>
      <c r="B989">
        <v>7</v>
      </c>
      <c r="C989">
        <v>60</v>
      </c>
      <c r="D989">
        <v>1</v>
      </c>
      <c r="E989">
        <v>1</v>
      </c>
      <c r="F989">
        <v>0</v>
      </c>
      <c r="G989">
        <v>1</v>
      </c>
      <c r="H989">
        <v>450</v>
      </c>
      <c r="I989">
        <f t="shared" si="154"/>
        <v>981</v>
      </c>
      <c r="J989" s="6">
        <f t="array" aca="1" ref="J989:N989" ca="1">TRANSPOSE(ols(OFFSET($C$2:$C$10,I989,0),OFFSET($D$2:$H$10,I989,0)))</f>
        <v>76.96428571428487</v>
      </c>
      <c r="K989" s="6">
        <f ca="1"/>
        <v>-1.0714285714283278</v>
      </c>
      <c r="L989" s="6">
        <f ca="1"/>
        <v>-44.285714285713539</v>
      </c>
      <c r="M989" s="6">
        <f ca="1"/>
        <v>19.64285714285711</v>
      </c>
      <c r="N989" s="6">
        <f ca="1"/>
        <v>-0.13214285714285623</v>
      </c>
      <c r="O989" s="6">
        <f t="shared" ca="1" si="146"/>
        <v>36.071428571428349</v>
      </c>
      <c r="P989" t="str">
        <f t="shared" si="147"/>
        <v>NA</v>
      </c>
      <c r="Q989" s="10">
        <f t="shared" ca="1" si="148"/>
        <v>6.0714285714287612</v>
      </c>
      <c r="R989" s="10">
        <f t="shared" ca="1" si="149"/>
        <v>95.535714285713652</v>
      </c>
      <c r="S989" s="10">
        <f t="shared" ca="1" si="150"/>
        <v>-89.464285714284898</v>
      </c>
      <c r="T989" s="10">
        <f t="shared" ca="1" si="151"/>
        <v>677.0270270270255</v>
      </c>
      <c r="U989" s="10" t="str">
        <f t="shared" ca="1" si="152"/>
        <v>OR</v>
      </c>
      <c r="V989">
        <f t="shared" si="153"/>
        <v>5</v>
      </c>
    </row>
    <row r="990" spans="1:22" x14ac:dyDescent="0.25">
      <c r="A990">
        <v>110</v>
      </c>
      <c r="B990">
        <v>8</v>
      </c>
      <c r="C990">
        <v>20</v>
      </c>
      <c r="D990">
        <v>1</v>
      </c>
      <c r="E990">
        <v>1</v>
      </c>
      <c r="F990">
        <v>0</v>
      </c>
      <c r="G990">
        <v>1</v>
      </c>
      <c r="H990">
        <v>550</v>
      </c>
      <c r="I990">
        <f t="shared" si="154"/>
        <v>981</v>
      </c>
      <c r="J990" s="6">
        <f t="array" aca="1" ref="J990:N990" ca="1">TRANSPOSE(ols(OFFSET($C$2:$C$10,I990,0),OFFSET($D$2:$H$10,I990,0)))</f>
        <v>76.96428571428487</v>
      </c>
      <c r="K990" s="6">
        <f ca="1"/>
        <v>-1.0714285714283278</v>
      </c>
      <c r="L990" s="6">
        <f ca="1"/>
        <v>-44.285714285713539</v>
      </c>
      <c r="M990" s="6">
        <f ca="1"/>
        <v>19.64285714285711</v>
      </c>
      <c r="N990" s="6">
        <f ca="1"/>
        <v>-0.13214285714285623</v>
      </c>
      <c r="O990" s="6">
        <f t="shared" ca="1" si="146"/>
        <v>22.857142857142719</v>
      </c>
      <c r="P990" t="str">
        <f t="shared" si="147"/>
        <v>NA</v>
      </c>
      <c r="Q990" s="10">
        <f t="shared" ca="1" si="148"/>
        <v>6.0714285714287612</v>
      </c>
      <c r="R990" s="10">
        <f t="shared" ca="1" si="149"/>
        <v>95.535714285713652</v>
      </c>
      <c r="S990" s="10">
        <f t="shared" ca="1" si="150"/>
        <v>-89.464285714284898</v>
      </c>
      <c r="T990" s="10">
        <f t="shared" ca="1" si="151"/>
        <v>677.0270270270255</v>
      </c>
      <c r="U990" s="10" t="str">
        <f t="shared" ca="1" si="152"/>
        <v>OR</v>
      </c>
      <c r="V990">
        <f t="shared" si="153"/>
        <v>5</v>
      </c>
    </row>
    <row r="991" spans="1:22" x14ac:dyDescent="0.25">
      <c r="A991">
        <v>110</v>
      </c>
      <c r="B991">
        <v>9</v>
      </c>
      <c r="C991">
        <v>15</v>
      </c>
      <c r="D991">
        <v>1</v>
      </c>
      <c r="E991">
        <v>0</v>
      </c>
      <c r="F991">
        <v>0</v>
      </c>
      <c r="G991">
        <v>1</v>
      </c>
      <c r="H991">
        <v>650</v>
      </c>
      <c r="I991">
        <f t="shared" si="154"/>
        <v>981</v>
      </c>
      <c r="J991" s="6">
        <f t="array" aca="1" ref="J991:N991" ca="1">TRANSPOSE(ols(OFFSET($C$2:$C$10,I991,0),OFFSET($D$2:$H$10,I991,0)))</f>
        <v>76.96428571428487</v>
      </c>
      <c r="K991" s="6">
        <f ca="1"/>
        <v>-1.0714285714283278</v>
      </c>
      <c r="L991" s="6">
        <f ca="1"/>
        <v>-44.285714285713539</v>
      </c>
      <c r="M991" s="6">
        <f ca="1"/>
        <v>19.64285714285711</v>
      </c>
      <c r="N991" s="6">
        <f ca="1"/>
        <v>-0.13214285714285623</v>
      </c>
      <c r="O991" s="6">
        <f t="shared" ca="1" si="146"/>
        <v>10.714285714285438</v>
      </c>
      <c r="P991" t="str">
        <f t="shared" si="147"/>
        <v>NA</v>
      </c>
      <c r="Q991" s="10">
        <f t="shared" ca="1" si="148"/>
        <v>6.0714285714287612</v>
      </c>
      <c r="R991" s="10">
        <f t="shared" ca="1" si="149"/>
        <v>96.60714285714198</v>
      </c>
      <c r="S991" s="10">
        <f t="shared" ca="1" si="150"/>
        <v>-90.535714285713226</v>
      </c>
      <c r="T991" s="10">
        <f t="shared" ca="1" si="151"/>
        <v>685.1351351351318</v>
      </c>
      <c r="U991" s="10" t="str">
        <f t="shared" ca="1" si="152"/>
        <v>OR</v>
      </c>
      <c r="V991">
        <f t="shared" si="153"/>
        <v>4</v>
      </c>
    </row>
    <row r="992" spans="1:22" x14ac:dyDescent="0.25">
      <c r="A992">
        <v>111</v>
      </c>
      <c r="B992">
        <v>1</v>
      </c>
      <c r="C992">
        <v>60</v>
      </c>
      <c r="D992">
        <v>1</v>
      </c>
      <c r="E992">
        <v>0</v>
      </c>
      <c r="F992">
        <v>1</v>
      </c>
      <c r="G992">
        <v>0</v>
      </c>
      <c r="H992">
        <v>250</v>
      </c>
      <c r="I992">
        <f t="shared" si="154"/>
        <v>990</v>
      </c>
      <c r="J992" s="6">
        <f t="array" aca="1" ref="J992:N992" ca="1">TRANSPOSE(ols(OFFSET($C$2:$C$10,I992,0),OFFSET($D$2:$H$10,I992,0)))</f>
        <v>119.94047619047433</v>
      </c>
      <c r="K992" s="6">
        <f ca="1"/>
        <v>10.714285714286234</v>
      </c>
      <c r="L992" s="6">
        <f ca="1"/>
        <v>-28.809523809524762</v>
      </c>
      <c r="M992" s="6">
        <f ca="1"/>
        <v>-5.5952380952378462</v>
      </c>
      <c r="N992" s="6">
        <f ca="1"/>
        <v>-0.12023809523809703</v>
      </c>
      <c r="O992" s="6">
        <f t="shared" ca="1" si="146"/>
        <v>61.071428571425308</v>
      </c>
      <c r="P992" t="str">
        <f t="shared" si="147"/>
        <v>NA</v>
      </c>
      <c r="Q992" s="10">
        <f t="shared" ca="1" si="148"/>
        <v>43.452380952377759</v>
      </c>
      <c r="R992" s="10">
        <f t="shared" ca="1" si="149"/>
        <v>91.130952380949566</v>
      </c>
      <c r="S992" s="10">
        <f t="shared" ca="1" si="150"/>
        <v>-47.678571428571807</v>
      </c>
      <c r="T992" s="10">
        <f t="shared" ca="1" si="151"/>
        <v>396.53465346534375</v>
      </c>
      <c r="U992" s="10">
        <f t="shared" ca="1" si="152"/>
        <v>396.53465346534375</v>
      </c>
      <c r="V992">
        <f t="shared" si="153"/>
        <v>3</v>
      </c>
    </row>
    <row r="993" spans="1:22" x14ac:dyDescent="0.25">
      <c r="A993">
        <v>111</v>
      </c>
      <c r="B993">
        <v>2</v>
      </c>
      <c r="C993">
        <v>85</v>
      </c>
      <c r="D993">
        <v>1</v>
      </c>
      <c r="E993">
        <v>1</v>
      </c>
      <c r="F993">
        <v>0</v>
      </c>
      <c r="G993">
        <v>0</v>
      </c>
      <c r="H993">
        <v>350</v>
      </c>
      <c r="I993">
        <f t="shared" si="154"/>
        <v>990</v>
      </c>
      <c r="J993" s="6">
        <f t="array" aca="1" ref="J993:N993" ca="1">TRANSPOSE(ols(OFFSET($C$2:$C$10,I993,0),OFFSET($D$2:$H$10,I993,0)))</f>
        <v>119.94047619047433</v>
      </c>
      <c r="K993" s="6">
        <f ca="1"/>
        <v>10.714285714286234</v>
      </c>
      <c r="L993" s="6">
        <f ca="1"/>
        <v>-28.809523809524762</v>
      </c>
      <c r="M993" s="6">
        <f ca="1"/>
        <v>-5.5952380952378462</v>
      </c>
      <c r="N993" s="6">
        <f ca="1"/>
        <v>-0.12023809523809703</v>
      </c>
      <c r="O993" s="6">
        <f t="shared" ca="1" si="146"/>
        <v>88.571428571426594</v>
      </c>
      <c r="P993" t="str">
        <f t="shared" si="147"/>
        <v>NA</v>
      </c>
      <c r="Q993" s="10">
        <f t="shared" ca="1" si="148"/>
        <v>43.452380952377759</v>
      </c>
      <c r="R993" s="10">
        <f t="shared" ca="1" si="149"/>
        <v>130.65476190476056</v>
      </c>
      <c r="S993" s="10">
        <f t="shared" ca="1" si="150"/>
        <v>-87.202380952382811</v>
      </c>
      <c r="T993" s="10">
        <f t="shared" ca="1" si="151"/>
        <v>725.24752475247988</v>
      </c>
      <c r="U993" s="10" t="str">
        <f t="shared" ca="1" si="152"/>
        <v>OR</v>
      </c>
      <c r="V993">
        <f t="shared" si="153"/>
        <v>2</v>
      </c>
    </row>
    <row r="994" spans="1:22" x14ac:dyDescent="0.25">
      <c r="A994">
        <v>111</v>
      </c>
      <c r="B994">
        <v>3</v>
      </c>
      <c r="C994">
        <v>85</v>
      </c>
      <c r="D994">
        <v>1</v>
      </c>
      <c r="E994">
        <v>1</v>
      </c>
      <c r="F994">
        <v>0</v>
      </c>
      <c r="G994">
        <v>0</v>
      </c>
      <c r="H994">
        <v>450</v>
      </c>
      <c r="I994">
        <f t="shared" si="154"/>
        <v>990</v>
      </c>
      <c r="J994" s="6">
        <f t="array" aca="1" ref="J994:N994" ca="1">TRANSPOSE(ols(OFFSET($C$2:$C$10,I994,0),OFFSET($D$2:$H$10,I994,0)))</f>
        <v>119.94047619047433</v>
      </c>
      <c r="K994" s="6">
        <f ca="1"/>
        <v>10.714285714286234</v>
      </c>
      <c r="L994" s="6">
        <f ca="1"/>
        <v>-28.809523809524762</v>
      </c>
      <c r="M994" s="6">
        <f ca="1"/>
        <v>-5.5952380952378462</v>
      </c>
      <c r="N994" s="6">
        <f ca="1"/>
        <v>-0.12023809523809703</v>
      </c>
      <c r="O994" s="6">
        <f t="shared" ca="1" si="146"/>
        <v>76.547619047616905</v>
      </c>
      <c r="P994" t="str">
        <f t="shared" si="147"/>
        <v>NA</v>
      </c>
      <c r="Q994" s="10">
        <f t="shared" ca="1" si="148"/>
        <v>43.452380952377759</v>
      </c>
      <c r="R994" s="10">
        <f t="shared" ca="1" si="149"/>
        <v>130.65476190476056</v>
      </c>
      <c r="S994" s="10">
        <f t="shared" ca="1" si="150"/>
        <v>-87.202380952382811</v>
      </c>
      <c r="T994" s="10">
        <f t="shared" ca="1" si="151"/>
        <v>725.24752475247988</v>
      </c>
      <c r="U994" s="10" t="str">
        <f t="shared" ca="1" si="152"/>
        <v>OR</v>
      </c>
      <c r="V994">
        <f t="shared" si="153"/>
        <v>2</v>
      </c>
    </row>
    <row r="995" spans="1:22" x14ac:dyDescent="0.25">
      <c r="A995">
        <v>111</v>
      </c>
      <c r="B995">
        <v>4</v>
      </c>
      <c r="C995">
        <v>50</v>
      </c>
      <c r="D995">
        <v>1</v>
      </c>
      <c r="E995">
        <v>0</v>
      </c>
      <c r="F995">
        <v>0</v>
      </c>
      <c r="G995">
        <v>0</v>
      </c>
      <c r="H995">
        <v>550</v>
      </c>
      <c r="I995">
        <f t="shared" si="154"/>
        <v>990</v>
      </c>
      <c r="J995" s="6">
        <f t="array" aca="1" ref="J995:N995" ca="1">TRANSPOSE(ols(OFFSET($C$2:$C$10,I995,0),OFFSET($D$2:$H$10,I995,0)))</f>
        <v>119.94047619047433</v>
      </c>
      <c r="K995" s="6">
        <f ca="1"/>
        <v>10.714285714286234</v>
      </c>
      <c r="L995" s="6">
        <f ca="1"/>
        <v>-28.809523809524762</v>
      </c>
      <c r="M995" s="6">
        <f ca="1"/>
        <v>-5.5952380952378462</v>
      </c>
      <c r="N995" s="6">
        <f ca="1"/>
        <v>-0.12023809523809703</v>
      </c>
      <c r="O995" s="6">
        <f t="shared" ca="1" si="146"/>
        <v>53.809523809520954</v>
      </c>
      <c r="P995" t="str">
        <f t="shared" si="147"/>
        <v>NA</v>
      </c>
      <c r="Q995" s="10">
        <f t="shared" ca="1" si="148"/>
        <v>43.452380952377759</v>
      </c>
      <c r="R995" s="10">
        <f t="shared" ca="1" si="149"/>
        <v>119.94047619047433</v>
      </c>
      <c r="S995" s="10">
        <f t="shared" ca="1" si="150"/>
        <v>-76.488095238096577</v>
      </c>
      <c r="T995" s="10">
        <f t="shared" ca="1" si="151"/>
        <v>636.13861386138774</v>
      </c>
      <c r="U995" s="10">
        <f t="shared" ca="1" si="152"/>
        <v>636.13861386138774</v>
      </c>
      <c r="V995">
        <f t="shared" si="153"/>
        <v>1</v>
      </c>
    </row>
    <row r="996" spans="1:22" x14ac:dyDescent="0.25">
      <c r="A996">
        <v>111</v>
      </c>
      <c r="B996">
        <v>5</v>
      </c>
      <c r="C996">
        <v>50</v>
      </c>
      <c r="D996">
        <v>1</v>
      </c>
      <c r="E996">
        <v>0</v>
      </c>
      <c r="F996">
        <v>1</v>
      </c>
      <c r="G996">
        <v>1</v>
      </c>
      <c r="H996">
        <v>250</v>
      </c>
      <c r="I996">
        <f t="shared" si="154"/>
        <v>990</v>
      </c>
      <c r="J996" s="6">
        <f t="array" aca="1" ref="J996:N996" ca="1">TRANSPOSE(ols(OFFSET($C$2:$C$10,I996,0),OFFSET($D$2:$H$10,I996,0)))</f>
        <v>119.94047619047433</v>
      </c>
      <c r="K996" s="6">
        <f ca="1"/>
        <v>10.714285714286234</v>
      </c>
      <c r="L996" s="6">
        <f ca="1"/>
        <v>-28.809523809524762</v>
      </c>
      <c r="M996" s="6">
        <f ca="1"/>
        <v>-5.5952380952378462</v>
      </c>
      <c r="N996" s="6">
        <f ca="1"/>
        <v>-0.12023809523809703</v>
      </c>
      <c r="O996" s="6">
        <f t="shared" ca="1" si="146"/>
        <v>55.476190476187462</v>
      </c>
      <c r="P996" t="str">
        <f t="shared" si="147"/>
        <v>NA</v>
      </c>
      <c r="Q996" s="10">
        <f t="shared" ca="1" si="148"/>
        <v>43.452380952377759</v>
      </c>
      <c r="R996" s="10">
        <f t="shared" ca="1" si="149"/>
        <v>85.53571428571172</v>
      </c>
      <c r="S996" s="10">
        <f t="shared" ca="1" si="150"/>
        <v>-42.083333333333961</v>
      </c>
      <c r="T996" s="10">
        <f t="shared" ca="1" si="151"/>
        <v>350</v>
      </c>
      <c r="U996" s="10">
        <f t="shared" ca="1" si="152"/>
        <v>350</v>
      </c>
      <c r="V996">
        <f t="shared" si="153"/>
        <v>6</v>
      </c>
    </row>
    <row r="997" spans="1:22" x14ac:dyDescent="0.25">
      <c r="A997">
        <v>111</v>
      </c>
      <c r="B997">
        <v>6</v>
      </c>
      <c r="C997">
        <v>50</v>
      </c>
      <c r="D997">
        <v>1</v>
      </c>
      <c r="E997">
        <v>0</v>
      </c>
      <c r="F997">
        <v>1</v>
      </c>
      <c r="G997">
        <v>1</v>
      </c>
      <c r="H997">
        <v>350</v>
      </c>
      <c r="I997">
        <f t="shared" si="154"/>
        <v>990</v>
      </c>
      <c r="J997" s="6">
        <f t="array" aca="1" ref="J997:N997" ca="1">TRANSPOSE(ols(OFFSET($C$2:$C$10,I997,0),OFFSET($D$2:$H$10,I997,0)))</f>
        <v>119.94047619047433</v>
      </c>
      <c r="K997" s="6">
        <f ca="1"/>
        <v>10.714285714286234</v>
      </c>
      <c r="L997" s="6">
        <f ca="1"/>
        <v>-28.809523809524762</v>
      </c>
      <c r="M997" s="6">
        <f ca="1"/>
        <v>-5.5952380952378462</v>
      </c>
      <c r="N997" s="6">
        <f ca="1"/>
        <v>-0.12023809523809703</v>
      </c>
      <c r="O997" s="6">
        <f t="shared" ca="1" si="146"/>
        <v>43.452380952377759</v>
      </c>
      <c r="P997">
        <f t="shared" ca="1" si="147"/>
        <v>43.452380952377759</v>
      </c>
      <c r="Q997" s="10">
        <f t="shared" ca="1" si="148"/>
        <v>43.452380952377759</v>
      </c>
      <c r="R997" s="10">
        <f t="shared" ca="1" si="149"/>
        <v>85.53571428571172</v>
      </c>
      <c r="S997" s="10">
        <f t="shared" ca="1" si="150"/>
        <v>-42.083333333333961</v>
      </c>
      <c r="T997" s="10">
        <f t="shared" ca="1" si="151"/>
        <v>350</v>
      </c>
      <c r="U997" s="10">
        <f t="shared" ca="1" si="152"/>
        <v>350</v>
      </c>
      <c r="V997">
        <f t="shared" si="153"/>
        <v>6</v>
      </c>
    </row>
    <row r="998" spans="1:22" x14ac:dyDescent="0.25">
      <c r="A998">
        <v>111</v>
      </c>
      <c r="B998">
        <v>7</v>
      </c>
      <c r="C998">
        <v>80</v>
      </c>
      <c r="D998">
        <v>1</v>
      </c>
      <c r="E998">
        <v>1</v>
      </c>
      <c r="F998">
        <v>0</v>
      </c>
      <c r="G998">
        <v>1</v>
      </c>
      <c r="H998">
        <v>450</v>
      </c>
      <c r="I998">
        <f t="shared" si="154"/>
        <v>990</v>
      </c>
      <c r="J998" s="6">
        <f t="array" aca="1" ref="J998:N998" ca="1">TRANSPOSE(ols(OFFSET($C$2:$C$10,I998,0),OFFSET($D$2:$H$10,I998,0)))</f>
        <v>119.94047619047433</v>
      </c>
      <c r="K998" s="6">
        <f ca="1"/>
        <v>10.714285714286234</v>
      </c>
      <c r="L998" s="6">
        <f ca="1"/>
        <v>-28.809523809524762</v>
      </c>
      <c r="M998" s="6">
        <f ca="1"/>
        <v>-5.5952380952378462</v>
      </c>
      <c r="N998" s="6">
        <f ca="1"/>
        <v>-0.12023809523809703</v>
      </c>
      <c r="O998" s="6">
        <f t="shared" ca="1" si="146"/>
        <v>70.952380952379059</v>
      </c>
      <c r="P998" t="str">
        <f t="shared" si="147"/>
        <v>NA</v>
      </c>
      <c r="Q998" s="10">
        <f t="shared" ca="1" si="148"/>
        <v>43.452380952377759</v>
      </c>
      <c r="R998" s="10">
        <f t="shared" ca="1" si="149"/>
        <v>125.05952380952272</v>
      </c>
      <c r="S998" s="10">
        <f t="shared" ca="1" si="150"/>
        <v>-81.607142857144964</v>
      </c>
      <c r="T998" s="10">
        <f t="shared" ca="1" si="151"/>
        <v>678.71287128713607</v>
      </c>
      <c r="U998" s="10" t="str">
        <f t="shared" ca="1" si="152"/>
        <v>OR</v>
      </c>
      <c r="V998">
        <f t="shared" si="153"/>
        <v>5</v>
      </c>
    </row>
    <row r="999" spans="1:22" x14ac:dyDescent="0.25">
      <c r="A999">
        <v>111</v>
      </c>
      <c r="B999">
        <v>8</v>
      </c>
      <c r="C999">
        <v>45</v>
      </c>
      <c r="D999">
        <v>1</v>
      </c>
      <c r="E999">
        <v>1</v>
      </c>
      <c r="F999">
        <v>0</v>
      </c>
      <c r="G999">
        <v>1</v>
      </c>
      <c r="H999">
        <v>550</v>
      </c>
      <c r="I999">
        <f t="shared" si="154"/>
        <v>990</v>
      </c>
      <c r="J999" s="6">
        <f t="array" aca="1" ref="J999:N999" ca="1">TRANSPOSE(ols(OFFSET($C$2:$C$10,I999,0),OFFSET($D$2:$H$10,I999,0)))</f>
        <v>119.94047619047433</v>
      </c>
      <c r="K999" s="6">
        <f ca="1"/>
        <v>10.714285714286234</v>
      </c>
      <c r="L999" s="6">
        <f ca="1"/>
        <v>-28.809523809524762</v>
      </c>
      <c r="M999" s="6">
        <f ca="1"/>
        <v>-5.5952380952378462</v>
      </c>
      <c r="N999" s="6">
        <f ca="1"/>
        <v>-0.12023809523809703</v>
      </c>
      <c r="O999" s="6">
        <f t="shared" ca="1" si="146"/>
        <v>58.928571428569342</v>
      </c>
      <c r="P999" t="str">
        <f t="shared" si="147"/>
        <v>NA</v>
      </c>
      <c r="Q999" s="10">
        <f t="shared" ca="1" si="148"/>
        <v>43.452380952377759</v>
      </c>
      <c r="R999" s="10">
        <f t="shared" ca="1" si="149"/>
        <v>125.05952380952272</v>
      </c>
      <c r="S999" s="10">
        <f t="shared" ca="1" si="150"/>
        <v>-81.607142857144964</v>
      </c>
      <c r="T999" s="10">
        <f t="shared" ca="1" si="151"/>
        <v>678.71287128713607</v>
      </c>
      <c r="U999" s="10" t="str">
        <f t="shared" ca="1" si="152"/>
        <v>OR</v>
      </c>
      <c r="V999">
        <f t="shared" si="153"/>
        <v>5</v>
      </c>
    </row>
    <row r="1000" spans="1:22" x14ac:dyDescent="0.25">
      <c r="A1000">
        <v>111</v>
      </c>
      <c r="B1000">
        <v>9</v>
      </c>
      <c r="C1000">
        <v>40</v>
      </c>
      <c r="D1000">
        <v>1</v>
      </c>
      <c r="E1000">
        <v>0</v>
      </c>
      <c r="F1000">
        <v>0</v>
      </c>
      <c r="G1000">
        <v>1</v>
      </c>
      <c r="H1000">
        <v>650</v>
      </c>
      <c r="I1000">
        <f t="shared" si="154"/>
        <v>990</v>
      </c>
      <c r="J1000" s="6">
        <f t="array" aca="1" ref="J1000:N1000" ca="1">TRANSPOSE(ols(OFFSET($C$2:$C$10,I1000,0),OFFSET($D$2:$H$10,I1000,0)))</f>
        <v>119.94047619047433</v>
      </c>
      <c r="K1000" s="6">
        <f ca="1"/>
        <v>10.714285714286234</v>
      </c>
      <c r="L1000" s="6">
        <f ca="1"/>
        <v>-28.809523809524762</v>
      </c>
      <c r="M1000" s="6">
        <f ca="1"/>
        <v>-5.5952380952378462</v>
      </c>
      <c r="N1000" s="6">
        <f ca="1"/>
        <v>-0.12023809523809703</v>
      </c>
      <c r="O1000" s="6">
        <f t="shared" ca="1" si="146"/>
        <v>36.190476190473419</v>
      </c>
      <c r="P1000" t="str">
        <f t="shared" si="147"/>
        <v>NA</v>
      </c>
      <c r="Q1000" s="10">
        <f t="shared" ca="1" si="148"/>
        <v>43.452380952377759</v>
      </c>
      <c r="R1000" s="10">
        <f t="shared" ca="1" si="149"/>
        <v>114.34523809523648</v>
      </c>
      <c r="S1000" s="10">
        <f t="shared" ca="1" si="150"/>
        <v>-70.89285714285873</v>
      </c>
      <c r="T1000" s="10">
        <f t="shared" ca="1" si="151"/>
        <v>589.60396039604404</v>
      </c>
      <c r="U1000" s="10">
        <f t="shared" ca="1" si="152"/>
        <v>589.60396039604404</v>
      </c>
      <c r="V1000">
        <f t="shared" si="153"/>
        <v>4</v>
      </c>
    </row>
    <row r="1001" spans="1:22" x14ac:dyDescent="0.25">
      <c r="A1001">
        <v>112</v>
      </c>
      <c r="B1001">
        <v>1</v>
      </c>
      <c r="C1001">
        <v>55</v>
      </c>
      <c r="D1001">
        <v>1</v>
      </c>
      <c r="E1001">
        <v>0</v>
      </c>
      <c r="F1001">
        <v>1</v>
      </c>
      <c r="G1001">
        <v>0</v>
      </c>
      <c r="H1001">
        <v>250</v>
      </c>
      <c r="I1001">
        <f t="shared" si="154"/>
        <v>999</v>
      </c>
      <c r="J1001" s="6">
        <f t="array" aca="1" ref="J1001:N1001" ca="1">TRANSPOSE(ols(OFFSET($C$2:$C$10,I1001,0),OFFSET($D$2:$H$10,I1001,0)))</f>
        <v>85.535714285713766</v>
      </c>
      <c r="K1001" s="6">
        <f ca="1"/>
        <v>8.5714285714284415</v>
      </c>
      <c r="L1001" s="6">
        <f ca="1"/>
        <v>-25.714285714287143</v>
      </c>
      <c r="M1001" s="6">
        <f ca="1"/>
        <v>0.35714285714334437</v>
      </c>
      <c r="N1001" s="6">
        <f ca="1"/>
        <v>-1.7857142857145902E-2</v>
      </c>
      <c r="O1001" s="6">
        <f t="shared" ca="1" si="146"/>
        <v>55.357142857140147</v>
      </c>
      <c r="P1001" t="str">
        <f t="shared" si="147"/>
        <v>NA</v>
      </c>
      <c r="Q1001" s="10">
        <f t="shared" ca="1" si="148"/>
        <v>53.928571428568901</v>
      </c>
      <c r="R1001" s="10">
        <f t="shared" ca="1" si="149"/>
        <v>59.821428571426623</v>
      </c>
      <c r="S1001" s="10">
        <f t="shared" ca="1" si="150"/>
        <v>-5.8928571428577214</v>
      </c>
      <c r="T1001" s="10">
        <f t="shared" ca="1" si="151"/>
        <v>329.99999999997613</v>
      </c>
      <c r="U1001" s="10">
        <f t="shared" ca="1" si="152"/>
        <v>329.99999999997613</v>
      </c>
      <c r="V1001">
        <f t="shared" si="153"/>
        <v>3</v>
      </c>
    </row>
    <row r="1002" spans="1:22" x14ac:dyDescent="0.25">
      <c r="A1002">
        <v>112</v>
      </c>
      <c r="B1002">
        <v>2</v>
      </c>
      <c r="C1002">
        <v>85</v>
      </c>
      <c r="D1002">
        <v>1</v>
      </c>
      <c r="E1002">
        <v>1</v>
      </c>
      <c r="F1002">
        <v>0</v>
      </c>
      <c r="G1002">
        <v>0</v>
      </c>
      <c r="H1002">
        <v>350</v>
      </c>
      <c r="I1002">
        <f t="shared" si="154"/>
        <v>999</v>
      </c>
      <c r="J1002" s="6">
        <f t="array" aca="1" ref="J1002:N1002" ca="1">TRANSPOSE(ols(OFFSET($C$2:$C$10,I1002,0),OFFSET($D$2:$H$10,I1002,0)))</f>
        <v>85.535714285713766</v>
      </c>
      <c r="K1002" s="6">
        <f ca="1"/>
        <v>8.5714285714284415</v>
      </c>
      <c r="L1002" s="6">
        <f ca="1"/>
        <v>-25.714285714287143</v>
      </c>
      <c r="M1002" s="6">
        <f ca="1"/>
        <v>0.35714285714334437</v>
      </c>
      <c r="N1002" s="6">
        <f ca="1"/>
        <v>-1.7857142857145902E-2</v>
      </c>
      <c r="O1002" s="6">
        <f t="shared" ca="1" si="146"/>
        <v>87.857142857141142</v>
      </c>
      <c r="P1002" t="str">
        <f t="shared" si="147"/>
        <v>NA</v>
      </c>
      <c r="Q1002" s="10">
        <f t="shared" ca="1" si="148"/>
        <v>53.928571428568901</v>
      </c>
      <c r="R1002" s="10">
        <f t="shared" ca="1" si="149"/>
        <v>94.107142857142208</v>
      </c>
      <c r="S1002" s="10">
        <f t="shared" ca="1" si="150"/>
        <v>-40.178571428573306</v>
      </c>
      <c r="T1002" s="10">
        <f t="shared" ca="1" si="151"/>
        <v>2249.9999999997217</v>
      </c>
      <c r="U1002" s="10" t="str">
        <f t="shared" ca="1" si="152"/>
        <v>OR</v>
      </c>
      <c r="V1002">
        <f t="shared" si="153"/>
        <v>2</v>
      </c>
    </row>
    <row r="1003" spans="1:22" x14ac:dyDescent="0.25">
      <c r="A1003">
        <v>112</v>
      </c>
      <c r="B1003">
        <v>3</v>
      </c>
      <c r="C1003">
        <v>85</v>
      </c>
      <c r="D1003">
        <v>1</v>
      </c>
      <c r="E1003">
        <v>1</v>
      </c>
      <c r="F1003">
        <v>0</v>
      </c>
      <c r="G1003">
        <v>0</v>
      </c>
      <c r="H1003">
        <v>450</v>
      </c>
      <c r="I1003">
        <f t="shared" si="154"/>
        <v>999</v>
      </c>
      <c r="J1003" s="6">
        <f t="array" aca="1" ref="J1003:N1003" ca="1">TRANSPOSE(ols(OFFSET($C$2:$C$10,I1003,0),OFFSET($D$2:$H$10,I1003,0)))</f>
        <v>85.535714285713766</v>
      </c>
      <c r="K1003" s="6">
        <f ca="1"/>
        <v>8.5714285714284415</v>
      </c>
      <c r="L1003" s="6">
        <f ca="1"/>
        <v>-25.714285714287143</v>
      </c>
      <c r="M1003" s="6">
        <f ca="1"/>
        <v>0.35714285714334437</v>
      </c>
      <c r="N1003" s="6">
        <f ca="1"/>
        <v>-1.7857142857145902E-2</v>
      </c>
      <c r="O1003" s="6">
        <f t="shared" ca="1" si="146"/>
        <v>86.071428571426551</v>
      </c>
      <c r="P1003" t="str">
        <f t="shared" si="147"/>
        <v>NA</v>
      </c>
      <c r="Q1003" s="10">
        <f t="shared" ca="1" si="148"/>
        <v>53.928571428568901</v>
      </c>
      <c r="R1003" s="10">
        <f t="shared" ca="1" si="149"/>
        <v>94.107142857142208</v>
      </c>
      <c r="S1003" s="10">
        <f t="shared" ca="1" si="150"/>
        <v>-40.178571428573306</v>
      </c>
      <c r="T1003" s="10">
        <f t="shared" ca="1" si="151"/>
        <v>2249.9999999997217</v>
      </c>
      <c r="U1003" s="10" t="str">
        <f t="shared" ca="1" si="152"/>
        <v>OR</v>
      </c>
      <c r="V1003">
        <f t="shared" si="153"/>
        <v>2</v>
      </c>
    </row>
    <row r="1004" spans="1:22" x14ac:dyDescent="0.25">
      <c r="A1004">
        <v>112</v>
      </c>
      <c r="B1004">
        <v>4</v>
      </c>
      <c r="C1004">
        <v>80</v>
      </c>
      <c r="D1004">
        <v>1</v>
      </c>
      <c r="E1004">
        <v>0</v>
      </c>
      <c r="F1004">
        <v>0</v>
      </c>
      <c r="G1004">
        <v>0</v>
      </c>
      <c r="H1004">
        <v>550</v>
      </c>
      <c r="I1004">
        <f t="shared" si="154"/>
        <v>999</v>
      </c>
      <c r="J1004" s="6">
        <f t="array" aca="1" ref="J1004:N1004" ca="1">TRANSPOSE(ols(OFFSET($C$2:$C$10,I1004,0),OFFSET($D$2:$H$10,I1004,0)))</f>
        <v>85.535714285713766</v>
      </c>
      <c r="K1004" s="6">
        <f ca="1"/>
        <v>8.5714285714284415</v>
      </c>
      <c r="L1004" s="6">
        <f ca="1"/>
        <v>-25.714285714287143</v>
      </c>
      <c r="M1004" s="6">
        <f ca="1"/>
        <v>0.35714285714334437</v>
      </c>
      <c r="N1004" s="6">
        <f ca="1"/>
        <v>-1.7857142857145902E-2</v>
      </c>
      <c r="O1004" s="6">
        <f t="shared" ca="1" si="146"/>
        <v>75.71428571428352</v>
      </c>
      <c r="P1004" t="str">
        <f t="shared" si="147"/>
        <v>NA</v>
      </c>
      <c r="Q1004" s="10">
        <f t="shared" ca="1" si="148"/>
        <v>53.928571428568901</v>
      </c>
      <c r="R1004" s="10">
        <f t="shared" ca="1" si="149"/>
        <v>85.535714285713766</v>
      </c>
      <c r="S1004" s="10">
        <f t="shared" ca="1" si="150"/>
        <v>-31.607142857144865</v>
      </c>
      <c r="T1004" s="10">
        <f t="shared" ca="1" si="151"/>
        <v>1769.9999999998106</v>
      </c>
      <c r="U1004" s="10" t="str">
        <f t="shared" ca="1" si="152"/>
        <v>OR</v>
      </c>
      <c r="V1004">
        <f t="shared" si="153"/>
        <v>1</v>
      </c>
    </row>
    <row r="1005" spans="1:22" x14ac:dyDescent="0.25">
      <c r="A1005">
        <v>112</v>
      </c>
      <c r="B1005">
        <v>5</v>
      </c>
      <c r="C1005">
        <v>55</v>
      </c>
      <c r="D1005">
        <v>1</v>
      </c>
      <c r="E1005">
        <v>0</v>
      </c>
      <c r="F1005">
        <v>1</v>
      </c>
      <c r="G1005">
        <v>1</v>
      </c>
      <c r="H1005">
        <v>250</v>
      </c>
      <c r="I1005">
        <f t="shared" si="154"/>
        <v>999</v>
      </c>
      <c r="J1005" s="6">
        <f t="array" aca="1" ref="J1005:N1005" ca="1">TRANSPOSE(ols(OFFSET($C$2:$C$10,I1005,0),OFFSET($D$2:$H$10,I1005,0)))</f>
        <v>85.535714285713766</v>
      </c>
      <c r="K1005" s="6">
        <f ca="1"/>
        <v>8.5714285714284415</v>
      </c>
      <c r="L1005" s="6">
        <f ca="1"/>
        <v>-25.714285714287143</v>
      </c>
      <c r="M1005" s="6">
        <f ca="1"/>
        <v>0.35714285714334437</v>
      </c>
      <c r="N1005" s="6">
        <f ca="1"/>
        <v>-1.7857142857145902E-2</v>
      </c>
      <c r="O1005" s="6">
        <f t="shared" ca="1" si="146"/>
        <v>55.714285714283491</v>
      </c>
      <c r="P1005" t="str">
        <f t="shared" si="147"/>
        <v>NA</v>
      </c>
      <c r="Q1005" s="10">
        <f t="shared" ca="1" si="148"/>
        <v>53.928571428568901</v>
      </c>
      <c r="R1005" s="10">
        <f t="shared" ca="1" si="149"/>
        <v>60.178571428569967</v>
      </c>
      <c r="S1005" s="10">
        <f t="shared" ca="1" si="150"/>
        <v>-6.2500000000010658</v>
      </c>
      <c r="T1005" s="10">
        <f t="shared" ca="1" si="151"/>
        <v>350</v>
      </c>
      <c r="U1005" s="10">
        <f t="shared" ca="1" si="152"/>
        <v>350</v>
      </c>
      <c r="V1005">
        <f t="shared" si="153"/>
        <v>6</v>
      </c>
    </row>
    <row r="1006" spans="1:22" x14ac:dyDescent="0.25">
      <c r="A1006">
        <v>112</v>
      </c>
      <c r="B1006">
        <v>6</v>
      </c>
      <c r="C1006">
        <v>55</v>
      </c>
      <c r="D1006">
        <v>1</v>
      </c>
      <c r="E1006">
        <v>0</v>
      </c>
      <c r="F1006">
        <v>1</v>
      </c>
      <c r="G1006">
        <v>1</v>
      </c>
      <c r="H1006">
        <v>350</v>
      </c>
      <c r="I1006">
        <f t="shared" si="154"/>
        <v>999</v>
      </c>
      <c r="J1006" s="6">
        <f t="array" aca="1" ref="J1006:N1006" ca="1">TRANSPOSE(ols(OFFSET($C$2:$C$10,I1006,0),OFFSET($D$2:$H$10,I1006,0)))</f>
        <v>85.535714285713766</v>
      </c>
      <c r="K1006" s="6">
        <f ca="1"/>
        <v>8.5714285714284415</v>
      </c>
      <c r="L1006" s="6">
        <f ca="1"/>
        <v>-25.714285714287143</v>
      </c>
      <c r="M1006" s="6">
        <f ca="1"/>
        <v>0.35714285714334437</v>
      </c>
      <c r="N1006" s="6">
        <f ca="1"/>
        <v>-1.7857142857145902E-2</v>
      </c>
      <c r="O1006" s="6">
        <f t="shared" ca="1" si="146"/>
        <v>53.928571428568901</v>
      </c>
      <c r="P1006">
        <f t="shared" ca="1" si="147"/>
        <v>53.928571428568901</v>
      </c>
      <c r="Q1006" s="10">
        <f t="shared" ca="1" si="148"/>
        <v>53.928571428568901</v>
      </c>
      <c r="R1006" s="10">
        <f t="shared" ca="1" si="149"/>
        <v>60.178571428569967</v>
      </c>
      <c r="S1006" s="10">
        <f t="shared" ca="1" si="150"/>
        <v>-6.2500000000010658</v>
      </c>
      <c r="T1006" s="10">
        <f t="shared" ca="1" si="151"/>
        <v>350</v>
      </c>
      <c r="U1006" s="10">
        <f t="shared" ca="1" si="152"/>
        <v>350</v>
      </c>
      <c r="V1006">
        <f t="shared" si="153"/>
        <v>6</v>
      </c>
    </row>
    <row r="1007" spans="1:22" x14ac:dyDescent="0.25">
      <c r="A1007">
        <v>112</v>
      </c>
      <c r="B1007">
        <v>7</v>
      </c>
      <c r="C1007">
        <v>90</v>
      </c>
      <c r="D1007">
        <v>1</v>
      </c>
      <c r="E1007">
        <v>1</v>
      </c>
      <c r="F1007">
        <v>0</v>
      </c>
      <c r="G1007">
        <v>1</v>
      </c>
      <c r="H1007">
        <v>450</v>
      </c>
      <c r="I1007">
        <f t="shared" si="154"/>
        <v>999</v>
      </c>
      <c r="J1007" s="6">
        <f t="array" aca="1" ref="J1007:N1007" ca="1">TRANSPOSE(ols(OFFSET($C$2:$C$10,I1007,0),OFFSET($D$2:$H$10,I1007,0)))</f>
        <v>85.535714285713766</v>
      </c>
      <c r="K1007" s="6">
        <f ca="1"/>
        <v>8.5714285714284415</v>
      </c>
      <c r="L1007" s="6">
        <f ca="1"/>
        <v>-25.714285714287143</v>
      </c>
      <c r="M1007" s="6">
        <f ca="1"/>
        <v>0.35714285714334437</v>
      </c>
      <c r="N1007" s="6">
        <f ca="1"/>
        <v>-1.7857142857145902E-2</v>
      </c>
      <c r="O1007" s="6">
        <f t="shared" ca="1" si="146"/>
        <v>86.428571428569896</v>
      </c>
      <c r="P1007" t="str">
        <f t="shared" si="147"/>
        <v>NA</v>
      </c>
      <c r="Q1007" s="10">
        <f t="shared" ca="1" si="148"/>
        <v>53.928571428568901</v>
      </c>
      <c r="R1007" s="10">
        <f t="shared" ca="1" si="149"/>
        <v>94.464285714285552</v>
      </c>
      <c r="S1007" s="10">
        <f t="shared" ca="1" si="150"/>
        <v>-40.535714285716651</v>
      </c>
      <c r="T1007" s="10">
        <f t="shared" ca="1" si="151"/>
        <v>2269.9999999997453</v>
      </c>
      <c r="U1007" s="10" t="str">
        <f t="shared" ca="1" si="152"/>
        <v>OR</v>
      </c>
      <c r="V1007">
        <f t="shared" si="153"/>
        <v>5</v>
      </c>
    </row>
    <row r="1008" spans="1:22" x14ac:dyDescent="0.25">
      <c r="A1008">
        <v>112</v>
      </c>
      <c r="B1008">
        <v>8</v>
      </c>
      <c r="C1008">
        <v>85</v>
      </c>
      <c r="D1008">
        <v>1</v>
      </c>
      <c r="E1008">
        <v>1</v>
      </c>
      <c r="F1008">
        <v>0</v>
      </c>
      <c r="G1008">
        <v>1</v>
      </c>
      <c r="H1008">
        <v>550</v>
      </c>
      <c r="I1008">
        <f t="shared" si="154"/>
        <v>999</v>
      </c>
      <c r="J1008" s="6">
        <f t="array" aca="1" ref="J1008:N1008" ca="1">TRANSPOSE(ols(OFFSET($C$2:$C$10,I1008,0),OFFSET($D$2:$H$10,I1008,0)))</f>
        <v>85.535714285713766</v>
      </c>
      <c r="K1008" s="6">
        <f ca="1"/>
        <v>8.5714285714284415</v>
      </c>
      <c r="L1008" s="6">
        <f ca="1"/>
        <v>-25.714285714287143</v>
      </c>
      <c r="M1008" s="6">
        <f ca="1"/>
        <v>0.35714285714334437</v>
      </c>
      <c r="N1008" s="6">
        <f ca="1"/>
        <v>-1.7857142857145902E-2</v>
      </c>
      <c r="O1008" s="6">
        <f t="shared" ca="1" si="146"/>
        <v>84.642857142855306</v>
      </c>
      <c r="P1008" t="str">
        <f t="shared" si="147"/>
        <v>NA</v>
      </c>
      <c r="Q1008" s="10">
        <f t="shared" ca="1" si="148"/>
        <v>53.928571428568901</v>
      </c>
      <c r="R1008" s="10">
        <f t="shared" ca="1" si="149"/>
        <v>94.464285714285552</v>
      </c>
      <c r="S1008" s="10">
        <f t="shared" ca="1" si="150"/>
        <v>-40.535714285716651</v>
      </c>
      <c r="T1008" s="10">
        <f t="shared" ca="1" si="151"/>
        <v>2269.9999999997453</v>
      </c>
      <c r="U1008" s="10" t="str">
        <f t="shared" ca="1" si="152"/>
        <v>OR</v>
      </c>
      <c r="V1008">
        <f t="shared" si="153"/>
        <v>5</v>
      </c>
    </row>
    <row r="1009" spans="1:22" x14ac:dyDescent="0.25">
      <c r="A1009">
        <v>112</v>
      </c>
      <c r="B1009">
        <v>9</v>
      </c>
      <c r="C1009">
        <v>70</v>
      </c>
      <c r="D1009">
        <v>1</v>
      </c>
      <c r="E1009">
        <v>0</v>
      </c>
      <c r="F1009">
        <v>0</v>
      </c>
      <c r="G1009">
        <v>1</v>
      </c>
      <c r="H1009">
        <v>650</v>
      </c>
      <c r="I1009">
        <f t="shared" si="154"/>
        <v>999</v>
      </c>
      <c r="J1009" s="6">
        <f t="array" aca="1" ref="J1009:N1009" ca="1">TRANSPOSE(ols(OFFSET($C$2:$C$10,I1009,0),OFFSET($D$2:$H$10,I1009,0)))</f>
        <v>85.535714285713766</v>
      </c>
      <c r="K1009" s="6">
        <f ca="1"/>
        <v>8.5714285714284415</v>
      </c>
      <c r="L1009" s="6">
        <f ca="1"/>
        <v>-25.714285714287143</v>
      </c>
      <c r="M1009" s="6">
        <f ca="1"/>
        <v>0.35714285714334437</v>
      </c>
      <c r="N1009" s="6">
        <f ca="1"/>
        <v>-1.7857142857145902E-2</v>
      </c>
      <c r="O1009" s="6">
        <f t="shared" ca="1" si="146"/>
        <v>74.285714285712274</v>
      </c>
      <c r="P1009" t="str">
        <f t="shared" si="147"/>
        <v>NA</v>
      </c>
      <c r="Q1009" s="10">
        <f t="shared" ca="1" si="148"/>
        <v>53.928571428568901</v>
      </c>
      <c r="R1009" s="10">
        <f t="shared" ca="1" si="149"/>
        <v>85.89285714285711</v>
      </c>
      <c r="S1009" s="10">
        <f t="shared" ca="1" si="150"/>
        <v>-31.964285714288209</v>
      </c>
      <c r="T1009" s="10">
        <f t="shared" ca="1" si="151"/>
        <v>1789.9999999998345</v>
      </c>
      <c r="U1009" s="10" t="str">
        <f t="shared" ca="1" si="152"/>
        <v>OR</v>
      </c>
      <c r="V1009">
        <f t="shared" si="153"/>
        <v>4</v>
      </c>
    </row>
    <row r="1010" spans="1:22" x14ac:dyDescent="0.25">
      <c r="A1010">
        <v>113</v>
      </c>
      <c r="B1010">
        <v>1</v>
      </c>
      <c r="C1010">
        <v>95</v>
      </c>
      <c r="D1010">
        <v>1</v>
      </c>
      <c r="E1010">
        <v>0</v>
      </c>
      <c r="F1010">
        <v>1</v>
      </c>
      <c r="G1010">
        <v>0</v>
      </c>
      <c r="H1010">
        <v>250</v>
      </c>
      <c r="I1010">
        <f t="shared" si="154"/>
        <v>1008</v>
      </c>
      <c r="J1010" s="6">
        <f t="array" aca="1" ref="J1010:N1010" ca="1">TRANSPOSE(ols(OFFSET($C$2:$C$10,I1010,0),OFFSET($D$2:$H$10,I1010,0)))</f>
        <v>78.749999999998181</v>
      </c>
      <c r="K1010" s="6">
        <f ca="1"/>
        <v>15</v>
      </c>
      <c r="L1010" s="6">
        <f ca="1"/>
        <v>24.999999999999091</v>
      </c>
      <c r="M1010" s="6">
        <f ca="1"/>
        <v>-22.499999999999318</v>
      </c>
      <c r="N1010" s="6">
        <f ca="1"/>
        <v>-2.5000000000005684E-2</v>
      </c>
      <c r="O1010" s="6">
        <f t="shared" ca="1" si="146"/>
        <v>97.49999999999585</v>
      </c>
      <c r="P1010" t="str">
        <f t="shared" si="147"/>
        <v>NA</v>
      </c>
      <c r="Q1010" s="10">
        <f t="shared" ca="1" si="148"/>
        <v>72.499999999995964</v>
      </c>
      <c r="R1010" s="10">
        <f t="shared" ca="1" si="149"/>
        <v>103.74999999999727</v>
      </c>
      <c r="S1010" s="10">
        <f t="shared" ca="1" si="150"/>
        <v>-31.250000000001307</v>
      </c>
      <c r="T1010" s="10">
        <f t="shared" ca="1" si="151"/>
        <v>1249.9999999997681</v>
      </c>
      <c r="U1010" s="10" t="str">
        <f t="shared" ca="1" si="152"/>
        <v>OR</v>
      </c>
      <c r="V1010">
        <f t="shared" si="153"/>
        <v>3</v>
      </c>
    </row>
    <row r="1011" spans="1:22" x14ac:dyDescent="0.25">
      <c r="A1011">
        <v>113</v>
      </c>
      <c r="B1011">
        <v>2</v>
      </c>
      <c r="C1011">
        <v>85</v>
      </c>
      <c r="D1011">
        <v>1</v>
      </c>
      <c r="E1011">
        <v>1</v>
      </c>
      <c r="F1011">
        <v>0</v>
      </c>
      <c r="G1011">
        <v>0</v>
      </c>
      <c r="H1011">
        <v>350</v>
      </c>
      <c r="I1011">
        <f t="shared" si="154"/>
        <v>1008</v>
      </c>
      <c r="J1011" s="6">
        <f t="array" aca="1" ref="J1011:N1011" ca="1">TRANSPOSE(ols(OFFSET($C$2:$C$10,I1011,0),OFFSET($D$2:$H$10,I1011,0)))</f>
        <v>78.749999999998181</v>
      </c>
      <c r="K1011" s="6">
        <f ca="1"/>
        <v>15</v>
      </c>
      <c r="L1011" s="6">
        <f ca="1"/>
        <v>24.999999999999091</v>
      </c>
      <c r="M1011" s="6">
        <f ca="1"/>
        <v>-22.499999999999318</v>
      </c>
      <c r="N1011" s="6">
        <f ca="1"/>
        <v>-2.5000000000005684E-2</v>
      </c>
      <c r="O1011" s="6">
        <f t="shared" ca="1" si="146"/>
        <v>84.999999999996191</v>
      </c>
      <c r="P1011" t="str">
        <f t="shared" si="147"/>
        <v>NA</v>
      </c>
      <c r="Q1011" s="10">
        <f t="shared" ca="1" si="148"/>
        <v>72.499999999995964</v>
      </c>
      <c r="R1011" s="10">
        <f t="shared" ca="1" si="149"/>
        <v>93.749999999998181</v>
      </c>
      <c r="S1011" s="10">
        <f t="shared" ca="1" si="150"/>
        <v>-21.250000000002217</v>
      </c>
      <c r="T1011" s="10">
        <f t="shared" ca="1" si="151"/>
        <v>849.99999999989541</v>
      </c>
      <c r="U1011" s="10" t="str">
        <f t="shared" ca="1" si="152"/>
        <v>OR</v>
      </c>
      <c r="V1011">
        <f t="shared" si="153"/>
        <v>2</v>
      </c>
    </row>
    <row r="1012" spans="1:22" x14ac:dyDescent="0.25">
      <c r="A1012">
        <v>113</v>
      </c>
      <c r="B1012">
        <v>3</v>
      </c>
      <c r="C1012">
        <v>80</v>
      </c>
      <c r="D1012">
        <v>1</v>
      </c>
      <c r="E1012">
        <v>1</v>
      </c>
      <c r="F1012">
        <v>0</v>
      </c>
      <c r="G1012">
        <v>0</v>
      </c>
      <c r="H1012">
        <v>450</v>
      </c>
      <c r="I1012">
        <f t="shared" si="154"/>
        <v>1008</v>
      </c>
      <c r="J1012" s="6">
        <f t="array" aca="1" ref="J1012:N1012" ca="1">TRANSPOSE(ols(OFFSET($C$2:$C$10,I1012,0),OFFSET($D$2:$H$10,I1012,0)))</f>
        <v>78.749999999998181</v>
      </c>
      <c r="K1012" s="6">
        <f ca="1"/>
        <v>15</v>
      </c>
      <c r="L1012" s="6">
        <f ca="1"/>
        <v>24.999999999999091</v>
      </c>
      <c r="M1012" s="6">
        <f ca="1"/>
        <v>-22.499999999999318</v>
      </c>
      <c r="N1012" s="6">
        <f ca="1"/>
        <v>-2.5000000000005684E-2</v>
      </c>
      <c r="O1012" s="6">
        <f t="shared" ca="1" si="146"/>
        <v>82.499999999995623</v>
      </c>
      <c r="P1012" t="str">
        <f t="shared" si="147"/>
        <v>NA</v>
      </c>
      <c r="Q1012" s="10">
        <f t="shared" ca="1" si="148"/>
        <v>72.499999999995964</v>
      </c>
      <c r="R1012" s="10">
        <f t="shared" ca="1" si="149"/>
        <v>93.749999999998181</v>
      </c>
      <c r="S1012" s="10">
        <f t="shared" ca="1" si="150"/>
        <v>-21.250000000002217</v>
      </c>
      <c r="T1012" s="10">
        <f t="shared" ca="1" si="151"/>
        <v>849.99999999989541</v>
      </c>
      <c r="U1012" s="10" t="str">
        <f t="shared" ca="1" si="152"/>
        <v>OR</v>
      </c>
      <c r="V1012">
        <f t="shared" si="153"/>
        <v>2</v>
      </c>
    </row>
    <row r="1013" spans="1:22" x14ac:dyDescent="0.25">
      <c r="A1013">
        <v>113</v>
      </c>
      <c r="B1013">
        <v>4</v>
      </c>
      <c r="C1013">
        <v>70</v>
      </c>
      <c r="D1013">
        <v>1</v>
      </c>
      <c r="E1013">
        <v>0</v>
      </c>
      <c r="F1013">
        <v>0</v>
      </c>
      <c r="G1013">
        <v>0</v>
      </c>
      <c r="H1013">
        <v>550</v>
      </c>
      <c r="I1013">
        <f t="shared" si="154"/>
        <v>1008</v>
      </c>
      <c r="J1013" s="6">
        <f t="array" aca="1" ref="J1013:N1013" ca="1">TRANSPOSE(ols(OFFSET($C$2:$C$10,I1013,0),OFFSET($D$2:$H$10,I1013,0)))</f>
        <v>78.749999999998181</v>
      </c>
      <c r="K1013" s="6">
        <f ca="1"/>
        <v>15</v>
      </c>
      <c r="L1013" s="6">
        <f ca="1"/>
        <v>24.999999999999091</v>
      </c>
      <c r="M1013" s="6">
        <f ca="1"/>
        <v>-22.499999999999318</v>
      </c>
      <c r="N1013" s="6">
        <f ca="1"/>
        <v>-2.5000000000005684E-2</v>
      </c>
      <c r="O1013" s="6">
        <f t="shared" ca="1" si="146"/>
        <v>64.999999999995055</v>
      </c>
      <c r="P1013" t="str">
        <f t="shared" si="147"/>
        <v>NA</v>
      </c>
      <c r="Q1013" s="10">
        <f t="shared" ca="1" si="148"/>
        <v>72.499999999995964</v>
      </c>
      <c r="R1013" s="10">
        <f t="shared" ca="1" si="149"/>
        <v>78.749999999998181</v>
      </c>
      <c r="S1013" s="10">
        <f t="shared" ca="1" si="150"/>
        <v>-6.2500000000022169</v>
      </c>
      <c r="T1013" s="10">
        <f t="shared" ca="1" si="151"/>
        <v>250.00000000003183</v>
      </c>
      <c r="U1013" s="10">
        <f t="shared" ca="1" si="152"/>
        <v>250.00000000003183</v>
      </c>
      <c r="V1013">
        <f t="shared" si="153"/>
        <v>1</v>
      </c>
    </row>
    <row r="1014" spans="1:22" x14ac:dyDescent="0.25">
      <c r="A1014">
        <v>113</v>
      </c>
      <c r="B1014">
        <v>5</v>
      </c>
      <c r="C1014">
        <v>75</v>
      </c>
      <c r="D1014">
        <v>1</v>
      </c>
      <c r="E1014">
        <v>0</v>
      </c>
      <c r="F1014">
        <v>1</v>
      </c>
      <c r="G1014">
        <v>1</v>
      </c>
      <c r="H1014">
        <v>250</v>
      </c>
      <c r="I1014">
        <f t="shared" si="154"/>
        <v>1008</v>
      </c>
      <c r="J1014" s="6">
        <f t="array" aca="1" ref="J1014:N1014" ca="1">TRANSPOSE(ols(OFFSET($C$2:$C$10,I1014,0),OFFSET($D$2:$H$10,I1014,0)))</f>
        <v>78.749999999998181</v>
      </c>
      <c r="K1014" s="6">
        <f ca="1"/>
        <v>15</v>
      </c>
      <c r="L1014" s="6">
        <f ca="1"/>
        <v>24.999999999999091</v>
      </c>
      <c r="M1014" s="6">
        <f ca="1"/>
        <v>-22.499999999999318</v>
      </c>
      <c r="N1014" s="6">
        <f ca="1"/>
        <v>-2.5000000000005684E-2</v>
      </c>
      <c r="O1014" s="6">
        <f t="shared" ca="1" si="146"/>
        <v>74.999999999996533</v>
      </c>
      <c r="P1014" t="str">
        <f t="shared" si="147"/>
        <v>NA</v>
      </c>
      <c r="Q1014" s="10">
        <f t="shared" ca="1" si="148"/>
        <v>72.499999999995964</v>
      </c>
      <c r="R1014" s="10">
        <f t="shared" ca="1" si="149"/>
        <v>81.249999999997954</v>
      </c>
      <c r="S1014" s="10">
        <f t="shared" ca="1" si="150"/>
        <v>-8.7500000000019895</v>
      </c>
      <c r="T1014" s="10">
        <f t="shared" ca="1" si="151"/>
        <v>350</v>
      </c>
      <c r="U1014" s="10">
        <f t="shared" ca="1" si="152"/>
        <v>350</v>
      </c>
      <c r="V1014">
        <f t="shared" si="153"/>
        <v>6</v>
      </c>
    </row>
    <row r="1015" spans="1:22" x14ac:dyDescent="0.25">
      <c r="A1015">
        <v>113</v>
      </c>
      <c r="B1015">
        <v>6</v>
      </c>
      <c r="C1015">
        <v>75</v>
      </c>
      <c r="D1015">
        <v>1</v>
      </c>
      <c r="E1015">
        <v>0</v>
      </c>
      <c r="F1015">
        <v>1</v>
      </c>
      <c r="G1015">
        <v>1</v>
      </c>
      <c r="H1015">
        <v>350</v>
      </c>
      <c r="I1015">
        <f t="shared" si="154"/>
        <v>1008</v>
      </c>
      <c r="J1015" s="6">
        <f t="array" aca="1" ref="J1015:N1015" ca="1">TRANSPOSE(ols(OFFSET($C$2:$C$10,I1015,0),OFFSET($D$2:$H$10,I1015,0)))</f>
        <v>78.749999999998181</v>
      </c>
      <c r="K1015" s="6">
        <f ca="1"/>
        <v>15</v>
      </c>
      <c r="L1015" s="6">
        <f ca="1"/>
        <v>24.999999999999091</v>
      </c>
      <c r="M1015" s="6">
        <f ca="1"/>
        <v>-22.499999999999318</v>
      </c>
      <c r="N1015" s="6">
        <f ca="1"/>
        <v>-2.5000000000005684E-2</v>
      </c>
      <c r="O1015" s="6">
        <f t="shared" ca="1" si="146"/>
        <v>72.499999999995964</v>
      </c>
      <c r="P1015">
        <f t="shared" ca="1" si="147"/>
        <v>72.499999999995964</v>
      </c>
      <c r="Q1015" s="10">
        <f t="shared" ca="1" si="148"/>
        <v>72.499999999995964</v>
      </c>
      <c r="R1015" s="10">
        <f t="shared" ca="1" si="149"/>
        <v>81.249999999997954</v>
      </c>
      <c r="S1015" s="10">
        <f t="shared" ca="1" si="150"/>
        <v>-8.7500000000019895</v>
      </c>
      <c r="T1015" s="10">
        <f t="shared" ca="1" si="151"/>
        <v>350</v>
      </c>
      <c r="U1015" s="10">
        <f t="shared" ca="1" si="152"/>
        <v>350</v>
      </c>
      <c r="V1015">
        <f t="shared" si="153"/>
        <v>6</v>
      </c>
    </row>
    <row r="1016" spans="1:22" x14ac:dyDescent="0.25">
      <c r="A1016">
        <v>113</v>
      </c>
      <c r="B1016">
        <v>7</v>
      </c>
      <c r="C1016">
        <v>60</v>
      </c>
      <c r="D1016">
        <v>1</v>
      </c>
      <c r="E1016">
        <v>1</v>
      </c>
      <c r="F1016">
        <v>0</v>
      </c>
      <c r="G1016">
        <v>1</v>
      </c>
      <c r="H1016">
        <v>450</v>
      </c>
      <c r="I1016">
        <f t="shared" si="154"/>
        <v>1008</v>
      </c>
      <c r="J1016" s="6">
        <f t="array" aca="1" ref="J1016:N1016" ca="1">TRANSPOSE(ols(OFFSET($C$2:$C$10,I1016,0),OFFSET($D$2:$H$10,I1016,0)))</f>
        <v>78.749999999998181</v>
      </c>
      <c r="K1016" s="6">
        <f ca="1"/>
        <v>15</v>
      </c>
      <c r="L1016" s="6">
        <f ca="1"/>
        <v>24.999999999999091</v>
      </c>
      <c r="M1016" s="6">
        <f ca="1"/>
        <v>-22.499999999999318</v>
      </c>
      <c r="N1016" s="6">
        <f ca="1"/>
        <v>-2.5000000000005684E-2</v>
      </c>
      <c r="O1016" s="6">
        <f t="shared" ca="1" si="146"/>
        <v>59.999999999996305</v>
      </c>
      <c r="P1016" t="str">
        <f t="shared" si="147"/>
        <v>NA</v>
      </c>
      <c r="Q1016" s="10">
        <f t="shared" ca="1" si="148"/>
        <v>72.499999999995964</v>
      </c>
      <c r="R1016" s="10">
        <f t="shared" ca="1" si="149"/>
        <v>71.249999999998863</v>
      </c>
      <c r="S1016" s="10">
        <f t="shared" ca="1" si="150"/>
        <v>1.249999999997101</v>
      </c>
      <c r="T1016" s="10">
        <f t="shared" ca="1" si="151"/>
        <v>-49.999999999872671</v>
      </c>
      <c r="U1016" s="10" t="str">
        <f t="shared" ca="1" si="152"/>
        <v>OR</v>
      </c>
      <c r="V1016">
        <f t="shared" si="153"/>
        <v>5</v>
      </c>
    </row>
    <row r="1017" spans="1:22" x14ac:dyDescent="0.25">
      <c r="A1017">
        <v>113</v>
      </c>
      <c r="B1017">
        <v>8</v>
      </c>
      <c r="C1017">
        <v>60</v>
      </c>
      <c r="D1017">
        <v>1</v>
      </c>
      <c r="E1017">
        <v>1</v>
      </c>
      <c r="F1017">
        <v>0</v>
      </c>
      <c r="G1017">
        <v>1</v>
      </c>
      <c r="H1017">
        <v>550</v>
      </c>
      <c r="I1017">
        <f t="shared" si="154"/>
        <v>1008</v>
      </c>
      <c r="J1017" s="6">
        <f t="array" aca="1" ref="J1017:N1017" ca="1">TRANSPOSE(ols(OFFSET($C$2:$C$10,I1017,0),OFFSET($D$2:$H$10,I1017,0)))</f>
        <v>78.749999999998181</v>
      </c>
      <c r="K1017" s="6">
        <f ca="1"/>
        <v>15</v>
      </c>
      <c r="L1017" s="6">
        <f ca="1"/>
        <v>24.999999999999091</v>
      </c>
      <c r="M1017" s="6">
        <f ca="1"/>
        <v>-22.499999999999318</v>
      </c>
      <c r="N1017" s="6">
        <f ca="1"/>
        <v>-2.5000000000005684E-2</v>
      </c>
      <c r="O1017" s="6">
        <f t="shared" ca="1" si="146"/>
        <v>57.499999999995737</v>
      </c>
      <c r="P1017" t="str">
        <f t="shared" si="147"/>
        <v>NA</v>
      </c>
      <c r="Q1017" s="10">
        <f t="shared" ca="1" si="148"/>
        <v>72.499999999995964</v>
      </c>
      <c r="R1017" s="10">
        <f t="shared" ca="1" si="149"/>
        <v>71.249999999998863</v>
      </c>
      <c r="S1017" s="10">
        <f t="shared" ca="1" si="150"/>
        <v>1.249999999997101</v>
      </c>
      <c r="T1017" s="10">
        <f t="shared" ca="1" si="151"/>
        <v>-49.999999999872671</v>
      </c>
      <c r="U1017" s="10" t="str">
        <f t="shared" ca="1" si="152"/>
        <v>OR</v>
      </c>
      <c r="V1017">
        <f t="shared" si="153"/>
        <v>5</v>
      </c>
    </row>
    <row r="1018" spans="1:22" x14ac:dyDescent="0.25">
      <c r="A1018">
        <v>113</v>
      </c>
      <c r="B1018">
        <v>9</v>
      </c>
      <c r="C1018">
        <v>35</v>
      </c>
      <c r="D1018">
        <v>1</v>
      </c>
      <c r="E1018">
        <v>0</v>
      </c>
      <c r="F1018">
        <v>0</v>
      </c>
      <c r="G1018">
        <v>1</v>
      </c>
      <c r="H1018">
        <v>650</v>
      </c>
      <c r="I1018">
        <f t="shared" si="154"/>
        <v>1008</v>
      </c>
      <c r="J1018" s="6">
        <f t="array" aca="1" ref="J1018:N1018" ca="1">TRANSPOSE(ols(OFFSET($C$2:$C$10,I1018,0),OFFSET($D$2:$H$10,I1018,0)))</f>
        <v>78.749999999998181</v>
      </c>
      <c r="K1018" s="6">
        <f ca="1"/>
        <v>15</v>
      </c>
      <c r="L1018" s="6">
        <f ca="1"/>
        <v>24.999999999999091</v>
      </c>
      <c r="M1018" s="6">
        <f ca="1"/>
        <v>-22.499999999999318</v>
      </c>
      <c r="N1018" s="6">
        <f ca="1"/>
        <v>-2.5000000000005684E-2</v>
      </c>
      <c r="O1018" s="6">
        <f t="shared" ca="1" si="146"/>
        <v>39.999999999995168</v>
      </c>
      <c r="P1018" t="str">
        <f t="shared" si="147"/>
        <v>NA</v>
      </c>
      <c r="Q1018" s="10">
        <f t="shared" ca="1" si="148"/>
        <v>72.499999999995964</v>
      </c>
      <c r="R1018" s="10">
        <f t="shared" ca="1" si="149"/>
        <v>56.249999999998863</v>
      </c>
      <c r="S1018" s="10">
        <f t="shared" ca="1" si="150"/>
        <v>16.249999999997101</v>
      </c>
      <c r="T1018" s="10">
        <f t="shared" ca="1" si="151"/>
        <v>-649.99999999973625</v>
      </c>
      <c r="U1018" s="10" t="str">
        <f t="shared" ca="1" si="152"/>
        <v>OR</v>
      </c>
      <c r="V1018">
        <f t="shared" si="153"/>
        <v>4</v>
      </c>
    </row>
    <row r="1019" spans="1:22" x14ac:dyDescent="0.25">
      <c r="A1019">
        <v>114</v>
      </c>
      <c r="B1019">
        <v>1</v>
      </c>
      <c r="C1019">
        <v>45</v>
      </c>
      <c r="D1019">
        <v>1</v>
      </c>
      <c r="E1019">
        <v>0</v>
      </c>
      <c r="F1019">
        <v>1</v>
      </c>
      <c r="G1019">
        <v>0</v>
      </c>
      <c r="H1019">
        <v>250</v>
      </c>
      <c r="I1019">
        <f t="shared" si="154"/>
        <v>1017</v>
      </c>
      <c r="J1019" s="6">
        <f t="array" aca="1" ref="J1019:N1019" ca="1">TRANSPOSE(ols(OFFSET($C$2:$C$10,I1019,0),OFFSET($D$2:$H$10,I1019,0)))</f>
        <v>57.083333333332803</v>
      </c>
      <c r="K1019" s="6">
        <f ca="1"/>
        <v>-4.9999999999998295</v>
      </c>
      <c r="L1019" s="6">
        <f ca="1"/>
        <v>8.3333333333337123</v>
      </c>
      <c r="M1019" s="6">
        <f ca="1"/>
        <v>-4.1666666666666288</v>
      </c>
      <c r="N1019" s="6">
        <f ca="1"/>
        <v>-9.1666666666666341E-2</v>
      </c>
      <c r="O1019" s="6">
        <f t="shared" ca="1" si="146"/>
        <v>42.499999999999929</v>
      </c>
      <c r="P1019" t="str">
        <f t="shared" si="147"/>
        <v>NA</v>
      </c>
      <c r="Q1019" s="10">
        <f t="shared" ca="1" si="148"/>
        <v>29.166666666666664</v>
      </c>
      <c r="R1019" s="10">
        <f t="shared" ca="1" si="149"/>
        <v>65.416666666666515</v>
      </c>
      <c r="S1019" s="10">
        <f t="shared" ca="1" si="150"/>
        <v>-36.249999999999851</v>
      </c>
      <c r="T1019" s="10">
        <f t="shared" ca="1" si="151"/>
        <v>395.45454545454521</v>
      </c>
      <c r="U1019" s="10">
        <f t="shared" ca="1" si="152"/>
        <v>395.45454545454521</v>
      </c>
      <c r="V1019">
        <f t="shared" si="153"/>
        <v>3</v>
      </c>
    </row>
    <row r="1020" spans="1:22" x14ac:dyDescent="0.25">
      <c r="A1020">
        <v>114</v>
      </c>
      <c r="B1020">
        <v>2</v>
      </c>
      <c r="C1020">
        <v>25</v>
      </c>
      <c r="D1020">
        <v>1</v>
      </c>
      <c r="E1020">
        <v>1</v>
      </c>
      <c r="F1020">
        <v>0</v>
      </c>
      <c r="G1020">
        <v>0</v>
      </c>
      <c r="H1020">
        <v>350</v>
      </c>
      <c r="I1020">
        <f t="shared" si="154"/>
        <v>1017</v>
      </c>
      <c r="J1020" s="6">
        <f t="array" aca="1" ref="J1020:N1020" ca="1">TRANSPOSE(ols(OFFSET($C$2:$C$10,I1020,0),OFFSET($D$2:$H$10,I1020,0)))</f>
        <v>57.083333333332803</v>
      </c>
      <c r="K1020" s="6">
        <f ca="1"/>
        <v>-4.9999999999998295</v>
      </c>
      <c r="L1020" s="6">
        <f ca="1"/>
        <v>8.3333333333337123</v>
      </c>
      <c r="M1020" s="6">
        <f ca="1"/>
        <v>-4.1666666666666288</v>
      </c>
      <c r="N1020" s="6">
        <f ca="1"/>
        <v>-9.1666666666666341E-2</v>
      </c>
      <c r="O1020" s="6">
        <f t="shared" ca="1" si="146"/>
        <v>19.999999999999751</v>
      </c>
      <c r="P1020" t="str">
        <f t="shared" si="147"/>
        <v>NA</v>
      </c>
      <c r="Q1020" s="10">
        <f t="shared" ca="1" si="148"/>
        <v>29.166666666666664</v>
      </c>
      <c r="R1020" s="10">
        <f t="shared" ca="1" si="149"/>
        <v>52.083333333332973</v>
      </c>
      <c r="S1020" s="10">
        <f t="shared" ca="1" si="150"/>
        <v>-22.916666666666309</v>
      </c>
      <c r="T1020" s="10">
        <f t="shared" ca="1" si="151"/>
        <v>249.99999999999699</v>
      </c>
      <c r="U1020" s="10" t="str">
        <f t="shared" ca="1" si="152"/>
        <v>OR</v>
      </c>
      <c r="V1020">
        <f t="shared" si="153"/>
        <v>2</v>
      </c>
    </row>
    <row r="1021" spans="1:22" x14ac:dyDescent="0.25">
      <c r="A1021">
        <v>114</v>
      </c>
      <c r="B1021">
        <v>3</v>
      </c>
      <c r="C1021">
        <v>10</v>
      </c>
      <c r="D1021">
        <v>1</v>
      </c>
      <c r="E1021">
        <v>1</v>
      </c>
      <c r="F1021">
        <v>0</v>
      </c>
      <c r="G1021">
        <v>0</v>
      </c>
      <c r="H1021">
        <v>450</v>
      </c>
      <c r="I1021">
        <f t="shared" si="154"/>
        <v>1017</v>
      </c>
      <c r="J1021" s="6">
        <f t="array" aca="1" ref="J1021:N1021" ca="1">TRANSPOSE(ols(OFFSET($C$2:$C$10,I1021,0),OFFSET($D$2:$H$10,I1021,0)))</f>
        <v>57.083333333332803</v>
      </c>
      <c r="K1021" s="6">
        <f ca="1"/>
        <v>-4.9999999999998295</v>
      </c>
      <c r="L1021" s="6">
        <f ca="1"/>
        <v>8.3333333333337123</v>
      </c>
      <c r="M1021" s="6">
        <f ca="1"/>
        <v>-4.1666666666666288</v>
      </c>
      <c r="N1021" s="6">
        <f ca="1"/>
        <v>-9.1666666666666341E-2</v>
      </c>
      <c r="O1021" s="6">
        <f t="shared" ca="1" si="146"/>
        <v>10.833333333333123</v>
      </c>
      <c r="P1021" t="str">
        <f t="shared" si="147"/>
        <v>NA</v>
      </c>
      <c r="Q1021" s="10">
        <f t="shared" ca="1" si="148"/>
        <v>29.166666666666664</v>
      </c>
      <c r="R1021" s="10">
        <f t="shared" ca="1" si="149"/>
        <v>52.083333333332973</v>
      </c>
      <c r="S1021" s="10">
        <f t="shared" ca="1" si="150"/>
        <v>-22.916666666666309</v>
      </c>
      <c r="T1021" s="10">
        <f t="shared" ca="1" si="151"/>
        <v>249.99999999999699</v>
      </c>
      <c r="U1021" s="10" t="str">
        <f t="shared" ca="1" si="152"/>
        <v>OR</v>
      </c>
      <c r="V1021">
        <f t="shared" si="153"/>
        <v>2</v>
      </c>
    </row>
    <row r="1022" spans="1:22" x14ac:dyDescent="0.25">
      <c r="A1022">
        <v>114</v>
      </c>
      <c r="B1022">
        <v>4</v>
      </c>
      <c r="C1022">
        <v>0</v>
      </c>
      <c r="D1022">
        <v>1</v>
      </c>
      <c r="E1022">
        <v>0</v>
      </c>
      <c r="F1022">
        <v>0</v>
      </c>
      <c r="G1022">
        <v>0</v>
      </c>
      <c r="H1022">
        <v>550</v>
      </c>
      <c r="I1022">
        <f t="shared" si="154"/>
        <v>1017</v>
      </c>
      <c r="J1022" s="6">
        <f t="array" aca="1" ref="J1022:N1022" ca="1">TRANSPOSE(ols(OFFSET($C$2:$C$10,I1022,0),OFFSET($D$2:$H$10,I1022,0)))</f>
        <v>57.083333333332803</v>
      </c>
      <c r="K1022" s="6">
        <f ca="1"/>
        <v>-4.9999999999998295</v>
      </c>
      <c r="L1022" s="6">
        <f ca="1"/>
        <v>8.3333333333337123</v>
      </c>
      <c r="M1022" s="6">
        <f ca="1"/>
        <v>-4.1666666666666288</v>
      </c>
      <c r="N1022" s="6">
        <f ca="1"/>
        <v>-9.1666666666666341E-2</v>
      </c>
      <c r="O1022" s="6">
        <f t="shared" ca="1" si="146"/>
        <v>6.6666666666663161</v>
      </c>
      <c r="P1022" t="str">
        <f t="shared" si="147"/>
        <v>NA</v>
      </c>
      <c r="Q1022" s="10">
        <f t="shared" ca="1" si="148"/>
        <v>29.166666666666664</v>
      </c>
      <c r="R1022" s="10">
        <f t="shared" ca="1" si="149"/>
        <v>57.083333333332803</v>
      </c>
      <c r="S1022" s="10">
        <f t="shared" ca="1" si="150"/>
        <v>-27.916666666666138</v>
      </c>
      <c r="T1022" s="10">
        <f t="shared" ca="1" si="151"/>
        <v>304.54545454544984</v>
      </c>
      <c r="U1022" s="10">
        <f t="shared" ca="1" si="152"/>
        <v>304.54545454544984</v>
      </c>
      <c r="V1022">
        <f t="shared" si="153"/>
        <v>1</v>
      </c>
    </row>
    <row r="1023" spans="1:22" x14ac:dyDescent="0.25">
      <c r="A1023">
        <v>114</v>
      </c>
      <c r="B1023">
        <v>5</v>
      </c>
      <c r="C1023">
        <v>40</v>
      </c>
      <c r="D1023">
        <v>1</v>
      </c>
      <c r="E1023">
        <v>0</v>
      </c>
      <c r="F1023">
        <v>1</v>
      </c>
      <c r="G1023">
        <v>1</v>
      </c>
      <c r="H1023">
        <v>250</v>
      </c>
      <c r="I1023">
        <f t="shared" si="154"/>
        <v>1017</v>
      </c>
      <c r="J1023" s="6">
        <f t="array" aca="1" ref="J1023:N1023" ca="1">TRANSPOSE(ols(OFFSET($C$2:$C$10,I1023,0),OFFSET($D$2:$H$10,I1023,0)))</f>
        <v>57.083333333332803</v>
      </c>
      <c r="K1023" s="6">
        <f ca="1"/>
        <v>-4.9999999999998295</v>
      </c>
      <c r="L1023" s="6">
        <f ca="1"/>
        <v>8.3333333333337123</v>
      </c>
      <c r="M1023" s="6">
        <f ca="1"/>
        <v>-4.1666666666666288</v>
      </c>
      <c r="N1023" s="6">
        <f ca="1"/>
        <v>-9.1666666666666341E-2</v>
      </c>
      <c r="O1023" s="6">
        <f t="shared" ca="1" si="146"/>
        <v>38.3333333333333</v>
      </c>
      <c r="P1023" t="str">
        <f t="shared" si="147"/>
        <v>NA</v>
      </c>
      <c r="Q1023" s="10">
        <f t="shared" ca="1" si="148"/>
        <v>29.166666666666664</v>
      </c>
      <c r="R1023" s="10">
        <f t="shared" ca="1" si="149"/>
        <v>61.249999999999886</v>
      </c>
      <c r="S1023" s="10">
        <f t="shared" ca="1" si="150"/>
        <v>-32.083333333333222</v>
      </c>
      <c r="T1023" s="10">
        <f t="shared" ca="1" si="151"/>
        <v>350.00000000000006</v>
      </c>
      <c r="U1023" s="10">
        <f t="shared" ca="1" si="152"/>
        <v>350.00000000000006</v>
      </c>
      <c r="V1023">
        <f t="shared" si="153"/>
        <v>6</v>
      </c>
    </row>
    <row r="1024" spans="1:22" x14ac:dyDescent="0.25">
      <c r="A1024">
        <v>114</v>
      </c>
      <c r="B1024">
        <v>6</v>
      </c>
      <c r="C1024">
        <v>25</v>
      </c>
      <c r="D1024">
        <v>1</v>
      </c>
      <c r="E1024">
        <v>0</v>
      </c>
      <c r="F1024">
        <v>1</v>
      </c>
      <c r="G1024">
        <v>1</v>
      </c>
      <c r="H1024">
        <v>350</v>
      </c>
      <c r="I1024">
        <f t="shared" si="154"/>
        <v>1017</v>
      </c>
      <c r="J1024" s="6">
        <f t="array" aca="1" ref="J1024:N1024" ca="1">TRANSPOSE(ols(OFFSET($C$2:$C$10,I1024,0),OFFSET($D$2:$H$10,I1024,0)))</f>
        <v>57.083333333332803</v>
      </c>
      <c r="K1024" s="6">
        <f ca="1"/>
        <v>-4.9999999999998295</v>
      </c>
      <c r="L1024" s="6">
        <f ca="1"/>
        <v>8.3333333333337123</v>
      </c>
      <c r="M1024" s="6">
        <f ca="1"/>
        <v>-4.1666666666666288</v>
      </c>
      <c r="N1024" s="6">
        <f ca="1"/>
        <v>-9.1666666666666341E-2</v>
      </c>
      <c r="O1024" s="6">
        <f t="shared" ca="1" si="146"/>
        <v>29.166666666666664</v>
      </c>
      <c r="P1024">
        <f t="shared" ca="1" si="147"/>
        <v>29.166666666666664</v>
      </c>
      <c r="Q1024" s="10">
        <f t="shared" ca="1" si="148"/>
        <v>29.166666666666664</v>
      </c>
      <c r="R1024" s="10">
        <f t="shared" ca="1" si="149"/>
        <v>61.249999999999886</v>
      </c>
      <c r="S1024" s="10">
        <f t="shared" ca="1" si="150"/>
        <v>-32.083333333333222</v>
      </c>
      <c r="T1024" s="10">
        <f t="shared" ca="1" si="151"/>
        <v>350.00000000000006</v>
      </c>
      <c r="U1024" s="10">
        <f t="shared" ca="1" si="152"/>
        <v>350.00000000000006</v>
      </c>
      <c r="V1024">
        <f t="shared" si="153"/>
        <v>6</v>
      </c>
    </row>
    <row r="1025" spans="1:22" x14ac:dyDescent="0.25">
      <c r="A1025">
        <v>114</v>
      </c>
      <c r="B1025">
        <v>7</v>
      </c>
      <c r="C1025">
        <v>0</v>
      </c>
      <c r="D1025">
        <v>1</v>
      </c>
      <c r="E1025">
        <v>1</v>
      </c>
      <c r="F1025">
        <v>0</v>
      </c>
      <c r="G1025">
        <v>1</v>
      </c>
      <c r="H1025">
        <v>450</v>
      </c>
      <c r="I1025">
        <f t="shared" si="154"/>
        <v>1017</v>
      </c>
      <c r="J1025" s="6">
        <f t="array" aca="1" ref="J1025:N1025" ca="1">TRANSPOSE(ols(OFFSET($C$2:$C$10,I1025,0),OFFSET($D$2:$H$10,I1025,0)))</f>
        <v>57.083333333332803</v>
      </c>
      <c r="K1025" s="6">
        <f ca="1"/>
        <v>-4.9999999999998295</v>
      </c>
      <c r="L1025" s="6">
        <f ca="1"/>
        <v>8.3333333333337123</v>
      </c>
      <c r="M1025" s="6">
        <f ca="1"/>
        <v>-4.1666666666666288</v>
      </c>
      <c r="N1025" s="6">
        <f ca="1"/>
        <v>-9.1666666666666341E-2</v>
      </c>
      <c r="O1025" s="6">
        <f t="shared" ca="1" si="146"/>
        <v>6.6666666666664938</v>
      </c>
      <c r="P1025" t="str">
        <f t="shared" si="147"/>
        <v>NA</v>
      </c>
      <c r="Q1025" s="10">
        <f t="shared" ca="1" si="148"/>
        <v>29.166666666666664</v>
      </c>
      <c r="R1025" s="10">
        <f t="shared" ca="1" si="149"/>
        <v>47.916666666666345</v>
      </c>
      <c r="S1025" s="10">
        <f t="shared" ca="1" si="150"/>
        <v>-18.74999999999968</v>
      </c>
      <c r="T1025" s="10">
        <f t="shared" ca="1" si="151"/>
        <v>204.54545454545178</v>
      </c>
      <c r="U1025" s="10" t="str">
        <f t="shared" ca="1" si="152"/>
        <v>OR</v>
      </c>
      <c r="V1025">
        <f t="shared" si="153"/>
        <v>5</v>
      </c>
    </row>
    <row r="1026" spans="1:22" x14ac:dyDescent="0.25">
      <c r="A1026">
        <v>114</v>
      </c>
      <c r="B1026">
        <v>8</v>
      </c>
      <c r="C1026">
        <v>0</v>
      </c>
      <c r="D1026">
        <v>1</v>
      </c>
      <c r="E1026">
        <v>1</v>
      </c>
      <c r="F1026">
        <v>0</v>
      </c>
      <c r="G1026">
        <v>1</v>
      </c>
      <c r="H1026">
        <v>550</v>
      </c>
      <c r="I1026">
        <f t="shared" si="154"/>
        <v>1017</v>
      </c>
      <c r="J1026" s="6">
        <f t="array" aca="1" ref="J1026:N1026" ca="1">TRANSPOSE(ols(OFFSET($C$2:$C$10,I1026,0),OFFSET($D$2:$H$10,I1026,0)))</f>
        <v>57.083333333332803</v>
      </c>
      <c r="K1026" s="6">
        <f ca="1"/>
        <v>-4.9999999999998295</v>
      </c>
      <c r="L1026" s="6">
        <f ca="1"/>
        <v>8.3333333333337123</v>
      </c>
      <c r="M1026" s="6">
        <f ca="1"/>
        <v>-4.1666666666666288</v>
      </c>
      <c r="N1026" s="6">
        <f ca="1"/>
        <v>-9.1666666666666341E-2</v>
      </c>
      <c r="O1026" s="6">
        <f t="shared" ca="1" si="146"/>
        <v>-2.5000000000001421</v>
      </c>
      <c r="P1026" t="str">
        <f t="shared" si="147"/>
        <v>NA</v>
      </c>
      <c r="Q1026" s="10">
        <f t="shared" ca="1" si="148"/>
        <v>29.166666666666664</v>
      </c>
      <c r="R1026" s="10">
        <f t="shared" ca="1" si="149"/>
        <v>47.916666666666345</v>
      </c>
      <c r="S1026" s="10">
        <f t="shared" ca="1" si="150"/>
        <v>-18.74999999999968</v>
      </c>
      <c r="T1026" s="10">
        <f t="shared" ca="1" si="151"/>
        <v>204.54545454545178</v>
      </c>
      <c r="U1026" s="10" t="str">
        <f t="shared" ca="1" si="152"/>
        <v>OR</v>
      </c>
      <c r="V1026">
        <f t="shared" si="153"/>
        <v>5</v>
      </c>
    </row>
    <row r="1027" spans="1:22" x14ac:dyDescent="0.25">
      <c r="A1027">
        <v>114</v>
      </c>
      <c r="B1027">
        <v>9</v>
      </c>
      <c r="C1027">
        <v>0</v>
      </c>
      <c r="D1027">
        <v>1</v>
      </c>
      <c r="E1027">
        <v>0</v>
      </c>
      <c r="F1027">
        <v>0</v>
      </c>
      <c r="G1027">
        <v>1</v>
      </c>
      <c r="H1027">
        <v>650</v>
      </c>
      <c r="I1027">
        <f t="shared" si="154"/>
        <v>1017</v>
      </c>
      <c r="J1027" s="6">
        <f t="array" aca="1" ref="J1027:N1027" ca="1">TRANSPOSE(ols(OFFSET($C$2:$C$10,I1027,0),OFFSET($D$2:$H$10,I1027,0)))</f>
        <v>57.083333333332803</v>
      </c>
      <c r="K1027" s="6">
        <f ca="1"/>
        <v>-4.9999999999998295</v>
      </c>
      <c r="L1027" s="6">
        <f ca="1"/>
        <v>8.3333333333337123</v>
      </c>
      <c r="M1027" s="6">
        <f ca="1"/>
        <v>-4.1666666666666288</v>
      </c>
      <c r="N1027" s="6">
        <f ca="1"/>
        <v>-9.1666666666666341E-2</v>
      </c>
      <c r="O1027" s="6">
        <f t="shared" ref="O1027:O1090" ca="1" si="155">SUMPRODUCT(J1027:N1027,D1027:H1027)</f>
        <v>-6.6666666666669485</v>
      </c>
      <c r="P1027" t="str">
        <f t="shared" ref="P1027:P1090" si="156">IF(AND(F1027=1,G1027=1,H1027=350),O1027,"NA")</f>
        <v>NA</v>
      </c>
      <c r="Q1027" s="10">
        <f t="shared" ref="Q1027:Q1090" ca="1" si="157">AVERAGEIF($A$2:$A$5383,A1027,$P$2:$P$5383)</f>
        <v>29.166666666666664</v>
      </c>
      <c r="R1027" s="10">
        <f t="shared" ref="R1027:R1090" ca="1" si="158">O1027-N1027*H1027</f>
        <v>52.916666666666174</v>
      </c>
      <c r="S1027" s="10">
        <f t="shared" ref="S1027:S1090" ca="1" si="159">Q1027-R1027</f>
        <v>-23.74999999999951</v>
      </c>
      <c r="T1027" s="10">
        <f t="shared" ref="T1027:T1090" ca="1" si="160">S1027/N1027</f>
        <v>259.09090909090469</v>
      </c>
      <c r="U1027" s="10">
        <f t="shared" ref="U1027:U1090" ca="1" si="161">IF(OR(T1027&lt;250,T1027&gt;650),"OR",T1027)</f>
        <v>259.09090909090469</v>
      </c>
      <c r="V1027">
        <f t="shared" ref="V1027:V1090" si="162">IF(AND(E1027=1,G1027=0),2,IF(AND(F1027=1,G1027=0),3,IF(AND(E1027=1,G1027=1),5,IF(AND(F1027=1,G1027=1),6,IF(G1027=0,1,IF(G1027=1,4))))))</f>
        <v>4</v>
      </c>
    </row>
    <row r="1028" spans="1:22" x14ac:dyDescent="0.25">
      <c r="A1028">
        <v>115</v>
      </c>
      <c r="B1028">
        <v>1</v>
      </c>
      <c r="C1028">
        <v>80</v>
      </c>
      <c r="D1028">
        <v>1</v>
      </c>
      <c r="E1028">
        <v>0</v>
      </c>
      <c r="F1028">
        <v>1</v>
      </c>
      <c r="G1028">
        <v>0</v>
      </c>
      <c r="H1028">
        <v>250</v>
      </c>
      <c r="I1028">
        <f t="shared" si="154"/>
        <v>1026</v>
      </c>
      <c r="J1028" s="6">
        <f t="array" aca="1" ref="J1028:N1028" ca="1">TRANSPOSE(ols(OFFSET($C$2:$C$10,I1028,0),OFFSET($D$2:$H$10,I1028,0)))</f>
        <v>111.66666666666606</v>
      </c>
      <c r="K1028" s="6">
        <f ca="1"/>
        <v>17.5</v>
      </c>
      <c r="L1028" s="6">
        <f ca="1"/>
        <v>6.6666666666660603</v>
      </c>
      <c r="M1028" s="6">
        <f ca="1"/>
        <v>-3.3333333333330302</v>
      </c>
      <c r="N1028" s="6">
        <f ca="1"/>
        <v>-0.13333333333333464</v>
      </c>
      <c r="O1028" s="6">
        <f t="shared" ca="1" si="155"/>
        <v>84.999999999998465</v>
      </c>
      <c r="P1028" t="str">
        <f t="shared" si="156"/>
        <v>NA</v>
      </c>
      <c r="Q1028" s="10">
        <f t="shared" ca="1" si="157"/>
        <v>68.333333333331964</v>
      </c>
      <c r="R1028" s="10">
        <f t="shared" ca="1" si="158"/>
        <v>118.33333333333212</v>
      </c>
      <c r="S1028" s="10">
        <f t="shared" ca="1" si="159"/>
        <v>-50.000000000000156</v>
      </c>
      <c r="T1028" s="10">
        <f t="shared" ca="1" si="160"/>
        <v>374.9999999999975</v>
      </c>
      <c r="U1028" s="10">
        <f t="shared" ca="1" si="161"/>
        <v>374.9999999999975</v>
      </c>
      <c r="V1028">
        <f t="shared" si="162"/>
        <v>3</v>
      </c>
    </row>
    <row r="1029" spans="1:22" x14ac:dyDescent="0.25">
      <c r="A1029">
        <v>115</v>
      </c>
      <c r="B1029">
        <v>2</v>
      </c>
      <c r="C1029">
        <v>80</v>
      </c>
      <c r="D1029">
        <v>1</v>
      </c>
      <c r="E1029">
        <v>1</v>
      </c>
      <c r="F1029">
        <v>0</v>
      </c>
      <c r="G1029">
        <v>0</v>
      </c>
      <c r="H1029">
        <v>350</v>
      </c>
      <c r="I1029">
        <f t="shared" si="154"/>
        <v>1026</v>
      </c>
      <c r="J1029" s="6">
        <f t="array" aca="1" ref="J1029:N1029" ca="1">TRANSPOSE(ols(OFFSET($C$2:$C$10,I1029,0),OFFSET($D$2:$H$10,I1029,0)))</f>
        <v>111.66666666666606</v>
      </c>
      <c r="K1029" s="6">
        <f ca="1"/>
        <v>17.5</v>
      </c>
      <c r="L1029" s="6">
        <f ca="1"/>
        <v>6.6666666666660603</v>
      </c>
      <c r="M1029" s="6">
        <f ca="1"/>
        <v>-3.3333333333330302</v>
      </c>
      <c r="N1029" s="6">
        <f ca="1"/>
        <v>-0.13333333333333464</v>
      </c>
      <c r="O1029" s="6">
        <f t="shared" ca="1" si="155"/>
        <v>82.499999999998934</v>
      </c>
      <c r="P1029" t="str">
        <f t="shared" si="156"/>
        <v>NA</v>
      </c>
      <c r="Q1029" s="10">
        <f t="shared" ca="1" si="157"/>
        <v>68.333333333331964</v>
      </c>
      <c r="R1029" s="10">
        <f t="shared" ca="1" si="158"/>
        <v>129.16666666666606</v>
      </c>
      <c r="S1029" s="10">
        <f t="shared" ca="1" si="159"/>
        <v>-60.833333333334096</v>
      </c>
      <c r="T1029" s="10">
        <f t="shared" ca="1" si="160"/>
        <v>456.25000000000125</v>
      </c>
      <c r="U1029" s="10">
        <f t="shared" ca="1" si="161"/>
        <v>456.25000000000125</v>
      </c>
      <c r="V1029">
        <f t="shared" si="162"/>
        <v>2</v>
      </c>
    </row>
    <row r="1030" spans="1:22" x14ac:dyDescent="0.25">
      <c r="A1030">
        <v>115</v>
      </c>
      <c r="B1030">
        <v>3</v>
      </c>
      <c r="C1030">
        <v>75</v>
      </c>
      <c r="D1030">
        <v>1</v>
      </c>
      <c r="E1030">
        <v>1</v>
      </c>
      <c r="F1030">
        <v>0</v>
      </c>
      <c r="G1030">
        <v>0</v>
      </c>
      <c r="H1030">
        <v>450</v>
      </c>
      <c r="I1030">
        <f t="shared" si="154"/>
        <v>1026</v>
      </c>
      <c r="J1030" s="6">
        <f t="array" aca="1" ref="J1030:N1030" ca="1">TRANSPOSE(ols(OFFSET($C$2:$C$10,I1030,0),OFFSET($D$2:$H$10,I1030,0)))</f>
        <v>111.66666666666606</v>
      </c>
      <c r="K1030" s="6">
        <f ca="1"/>
        <v>17.5</v>
      </c>
      <c r="L1030" s="6">
        <f ca="1"/>
        <v>6.6666666666660603</v>
      </c>
      <c r="M1030" s="6">
        <f ca="1"/>
        <v>-3.3333333333330302</v>
      </c>
      <c r="N1030" s="6">
        <f ca="1"/>
        <v>-0.13333333333333464</v>
      </c>
      <c r="O1030" s="6">
        <f t="shared" ca="1" si="155"/>
        <v>69.166666666665478</v>
      </c>
      <c r="P1030" t="str">
        <f t="shared" si="156"/>
        <v>NA</v>
      </c>
      <c r="Q1030" s="10">
        <f t="shared" ca="1" si="157"/>
        <v>68.333333333331964</v>
      </c>
      <c r="R1030" s="10">
        <f t="shared" ca="1" si="158"/>
        <v>129.16666666666606</v>
      </c>
      <c r="S1030" s="10">
        <f t="shared" ca="1" si="159"/>
        <v>-60.833333333334096</v>
      </c>
      <c r="T1030" s="10">
        <f t="shared" ca="1" si="160"/>
        <v>456.25000000000125</v>
      </c>
      <c r="U1030" s="10">
        <f t="shared" ca="1" si="161"/>
        <v>456.25000000000125</v>
      </c>
      <c r="V1030">
        <f t="shared" si="162"/>
        <v>2</v>
      </c>
    </row>
    <row r="1031" spans="1:22" x14ac:dyDescent="0.25">
      <c r="A1031">
        <v>115</v>
      </c>
      <c r="B1031">
        <v>4</v>
      </c>
      <c r="C1031">
        <v>40</v>
      </c>
      <c r="D1031">
        <v>1</v>
      </c>
      <c r="E1031">
        <v>0</v>
      </c>
      <c r="F1031">
        <v>0</v>
      </c>
      <c r="G1031">
        <v>0</v>
      </c>
      <c r="H1031">
        <v>550</v>
      </c>
      <c r="I1031">
        <f t="shared" si="154"/>
        <v>1026</v>
      </c>
      <c r="J1031" s="6">
        <f t="array" aca="1" ref="J1031:N1031" ca="1">TRANSPOSE(ols(OFFSET($C$2:$C$10,I1031,0),OFFSET($D$2:$H$10,I1031,0)))</f>
        <v>111.66666666666606</v>
      </c>
      <c r="K1031" s="6">
        <f ca="1"/>
        <v>17.5</v>
      </c>
      <c r="L1031" s="6">
        <f ca="1"/>
        <v>6.6666666666660603</v>
      </c>
      <c r="M1031" s="6">
        <f ca="1"/>
        <v>-3.3333333333330302</v>
      </c>
      <c r="N1031" s="6">
        <f ca="1"/>
        <v>-0.13333333333333464</v>
      </c>
      <c r="O1031" s="6">
        <f t="shared" ca="1" si="155"/>
        <v>38.333333333332007</v>
      </c>
      <c r="P1031" t="str">
        <f t="shared" si="156"/>
        <v>NA</v>
      </c>
      <c r="Q1031" s="10">
        <f t="shared" ca="1" si="157"/>
        <v>68.333333333331964</v>
      </c>
      <c r="R1031" s="10">
        <f t="shared" ca="1" si="158"/>
        <v>111.66666666666606</v>
      </c>
      <c r="S1031" s="10">
        <f t="shared" ca="1" si="159"/>
        <v>-43.333333333334096</v>
      </c>
      <c r="T1031" s="10">
        <f t="shared" ca="1" si="160"/>
        <v>325.00000000000256</v>
      </c>
      <c r="U1031" s="10">
        <f t="shared" ca="1" si="161"/>
        <v>325.00000000000256</v>
      </c>
      <c r="V1031">
        <f t="shared" si="162"/>
        <v>1</v>
      </c>
    </row>
    <row r="1032" spans="1:22" x14ac:dyDescent="0.25">
      <c r="A1032">
        <v>115</v>
      </c>
      <c r="B1032">
        <v>5</v>
      </c>
      <c r="C1032">
        <v>80</v>
      </c>
      <c r="D1032">
        <v>1</v>
      </c>
      <c r="E1032">
        <v>0</v>
      </c>
      <c r="F1032">
        <v>1</v>
      </c>
      <c r="G1032">
        <v>1</v>
      </c>
      <c r="H1032">
        <v>250</v>
      </c>
      <c r="I1032">
        <f t="shared" si="154"/>
        <v>1026</v>
      </c>
      <c r="J1032" s="6">
        <f t="array" aca="1" ref="J1032:N1032" ca="1">TRANSPOSE(ols(OFFSET($C$2:$C$10,I1032,0),OFFSET($D$2:$H$10,I1032,0)))</f>
        <v>111.66666666666606</v>
      </c>
      <c r="K1032" s="6">
        <f ca="1"/>
        <v>17.5</v>
      </c>
      <c r="L1032" s="6">
        <f ca="1"/>
        <v>6.6666666666660603</v>
      </c>
      <c r="M1032" s="6">
        <f ca="1"/>
        <v>-3.3333333333330302</v>
      </c>
      <c r="N1032" s="6">
        <f ca="1"/>
        <v>-0.13333333333333464</v>
      </c>
      <c r="O1032" s="6">
        <f t="shared" ca="1" si="155"/>
        <v>81.666666666665435</v>
      </c>
      <c r="P1032" t="str">
        <f t="shared" si="156"/>
        <v>NA</v>
      </c>
      <c r="Q1032" s="10">
        <f t="shared" ca="1" si="157"/>
        <v>68.333333333331964</v>
      </c>
      <c r="R1032" s="10">
        <f t="shared" ca="1" si="158"/>
        <v>114.99999999999909</v>
      </c>
      <c r="S1032" s="10">
        <f t="shared" ca="1" si="159"/>
        <v>-46.666666666667126</v>
      </c>
      <c r="T1032" s="10">
        <f t="shared" ca="1" si="160"/>
        <v>350</v>
      </c>
      <c r="U1032" s="10">
        <f t="shared" ca="1" si="161"/>
        <v>350</v>
      </c>
      <c r="V1032">
        <f t="shared" si="162"/>
        <v>6</v>
      </c>
    </row>
    <row r="1033" spans="1:22" x14ac:dyDescent="0.25">
      <c r="A1033">
        <v>115</v>
      </c>
      <c r="B1033">
        <v>6</v>
      </c>
      <c r="C1033">
        <v>75</v>
      </c>
      <c r="D1033">
        <v>1</v>
      </c>
      <c r="E1033">
        <v>0</v>
      </c>
      <c r="F1033">
        <v>1</v>
      </c>
      <c r="G1033">
        <v>1</v>
      </c>
      <c r="H1033">
        <v>350</v>
      </c>
      <c r="I1033">
        <f t="shared" si="154"/>
        <v>1026</v>
      </c>
      <c r="J1033" s="6">
        <f t="array" aca="1" ref="J1033:N1033" ca="1">TRANSPOSE(ols(OFFSET($C$2:$C$10,I1033,0),OFFSET($D$2:$H$10,I1033,0)))</f>
        <v>111.66666666666606</v>
      </c>
      <c r="K1033" s="6">
        <f ca="1"/>
        <v>17.5</v>
      </c>
      <c r="L1033" s="6">
        <f ca="1"/>
        <v>6.6666666666660603</v>
      </c>
      <c r="M1033" s="6">
        <f ca="1"/>
        <v>-3.3333333333330302</v>
      </c>
      <c r="N1033" s="6">
        <f ca="1"/>
        <v>-0.13333333333333464</v>
      </c>
      <c r="O1033" s="6">
        <f t="shared" ca="1" si="155"/>
        <v>68.333333333331964</v>
      </c>
      <c r="P1033">
        <f t="shared" ca="1" si="156"/>
        <v>68.333333333331964</v>
      </c>
      <c r="Q1033" s="10">
        <f t="shared" ca="1" si="157"/>
        <v>68.333333333331964</v>
      </c>
      <c r="R1033" s="10">
        <f t="shared" ca="1" si="158"/>
        <v>114.99999999999909</v>
      </c>
      <c r="S1033" s="10">
        <f t="shared" ca="1" si="159"/>
        <v>-46.666666666667126</v>
      </c>
      <c r="T1033" s="10">
        <f t="shared" ca="1" si="160"/>
        <v>350</v>
      </c>
      <c r="U1033" s="10">
        <f t="shared" ca="1" si="161"/>
        <v>350</v>
      </c>
      <c r="V1033">
        <f t="shared" si="162"/>
        <v>6</v>
      </c>
    </row>
    <row r="1034" spans="1:22" x14ac:dyDescent="0.25">
      <c r="A1034">
        <v>115</v>
      </c>
      <c r="B1034">
        <v>7</v>
      </c>
      <c r="C1034">
        <v>70</v>
      </c>
      <c r="D1034">
        <v>1</v>
      </c>
      <c r="E1034">
        <v>1</v>
      </c>
      <c r="F1034">
        <v>0</v>
      </c>
      <c r="G1034">
        <v>1</v>
      </c>
      <c r="H1034">
        <v>450</v>
      </c>
      <c r="I1034">
        <f t="shared" si="154"/>
        <v>1026</v>
      </c>
      <c r="J1034" s="6">
        <f t="array" aca="1" ref="J1034:N1034" ca="1">TRANSPOSE(ols(OFFSET($C$2:$C$10,I1034,0),OFFSET($D$2:$H$10,I1034,0)))</f>
        <v>111.66666666666606</v>
      </c>
      <c r="K1034" s="6">
        <f ca="1"/>
        <v>17.5</v>
      </c>
      <c r="L1034" s="6">
        <f ca="1"/>
        <v>6.6666666666660603</v>
      </c>
      <c r="M1034" s="6">
        <f ca="1"/>
        <v>-3.3333333333330302</v>
      </c>
      <c r="N1034" s="6">
        <f ca="1"/>
        <v>-0.13333333333333464</v>
      </c>
      <c r="O1034" s="6">
        <f t="shared" ca="1" si="155"/>
        <v>65.833333333332448</v>
      </c>
      <c r="P1034" t="str">
        <f t="shared" si="156"/>
        <v>NA</v>
      </c>
      <c r="Q1034" s="10">
        <f t="shared" ca="1" si="157"/>
        <v>68.333333333331964</v>
      </c>
      <c r="R1034" s="10">
        <f t="shared" ca="1" si="158"/>
        <v>125.83333333333303</v>
      </c>
      <c r="S1034" s="10">
        <f t="shared" ca="1" si="159"/>
        <v>-57.500000000001066</v>
      </c>
      <c r="T1034" s="10">
        <f t="shared" ca="1" si="160"/>
        <v>431.25000000000381</v>
      </c>
      <c r="U1034" s="10">
        <f t="shared" ca="1" si="161"/>
        <v>431.25000000000381</v>
      </c>
      <c r="V1034">
        <f t="shared" si="162"/>
        <v>5</v>
      </c>
    </row>
    <row r="1035" spans="1:22" x14ac:dyDescent="0.25">
      <c r="A1035">
        <v>115</v>
      </c>
      <c r="B1035">
        <v>8</v>
      </c>
      <c r="C1035">
        <v>45</v>
      </c>
      <c r="D1035">
        <v>1</v>
      </c>
      <c r="E1035">
        <v>1</v>
      </c>
      <c r="F1035">
        <v>0</v>
      </c>
      <c r="G1035">
        <v>1</v>
      </c>
      <c r="H1035">
        <v>550</v>
      </c>
      <c r="I1035">
        <f t="shared" si="154"/>
        <v>1026</v>
      </c>
      <c r="J1035" s="6">
        <f t="array" aca="1" ref="J1035:N1035" ca="1">TRANSPOSE(ols(OFFSET($C$2:$C$10,I1035,0),OFFSET($D$2:$H$10,I1035,0)))</f>
        <v>111.66666666666606</v>
      </c>
      <c r="K1035" s="6">
        <f ca="1"/>
        <v>17.5</v>
      </c>
      <c r="L1035" s="6">
        <f ca="1"/>
        <v>6.6666666666660603</v>
      </c>
      <c r="M1035" s="6">
        <f ca="1"/>
        <v>-3.3333333333330302</v>
      </c>
      <c r="N1035" s="6">
        <f ca="1"/>
        <v>-0.13333333333333464</v>
      </c>
      <c r="O1035" s="6">
        <f t="shared" ca="1" si="155"/>
        <v>52.499999999998977</v>
      </c>
      <c r="P1035" t="str">
        <f t="shared" si="156"/>
        <v>NA</v>
      </c>
      <c r="Q1035" s="10">
        <f t="shared" ca="1" si="157"/>
        <v>68.333333333331964</v>
      </c>
      <c r="R1035" s="10">
        <f t="shared" ca="1" si="158"/>
        <v>125.83333333333303</v>
      </c>
      <c r="S1035" s="10">
        <f t="shared" ca="1" si="159"/>
        <v>-57.500000000001066</v>
      </c>
      <c r="T1035" s="10">
        <f t="shared" ca="1" si="160"/>
        <v>431.25000000000381</v>
      </c>
      <c r="U1035" s="10">
        <f t="shared" ca="1" si="161"/>
        <v>431.25000000000381</v>
      </c>
      <c r="V1035">
        <f t="shared" si="162"/>
        <v>5</v>
      </c>
    </row>
    <row r="1036" spans="1:22" x14ac:dyDescent="0.25">
      <c r="A1036">
        <v>115</v>
      </c>
      <c r="B1036">
        <v>9</v>
      </c>
      <c r="C1036">
        <v>20</v>
      </c>
      <c r="D1036">
        <v>1</v>
      </c>
      <c r="E1036">
        <v>0</v>
      </c>
      <c r="F1036">
        <v>0</v>
      </c>
      <c r="G1036">
        <v>1</v>
      </c>
      <c r="H1036">
        <v>650</v>
      </c>
      <c r="I1036">
        <f t="shared" ref="I1036:I1099" si="163">IF(A1036&gt;A1035,I1035+9,I1035)</f>
        <v>1026</v>
      </c>
      <c r="J1036" s="6">
        <f t="array" aca="1" ref="J1036:N1036" ca="1">TRANSPOSE(ols(OFFSET($C$2:$C$10,I1036,0),OFFSET($D$2:$H$10,I1036,0)))</f>
        <v>111.66666666666606</v>
      </c>
      <c r="K1036" s="6">
        <f ca="1"/>
        <v>17.5</v>
      </c>
      <c r="L1036" s="6">
        <f ca="1"/>
        <v>6.6666666666660603</v>
      </c>
      <c r="M1036" s="6">
        <f ca="1"/>
        <v>-3.3333333333330302</v>
      </c>
      <c r="N1036" s="6">
        <f ca="1"/>
        <v>-0.13333333333333464</v>
      </c>
      <c r="O1036" s="6">
        <f t="shared" ca="1" si="155"/>
        <v>21.66666666666552</v>
      </c>
      <c r="P1036" t="str">
        <f t="shared" si="156"/>
        <v>NA</v>
      </c>
      <c r="Q1036" s="10">
        <f t="shared" ca="1" si="157"/>
        <v>68.333333333331964</v>
      </c>
      <c r="R1036" s="10">
        <f t="shared" ca="1" si="158"/>
        <v>108.33333333333303</v>
      </c>
      <c r="S1036" s="10">
        <f t="shared" ca="1" si="159"/>
        <v>-40.000000000001066</v>
      </c>
      <c r="T1036" s="10">
        <f t="shared" ca="1" si="160"/>
        <v>300.00000000000506</v>
      </c>
      <c r="U1036" s="10">
        <f t="shared" ca="1" si="161"/>
        <v>300.00000000000506</v>
      </c>
      <c r="V1036">
        <f t="shared" si="162"/>
        <v>4</v>
      </c>
    </row>
    <row r="1037" spans="1:22" x14ac:dyDescent="0.25">
      <c r="A1037">
        <v>116</v>
      </c>
      <c r="B1037">
        <v>1</v>
      </c>
      <c r="C1037">
        <v>70</v>
      </c>
      <c r="D1037">
        <v>1</v>
      </c>
      <c r="E1037">
        <v>0</v>
      </c>
      <c r="F1037">
        <v>1</v>
      </c>
      <c r="G1037">
        <v>0</v>
      </c>
      <c r="H1037">
        <v>250</v>
      </c>
      <c r="I1037">
        <f t="shared" si="163"/>
        <v>1035</v>
      </c>
      <c r="J1037" s="6">
        <f t="array" aca="1" ref="J1037:N1037" ca="1">TRANSPOSE(ols(OFFSET($C$2:$C$10,I1037,0),OFFSET($D$2:$H$10,I1037,0)))</f>
        <v>146.33928571428396</v>
      </c>
      <c r="K1037" s="6">
        <f ca="1"/>
        <v>-14.821428571428214</v>
      </c>
      <c r="L1037" s="6">
        <f ca="1"/>
        <v>-24.285714285713311</v>
      </c>
      <c r="M1037" s="6">
        <f ca="1"/>
        <v>15.89285714285711</v>
      </c>
      <c r="N1037" s="6">
        <f ca="1"/>
        <v>-0.24464285714285694</v>
      </c>
      <c r="O1037" s="6">
        <f t="shared" ca="1" si="155"/>
        <v>60.892857142856414</v>
      </c>
      <c r="P1037" t="str">
        <f t="shared" si="156"/>
        <v>NA</v>
      </c>
      <c r="Q1037" s="10">
        <f t="shared" ca="1" si="157"/>
        <v>52.32142857142783</v>
      </c>
      <c r="R1037" s="10">
        <f t="shared" ca="1" si="158"/>
        <v>122.05357142857065</v>
      </c>
      <c r="S1037" s="10">
        <f t="shared" ca="1" si="159"/>
        <v>-69.732142857142819</v>
      </c>
      <c r="T1037" s="10">
        <f t="shared" ca="1" si="160"/>
        <v>285.03649635036504</v>
      </c>
      <c r="U1037" s="10">
        <f t="shared" ca="1" si="161"/>
        <v>285.03649635036504</v>
      </c>
      <c r="V1037">
        <f t="shared" si="162"/>
        <v>3</v>
      </c>
    </row>
    <row r="1038" spans="1:22" x14ac:dyDescent="0.25">
      <c r="A1038">
        <v>116</v>
      </c>
      <c r="B1038">
        <v>2</v>
      </c>
      <c r="C1038">
        <v>45</v>
      </c>
      <c r="D1038">
        <v>1</v>
      </c>
      <c r="E1038">
        <v>1</v>
      </c>
      <c r="F1038">
        <v>0</v>
      </c>
      <c r="G1038">
        <v>0</v>
      </c>
      <c r="H1038">
        <v>350</v>
      </c>
      <c r="I1038">
        <f t="shared" si="163"/>
        <v>1035</v>
      </c>
      <c r="J1038" s="6">
        <f t="array" aca="1" ref="J1038:N1038" ca="1">TRANSPOSE(ols(OFFSET($C$2:$C$10,I1038,0),OFFSET($D$2:$H$10,I1038,0)))</f>
        <v>146.33928571428396</v>
      </c>
      <c r="K1038" s="6">
        <f ca="1"/>
        <v>-14.821428571428214</v>
      </c>
      <c r="L1038" s="6">
        <f ca="1"/>
        <v>-24.285714285713311</v>
      </c>
      <c r="M1038" s="6">
        <f ca="1"/>
        <v>15.89285714285711</v>
      </c>
      <c r="N1038" s="6">
        <f ca="1"/>
        <v>-0.24464285714285694</v>
      </c>
      <c r="O1038" s="6">
        <f t="shared" ca="1" si="155"/>
        <v>45.892857142855817</v>
      </c>
      <c r="P1038" t="str">
        <f t="shared" si="156"/>
        <v>NA</v>
      </c>
      <c r="Q1038" s="10">
        <f t="shared" ca="1" si="157"/>
        <v>52.32142857142783</v>
      </c>
      <c r="R1038" s="10">
        <f t="shared" ca="1" si="158"/>
        <v>131.51785714285575</v>
      </c>
      <c r="S1038" s="10">
        <f t="shared" ca="1" si="159"/>
        <v>-79.196428571427916</v>
      </c>
      <c r="T1038" s="10">
        <f t="shared" ca="1" si="160"/>
        <v>323.72262773722389</v>
      </c>
      <c r="U1038" s="10">
        <f t="shared" ca="1" si="161"/>
        <v>323.72262773722389</v>
      </c>
      <c r="V1038">
        <f t="shared" si="162"/>
        <v>2</v>
      </c>
    </row>
    <row r="1039" spans="1:22" x14ac:dyDescent="0.25">
      <c r="A1039">
        <v>116</v>
      </c>
      <c r="B1039">
        <v>3</v>
      </c>
      <c r="C1039">
        <v>15</v>
      </c>
      <c r="D1039">
        <v>1</v>
      </c>
      <c r="E1039">
        <v>1</v>
      </c>
      <c r="F1039">
        <v>0</v>
      </c>
      <c r="G1039">
        <v>0</v>
      </c>
      <c r="H1039">
        <v>450</v>
      </c>
      <c r="I1039">
        <f t="shared" si="163"/>
        <v>1035</v>
      </c>
      <c r="J1039" s="6">
        <f t="array" aca="1" ref="J1039:N1039" ca="1">TRANSPOSE(ols(OFFSET($C$2:$C$10,I1039,0),OFFSET($D$2:$H$10,I1039,0)))</f>
        <v>146.33928571428396</v>
      </c>
      <c r="K1039" s="6">
        <f ca="1"/>
        <v>-14.821428571428214</v>
      </c>
      <c r="L1039" s="6">
        <f ca="1"/>
        <v>-24.285714285713311</v>
      </c>
      <c r="M1039" s="6">
        <f ca="1"/>
        <v>15.89285714285711</v>
      </c>
      <c r="N1039" s="6">
        <f ca="1"/>
        <v>-0.24464285714285694</v>
      </c>
      <c r="O1039" s="6">
        <f t="shared" ca="1" si="155"/>
        <v>21.428571428570123</v>
      </c>
      <c r="P1039" t="str">
        <f t="shared" si="156"/>
        <v>NA</v>
      </c>
      <c r="Q1039" s="10">
        <f t="shared" ca="1" si="157"/>
        <v>52.32142857142783</v>
      </c>
      <c r="R1039" s="10">
        <f t="shared" ca="1" si="158"/>
        <v>131.51785714285575</v>
      </c>
      <c r="S1039" s="10">
        <f t="shared" ca="1" si="159"/>
        <v>-79.196428571427916</v>
      </c>
      <c r="T1039" s="10">
        <f t="shared" ca="1" si="160"/>
        <v>323.72262773722389</v>
      </c>
      <c r="U1039" s="10">
        <f t="shared" ca="1" si="161"/>
        <v>323.72262773722389</v>
      </c>
      <c r="V1039">
        <f t="shared" si="162"/>
        <v>2</v>
      </c>
    </row>
    <row r="1040" spans="1:22" x14ac:dyDescent="0.25">
      <c r="A1040">
        <v>116</v>
      </c>
      <c r="B1040">
        <v>4</v>
      </c>
      <c r="C1040">
        <v>10</v>
      </c>
      <c r="D1040">
        <v>1</v>
      </c>
      <c r="E1040">
        <v>0</v>
      </c>
      <c r="F1040">
        <v>0</v>
      </c>
      <c r="G1040">
        <v>0</v>
      </c>
      <c r="H1040">
        <v>550</v>
      </c>
      <c r="I1040">
        <f t="shared" si="163"/>
        <v>1035</v>
      </c>
      <c r="J1040" s="6">
        <f t="array" aca="1" ref="J1040:N1040" ca="1">TRANSPOSE(ols(OFFSET($C$2:$C$10,I1040,0),OFFSET($D$2:$H$10,I1040,0)))</f>
        <v>146.33928571428396</v>
      </c>
      <c r="K1040" s="6">
        <f ca="1"/>
        <v>-14.821428571428214</v>
      </c>
      <c r="L1040" s="6">
        <f ca="1"/>
        <v>-24.285714285713311</v>
      </c>
      <c r="M1040" s="6">
        <f ca="1"/>
        <v>15.89285714285711</v>
      </c>
      <c r="N1040" s="6">
        <f ca="1"/>
        <v>-0.24464285714285694</v>
      </c>
      <c r="O1040" s="6">
        <f t="shared" ca="1" si="155"/>
        <v>11.785714285712629</v>
      </c>
      <c r="P1040" t="str">
        <f t="shared" si="156"/>
        <v>NA</v>
      </c>
      <c r="Q1040" s="10">
        <f t="shared" ca="1" si="157"/>
        <v>52.32142857142783</v>
      </c>
      <c r="R1040" s="10">
        <f t="shared" ca="1" si="158"/>
        <v>146.33928571428396</v>
      </c>
      <c r="S1040" s="10">
        <f t="shared" ca="1" si="159"/>
        <v>-94.01785714285613</v>
      </c>
      <c r="T1040" s="10">
        <f t="shared" ca="1" si="160"/>
        <v>384.30656934306188</v>
      </c>
      <c r="U1040" s="10">
        <f t="shared" ca="1" si="161"/>
        <v>384.30656934306188</v>
      </c>
      <c r="V1040">
        <f t="shared" si="162"/>
        <v>1</v>
      </c>
    </row>
    <row r="1041" spans="1:22" x14ac:dyDescent="0.25">
      <c r="A1041">
        <v>116</v>
      </c>
      <c r="B1041">
        <v>5</v>
      </c>
      <c r="C1041">
        <v>70</v>
      </c>
      <c r="D1041">
        <v>1</v>
      </c>
      <c r="E1041">
        <v>0</v>
      </c>
      <c r="F1041">
        <v>1</v>
      </c>
      <c r="G1041">
        <v>1</v>
      </c>
      <c r="H1041">
        <v>250</v>
      </c>
      <c r="I1041">
        <f t="shared" si="163"/>
        <v>1035</v>
      </c>
      <c r="J1041" s="6">
        <f t="array" aca="1" ref="J1041:N1041" ca="1">TRANSPOSE(ols(OFFSET($C$2:$C$10,I1041,0),OFFSET($D$2:$H$10,I1041,0)))</f>
        <v>146.33928571428396</v>
      </c>
      <c r="K1041" s="6">
        <f ca="1"/>
        <v>-14.821428571428214</v>
      </c>
      <c r="L1041" s="6">
        <f ca="1"/>
        <v>-24.285714285713311</v>
      </c>
      <c r="M1041" s="6">
        <f ca="1"/>
        <v>15.89285714285711</v>
      </c>
      <c r="N1041" s="6">
        <f ca="1"/>
        <v>-0.24464285714285694</v>
      </c>
      <c r="O1041" s="6">
        <f t="shared" ca="1" si="155"/>
        <v>76.785714285713524</v>
      </c>
      <c r="P1041" t="str">
        <f t="shared" si="156"/>
        <v>NA</v>
      </c>
      <c r="Q1041" s="10">
        <f t="shared" ca="1" si="157"/>
        <v>52.32142857142783</v>
      </c>
      <c r="R1041" s="10">
        <f t="shared" ca="1" si="158"/>
        <v>137.94642857142776</v>
      </c>
      <c r="S1041" s="10">
        <f t="shared" ca="1" si="159"/>
        <v>-85.624999999999929</v>
      </c>
      <c r="T1041" s="10">
        <f t="shared" ca="1" si="160"/>
        <v>350</v>
      </c>
      <c r="U1041" s="10">
        <f t="shared" ca="1" si="161"/>
        <v>350</v>
      </c>
      <c r="V1041">
        <f t="shared" si="162"/>
        <v>6</v>
      </c>
    </row>
    <row r="1042" spans="1:22" x14ac:dyDescent="0.25">
      <c r="A1042">
        <v>116</v>
      </c>
      <c r="B1042">
        <v>6</v>
      </c>
      <c r="C1042">
        <v>50</v>
      </c>
      <c r="D1042">
        <v>1</v>
      </c>
      <c r="E1042">
        <v>0</v>
      </c>
      <c r="F1042">
        <v>1</v>
      </c>
      <c r="G1042">
        <v>1</v>
      </c>
      <c r="H1042">
        <v>350</v>
      </c>
      <c r="I1042">
        <f t="shared" si="163"/>
        <v>1035</v>
      </c>
      <c r="J1042" s="6">
        <f t="array" aca="1" ref="J1042:N1042" ca="1">TRANSPOSE(ols(OFFSET($C$2:$C$10,I1042,0),OFFSET($D$2:$H$10,I1042,0)))</f>
        <v>146.33928571428396</v>
      </c>
      <c r="K1042" s="6">
        <f ca="1"/>
        <v>-14.821428571428214</v>
      </c>
      <c r="L1042" s="6">
        <f ca="1"/>
        <v>-24.285714285713311</v>
      </c>
      <c r="M1042" s="6">
        <f ca="1"/>
        <v>15.89285714285711</v>
      </c>
      <c r="N1042" s="6">
        <f ca="1"/>
        <v>-0.24464285714285694</v>
      </c>
      <c r="O1042" s="6">
        <f t="shared" ca="1" si="155"/>
        <v>52.32142857142783</v>
      </c>
      <c r="P1042">
        <f t="shared" ca="1" si="156"/>
        <v>52.32142857142783</v>
      </c>
      <c r="Q1042" s="10">
        <f t="shared" ca="1" si="157"/>
        <v>52.32142857142783</v>
      </c>
      <c r="R1042" s="10">
        <f t="shared" ca="1" si="158"/>
        <v>137.94642857142776</v>
      </c>
      <c r="S1042" s="10">
        <f t="shared" ca="1" si="159"/>
        <v>-85.624999999999929</v>
      </c>
      <c r="T1042" s="10">
        <f t="shared" ca="1" si="160"/>
        <v>350</v>
      </c>
      <c r="U1042" s="10">
        <f t="shared" ca="1" si="161"/>
        <v>350</v>
      </c>
      <c r="V1042">
        <f t="shared" si="162"/>
        <v>6</v>
      </c>
    </row>
    <row r="1043" spans="1:22" x14ac:dyDescent="0.25">
      <c r="A1043">
        <v>116</v>
      </c>
      <c r="B1043">
        <v>7</v>
      </c>
      <c r="C1043">
        <v>45</v>
      </c>
      <c r="D1043">
        <v>1</v>
      </c>
      <c r="E1043">
        <v>1</v>
      </c>
      <c r="F1043">
        <v>0</v>
      </c>
      <c r="G1043">
        <v>1</v>
      </c>
      <c r="H1043">
        <v>450</v>
      </c>
      <c r="I1043">
        <f t="shared" si="163"/>
        <v>1035</v>
      </c>
      <c r="J1043" s="6">
        <f t="array" aca="1" ref="J1043:N1043" ca="1">TRANSPOSE(ols(OFFSET($C$2:$C$10,I1043,0),OFFSET($D$2:$H$10,I1043,0)))</f>
        <v>146.33928571428396</v>
      </c>
      <c r="K1043" s="6">
        <f ca="1"/>
        <v>-14.821428571428214</v>
      </c>
      <c r="L1043" s="6">
        <f ca="1"/>
        <v>-24.285714285713311</v>
      </c>
      <c r="M1043" s="6">
        <f ca="1"/>
        <v>15.89285714285711</v>
      </c>
      <c r="N1043" s="6">
        <f ca="1"/>
        <v>-0.24464285714285694</v>
      </c>
      <c r="O1043" s="6">
        <f t="shared" ca="1" si="155"/>
        <v>37.321428571427234</v>
      </c>
      <c r="P1043" t="str">
        <f t="shared" si="156"/>
        <v>NA</v>
      </c>
      <c r="Q1043" s="10">
        <f t="shared" ca="1" si="157"/>
        <v>52.32142857142783</v>
      </c>
      <c r="R1043" s="10">
        <f t="shared" ca="1" si="158"/>
        <v>147.41071428571286</v>
      </c>
      <c r="S1043" s="10">
        <f t="shared" ca="1" si="159"/>
        <v>-95.089285714285026</v>
      </c>
      <c r="T1043" s="10">
        <f t="shared" ca="1" si="160"/>
        <v>388.68613138685885</v>
      </c>
      <c r="U1043" s="10">
        <f t="shared" ca="1" si="161"/>
        <v>388.68613138685885</v>
      </c>
      <c r="V1043">
        <f t="shared" si="162"/>
        <v>5</v>
      </c>
    </row>
    <row r="1044" spans="1:22" x14ac:dyDescent="0.25">
      <c r="A1044">
        <v>116</v>
      </c>
      <c r="B1044">
        <v>8</v>
      </c>
      <c r="C1044">
        <v>12.5</v>
      </c>
      <c r="D1044">
        <v>1</v>
      </c>
      <c r="E1044">
        <v>1</v>
      </c>
      <c r="F1044">
        <v>0</v>
      </c>
      <c r="G1044">
        <v>1</v>
      </c>
      <c r="H1044">
        <v>550</v>
      </c>
      <c r="I1044">
        <f t="shared" si="163"/>
        <v>1035</v>
      </c>
      <c r="J1044" s="6">
        <f t="array" aca="1" ref="J1044:N1044" ca="1">TRANSPOSE(ols(OFFSET($C$2:$C$10,I1044,0),OFFSET($D$2:$H$10,I1044,0)))</f>
        <v>146.33928571428396</v>
      </c>
      <c r="K1044" s="6">
        <f ca="1"/>
        <v>-14.821428571428214</v>
      </c>
      <c r="L1044" s="6">
        <f ca="1"/>
        <v>-24.285714285713311</v>
      </c>
      <c r="M1044" s="6">
        <f ca="1"/>
        <v>15.89285714285711</v>
      </c>
      <c r="N1044" s="6">
        <f ca="1"/>
        <v>-0.24464285714285694</v>
      </c>
      <c r="O1044" s="6">
        <f t="shared" ca="1" si="155"/>
        <v>12.857142857141525</v>
      </c>
      <c r="P1044" t="str">
        <f t="shared" si="156"/>
        <v>NA</v>
      </c>
      <c r="Q1044" s="10">
        <f t="shared" ca="1" si="157"/>
        <v>52.32142857142783</v>
      </c>
      <c r="R1044" s="10">
        <f t="shared" ca="1" si="158"/>
        <v>147.41071428571286</v>
      </c>
      <c r="S1044" s="10">
        <f t="shared" ca="1" si="159"/>
        <v>-95.089285714285026</v>
      </c>
      <c r="T1044" s="10">
        <f t="shared" ca="1" si="160"/>
        <v>388.68613138685885</v>
      </c>
      <c r="U1044" s="10">
        <f t="shared" ca="1" si="161"/>
        <v>388.68613138685885</v>
      </c>
      <c r="V1044">
        <f t="shared" si="162"/>
        <v>5</v>
      </c>
    </row>
    <row r="1045" spans="1:22" x14ac:dyDescent="0.25">
      <c r="A1045">
        <v>116</v>
      </c>
      <c r="B1045">
        <v>9</v>
      </c>
      <c r="C1045">
        <v>5</v>
      </c>
      <c r="D1045">
        <v>1</v>
      </c>
      <c r="E1045">
        <v>0</v>
      </c>
      <c r="F1045">
        <v>0</v>
      </c>
      <c r="G1045">
        <v>1</v>
      </c>
      <c r="H1045">
        <v>650</v>
      </c>
      <c r="I1045">
        <f t="shared" si="163"/>
        <v>1035</v>
      </c>
      <c r="J1045" s="6">
        <f t="array" aca="1" ref="J1045:N1045" ca="1">TRANSPOSE(ols(OFFSET($C$2:$C$10,I1045,0),OFFSET($D$2:$H$10,I1045,0)))</f>
        <v>146.33928571428396</v>
      </c>
      <c r="K1045" s="6">
        <f ca="1"/>
        <v>-14.821428571428214</v>
      </c>
      <c r="L1045" s="6">
        <f ca="1"/>
        <v>-24.285714285713311</v>
      </c>
      <c r="M1045" s="6">
        <f ca="1"/>
        <v>15.89285714285711</v>
      </c>
      <c r="N1045" s="6">
        <f ca="1"/>
        <v>-0.24464285714285694</v>
      </c>
      <c r="O1045" s="6">
        <f t="shared" ca="1" si="155"/>
        <v>3.2142857142840739</v>
      </c>
      <c r="P1045" t="str">
        <f t="shared" si="156"/>
        <v>NA</v>
      </c>
      <c r="Q1045" s="10">
        <f t="shared" ca="1" si="157"/>
        <v>52.32142857142783</v>
      </c>
      <c r="R1045" s="10">
        <f t="shared" ca="1" si="158"/>
        <v>162.23214285714107</v>
      </c>
      <c r="S1045" s="10">
        <f t="shared" ca="1" si="159"/>
        <v>-109.91071428571324</v>
      </c>
      <c r="T1045" s="10">
        <f t="shared" ca="1" si="160"/>
        <v>449.27007299269684</v>
      </c>
      <c r="U1045" s="10">
        <f t="shared" ca="1" si="161"/>
        <v>449.27007299269684</v>
      </c>
      <c r="V1045">
        <f t="shared" si="162"/>
        <v>4</v>
      </c>
    </row>
    <row r="1046" spans="1:22" x14ac:dyDescent="0.25">
      <c r="A1046">
        <v>117</v>
      </c>
      <c r="B1046">
        <v>1</v>
      </c>
      <c r="C1046">
        <v>70</v>
      </c>
      <c r="D1046">
        <v>1</v>
      </c>
      <c r="E1046">
        <v>0</v>
      </c>
      <c r="F1046">
        <v>1</v>
      </c>
      <c r="G1046">
        <v>0</v>
      </c>
      <c r="H1046">
        <v>250</v>
      </c>
      <c r="I1046">
        <f t="shared" si="163"/>
        <v>1044</v>
      </c>
      <c r="J1046" s="6">
        <f t="array" aca="1" ref="J1046:N1046" ca="1">TRANSPOSE(ols(OFFSET($C$2:$C$10,I1046,0),OFFSET($D$2:$H$10,I1046,0)))</f>
        <v>119.40476190476147</v>
      </c>
      <c r="K1046" s="6">
        <f ca="1"/>
        <v>-10.357142857143117</v>
      </c>
      <c r="L1046" s="6">
        <f ca="1"/>
        <v>-18.095238095239438</v>
      </c>
      <c r="M1046" s="6">
        <f ca="1"/>
        <v>4.0476190476192642</v>
      </c>
      <c r="N1046" s="6">
        <f ca="1"/>
        <v>-0.10238095238095468</v>
      </c>
      <c r="O1046" s="6">
        <f t="shared" ca="1" si="155"/>
        <v>75.714285714283363</v>
      </c>
      <c r="P1046" t="str">
        <f t="shared" si="156"/>
        <v>NA</v>
      </c>
      <c r="Q1046" s="10">
        <f t="shared" ca="1" si="157"/>
        <v>69.523809523807159</v>
      </c>
      <c r="R1046" s="10">
        <f t="shared" ca="1" si="158"/>
        <v>101.30952380952203</v>
      </c>
      <c r="S1046" s="10">
        <f t="shared" ca="1" si="159"/>
        <v>-31.785714285714874</v>
      </c>
      <c r="T1046" s="10">
        <f t="shared" ca="1" si="160"/>
        <v>310.46511627906852</v>
      </c>
      <c r="U1046" s="10">
        <f t="shared" ca="1" si="161"/>
        <v>310.46511627906852</v>
      </c>
      <c r="V1046">
        <f t="shared" si="162"/>
        <v>3</v>
      </c>
    </row>
    <row r="1047" spans="1:22" x14ac:dyDescent="0.25">
      <c r="A1047">
        <v>117</v>
      </c>
      <c r="B1047">
        <v>2</v>
      </c>
      <c r="C1047">
        <v>75</v>
      </c>
      <c r="D1047">
        <v>1</v>
      </c>
      <c r="E1047">
        <v>1</v>
      </c>
      <c r="F1047">
        <v>0</v>
      </c>
      <c r="G1047">
        <v>0</v>
      </c>
      <c r="H1047">
        <v>350</v>
      </c>
      <c r="I1047">
        <f t="shared" si="163"/>
        <v>1044</v>
      </c>
      <c r="J1047" s="6">
        <f t="array" aca="1" ref="J1047:N1047" ca="1">TRANSPOSE(ols(OFFSET($C$2:$C$10,I1047,0),OFFSET($D$2:$H$10,I1047,0)))</f>
        <v>119.40476190476147</v>
      </c>
      <c r="K1047" s="6">
        <f ca="1"/>
        <v>-10.357142857143117</v>
      </c>
      <c r="L1047" s="6">
        <f ca="1"/>
        <v>-18.095238095239438</v>
      </c>
      <c r="M1047" s="6">
        <f ca="1"/>
        <v>4.0476190476192642</v>
      </c>
      <c r="N1047" s="6">
        <f ca="1"/>
        <v>-0.10238095238095468</v>
      </c>
      <c r="O1047" s="6">
        <f t="shared" ca="1" si="155"/>
        <v>73.214285714284216</v>
      </c>
      <c r="P1047" t="str">
        <f t="shared" si="156"/>
        <v>NA</v>
      </c>
      <c r="Q1047" s="10">
        <f t="shared" ca="1" si="157"/>
        <v>69.523809523807159</v>
      </c>
      <c r="R1047" s="10">
        <f t="shared" ca="1" si="158"/>
        <v>109.04761904761835</v>
      </c>
      <c r="S1047" s="10">
        <f t="shared" ca="1" si="159"/>
        <v>-39.523809523811195</v>
      </c>
      <c r="T1047" s="10">
        <f t="shared" ca="1" si="160"/>
        <v>386.04651162791464</v>
      </c>
      <c r="U1047" s="10">
        <f t="shared" ca="1" si="161"/>
        <v>386.04651162791464</v>
      </c>
      <c r="V1047">
        <f t="shared" si="162"/>
        <v>2</v>
      </c>
    </row>
    <row r="1048" spans="1:22" x14ac:dyDescent="0.25">
      <c r="A1048">
        <v>117</v>
      </c>
      <c r="B1048">
        <v>3</v>
      </c>
      <c r="C1048">
        <v>65</v>
      </c>
      <c r="D1048">
        <v>1</v>
      </c>
      <c r="E1048">
        <v>1</v>
      </c>
      <c r="F1048">
        <v>0</v>
      </c>
      <c r="G1048">
        <v>0</v>
      </c>
      <c r="H1048">
        <v>450</v>
      </c>
      <c r="I1048">
        <f t="shared" si="163"/>
        <v>1044</v>
      </c>
      <c r="J1048" s="6">
        <f t="array" aca="1" ref="J1048:N1048" ca="1">TRANSPOSE(ols(OFFSET($C$2:$C$10,I1048,0),OFFSET($D$2:$H$10,I1048,0)))</f>
        <v>119.40476190476147</v>
      </c>
      <c r="K1048" s="6">
        <f ca="1"/>
        <v>-10.357142857143117</v>
      </c>
      <c r="L1048" s="6">
        <f ca="1"/>
        <v>-18.095238095239438</v>
      </c>
      <c r="M1048" s="6">
        <f ca="1"/>
        <v>4.0476190476192642</v>
      </c>
      <c r="N1048" s="6">
        <f ca="1"/>
        <v>-0.10238095238095468</v>
      </c>
      <c r="O1048" s="6">
        <f t="shared" ca="1" si="155"/>
        <v>62.976190476188748</v>
      </c>
      <c r="P1048" t="str">
        <f t="shared" si="156"/>
        <v>NA</v>
      </c>
      <c r="Q1048" s="10">
        <f t="shared" ca="1" si="157"/>
        <v>69.523809523807159</v>
      </c>
      <c r="R1048" s="10">
        <f t="shared" ca="1" si="158"/>
        <v>109.04761904761835</v>
      </c>
      <c r="S1048" s="10">
        <f t="shared" ca="1" si="159"/>
        <v>-39.523809523811195</v>
      </c>
      <c r="T1048" s="10">
        <f t="shared" ca="1" si="160"/>
        <v>386.04651162791464</v>
      </c>
      <c r="U1048" s="10">
        <f t="shared" ca="1" si="161"/>
        <v>386.04651162791464</v>
      </c>
      <c r="V1048">
        <f t="shared" si="162"/>
        <v>2</v>
      </c>
    </row>
    <row r="1049" spans="1:22" x14ac:dyDescent="0.25">
      <c r="A1049">
        <v>117</v>
      </c>
      <c r="B1049">
        <v>4</v>
      </c>
      <c r="C1049">
        <v>65</v>
      </c>
      <c r="D1049">
        <v>1</v>
      </c>
      <c r="E1049">
        <v>0</v>
      </c>
      <c r="F1049">
        <v>0</v>
      </c>
      <c r="G1049">
        <v>0</v>
      </c>
      <c r="H1049">
        <v>550</v>
      </c>
      <c r="I1049">
        <f t="shared" si="163"/>
        <v>1044</v>
      </c>
      <c r="J1049" s="6">
        <f t="array" aca="1" ref="J1049:N1049" ca="1">TRANSPOSE(ols(OFFSET($C$2:$C$10,I1049,0),OFFSET($D$2:$H$10,I1049,0)))</f>
        <v>119.40476190476147</v>
      </c>
      <c r="K1049" s="6">
        <f ca="1"/>
        <v>-10.357142857143117</v>
      </c>
      <c r="L1049" s="6">
        <f ca="1"/>
        <v>-18.095238095239438</v>
      </c>
      <c r="M1049" s="6">
        <f ca="1"/>
        <v>4.0476190476192642</v>
      </c>
      <c r="N1049" s="6">
        <f ca="1"/>
        <v>-0.10238095238095468</v>
      </c>
      <c r="O1049" s="6">
        <f t="shared" ca="1" si="155"/>
        <v>63.095238095236397</v>
      </c>
      <c r="P1049" t="str">
        <f t="shared" si="156"/>
        <v>NA</v>
      </c>
      <c r="Q1049" s="10">
        <f t="shared" ca="1" si="157"/>
        <v>69.523809523807159</v>
      </c>
      <c r="R1049" s="10">
        <f t="shared" ca="1" si="158"/>
        <v>119.40476190476147</v>
      </c>
      <c r="S1049" s="10">
        <f t="shared" ca="1" si="159"/>
        <v>-49.880952380954312</v>
      </c>
      <c r="T1049" s="10">
        <f t="shared" ca="1" si="160"/>
        <v>487.20930232558931</v>
      </c>
      <c r="U1049" s="10">
        <f t="shared" ca="1" si="161"/>
        <v>487.20930232558931</v>
      </c>
      <c r="V1049">
        <f t="shared" si="162"/>
        <v>1</v>
      </c>
    </row>
    <row r="1050" spans="1:22" x14ac:dyDescent="0.25">
      <c r="A1050">
        <v>117</v>
      </c>
      <c r="B1050">
        <v>5</v>
      </c>
      <c r="C1050">
        <v>80</v>
      </c>
      <c r="D1050">
        <v>1</v>
      </c>
      <c r="E1050">
        <v>0</v>
      </c>
      <c r="F1050">
        <v>1</v>
      </c>
      <c r="G1050">
        <v>1</v>
      </c>
      <c r="H1050">
        <v>250</v>
      </c>
      <c r="I1050">
        <f t="shared" si="163"/>
        <v>1044</v>
      </c>
      <c r="J1050" s="6">
        <f t="array" aca="1" ref="J1050:N1050" ca="1">TRANSPOSE(ols(OFFSET($C$2:$C$10,I1050,0),OFFSET($D$2:$H$10,I1050,0)))</f>
        <v>119.40476190476147</v>
      </c>
      <c r="K1050" s="6">
        <f ca="1"/>
        <v>-10.357142857143117</v>
      </c>
      <c r="L1050" s="6">
        <f ca="1"/>
        <v>-18.095238095239438</v>
      </c>
      <c r="M1050" s="6">
        <f ca="1"/>
        <v>4.0476190476192642</v>
      </c>
      <c r="N1050" s="6">
        <f ca="1"/>
        <v>-0.10238095238095468</v>
      </c>
      <c r="O1050" s="6">
        <f t="shared" ca="1" si="155"/>
        <v>79.761904761902628</v>
      </c>
      <c r="P1050" t="str">
        <f t="shared" si="156"/>
        <v>NA</v>
      </c>
      <c r="Q1050" s="10">
        <f t="shared" ca="1" si="157"/>
        <v>69.523809523807159</v>
      </c>
      <c r="R1050" s="10">
        <f t="shared" ca="1" si="158"/>
        <v>105.3571428571413</v>
      </c>
      <c r="S1050" s="10">
        <f t="shared" ca="1" si="159"/>
        <v>-35.833333333334139</v>
      </c>
      <c r="T1050" s="10">
        <f t="shared" ca="1" si="160"/>
        <v>350</v>
      </c>
      <c r="U1050" s="10">
        <f t="shared" ca="1" si="161"/>
        <v>350</v>
      </c>
      <c r="V1050">
        <f t="shared" si="162"/>
        <v>6</v>
      </c>
    </row>
    <row r="1051" spans="1:22" x14ac:dyDescent="0.25">
      <c r="A1051">
        <v>117</v>
      </c>
      <c r="B1051">
        <v>6</v>
      </c>
      <c r="C1051">
        <v>75</v>
      </c>
      <c r="D1051">
        <v>1</v>
      </c>
      <c r="E1051">
        <v>0</v>
      </c>
      <c r="F1051">
        <v>1</v>
      </c>
      <c r="G1051">
        <v>1</v>
      </c>
      <c r="H1051">
        <v>350</v>
      </c>
      <c r="I1051">
        <f t="shared" si="163"/>
        <v>1044</v>
      </c>
      <c r="J1051" s="6">
        <f t="array" aca="1" ref="J1051:N1051" ca="1">TRANSPOSE(ols(OFFSET($C$2:$C$10,I1051,0),OFFSET($D$2:$H$10,I1051,0)))</f>
        <v>119.40476190476147</v>
      </c>
      <c r="K1051" s="6">
        <f ca="1"/>
        <v>-10.357142857143117</v>
      </c>
      <c r="L1051" s="6">
        <f ca="1"/>
        <v>-18.095238095239438</v>
      </c>
      <c r="M1051" s="6">
        <f ca="1"/>
        <v>4.0476190476192642</v>
      </c>
      <c r="N1051" s="6">
        <f ca="1"/>
        <v>-0.10238095238095468</v>
      </c>
      <c r="O1051" s="6">
        <f t="shared" ca="1" si="155"/>
        <v>69.523809523807159</v>
      </c>
      <c r="P1051">
        <f t="shared" ca="1" si="156"/>
        <v>69.523809523807159</v>
      </c>
      <c r="Q1051" s="10">
        <f t="shared" ca="1" si="157"/>
        <v>69.523809523807159</v>
      </c>
      <c r="R1051" s="10">
        <f t="shared" ca="1" si="158"/>
        <v>105.3571428571413</v>
      </c>
      <c r="S1051" s="10">
        <f t="shared" ca="1" si="159"/>
        <v>-35.833333333334139</v>
      </c>
      <c r="T1051" s="10">
        <f t="shared" ca="1" si="160"/>
        <v>350</v>
      </c>
      <c r="U1051" s="10">
        <f t="shared" ca="1" si="161"/>
        <v>350</v>
      </c>
      <c r="V1051">
        <f t="shared" si="162"/>
        <v>6</v>
      </c>
    </row>
    <row r="1052" spans="1:22" x14ac:dyDescent="0.25">
      <c r="A1052">
        <v>117</v>
      </c>
      <c r="B1052">
        <v>7</v>
      </c>
      <c r="C1052">
        <v>65</v>
      </c>
      <c r="D1052">
        <v>1</v>
      </c>
      <c r="E1052">
        <v>1</v>
      </c>
      <c r="F1052">
        <v>0</v>
      </c>
      <c r="G1052">
        <v>1</v>
      </c>
      <c r="H1052">
        <v>450</v>
      </c>
      <c r="I1052">
        <f t="shared" si="163"/>
        <v>1044</v>
      </c>
      <c r="J1052" s="6">
        <f t="array" aca="1" ref="J1052:N1052" ca="1">TRANSPOSE(ols(OFFSET($C$2:$C$10,I1052,0),OFFSET($D$2:$H$10,I1052,0)))</f>
        <v>119.40476190476147</v>
      </c>
      <c r="K1052" s="6">
        <f ca="1"/>
        <v>-10.357142857143117</v>
      </c>
      <c r="L1052" s="6">
        <f ca="1"/>
        <v>-18.095238095239438</v>
      </c>
      <c r="M1052" s="6">
        <f ca="1"/>
        <v>4.0476190476192642</v>
      </c>
      <c r="N1052" s="6">
        <f ca="1"/>
        <v>-0.10238095238095468</v>
      </c>
      <c r="O1052" s="6">
        <f t="shared" ca="1" si="155"/>
        <v>67.023809523808012</v>
      </c>
      <c r="P1052" t="str">
        <f t="shared" si="156"/>
        <v>NA</v>
      </c>
      <c r="Q1052" s="10">
        <f t="shared" ca="1" si="157"/>
        <v>69.523809523807159</v>
      </c>
      <c r="R1052" s="10">
        <f t="shared" ca="1" si="158"/>
        <v>113.09523809523762</v>
      </c>
      <c r="S1052" s="10">
        <f t="shared" ca="1" si="159"/>
        <v>-43.571428571430459</v>
      </c>
      <c r="T1052" s="10">
        <f t="shared" ca="1" si="160"/>
        <v>425.58139534884606</v>
      </c>
      <c r="U1052" s="10">
        <f t="shared" ca="1" si="161"/>
        <v>425.58139534884606</v>
      </c>
      <c r="V1052">
        <f t="shared" si="162"/>
        <v>5</v>
      </c>
    </row>
    <row r="1053" spans="1:22" x14ac:dyDescent="0.25">
      <c r="A1053">
        <v>117</v>
      </c>
      <c r="B1053">
        <v>8</v>
      </c>
      <c r="C1053">
        <v>55</v>
      </c>
      <c r="D1053">
        <v>1</v>
      </c>
      <c r="E1053">
        <v>1</v>
      </c>
      <c r="F1053">
        <v>0</v>
      </c>
      <c r="G1053">
        <v>1</v>
      </c>
      <c r="H1053">
        <v>550</v>
      </c>
      <c r="I1053">
        <f t="shared" si="163"/>
        <v>1044</v>
      </c>
      <c r="J1053" s="6">
        <f t="array" aca="1" ref="J1053:N1053" ca="1">TRANSPOSE(ols(OFFSET($C$2:$C$10,I1053,0),OFFSET($D$2:$H$10,I1053,0)))</f>
        <v>119.40476190476147</v>
      </c>
      <c r="K1053" s="6">
        <f ca="1"/>
        <v>-10.357142857143117</v>
      </c>
      <c r="L1053" s="6">
        <f ca="1"/>
        <v>-18.095238095239438</v>
      </c>
      <c r="M1053" s="6">
        <f ca="1"/>
        <v>4.0476190476192642</v>
      </c>
      <c r="N1053" s="6">
        <f ca="1"/>
        <v>-0.10238095238095468</v>
      </c>
      <c r="O1053" s="6">
        <f t="shared" ca="1" si="155"/>
        <v>56.785714285712544</v>
      </c>
      <c r="P1053" t="str">
        <f t="shared" si="156"/>
        <v>NA</v>
      </c>
      <c r="Q1053" s="10">
        <f t="shared" ca="1" si="157"/>
        <v>69.523809523807159</v>
      </c>
      <c r="R1053" s="10">
        <f t="shared" ca="1" si="158"/>
        <v>113.09523809523762</v>
      </c>
      <c r="S1053" s="10">
        <f t="shared" ca="1" si="159"/>
        <v>-43.571428571430459</v>
      </c>
      <c r="T1053" s="10">
        <f t="shared" ca="1" si="160"/>
        <v>425.58139534884606</v>
      </c>
      <c r="U1053" s="10">
        <f t="shared" ca="1" si="161"/>
        <v>425.58139534884606</v>
      </c>
      <c r="V1053">
        <f t="shared" si="162"/>
        <v>5</v>
      </c>
    </row>
    <row r="1054" spans="1:22" x14ac:dyDescent="0.25">
      <c r="A1054">
        <v>117</v>
      </c>
      <c r="B1054">
        <v>9</v>
      </c>
      <c r="C1054">
        <v>55</v>
      </c>
      <c r="D1054">
        <v>1</v>
      </c>
      <c r="E1054">
        <v>0</v>
      </c>
      <c r="F1054">
        <v>0</v>
      </c>
      <c r="G1054">
        <v>1</v>
      </c>
      <c r="H1054">
        <v>650</v>
      </c>
      <c r="I1054">
        <f t="shared" si="163"/>
        <v>1044</v>
      </c>
      <c r="J1054" s="6">
        <f t="array" aca="1" ref="J1054:N1054" ca="1">TRANSPOSE(ols(OFFSET($C$2:$C$10,I1054,0),OFFSET($D$2:$H$10,I1054,0)))</f>
        <v>119.40476190476147</v>
      </c>
      <c r="K1054" s="6">
        <f ca="1"/>
        <v>-10.357142857143117</v>
      </c>
      <c r="L1054" s="6">
        <f ca="1"/>
        <v>-18.095238095239438</v>
      </c>
      <c r="M1054" s="6">
        <f ca="1"/>
        <v>4.0476190476192642</v>
      </c>
      <c r="N1054" s="6">
        <f ca="1"/>
        <v>-0.10238095238095468</v>
      </c>
      <c r="O1054" s="6">
        <f t="shared" ca="1" si="155"/>
        <v>56.904761904760193</v>
      </c>
      <c r="P1054" t="str">
        <f t="shared" si="156"/>
        <v>NA</v>
      </c>
      <c r="Q1054" s="10">
        <f t="shared" ca="1" si="157"/>
        <v>69.523809523807159</v>
      </c>
      <c r="R1054" s="10">
        <f t="shared" ca="1" si="158"/>
        <v>123.45238095238074</v>
      </c>
      <c r="S1054" s="10">
        <f t="shared" ca="1" si="159"/>
        <v>-53.928571428573576</v>
      </c>
      <c r="T1054" s="10">
        <f t="shared" ca="1" si="160"/>
        <v>526.74418604652078</v>
      </c>
      <c r="U1054" s="10">
        <f t="shared" ca="1" si="161"/>
        <v>526.74418604652078</v>
      </c>
      <c r="V1054">
        <f t="shared" si="162"/>
        <v>4</v>
      </c>
    </row>
    <row r="1055" spans="1:22" x14ac:dyDescent="0.25">
      <c r="A1055">
        <v>118</v>
      </c>
      <c r="B1055">
        <v>1</v>
      </c>
      <c r="C1055">
        <v>60</v>
      </c>
      <c r="D1055">
        <v>1</v>
      </c>
      <c r="E1055">
        <v>0</v>
      </c>
      <c r="F1055">
        <v>1</v>
      </c>
      <c r="G1055">
        <v>0</v>
      </c>
      <c r="H1055">
        <v>250</v>
      </c>
      <c r="I1055">
        <f t="shared" si="163"/>
        <v>1053</v>
      </c>
      <c r="J1055" s="6">
        <f t="array" aca="1" ref="J1055:N1055" ca="1">TRANSPOSE(ols(OFFSET($C$2:$C$10,I1055,0),OFFSET($D$2:$H$10,I1055,0)))</f>
        <v>99.940476190474328</v>
      </c>
      <c r="K1055" s="6">
        <f ca="1"/>
        <v>3.214285714286234</v>
      </c>
      <c r="L1055" s="6">
        <f ca="1"/>
        <v>-8.8095238095233981</v>
      </c>
      <c r="M1055" s="6">
        <f ca="1"/>
        <v>-0.59523809523761884</v>
      </c>
      <c r="N1055" s="6">
        <f ca="1"/>
        <v>-0.12023809523809703</v>
      </c>
      <c r="O1055" s="6">
        <f t="shared" ca="1" si="155"/>
        <v>61.071428571426672</v>
      </c>
      <c r="P1055" t="str">
        <f t="shared" si="156"/>
        <v>NA</v>
      </c>
      <c r="Q1055" s="10">
        <f t="shared" ca="1" si="157"/>
        <v>48.45238095237935</v>
      </c>
      <c r="R1055" s="10">
        <f t="shared" ca="1" si="158"/>
        <v>91.13095238095093</v>
      </c>
      <c r="S1055" s="10">
        <f t="shared" ca="1" si="159"/>
        <v>-42.67857142857158</v>
      </c>
      <c r="T1055" s="10">
        <f t="shared" ca="1" si="160"/>
        <v>354.95049504950089</v>
      </c>
      <c r="U1055" s="10">
        <f t="shared" ca="1" si="161"/>
        <v>354.95049504950089</v>
      </c>
      <c r="V1055">
        <f t="shared" si="162"/>
        <v>3</v>
      </c>
    </row>
    <row r="1056" spans="1:22" x14ac:dyDescent="0.25">
      <c r="A1056">
        <v>118</v>
      </c>
      <c r="B1056">
        <v>2</v>
      </c>
      <c r="C1056">
        <v>60</v>
      </c>
      <c r="D1056">
        <v>1</v>
      </c>
      <c r="E1056">
        <v>1</v>
      </c>
      <c r="F1056">
        <v>0</v>
      </c>
      <c r="G1056">
        <v>0</v>
      </c>
      <c r="H1056">
        <v>350</v>
      </c>
      <c r="I1056">
        <f t="shared" si="163"/>
        <v>1053</v>
      </c>
      <c r="J1056" s="6">
        <f t="array" aca="1" ref="J1056:N1056" ca="1">TRANSPOSE(ols(OFFSET($C$2:$C$10,I1056,0),OFFSET($D$2:$H$10,I1056,0)))</f>
        <v>99.940476190474328</v>
      </c>
      <c r="K1056" s="6">
        <f ca="1"/>
        <v>3.214285714286234</v>
      </c>
      <c r="L1056" s="6">
        <f ca="1"/>
        <v>-8.8095238095233981</v>
      </c>
      <c r="M1056" s="6">
        <f ca="1"/>
        <v>-0.59523809523761884</v>
      </c>
      <c r="N1056" s="6">
        <f ca="1"/>
        <v>-0.12023809523809703</v>
      </c>
      <c r="O1056" s="6">
        <f t="shared" ca="1" si="155"/>
        <v>61.071428571426601</v>
      </c>
      <c r="P1056" t="str">
        <f t="shared" si="156"/>
        <v>NA</v>
      </c>
      <c r="Q1056" s="10">
        <f t="shared" ca="1" si="157"/>
        <v>48.45238095237935</v>
      </c>
      <c r="R1056" s="10">
        <f t="shared" ca="1" si="158"/>
        <v>103.15476190476056</v>
      </c>
      <c r="S1056" s="10">
        <f t="shared" ca="1" si="159"/>
        <v>-54.702380952381212</v>
      </c>
      <c r="T1056" s="10">
        <f t="shared" ca="1" si="160"/>
        <v>454.95049504950032</v>
      </c>
      <c r="U1056" s="10">
        <f t="shared" ca="1" si="161"/>
        <v>454.95049504950032</v>
      </c>
      <c r="V1056">
        <f t="shared" si="162"/>
        <v>2</v>
      </c>
    </row>
    <row r="1057" spans="1:22" x14ac:dyDescent="0.25">
      <c r="A1057">
        <v>118</v>
      </c>
      <c r="B1057">
        <v>3</v>
      </c>
      <c r="C1057">
        <v>50</v>
      </c>
      <c r="D1057">
        <v>1</v>
      </c>
      <c r="E1057">
        <v>1</v>
      </c>
      <c r="F1057">
        <v>0</v>
      </c>
      <c r="G1057">
        <v>0</v>
      </c>
      <c r="H1057">
        <v>450</v>
      </c>
      <c r="I1057">
        <f t="shared" si="163"/>
        <v>1053</v>
      </c>
      <c r="J1057" s="6">
        <f t="array" aca="1" ref="J1057:N1057" ca="1">TRANSPOSE(ols(OFFSET($C$2:$C$10,I1057,0),OFFSET($D$2:$H$10,I1057,0)))</f>
        <v>99.940476190474328</v>
      </c>
      <c r="K1057" s="6">
        <f ca="1"/>
        <v>3.214285714286234</v>
      </c>
      <c r="L1057" s="6">
        <f ca="1"/>
        <v>-8.8095238095233981</v>
      </c>
      <c r="M1057" s="6">
        <f ca="1"/>
        <v>-0.59523809523761884</v>
      </c>
      <c r="N1057" s="6">
        <f ca="1"/>
        <v>-0.12023809523809703</v>
      </c>
      <c r="O1057" s="6">
        <f t="shared" ca="1" si="155"/>
        <v>49.047619047616898</v>
      </c>
      <c r="P1057" t="str">
        <f t="shared" si="156"/>
        <v>NA</v>
      </c>
      <c r="Q1057" s="10">
        <f t="shared" ca="1" si="157"/>
        <v>48.45238095237935</v>
      </c>
      <c r="R1057" s="10">
        <f t="shared" ca="1" si="158"/>
        <v>103.15476190476056</v>
      </c>
      <c r="S1057" s="10">
        <f t="shared" ca="1" si="159"/>
        <v>-54.702380952381212</v>
      </c>
      <c r="T1057" s="10">
        <f t="shared" ca="1" si="160"/>
        <v>454.95049504950032</v>
      </c>
      <c r="U1057" s="10">
        <f t="shared" ca="1" si="161"/>
        <v>454.95049504950032</v>
      </c>
      <c r="V1057">
        <f t="shared" si="162"/>
        <v>2</v>
      </c>
    </row>
    <row r="1058" spans="1:22" x14ac:dyDescent="0.25">
      <c r="A1058">
        <v>118</v>
      </c>
      <c r="B1058">
        <v>4</v>
      </c>
      <c r="C1058">
        <v>35</v>
      </c>
      <c r="D1058">
        <v>1</v>
      </c>
      <c r="E1058">
        <v>0</v>
      </c>
      <c r="F1058">
        <v>0</v>
      </c>
      <c r="G1058">
        <v>0</v>
      </c>
      <c r="H1058">
        <v>550</v>
      </c>
      <c r="I1058">
        <f t="shared" si="163"/>
        <v>1053</v>
      </c>
      <c r="J1058" s="6">
        <f t="array" aca="1" ref="J1058:N1058" ca="1">TRANSPOSE(ols(OFFSET($C$2:$C$10,I1058,0),OFFSET($D$2:$H$10,I1058,0)))</f>
        <v>99.940476190474328</v>
      </c>
      <c r="K1058" s="6">
        <f ca="1"/>
        <v>3.214285714286234</v>
      </c>
      <c r="L1058" s="6">
        <f ca="1"/>
        <v>-8.8095238095233981</v>
      </c>
      <c r="M1058" s="6">
        <f ca="1"/>
        <v>-0.59523809523761884</v>
      </c>
      <c r="N1058" s="6">
        <f ca="1"/>
        <v>-0.12023809523809703</v>
      </c>
      <c r="O1058" s="6">
        <f t="shared" ca="1" si="155"/>
        <v>33.809523809520954</v>
      </c>
      <c r="P1058" t="str">
        <f t="shared" si="156"/>
        <v>NA</v>
      </c>
      <c r="Q1058" s="10">
        <f t="shared" ca="1" si="157"/>
        <v>48.45238095237935</v>
      </c>
      <c r="R1058" s="10">
        <f t="shared" ca="1" si="158"/>
        <v>99.940476190474328</v>
      </c>
      <c r="S1058" s="10">
        <f t="shared" ca="1" si="159"/>
        <v>-51.488095238094978</v>
      </c>
      <c r="T1058" s="10">
        <f t="shared" ca="1" si="160"/>
        <v>428.21782178216966</v>
      </c>
      <c r="U1058" s="10">
        <f t="shared" ca="1" si="161"/>
        <v>428.21782178216966</v>
      </c>
      <c r="V1058">
        <f t="shared" si="162"/>
        <v>1</v>
      </c>
    </row>
    <row r="1059" spans="1:22" x14ac:dyDescent="0.25">
      <c r="A1059">
        <v>118</v>
      </c>
      <c r="B1059">
        <v>5</v>
      </c>
      <c r="C1059">
        <v>60</v>
      </c>
      <c r="D1059">
        <v>1</v>
      </c>
      <c r="E1059">
        <v>0</v>
      </c>
      <c r="F1059">
        <v>1</v>
      </c>
      <c r="G1059">
        <v>1</v>
      </c>
      <c r="H1059">
        <v>250</v>
      </c>
      <c r="I1059">
        <f t="shared" si="163"/>
        <v>1053</v>
      </c>
      <c r="J1059" s="6">
        <f t="array" aca="1" ref="J1059:N1059" ca="1">TRANSPOSE(ols(OFFSET($C$2:$C$10,I1059,0),OFFSET($D$2:$H$10,I1059,0)))</f>
        <v>99.940476190474328</v>
      </c>
      <c r="K1059" s="6">
        <f ca="1"/>
        <v>3.214285714286234</v>
      </c>
      <c r="L1059" s="6">
        <f ca="1"/>
        <v>-8.8095238095233981</v>
      </c>
      <c r="M1059" s="6">
        <f ca="1"/>
        <v>-0.59523809523761884</v>
      </c>
      <c r="N1059" s="6">
        <f ca="1"/>
        <v>-0.12023809523809703</v>
      </c>
      <c r="O1059" s="6">
        <f t="shared" ca="1" si="155"/>
        <v>60.476190476189053</v>
      </c>
      <c r="P1059" t="str">
        <f t="shared" si="156"/>
        <v>NA</v>
      </c>
      <c r="Q1059" s="10">
        <f t="shared" ca="1" si="157"/>
        <v>48.45238095237935</v>
      </c>
      <c r="R1059" s="10">
        <f t="shared" ca="1" si="158"/>
        <v>90.535714285713311</v>
      </c>
      <c r="S1059" s="10">
        <f t="shared" ca="1" si="159"/>
        <v>-42.083333333333961</v>
      </c>
      <c r="T1059" s="10">
        <f t="shared" ca="1" si="160"/>
        <v>350</v>
      </c>
      <c r="U1059" s="10">
        <f t="shared" ca="1" si="161"/>
        <v>350</v>
      </c>
      <c r="V1059">
        <f t="shared" si="162"/>
        <v>6</v>
      </c>
    </row>
    <row r="1060" spans="1:22" x14ac:dyDescent="0.25">
      <c r="A1060">
        <v>118</v>
      </c>
      <c r="B1060">
        <v>6</v>
      </c>
      <c r="C1060">
        <v>50</v>
      </c>
      <c r="D1060">
        <v>1</v>
      </c>
      <c r="E1060">
        <v>0</v>
      </c>
      <c r="F1060">
        <v>1</v>
      </c>
      <c r="G1060">
        <v>1</v>
      </c>
      <c r="H1060">
        <v>350</v>
      </c>
      <c r="I1060">
        <f t="shared" si="163"/>
        <v>1053</v>
      </c>
      <c r="J1060" s="6">
        <f t="array" aca="1" ref="J1060:N1060" ca="1">TRANSPOSE(ols(OFFSET($C$2:$C$10,I1060,0),OFFSET($D$2:$H$10,I1060,0)))</f>
        <v>99.940476190474328</v>
      </c>
      <c r="K1060" s="6">
        <f ca="1"/>
        <v>3.214285714286234</v>
      </c>
      <c r="L1060" s="6">
        <f ca="1"/>
        <v>-8.8095238095233981</v>
      </c>
      <c r="M1060" s="6">
        <f ca="1"/>
        <v>-0.59523809523761884</v>
      </c>
      <c r="N1060" s="6">
        <f ca="1"/>
        <v>-0.12023809523809703</v>
      </c>
      <c r="O1060" s="6">
        <f t="shared" ca="1" si="155"/>
        <v>48.45238095237935</v>
      </c>
      <c r="P1060">
        <f t="shared" ca="1" si="156"/>
        <v>48.45238095237935</v>
      </c>
      <c r="Q1060" s="10">
        <f t="shared" ca="1" si="157"/>
        <v>48.45238095237935</v>
      </c>
      <c r="R1060" s="10">
        <f t="shared" ca="1" si="158"/>
        <v>90.535714285713311</v>
      </c>
      <c r="S1060" s="10">
        <f t="shared" ca="1" si="159"/>
        <v>-42.083333333333961</v>
      </c>
      <c r="T1060" s="10">
        <f t="shared" ca="1" si="160"/>
        <v>350</v>
      </c>
      <c r="U1060" s="10">
        <f t="shared" ca="1" si="161"/>
        <v>350</v>
      </c>
      <c r="V1060">
        <f t="shared" si="162"/>
        <v>6</v>
      </c>
    </row>
    <row r="1061" spans="1:22" x14ac:dyDescent="0.25">
      <c r="A1061">
        <v>118</v>
      </c>
      <c r="B1061">
        <v>7</v>
      </c>
      <c r="C1061">
        <v>50</v>
      </c>
      <c r="D1061">
        <v>1</v>
      </c>
      <c r="E1061">
        <v>1</v>
      </c>
      <c r="F1061">
        <v>0</v>
      </c>
      <c r="G1061">
        <v>1</v>
      </c>
      <c r="H1061">
        <v>450</v>
      </c>
      <c r="I1061">
        <f t="shared" si="163"/>
        <v>1053</v>
      </c>
      <c r="J1061" s="6">
        <f t="array" aca="1" ref="J1061:N1061" ca="1">TRANSPOSE(ols(OFFSET($C$2:$C$10,I1061,0),OFFSET($D$2:$H$10,I1061,0)))</f>
        <v>99.940476190474328</v>
      </c>
      <c r="K1061" s="6">
        <f ca="1"/>
        <v>3.214285714286234</v>
      </c>
      <c r="L1061" s="6">
        <f ca="1"/>
        <v>-8.8095238095233981</v>
      </c>
      <c r="M1061" s="6">
        <f ca="1"/>
        <v>-0.59523809523761884</v>
      </c>
      <c r="N1061" s="6">
        <f ca="1"/>
        <v>-0.12023809523809703</v>
      </c>
      <c r="O1061" s="6">
        <f t="shared" ca="1" si="155"/>
        <v>48.452380952379279</v>
      </c>
      <c r="P1061" t="str">
        <f t="shared" si="156"/>
        <v>NA</v>
      </c>
      <c r="Q1061" s="10">
        <f t="shared" ca="1" si="157"/>
        <v>48.45238095237935</v>
      </c>
      <c r="R1061" s="10">
        <f t="shared" ca="1" si="158"/>
        <v>102.55952380952294</v>
      </c>
      <c r="S1061" s="10">
        <f t="shared" ca="1" si="159"/>
        <v>-54.107142857143593</v>
      </c>
      <c r="T1061" s="10">
        <f t="shared" ca="1" si="160"/>
        <v>449.99999999999943</v>
      </c>
      <c r="U1061" s="10">
        <f t="shared" ca="1" si="161"/>
        <v>449.99999999999943</v>
      </c>
      <c r="V1061">
        <f t="shared" si="162"/>
        <v>5</v>
      </c>
    </row>
    <row r="1062" spans="1:22" x14ac:dyDescent="0.25">
      <c r="A1062">
        <v>118</v>
      </c>
      <c r="B1062">
        <v>8</v>
      </c>
      <c r="C1062">
        <v>35</v>
      </c>
      <c r="D1062">
        <v>1</v>
      </c>
      <c r="E1062">
        <v>1</v>
      </c>
      <c r="F1062">
        <v>0</v>
      </c>
      <c r="G1062">
        <v>1</v>
      </c>
      <c r="H1062">
        <v>550</v>
      </c>
      <c r="I1062">
        <f t="shared" si="163"/>
        <v>1053</v>
      </c>
      <c r="J1062" s="6">
        <f t="array" aca="1" ref="J1062:N1062" ca="1">TRANSPOSE(ols(OFFSET($C$2:$C$10,I1062,0),OFFSET($D$2:$H$10,I1062,0)))</f>
        <v>99.940476190474328</v>
      </c>
      <c r="K1062" s="6">
        <f ca="1"/>
        <v>3.214285714286234</v>
      </c>
      <c r="L1062" s="6">
        <f ca="1"/>
        <v>-8.8095238095233981</v>
      </c>
      <c r="M1062" s="6">
        <f ca="1"/>
        <v>-0.59523809523761884</v>
      </c>
      <c r="N1062" s="6">
        <f ca="1"/>
        <v>-0.12023809523809703</v>
      </c>
      <c r="O1062" s="6">
        <f t="shared" ca="1" si="155"/>
        <v>36.428571428569569</v>
      </c>
      <c r="P1062" t="str">
        <f t="shared" si="156"/>
        <v>NA</v>
      </c>
      <c r="Q1062" s="10">
        <f t="shared" ca="1" si="157"/>
        <v>48.45238095237935</v>
      </c>
      <c r="R1062" s="10">
        <f t="shared" ca="1" si="158"/>
        <v>102.55952380952294</v>
      </c>
      <c r="S1062" s="10">
        <f t="shared" ca="1" si="159"/>
        <v>-54.107142857143593</v>
      </c>
      <c r="T1062" s="10">
        <f t="shared" ca="1" si="160"/>
        <v>449.99999999999943</v>
      </c>
      <c r="U1062" s="10">
        <f t="shared" ca="1" si="161"/>
        <v>449.99999999999943</v>
      </c>
      <c r="V1062">
        <f t="shared" si="162"/>
        <v>5</v>
      </c>
    </row>
    <row r="1063" spans="1:22" x14ac:dyDescent="0.25">
      <c r="A1063">
        <v>118</v>
      </c>
      <c r="B1063">
        <v>9</v>
      </c>
      <c r="C1063">
        <v>20</v>
      </c>
      <c r="D1063">
        <v>1</v>
      </c>
      <c r="E1063">
        <v>0</v>
      </c>
      <c r="F1063">
        <v>0</v>
      </c>
      <c r="G1063">
        <v>1</v>
      </c>
      <c r="H1063">
        <v>650</v>
      </c>
      <c r="I1063">
        <f t="shared" si="163"/>
        <v>1053</v>
      </c>
      <c r="J1063" s="6">
        <f t="array" aca="1" ref="J1063:N1063" ca="1">TRANSPOSE(ols(OFFSET($C$2:$C$10,I1063,0),OFFSET($D$2:$H$10,I1063,0)))</f>
        <v>99.940476190474328</v>
      </c>
      <c r="K1063" s="6">
        <f ca="1"/>
        <v>3.214285714286234</v>
      </c>
      <c r="L1063" s="6">
        <f ca="1"/>
        <v>-8.8095238095233981</v>
      </c>
      <c r="M1063" s="6">
        <f ca="1"/>
        <v>-0.59523809523761884</v>
      </c>
      <c r="N1063" s="6">
        <f ca="1"/>
        <v>-0.12023809523809703</v>
      </c>
      <c r="O1063" s="6">
        <f t="shared" ca="1" si="155"/>
        <v>21.190476190473646</v>
      </c>
      <c r="P1063" t="str">
        <f t="shared" si="156"/>
        <v>NA</v>
      </c>
      <c r="Q1063" s="10">
        <f t="shared" ca="1" si="157"/>
        <v>48.45238095237935</v>
      </c>
      <c r="R1063" s="10">
        <f t="shared" ca="1" si="158"/>
        <v>99.345238095236709</v>
      </c>
      <c r="S1063" s="10">
        <f t="shared" ca="1" si="159"/>
        <v>-50.892857142857359</v>
      </c>
      <c r="T1063" s="10">
        <f t="shared" ca="1" si="160"/>
        <v>423.26732673266878</v>
      </c>
      <c r="U1063" s="10">
        <f t="shared" ca="1" si="161"/>
        <v>423.26732673266878</v>
      </c>
      <c r="V1063">
        <f t="shared" si="162"/>
        <v>4</v>
      </c>
    </row>
    <row r="1064" spans="1:22" x14ac:dyDescent="0.25">
      <c r="A1064">
        <v>119</v>
      </c>
      <c r="B1064">
        <v>1</v>
      </c>
      <c r="C1064">
        <v>92.5</v>
      </c>
      <c r="D1064">
        <v>1</v>
      </c>
      <c r="E1064">
        <v>0</v>
      </c>
      <c r="F1064">
        <v>1</v>
      </c>
      <c r="G1064">
        <v>0</v>
      </c>
      <c r="H1064">
        <v>250</v>
      </c>
      <c r="I1064">
        <f t="shared" si="163"/>
        <v>1062</v>
      </c>
      <c r="J1064" s="6">
        <f t="array" aca="1" ref="J1064:N1064" ca="1">TRANSPOSE(ols(OFFSET($C$2:$C$10,I1064,0),OFFSET($D$2:$H$10,I1064,0)))</f>
        <v>161.2202380952358</v>
      </c>
      <c r="K1064" s="6">
        <f ca="1"/>
        <v>1.6071428571433444</v>
      </c>
      <c r="L1064" s="6">
        <f ca="1"/>
        <v>-6.9047619047614717</v>
      </c>
      <c r="M1064" s="6">
        <f ca="1"/>
        <v>9.7023809523811906</v>
      </c>
      <c r="N1064" s="6">
        <f ca="1"/>
        <v>-0.23511904761904745</v>
      </c>
      <c r="O1064" s="6">
        <f t="shared" ca="1" si="155"/>
        <v>95.535714285712459</v>
      </c>
      <c r="P1064" t="str">
        <f t="shared" si="156"/>
        <v>NA</v>
      </c>
      <c r="Q1064" s="10">
        <f t="shared" ca="1" si="157"/>
        <v>81.726190476188918</v>
      </c>
      <c r="R1064" s="10">
        <f t="shared" ca="1" si="158"/>
        <v>154.31547619047433</v>
      </c>
      <c r="S1064" s="10">
        <f t="shared" ca="1" si="159"/>
        <v>-72.58928571428541</v>
      </c>
      <c r="T1064" s="10">
        <f t="shared" ca="1" si="160"/>
        <v>308.73417721518882</v>
      </c>
      <c r="U1064" s="10">
        <f t="shared" ca="1" si="161"/>
        <v>308.73417721518882</v>
      </c>
      <c r="V1064">
        <f t="shared" si="162"/>
        <v>3</v>
      </c>
    </row>
    <row r="1065" spans="1:22" x14ac:dyDescent="0.25">
      <c r="A1065">
        <v>119</v>
      </c>
      <c r="B1065">
        <v>2</v>
      </c>
      <c r="C1065">
        <v>77.5</v>
      </c>
      <c r="D1065">
        <v>1</v>
      </c>
      <c r="E1065">
        <v>1</v>
      </c>
      <c r="F1065">
        <v>0</v>
      </c>
      <c r="G1065">
        <v>0</v>
      </c>
      <c r="H1065">
        <v>350</v>
      </c>
      <c r="I1065">
        <f t="shared" si="163"/>
        <v>1062</v>
      </c>
      <c r="J1065" s="6">
        <f t="array" aca="1" ref="J1065:N1065" ca="1">TRANSPOSE(ols(OFFSET($C$2:$C$10,I1065,0),OFFSET($D$2:$H$10,I1065,0)))</f>
        <v>161.2202380952358</v>
      </c>
      <c r="K1065" s="6">
        <f ca="1"/>
        <v>1.6071428571433444</v>
      </c>
      <c r="L1065" s="6">
        <f ca="1"/>
        <v>-6.9047619047614717</v>
      </c>
      <c r="M1065" s="6">
        <f ca="1"/>
        <v>9.7023809523811906</v>
      </c>
      <c r="N1065" s="6">
        <f ca="1"/>
        <v>-0.23511904761904745</v>
      </c>
      <c r="O1065" s="6">
        <f t="shared" ca="1" si="155"/>
        <v>80.535714285712544</v>
      </c>
      <c r="P1065" t="str">
        <f t="shared" si="156"/>
        <v>NA</v>
      </c>
      <c r="Q1065" s="10">
        <f t="shared" ca="1" si="157"/>
        <v>81.726190476188918</v>
      </c>
      <c r="R1065" s="10">
        <f t="shared" ca="1" si="158"/>
        <v>162.82738095237914</v>
      </c>
      <c r="S1065" s="10">
        <f t="shared" ca="1" si="159"/>
        <v>-81.101190476190226</v>
      </c>
      <c r="T1065" s="10">
        <f t="shared" ca="1" si="160"/>
        <v>344.9367088607587</v>
      </c>
      <c r="U1065" s="10">
        <f t="shared" ca="1" si="161"/>
        <v>344.9367088607587</v>
      </c>
      <c r="V1065">
        <f t="shared" si="162"/>
        <v>2</v>
      </c>
    </row>
    <row r="1066" spans="1:22" x14ac:dyDescent="0.25">
      <c r="A1066">
        <v>119</v>
      </c>
      <c r="B1066">
        <v>3</v>
      </c>
      <c r="C1066">
        <v>60</v>
      </c>
      <c r="D1066">
        <v>1</v>
      </c>
      <c r="E1066">
        <v>1</v>
      </c>
      <c r="F1066">
        <v>0</v>
      </c>
      <c r="G1066">
        <v>0</v>
      </c>
      <c r="H1066">
        <v>450</v>
      </c>
      <c r="I1066">
        <f t="shared" si="163"/>
        <v>1062</v>
      </c>
      <c r="J1066" s="6">
        <f t="array" aca="1" ref="J1066:N1066" ca="1">TRANSPOSE(ols(OFFSET($C$2:$C$10,I1066,0),OFFSET($D$2:$H$10,I1066,0)))</f>
        <v>161.2202380952358</v>
      </c>
      <c r="K1066" s="6">
        <f ca="1"/>
        <v>1.6071428571433444</v>
      </c>
      <c r="L1066" s="6">
        <f ca="1"/>
        <v>-6.9047619047614717</v>
      </c>
      <c r="M1066" s="6">
        <f ca="1"/>
        <v>9.7023809523811906</v>
      </c>
      <c r="N1066" s="6">
        <f ca="1"/>
        <v>-0.23511904761904745</v>
      </c>
      <c r="O1066" s="6">
        <f t="shared" ca="1" si="155"/>
        <v>57.023809523807785</v>
      </c>
      <c r="P1066" t="str">
        <f t="shared" si="156"/>
        <v>NA</v>
      </c>
      <c r="Q1066" s="10">
        <f t="shared" ca="1" si="157"/>
        <v>81.726190476188918</v>
      </c>
      <c r="R1066" s="10">
        <f t="shared" ca="1" si="158"/>
        <v>162.82738095237914</v>
      </c>
      <c r="S1066" s="10">
        <f t="shared" ca="1" si="159"/>
        <v>-81.101190476190226</v>
      </c>
      <c r="T1066" s="10">
        <f t="shared" ca="1" si="160"/>
        <v>344.9367088607587</v>
      </c>
      <c r="U1066" s="10">
        <f t="shared" ca="1" si="161"/>
        <v>344.9367088607587</v>
      </c>
      <c r="V1066">
        <f t="shared" si="162"/>
        <v>2</v>
      </c>
    </row>
    <row r="1067" spans="1:22" x14ac:dyDescent="0.25">
      <c r="A1067">
        <v>119</v>
      </c>
      <c r="B1067">
        <v>4</v>
      </c>
      <c r="C1067">
        <v>35</v>
      </c>
      <c r="D1067">
        <v>1</v>
      </c>
      <c r="E1067">
        <v>0</v>
      </c>
      <c r="F1067">
        <v>0</v>
      </c>
      <c r="G1067">
        <v>0</v>
      </c>
      <c r="H1067">
        <v>550</v>
      </c>
      <c r="I1067">
        <f t="shared" si="163"/>
        <v>1062</v>
      </c>
      <c r="J1067" s="6">
        <f t="array" aca="1" ref="J1067:N1067" ca="1">TRANSPOSE(ols(OFFSET($C$2:$C$10,I1067,0),OFFSET($D$2:$H$10,I1067,0)))</f>
        <v>161.2202380952358</v>
      </c>
      <c r="K1067" s="6">
        <f ca="1"/>
        <v>1.6071428571433444</v>
      </c>
      <c r="L1067" s="6">
        <f ca="1"/>
        <v>-6.9047619047614717</v>
      </c>
      <c r="M1067" s="6">
        <f ca="1"/>
        <v>9.7023809523811906</v>
      </c>
      <c r="N1067" s="6">
        <f ca="1"/>
        <v>-0.23511904761904745</v>
      </c>
      <c r="O1067" s="6">
        <f t="shared" ca="1" si="155"/>
        <v>31.90476190475971</v>
      </c>
      <c r="P1067" t="str">
        <f t="shared" si="156"/>
        <v>NA</v>
      </c>
      <c r="Q1067" s="10">
        <f t="shared" ca="1" si="157"/>
        <v>81.726190476188918</v>
      </c>
      <c r="R1067" s="10">
        <f t="shared" ca="1" si="158"/>
        <v>161.2202380952358</v>
      </c>
      <c r="S1067" s="10">
        <f t="shared" ca="1" si="159"/>
        <v>-79.494047619046881</v>
      </c>
      <c r="T1067" s="10">
        <f t="shared" ca="1" si="160"/>
        <v>338.1012658227819</v>
      </c>
      <c r="U1067" s="10">
        <f t="shared" ca="1" si="161"/>
        <v>338.1012658227819</v>
      </c>
      <c r="V1067">
        <f t="shared" si="162"/>
        <v>1</v>
      </c>
    </row>
    <row r="1068" spans="1:22" x14ac:dyDescent="0.25">
      <c r="A1068">
        <v>119</v>
      </c>
      <c r="B1068">
        <v>5</v>
      </c>
      <c r="C1068">
        <v>100</v>
      </c>
      <c r="D1068">
        <v>1</v>
      </c>
      <c r="E1068">
        <v>0</v>
      </c>
      <c r="F1068">
        <v>1</v>
      </c>
      <c r="G1068">
        <v>1</v>
      </c>
      <c r="H1068">
        <v>250</v>
      </c>
      <c r="I1068">
        <f t="shared" si="163"/>
        <v>1062</v>
      </c>
      <c r="J1068" s="6">
        <f t="array" aca="1" ref="J1068:N1068" ca="1">TRANSPOSE(ols(OFFSET($C$2:$C$10,I1068,0),OFFSET($D$2:$H$10,I1068,0)))</f>
        <v>161.2202380952358</v>
      </c>
      <c r="K1068" s="6">
        <f ca="1"/>
        <v>1.6071428571433444</v>
      </c>
      <c r="L1068" s="6">
        <f ca="1"/>
        <v>-6.9047619047614717</v>
      </c>
      <c r="M1068" s="6">
        <f ca="1"/>
        <v>9.7023809523811906</v>
      </c>
      <c r="N1068" s="6">
        <f ca="1"/>
        <v>-0.23511904761904745</v>
      </c>
      <c r="O1068" s="6">
        <f t="shared" ca="1" si="155"/>
        <v>105.23809523809365</v>
      </c>
      <c r="P1068" t="str">
        <f t="shared" si="156"/>
        <v>NA</v>
      </c>
      <c r="Q1068" s="10">
        <f t="shared" ca="1" si="157"/>
        <v>81.726190476188918</v>
      </c>
      <c r="R1068" s="10">
        <f t="shared" ca="1" si="158"/>
        <v>164.01785714285552</v>
      </c>
      <c r="S1068" s="10">
        <f t="shared" ca="1" si="159"/>
        <v>-82.2916666666666</v>
      </c>
      <c r="T1068" s="10">
        <f t="shared" ca="1" si="160"/>
        <v>349.99999999999994</v>
      </c>
      <c r="U1068" s="10">
        <f t="shared" ca="1" si="161"/>
        <v>349.99999999999994</v>
      </c>
      <c r="V1068">
        <f t="shared" si="162"/>
        <v>6</v>
      </c>
    </row>
    <row r="1069" spans="1:22" x14ac:dyDescent="0.25">
      <c r="A1069">
        <v>119</v>
      </c>
      <c r="B1069">
        <v>6</v>
      </c>
      <c r="C1069">
        <v>90</v>
      </c>
      <c r="D1069">
        <v>1</v>
      </c>
      <c r="E1069">
        <v>0</v>
      </c>
      <c r="F1069">
        <v>1</v>
      </c>
      <c r="G1069">
        <v>1</v>
      </c>
      <c r="H1069">
        <v>350</v>
      </c>
      <c r="I1069">
        <f t="shared" si="163"/>
        <v>1062</v>
      </c>
      <c r="J1069" s="6">
        <f t="array" aca="1" ref="J1069:N1069" ca="1">TRANSPOSE(ols(OFFSET($C$2:$C$10,I1069,0),OFFSET($D$2:$H$10,I1069,0)))</f>
        <v>161.2202380952358</v>
      </c>
      <c r="K1069" s="6">
        <f ca="1"/>
        <v>1.6071428571433444</v>
      </c>
      <c r="L1069" s="6">
        <f ca="1"/>
        <v>-6.9047619047614717</v>
      </c>
      <c r="M1069" s="6">
        <f ca="1"/>
        <v>9.7023809523811906</v>
      </c>
      <c r="N1069" s="6">
        <f ca="1"/>
        <v>-0.23511904761904745</v>
      </c>
      <c r="O1069" s="6">
        <f t="shared" ca="1" si="155"/>
        <v>81.726190476188918</v>
      </c>
      <c r="P1069">
        <f t="shared" ca="1" si="156"/>
        <v>81.726190476188918</v>
      </c>
      <c r="Q1069" s="10">
        <f t="shared" ca="1" si="157"/>
        <v>81.726190476188918</v>
      </c>
      <c r="R1069" s="10">
        <f t="shared" ca="1" si="158"/>
        <v>164.01785714285552</v>
      </c>
      <c r="S1069" s="10">
        <f t="shared" ca="1" si="159"/>
        <v>-82.2916666666666</v>
      </c>
      <c r="T1069" s="10">
        <f t="shared" ca="1" si="160"/>
        <v>349.99999999999994</v>
      </c>
      <c r="U1069" s="10">
        <f t="shared" ca="1" si="161"/>
        <v>349.99999999999994</v>
      </c>
      <c r="V1069">
        <f t="shared" si="162"/>
        <v>6</v>
      </c>
    </row>
    <row r="1070" spans="1:22" x14ac:dyDescent="0.25">
      <c r="A1070">
        <v>119</v>
      </c>
      <c r="B1070">
        <v>7</v>
      </c>
      <c r="C1070">
        <v>75</v>
      </c>
      <c r="D1070">
        <v>1</v>
      </c>
      <c r="E1070">
        <v>1</v>
      </c>
      <c r="F1070">
        <v>0</v>
      </c>
      <c r="G1070">
        <v>1</v>
      </c>
      <c r="H1070">
        <v>450</v>
      </c>
      <c r="I1070">
        <f t="shared" si="163"/>
        <v>1062</v>
      </c>
      <c r="J1070" s="6">
        <f t="array" aca="1" ref="J1070:N1070" ca="1">TRANSPOSE(ols(OFFSET($C$2:$C$10,I1070,0),OFFSET($D$2:$H$10,I1070,0)))</f>
        <v>161.2202380952358</v>
      </c>
      <c r="K1070" s="6">
        <f ca="1"/>
        <v>1.6071428571433444</v>
      </c>
      <c r="L1070" s="6">
        <f ca="1"/>
        <v>-6.9047619047614717</v>
      </c>
      <c r="M1070" s="6">
        <f ca="1"/>
        <v>9.7023809523811906</v>
      </c>
      <c r="N1070" s="6">
        <f ca="1"/>
        <v>-0.23511904761904745</v>
      </c>
      <c r="O1070" s="6">
        <f t="shared" ca="1" si="155"/>
        <v>66.726190476188975</v>
      </c>
      <c r="P1070" t="str">
        <f t="shared" si="156"/>
        <v>NA</v>
      </c>
      <c r="Q1070" s="10">
        <f t="shared" ca="1" si="157"/>
        <v>81.726190476188918</v>
      </c>
      <c r="R1070" s="10">
        <f t="shared" ca="1" si="158"/>
        <v>172.52976190476033</v>
      </c>
      <c r="S1070" s="10">
        <f t="shared" ca="1" si="159"/>
        <v>-90.803571428571416</v>
      </c>
      <c r="T1070" s="10">
        <f t="shared" ca="1" si="160"/>
        <v>386.20253164556982</v>
      </c>
      <c r="U1070" s="10">
        <f t="shared" ca="1" si="161"/>
        <v>386.20253164556982</v>
      </c>
      <c r="V1070">
        <f t="shared" si="162"/>
        <v>5</v>
      </c>
    </row>
    <row r="1071" spans="1:22" x14ac:dyDescent="0.25">
      <c r="A1071">
        <v>119</v>
      </c>
      <c r="B1071">
        <v>8</v>
      </c>
      <c r="C1071">
        <v>35</v>
      </c>
      <c r="D1071">
        <v>1</v>
      </c>
      <c r="E1071">
        <v>1</v>
      </c>
      <c r="F1071">
        <v>0</v>
      </c>
      <c r="G1071">
        <v>1</v>
      </c>
      <c r="H1071">
        <v>550</v>
      </c>
      <c r="I1071">
        <f t="shared" si="163"/>
        <v>1062</v>
      </c>
      <c r="J1071" s="6">
        <f t="array" aca="1" ref="J1071:N1071" ca="1">TRANSPOSE(ols(OFFSET($C$2:$C$10,I1071,0),OFFSET($D$2:$H$10,I1071,0)))</f>
        <v>161.2202380952358</v>
      </c>
      <c r="K1071" s="6">
        <f ca="1"/>
        <v>1.6071428571433444</v>
      </c>
      <c r="L1071" s="6">
        <f ca="1"/>
        <v>-6.9047619047614717</v>
      </c>
      <c r="M1071" s="6">
        <f ca="1"/>
        <v>9.7023809523811906</v>
      </c>
      <c r="N1071" s="6">
        <f ca="1"/>
        <v>-0.23511904761904745</v>
      </c>
      <c r="O1071" s="6">
        <f t="shared" ca="1" si="155"/>
        <v>43.214285714284244</v>
      </c>
      <c r="P1071" t="str">
        <f t="shared" si="156"/>
        <v>NA</v>
      </c>
      <c r="Q1071" s="10">
        <f t="shared" ca="1" si="157"/>
        <v>81.726190476188918</v>
      </c>
      <c r="R1071" s="10">
        <f t="shared" ca="1" si="158"/>
        <v>172.52976190476033</v>
      </c>
      <c r="S1071" s="10">
        <f t="shared" ca="1" si="159"/>
        <v>-90.803571428571416</v>
      </c>
      <c r="T1071" s="10">
        <f t="shared" ca="1" si="160"/>
        <v>386.20253164556982</v>
      </c>
      <c r="U1071" s="10">
        <f t="shared" ca="1" si="161"/>
        <v>386.20253164556982</v>
      </c>
      <c r="V1071">
        <f t="shared" si="162"/>
        <v>5</v>
      </c>
    </row>
    <row r="1072" spans="1:22" x14ac:dyDescent="0.25">
      <c r="A1072">
        <v>119</v>
      </c>
      <c r="B1072">
        <v>9</v>
      </c>
      <c r="C1072">
        <v>15</v>
      </c>
      <c r="D1072">
        <v>1</v>
      </c>
      <c r="E1072">
        <v>0</v>
      </c>
      <c r="F1072">
        <v>0</v>
      </c>
      <c r="G1072">
        <v>1</v>
      </c>
      <c r="H1072">
        <v>650</v>
      </c>
      <c r="I1072">
        <f t="shared" si="163"/>
        <v>1062</v>
      </c>
      <c r="J1072" s="6">
        <f t="array" aca="1" ref="J1072:N1072" ca="1">TRANSPOSE(ols(OFFSET($C$2:$C$10,I1072,0),OFFSET($D$2:$H$10,I1072,0)))</f>
        <v>161.2202380952358</v>
      </c>
      <c r="K1072" s="6">
        <f ca="1"/>
        <v>1.6071428571433444</v>
      </c>
      <c r="L1072" s="6">
        <f ca="1"/>
        <v>-6.9047619047614717</v>
      </c>
      <c r="M1072" s="6">
        <f ca="1"/>
        <v>9.7023809523811906</v>
      </c>
      <c r="N1072" s="6">
        <f ca="1"/>
        <v>-0.23511904761904745</v>
      </c>
      <c r="O1072" s="6">
        <f t="shared" ca="1" si="155"/>
        <v>18.095238095236141</v>
      </c>
      <c r="P1072" t="str">
        <f t="shared" si="156"/>
        <v>NA</v>
      </c>
      <c r="Q1072" s="10">
        <f t="shared" ca="1" si="157"/>
        <v>81.726190476188918</v>
      </c>
      <c r="R1072" s="10">
        <f t="shared" ca="1" si="158"/>
        <v>170.92261904761699</v>
      </c>
      <c r="S1072" s="10">
        <f t="shared" ca="1" si="159"/>
        <v>-89.196428571428072</v>
      </c>
      <c r="T1072" s="10">
        <f t="shared" ca="1" si="160"/>
        <v>379.36708860759308</v>
      </c>
      <c r="U1072" s="10">
        <f t="shared" ca="1" si="161"/>
        <v>379.36708860759308</v>
      </c>
      <c r="V1072">
        <f t="shared" si="162"/>
        <v>4</v>
      </c>
    </row>
    <row r="1073" spans="1:22" x14ac:dyDescent="0.25">
      <c r="A1073">
        <v>120</v>
      </c>
      <c r="B1073">
        <v>1</v>
      </c>
      <c r="C1073">
        <v>17.5</v>
      </c>
      <c r="D1073">
        <v>1</v>
      </c>
      <c r="E1073">
        <v>0</v>
      </c>
      <c r="F1073">
        <v>1</v>
      </c>
      <c r="G1073">
        <v>0</v>
      </c>
      <c r="H1073">
        <v>250</v>
      </c>
      <c r="I1073">
        <f t="shared" si="163"/>
        <v>1071</v>
      </c>
      <c r="J1073" s="6">
        <f t="array" aca="1" ref="J1073:N1073" ca="1">TRANSPOSE(ols(OFFSET($C$2:$C$10,I1073,0),OFFSET($D$2:$H$10,I1073,0)))</f>
        <v>137.58928571428532</v>
      </c>
      <c r="K1073" s="6">
        <f ca="1"/>
        <v>-18.571428571428214</v>
      </c>
      <c r="L1073" s="6">
        <f ca="1"/>
        <v>-76.785714285713766</v>
      </c>
      <c r="M1073" s="6">
        <f ca="1"/>
        <v>13.392857142857338</v>
      </c>
      <c r="N1073" s="6">
        <f ca="1"/>
        <v>-0.16964285714285765</v>
      </c>
      <c r="O1073" s="6">
        <f t="shared" ca="1" si="155"/>
        <v>18.392857142857146</v>
      </c>
      <c r="P1073" t="str">
        <f t="shared" si="156"/>
        <v>NA</v>
      </c>
      <c r="Q1073" s="10">
        <f t="shared" ca="1" si="157"/>
        <v>14.821428571428719</v>
      </c>
      <c r="R1073" s="10">
        <f t="shared" ca="1" si="158"/>
        <v>60.803571428571558</v>
      </c>
      <c r="S1073" s="10">
        <f t="shared" ca="1" si="159"/>
        <v>-45.98214285714284</v>
      </c>
      <c r="T1073" s="10">
        <f t="shared" ca="1" si="160"/>
        <v>271.05263157894643</v>
      </c>
      <c r="U1073" s="10">
        <f t="shared" ca="1" si="161"/>
        <v>271.05263157894643</v>
      </c>
      <c r="V1073">
        <f t="shared" si="162"/>
        <v>3</v>
      </c>
    </row>
    <row r="1074" spans="1:22" x14ac:dyDescent="0.25">
      <c r="A1074">
        <v>120</v>
      </c>
      <c r="B1074">
        <v>2</v>
      </c>
      <c r="C1074">
        <v>60</v>
      </c>
      <c r="D1074">
        <v>1</v>
      </c>
      <c r="E1074">
        <v>1</v>
      </c>
      <c r="F1074">
        <v>0</v>
      </c>
      <c r="G1074">
        <v>0</v>
      </c>
      <c r="H1074">
        <v>350</v>
      </c>
      <c r="I1074">
        <f t="shared" si="163"/>
        <v>1071</v>
      </c>
      <c r="J1074" s="6">
        <f t="array" aca="1" ref="J1074:N1074" ca="1">TRANSPOSE(ols(OFFSET($C$2:$C$10,I1074,0),OFFSET($D$2:$H$10,I1074,0)))</f>
        <v>137.58928571428532</v>
      </c>
      <c r="K1074" s="6">
        <f ca="1"/>
        <v>-18.571428571428214</v>
      </c>
      <c r="L1074" s="6">
        <f ca="1"/>
        <v>-76.785714285713766</v>
      </c>
      <c r="M1074" s="6">
        <f ca="1"/>
        <v>13.392857142857338</v>
      </c>
      <c r="N1074" s="6">
        <f ca="1"/>
        <v>-0.16964285714285765</v>
      </c>
      <c r="O1074" s="6">
        <f t="shared" ca="1" si="155"/>
        <v>59.642857142856933</v>
      </c>
      <c r="P1074" t="str">
        <f t="shared" si="156"/>
        <v>NA</v>
      </c>
      <c r="Q1074" s="10">
        <f t="shared" ca="1" si="157"/>
        <v>14.821428571428719</v>
      </c>
      <c r="R1074" s="10">
        <f t="shared" ca="1" si="158"/>
        <v>119.01785714285711</v>
      </c>
      <c r="S1074" s="10">
        <f t="shared" ca="1" si="159"/>
        <v>-104.19642857142838</v>
      </c>
      <c r="T1074" s="10">
        <f t="shared" ca="1" si="160"/>
        <v>614.21052631578652</v>
      </c>
      <c r="U1074" s="10">
        <f t="shared" ca="1" si="161"/>
        <v>614.21052631578652</v>
      </c>
      <c r="V1074">
        <f t="shared" si="162"/>
        <v>2</v>
      </c>
    </row>
    <row r="1075" spans="1:22" x14ac:dyDescent="0.25">
      <c r="A1075">
        <v>120</v>
      </c>
      <c r="B1075">
        <v>3</v>
      </c>
      <c r="C1075">
        <v>37.5</v>
      </c>
      <c r="D1075">
        <v>1</v>
      </c>
      <c r="E1075">
        <v>1</v>
      </c>
      <c r="F1075">
        <v>0</v>
      </c>
      <c r="G1075">
        <v>0</v>
      </c>
      <c r="H1075">
        <v>450</v>
      </c>
      <c r="I1075">
        <f t="shared" si="163"/>
        <v>1071</v>
      </c>
      <c r="J1075" s="6">
        <f t="array" aca="1" ref="J1075:N1075" ca="1">TRANSPOSE(ols(OFFSET($C$2:$C$10,I1075,0),OFFSET($D$2:$H$10,I1075,0)))</f>
        <v>137.58928571428532</v>
      </c>
      <c r="K1075" s="6">
        <f ca="1"/>
        <v>-18.571428571428214</v>
      </c>
      <c r="L1075" s="6">
        <f ca="1"/>
        <v>-76.785714285713766</v>
      </c>
      <c r="M1075" s="6">
        <f ca="1"/>
        <v>13.392857142857338</v>
      </c>
      <c r="N1075" s="6">
        <f ca="1"/>
        <v>-0.16964285714285765</v>
      </c>
      <c r="O1075" s="6">
        <f t="shared" ca="1" si="155"/>
        <v>42.678571428571161</v>
      </c>
      <c r="P1075" t="str">
        <f t="shared" si="156"/>
        <v>NA</v>
      </c>
      <c r="Q1075" s="10">
        <f t="shared" ca="1" si="157"/>
        <v>14.821428571428719</v>
      </c>
      <c r="R1075" s="10">
        <f t="shared" ca="1" si="158"/>
        <v>119.01785714285711</v>
      </c>
      <c r="S1075" s="10">
        <f t="shared" ca="1" si="159"/>
        <v>-104.19642857142838</v>
      </c>
      <c r="T1075" s="10">
        <f t="shared" ca="1" si="160"/>
        <v>614.21052631578652</v>
      </c>
      <c r="U1075" s="10">
        <f t="shared" ca="1" si="161"/>
        <v>614.21052631578652</v>
      </c>
      <c r="V1075">
        <f t="shared" si="162"/>
        <v>2</v>
      </c>
    </row>
    <row r="1076" spans="1:22" x14ac:dyDescent="0.25">
      <c r="A1076">
        <v>120</v>
      </c>
      <c r="B1076">
        <v>4</v>
      </c>
      <c r="C1076">
        <v>50</v>
      </c>
      <c r="D1076">
        <v>1</v>
      </c>
      <c r="E1076">
        <v>0</v>
      </c>
      <c r="F1076">
        <v>0</v>
      </c>
      <c r="G1076">
        <v>0</v>
      </c>
      <c r="H1076">
        <v>550</v>
      </c>
      <c r="I1076">
        <f t="shared" si="163"/>
        <v>1071</v>
      </c>
      <c r="J1076" s="6">
        <f t="array" aca="1" ref="J1076:N1076" ca="1">TRANSPOSE(ols(OFFSET($C$2:$C$10,I1076,0),OFFSET($D$2:$H$10,I1076,0)))</f>
        <v>137.58928571428532</v>
      </c>
      <c r="K1076" s="6">
        <f ca="1"/>
        <v>-18.571428571428214</v>
      </c>
      <c r="L1076" s="6">
        <f ca="1"/>
        <v>-76.785714285713766</v>
      </c>
      <c r="M1076" s="6">
        <f ca="1"/>
        <v>13.392857142857338</v>
      </c>
      <c r="N1076" s="6">
        <f ca="1"/>
        <v>-0.16964285714285765</v>
      </c>
      <c r="O1076" s="6">
        <f t="shared" ca="1" si="155"/>
        <v>44.285714285713624</v>
      </c>
      <c r="P1076" t="str">
        <f t="shared" si="156"/>
        <v>NA</v>
      </c>
      <c r="Q1076" s="10">
        <f t="shared" ca="1" si="157"/>
        <v>14.821428571428719</v>
      </c>
      <c r="R1076" s="10">
        <f t="shared" ca="1" si="158"/>
        <v>137.58928571428532</v>
      </c>
      <c r="S1076" s="10">
        <f t="shared" ca="1" si="159"/>
        <v>-122.7678571428566</v>
      </c>
      <c r="T1076" s="10">
        <f t="shared" ca="1" si="160"/>
        <v>723.68421052631038</v>
      </c>
      <c r="U1076" s="10" t="str">
        <f t="shared" ca="1" si="161"/>
        <v>OR</v>
      </c>
      <c r="V1076">
        <f t="shared" si="162"/>
        <v>1</v>
      </c>
    </row>
    <row r="1077" spans="1:22" x14ac:dyDescent="0.25">
      <c r="A1077">
        <v>120</v>
      </c>
      <c r="B1077">
        <v>5</v>
      </c>
      <c r="C1077">
        <v>27.5</v>
      </c>
      <c r="D1077">
        <v>1</v>
      </c>
      <c r="E1077">
        <v>0</v>
      </c>
      <c r="F1077">
        <v>1</v>
      </c>
      <c r="G1077">
        <v>1</v>
      </c>
      <c r="H1077">
        <v>250</v>
      </c>
      <c r="I1077">
        <f t="shared" si="163"/>
        <v>1071</v>
      </c>
      <c r="J1077" s="6">
        <f t="array" aca="1" ref="J1077:N1077" ca="1">TRANSPOSE(ols(OFFSET($C$2:$C$10,I1077,0),OFFSET($D$2:$H$10,I1077,0)))</f>
        <v>137.58928571428532</v>
      </c>
      <c r="K1077" s="6">
        <f ca="1"/>
        <v>-18.571428571428214</v>
      </c>
      <c r="L1077" s="6">
        <f ca="1"/>
        <v>-76.785714285713766</v>
      </c>
      <c r="M1077" s="6">
        <f ca="1"/>
        <v>13.392857142857338</v>
      </c>
      <c r="N1077" s="6">
        <f ca="1"/>
        <v>-0.16964285714285765</v>
      </c>
      <c r="O1077" s="6">
        <f t="shared" ca="1" si="155"/>
        <v>31.785714285714484</v>
      </c>
      <c r="P1077" t="str">
        <f t="shared" si="156"/>
        <v>NA</v>
      </c>
      <c r="Q1077" s="10">
        <f t="shared" ca="1" si="157"/>
        <v>14.821428571428719</v>
      </c>
      <c r="R1077" s="10">
        <f t="shared" ca="1" si="158"/>
        <v>74.196428571428896</v>
      </c>
      <c r="S1077" s="10">
        <f t="shared" ca="1" si="159"/>
        <v>-59.375000000000178</v>
      </c>
      <c r="T1077" s="10">
        <f t="shared" ca="1" si="160"/>
        <v>350</v>
      </c>
      <c r="U1077" s="10">
        <f t="shared" ca="1" si="161"/>
        <v>350</v>
      </c>
      <c r="V1077">
        <f t="shared" si="162"/>
        <v>6</v>
      </c>
    </row>
    <row r="1078" spans="1:22" x14ac:dyDescent="0.25">
      <c r="A1078">
        <v>120</v>
      </c>
      <c r="B1078">
        <v>6</v>
      </c>
      <c r="C1078">
        <v>20</v>
      </c>
      <c r="D1078">
        <v>1</v>
      </c>
      <c r="E1078">
        <v>0</v>
      </c>
      <c r="F1078">
        <v>1</v>
      </c>
      <c r="G1078">
        <v>1</v>
      </c>
      <c r="H1078">
        <v>350</v>
      </c>
      <c r="I1078">
        <f t="shared" si="163"/>
        <v>1071</v>
      </c>
      <c r="J1078" s="6">
        <f t="array" aca="1" ref="J1078:N1078" ca="1">TRANSPOSE(ols(OFFSET($C$2:$C$10,I1078,0),OFFSET($D$2:$H$10,I1078,0)))</f>
        <v>137.58928571428532</v>
      </c>
      <c r="K1078" s="6">
        <f ca="1"/>
        <v>-18.571428571428214</v>
      </c>
      <c r="L1078" s="6">
        <f ca="1"/>
        <v>-76.785714285713766</v>
      </c>
      <c r="M1078" s="6">
        <f ca="1"/>
        <v>13.392857142857338</v>
      </c>
      <c r="N1078" s="6">
        <f ca="1"/>
        <v>-0.16964285714285765</v>
      </c>
      <c r="O1078" s="6">
        <f t="shared" ca="1" si="155"/>
        <v>14.821428571428719</v>
      </c>
      <c r="P1078">
        <f t="shared" ca="1" si="156"/>
        <v>14.821428571428719</v>
      </c>
      <c r="Q1078" s="10">
        <f t="shared" ca="1" si="157"/>
        <v>14.821428571428719</v>
      </c>
      <c r="R1078" s="10">
        <f t="shared" ca="1" si="158"/>
        <v>74.196428571428896</v>
      </c>
      <c r="S1078" s="10">
        <f t="shared" ca="1" si="159"/>
        <v>-59.375000000000178</v>
      </c>
      <c r="T1078" s="10">
        <f t="shared" ca="1" si="160"/>
        <v>350</v>
      </c>
      <c r="U1078" s="10">
        <f t="shared" ca="1" si="161"/>
        <v>350</v>
      </c>
      <c r="V1078">
        <f t="shared" si="162"/>
        <v>6</v>
      </c>
    </row>
    <row r="1079" spans="1:22" x14ac:dyDescent="0.25">
      <c r="A1079">
        <v>120</v>
      </c>
      <c r="B1079">
        <v>7</v>
      </c>
      <c r="C1079">
        <v>60</v>
      </c>
      <c r="D1079">
        <v>1</v>
      </c>
      <c r="E1079">
        <v>1</v>
      </c>
      <c r="F1079">
        <v>0</v>
      </c>
      <c r="G1079">
        <v>1</v>
      </c>
      <c r="H1079">
        <v>450</v>
      </c>
      <c r="I1079">
        <f t="shared" si="163"/>
        <v>1071</v>
      </c>
      <c r="J1079" s="6">
        <f t="array" aca="1" ref="J1079:N1079" ca="1">TRANSPOSE(ols(OFFSET($C$2:$C$10,I1079,0),OFFSET($D$2:$H$10,I1079,0)))</f>
        <v>137.58928571428532</v>
      </c>
      <c r="K1079" s="6">
        <f ca="1"/>
        <v>-18.571428571428214</v>
      </c>
      <c r="L1079" s="6">
        <f ca="1"/>
        <v>-76.785714285713766</v>
      </c>
      <c r="M1079" s="6">
        <f ca="1"/>
        <v>13.392857142857338</v>
      </c>
      <c r="N1079" s="6">
        <f ca="1"/>
        <v>-0.16964285714285765</v>
      </c>
      <c r="O1079" s="6">
        <f t="shared" ca="1" si="155"/>
        <v>56.071428571428498</v>
      </c>
      <c r="P1079" t="str">
        <f t="shared" si="156"/>
        <v>NA</v>
      </c>
      <c r="Q1079" s="10">
        <f t="shared" ca="1" si="157"/>
        <v>14.821428571428719</v>
      </c>
      <c r="R1079" s="10">
        <f t="shared" ca="1" si="158"/>
        <v>132.41071428571445</v>
      </c>
      <c r="S1079" s="10">
        <f t="shared" ca="1" si="159"/>
        <v>-117.58928571428572</v>
      </c>
      <c r="T1079" s="10">
        <f t="shared" ca="1" si="160"/>
        <v>693.15789473684003</v>
      </c>
      <c r="U1079" s="10" t="str">
        <f t="shared" ca="1" si="161"/>
        <v>OR</v>
      </c>
      <c r="V1079">
        <f t="shared" si="162"/>
        <v>5</v>
      </c>
    </row>
    <row r="1080" spans="1:22" x14ac:dyDescent="0.25">
      <c r="A1080">
        <v>120</v>
      </c>
      <c r="B1080">
        <v>8</v>
      </c>
      <c r="C1080">
        <v>40</v>
      </c>
      <c r="D1080">
        <v>1</v>
      </c>
      <c r="E1080">
        <v>1</v>
      </c>
      <c r="F1080">
        <v>0</v>
      </c>
      <c r="G1080">
        <v>1</v>
      </c>
      <c r="H1080">
        <v>550</v>
      </c>
      <c r="I1080">
        <f t="shared" si="163"/>
        <v>1071</v>
      </c>
      <c r="J1080" s="6">
        <f t="array" aca="1" ref="J1080:N1080" ca="1">TRANSPOSE(ols(OFFSET($C$2:$C$10,I1080,0),OFFSET($D$2:$H$10,I1080,0)))</f>
        <v>137.58928571428532</v>
      </c>
      <c r="K1080" s="6">
        <f ca="1"/>
        <v>-18.571428571428214</v>
      </c>
      <c r="L1080" s="6">
        <f ca="1"/>
        <v>-76.785714285713766</v>
      </c>
      <c r="M1080" s="6">
        <f ca="1"/>
        <v>13.392857142857338</v>
      </c>
      <c r="N1080" s="6">
        <f ca="1"/>
        <v>-0.16964285714285765</v>
      </c>
      <c r="O1080" s="6">
        <f t="shared" ca="1" si="155"/>
        <v>39.107142857142748</v>
      </c>
      <c r="P1080" t="str">
        <f t="shared" si="156"/>
        <v>NA</v>
      </c>
      <c r="Q1080" s="10">
        <f t="shared" ca="1" si="157"/>
        <v>14.821428571428719</v>
      </c>
      <c r="R1080" s="10">
        <f t="shared" ca="1" si="158"/>
        <v>132.41071428571445</v>
      </c>
      <c r="S1080" s="10">
        <f t="shared" ca="1" si="159"/>
        <v>-117.58928571428572</v>
      </c>
      <c r="T1080" s="10">
        <f t="shared" ca="1" si="160"/>
        <v>693.15789473684003</v>
      </c>
      <c r="U1080" s="10" t="str">
        <f t="shared" ca="1" si="161"/>
        <v>OR</v>
      </c>
      <c r="V1080">
        <f t="shared" si="162"/>
        <v>5</v>
      </c>
    </row>
    <row r="1081" spans="1:22" x14ac:dyDescent="0.25">
      <c r="A1081">
        <v>120</v>
      </c>
      <c r="B1081">
        <v>9</v>
      </c>
      <c r="C1081">
        <v>35</v>
      </c>
      <c r="D1081">
        <v>1</v>
      </c>
      <c r="E1081">
        <v>0</v>
      </c>
      <c r="F1081">
        <v>0</v>
      </c>
      <c r="G1081">
        <v>1</v>
      </c>
      <c r="H1081">
        <v>650</v>
      </c>
      <c r="I1081">
        <f t="shared" si="163"/>
        <v>1071</v>
      </c>
      <c r="J1081" s="6">
        <f t="array" aca="1" ref="J1081:N1081" ca="1">TRANSPOSE(ols(OFFSET($C$2:$C$10,I1081,0),OFFSET($D$2:$H$10,I1081,0)))</f>
        <v>137.58928571428532</v>
      </c>
      <c r="K1081" s="6">
        <f ca="1"/>
        <v>-18.571428571428214</v>
      </c>
      <c r="L1081" s="6">
        <f ca="1"/>
        <v>-76.785714285713766</v>
      </c>
      <c r="M1081" s="6">
        <f ca="1"/>
        <v>13.392857142857338</v>
      </c>
      <c r="N1081" s="6">
        <f ca="1"/>
        <v>-0.16964285714285765</v>
      </c>
      <c r="O1081" s="6">
        <f t="shared" ca="1" si="155"/>
        <v>40.714285714285182</v>
      </c>
      <c r="P1081" t="str">
        <f t="shared" si="156"/>
        <v>NA</v>
      </c>
      <c r="Q1081" s="10">
        <f t="shared" ca="1" si="157"/>
        <v>14.821428571428719</v>
      </c>
      <c r="R1081" s="10">
        <f t="shared" ca="1" si="158"/>
        <v>150.98214285714266</v>
      </c>
      <c r="S1081" s="10">
        <f t="shared" ca="1" si="159"/>
        <v>-136.16071428571394</v>
      </c>
      <c r="T1081" s="10">
        <f t="shared" ca="1" si="160"/>
        <v>802.63157894736401</v>
      </c>
      <c r="U1081" s="10" t="str">
        <f t="shared" ca="1" si="161"/>
        <v>OR</v>
      </c>
      <c r="V1081">
        <f t="shared" si="162"/>
        <v>4</v>
      </c>
    </row>
    <row r="1082" spans="1:22" x14ac:dyDescent="0.25">
      <c r="A1082">
        <v>121</v>
      </c>
      <c r="B1082">
        <v>1</v>
      </c>
      <c r="C1082">
        <v>100</v>
      </c>
      <c r="D1082">
        <v>1</v>
      </c>
      <c r="E1082">
        <v>0</v>
      </c>
      <c r="F1082">
        <v>1</v>
      </c>
      <c r="G1082">
        <v>0</v>
      </c>
      <c r="H1082">
        <v>250</v>
      </c>
      <c r="I1082">
        <f t="shared" si="163"/>
        <v>1080</v>
      </c>
      <c r="J1082" s="6">
        <f t="array" aca="1" ref="J1082:N1082" ca="1">TRANSPOSE(ols(OFFSET($C$2:$C$10,I1082,0),OFFSET($D$2:$H$10,I1082,0)))</f>
        <v>193.45238095237983</v>
      </c>
      <c r="K1082" s="6">
        <f ca="1"/>
        <v>-16.428571428570876</v>
      </c>
      <c r="L1082" s="6">
        <f ca="1"/>
        <v>-24.047619047618355</v>
      </c>
      <c r="M1082" s="6">
        <f ca="1"/>
        <v>29.523809523809518</v>
      </c>
      <c r="N1082" s="6">
        <f ca="1"/>
        <v>-0.32619047619047237</v>
      </c>
      <c r="O1082" s="6">
        <f t="shared" ca="1" si="155"/>
        <v>87.857142857143373</v>
      </c>
      <c r="P1082" t="str">
        <f t="shared" si="156"/>
        <v>NA</v>
      </c>
      <c r="Q1082" s="10">
        <f t="shared" ca="1" si="157"/>
        <v>84.761904761905669</v>
      </c>
      <c r="R1082" s="10">
        <f t="shared" ca="1" si="158"/>
        <v>169.40476190476147</v>
      </c>
      <c r="S1082" s="10">
        <f t="shared" ca="1" si="159"/>
        <v>-84.642857142855803</v>
      </c>
      <c r="T1082" s="10">
        <f t="shared" ca="1" si="160"/>
        <v>259.48905109488942</v>
      </c>
      <c r="U1082" s="10">
        <f t="shared" ca="1" si="161"/>
        <v>259.48905109488942</v>
      </c>
      <c r="V1082">
        <f t="shared" si="162"/>
        <v>3</v>
      </c>
    </row>
    <row r="1083" spans="1:22" x14ac:dyDescent="0.25">
      <c r="A1083">
        <v>121</v>
      </c>
      <c r="B1083">
        <v>2</v>
      </c>
      <c r="C1083">
        <v>70</v>
      </c>
      <c r="D1083">
        <v>1</v>
      </c>
      <c r="E1083">
        <v>1</v>
      </c>
      <c r="F1083">
        <v>0</v>
      </c>
      <c r="G1083">
        <v>0</v>
      </c>
      <c r="H1083">
        <v>350</v>
      </c>
      <c r="I1083">
        <f t="shared" si="163"/>
        <v>1080</v>
      </c>
      <c r="J1083" s="6">
        <f t="array" aca="1" ref="J1083:N1083" ca="1">TRANSPOSE(ols(OFFSET($C$2:$C$10,I1083,0),OFFSET($D$2:$H$10,I1083,0)))</f>
        <v>193.45238095237983</v>
      </c>
      <c r="K1083" s="6">
        <f ca="1"/>
        <v>-16.428571428570876</v>
      </c>
      <c r="L1083" s="6">
        <f ca="1"/>
        <v>-24.047619047618355</v>
      </c>
      <c r="M1083" s="6">
        <f ca="1"/>
        <v>29.523809523809518</v>
      </c>
      <c r="N1083" s="6">
        <f ca="1"/>
        <v>-0.32619047619047237</v>
      </c>
      <c r="O1083" s="6">
        <f t="shared" ca="1" si="155"/>
        <v>62.857142857143629</v>
      </c>
      <c r="P1083" t="str">
        <f t="shared" si="156"/>
        <v>NA</v>
      </c>
      <c r="Q1083" s="10">
        <f t="shared" ca="1" si="157"/>
        <v>84.761904761905669</v>
      </c>
      <c r="R1083" s="10">
        <f t="shared" ca="1" si="158"/>
        <v>177.02380952380895</v>
      </c>
      <c r="S1083" s="10">
        <f t="shared" ca="1" si="159"/>
        <v>-92.261904761903281</v>
      </c>
      <c r="T1083" s="10">
        <f t="shared" ca="1" si="160"/>
        <v>282.8467153284659</v>
      </c>
      <c r="U1083" s="10">
        <f t="shared" ca="1" si="161"/>
        <v>282.8467153284659</v>
      </c>
      <c r="V1083">
        <f t="shared" si="162"/>
        <v>2</v>
      </c>
    </row>
    <row r="1084" spans="1:22" x14ac:dyDescent="0.25">
      <c r="A1084">
        <v>121</v>
      </c>
      <c r="B1084">
        <v>3</v>
      </c>
      <c r="C1084">
        <v>25</v>
      </c>
      <c r="D1084">
        <v>1</v>
      </c>
      <c r="E1084">
        <v>1</v>
      </c>
      <c r="F1084">
        <v>0</v>
      </c>
      <c r="G1084">
        <v>0</v>
      </c>
      <c r="H1084">
        <v>450</v>
      </c>
      <c r="I1084">
        <f t="shared" si="163"/>
        <v>1080</v>
      </c>
      <c r="J1084" s="6">
        <f t="array" aca="1" ref="J1084:N1084" ca="1">TRANSPOSE(ols(OFFSET($C$2:$C$10,I1084,0),OFFSET($D$2:$H$10,I1084,0)))</f>
        <v>193.45238095237983</v>
      </c>
      <c r="K1084" s="6">
        <f ca="1"/>
        <v>-16.428571428570876</v>
      </c>
      <c r="L1084" s="6">
        <f ca="1"/>
        <v>-24.047619047618355</v>
      </c>
      <c r="M1084" s="6">
        <f ca="1"/>
        <v>29.523809523809518</v>
      </c>
      <c r="N1084" s="6">
        <f ca="1"/>
        <v>-0.32619047619047237</v>
      </c>
      <c r="O1084" s="6">
        <f t="shared" ca="1" si="155"/>
        <v>30.238095238096378</v>
      </c>
      <c r="P1084" t="str">
        <f t="shared" si="156"/>
        <v>NA</v>
      </c>
      <c r="Q1084" s="10">
        <f t="shared" ca="1" si="157"/>
        <v>84.761904761905669</v>
      </c>
      <c r="R1084" s="10">
        <f t="shared" ca="1" si="158"/>
        <v>177.02380952380895</v>
      </c>
      <c r="S1084" s="10">
        <f t="shared" ca="1" si="159"/>
        <v>-92.261904761903281</v>
      </c>
      <c r="T1084" s="10">
        <f t="shared" ca="1" si="160"/>
        <v>282.8467153284659</v>
      </c>
      <c r="U1084" s="10">
        <f t="shared" ca="1" si="161"/>
        <v>282.8467153284659</v>
      </c>
      <c r="V1084">
        <f t="shared" si="162"/>
        <v>2</v>
      </c>
    </row>
    <row r="1085" spans="1:22" x14ac:dyDescent="0.25">
      <c r="A1085">
        <v>121</v>
      </c>
      <c r="B1085">
        <v>4</v>
      </c>
      <c r="C1085">
        <v>0</v>
      </c>
      <c r="D1085">
        <v>1</v>
      </c>
      <c r="E1085">
        <v>0</v>
      </c>
      <c r="F1085">
        <v>0</v>
      </c>
      <c r="G1085">
        <v>0</v>
      </c>
      <c r="H1085">
        <v>550</v>
      </c>
      <c r="I1085">
        <f t="shared" si="163"/>
        <v>1080</v>
      </c>
      <c r="J1085" s="6">
        <f t="array" aca="1" ref="J1085:N1085" ca="1">TRANSPOSE(ols(OFFSET($C$2:$C$10,I1085,0),OFFSET($D$2:$H$10,I1085,0)))</f>
        <v>193.45238095237983</v>
      </c>
      <c r="K1085" s="6">
        <f ca="1"/>
        <v>-16.428571428570876</v>
      </c>
      <c r="L1085" s="6">
        <f ca="1"/>
        <v>-24.047619047618355</v>
      </c>
      <c r="M1085" s="6">
        <f ca="1"/>
        <v>29.523809523809518</v>
      </c>
      <c r="N1085" s="6">
        <f ca="1"/>
        <v>-0.32619047619047237</v>
      </c>
      <c r="O1085" s="6">
        <f t="shared" ca="1" si="155"/>
        <v>14.047619047620032</v>
      </c>
      <c r="P1085" t="str">
        <f t="shared" si="156"/>
        <v>NA</v>
      </c>
      <c r="Q1085" s="10">
        <f t="shared" ca="1" si="157"/>
        <v>84.761904761905669</v>
      </c>
      <c r="R1085" s="10">
        <f t="shared" ca="1" si="158"/>
        <v>193.45238095237983</v>
      </c>
      <c r="S1085" s="10">
        <f t="shared" ca="1" si="159"/>
        <v>-108.69047619047416</v>
      </c>
      <c r="T1085" s="10">
        <f t="shared" ca="1" si="160"/>
        <v>333.21167883211444</v>
      </c>
      <c r="U1085" s="10">
        <f t="shared" ca="1" si="161"/>
        <v>333.21167883211444</v>
      </c>
      <c r="V1085">
        <f t="shared" si="162"/>
        <v>1</v>
      </c>
    </row>
    <row r="1086" spans="1:22" x14ac:dyDescent="0.25">
      <c r="A1086">
        <v>121</v>
      </c>
      <c r="B1086">
        <v>5</v>
      </c>
      <c r="C1086">
        <v>100</v>
      </c>
      <c r="D1086">
        <v>1</v>
      </c>
      <c r="E1086">
        <v>0</v>
      </c>
      <c r="F1086">
        <v>1</v>
      </c>
      <c r="G1086">
        <v>1</v>
      </c>
      <c r="H1086">
        <v>250</v>
      </c>
      <c r="I1086">
        <f t="shared" si="163"/>
        <v>1080</v>
      </c>
      <c r="J1086" s="6">
        <f t="array" aca="1" ref="J1086:N1086" ca="1">TRANSPOSE(ols(OFFSET($C$2:$C$10,I1086,0),OFFSET($D$2:$H$10,I1086,0)))</f>
        <v>193.45238095237983</v>
      </c>
      <c r="K1086" s="6">
        <f ca="1"/>
        <v>-16.428571428570876</v>
      </c>
      <c r="L1086" s="6">
        <f ca="1"/>
        <v>-24.047619047618355</v>
      </c>
      <c r="M1086" s="6">
        <f ca="1"/>
        <v>29.523809523809518</v>
      </c>
      <c r="N1086" s="6">
        <f ca="1"/>
        <v>-0.32619047619047237</v>
      </c>
      <c r="O1086" s="6">
        <f t="shared" ca="1" si="155"/>
        <v>117.38095238095289</v>
      </c>
      <c r="P1086" t="str">
        <f t="shared" si="156"/>
        <v>NA</v>
      </c>
      <c r="Q1086" s="10">
        <f t="shared" ca="1" si="157"/>
        <v>84.761904761905669</v>
      </c>
      <c r="R1086" s="10">
        <f t="shared" ca="1" si="158"/>
        <v>198.92857142857099</v>
      </c>
      <c r="S1086" s="10">
        <f t="shared" ca="1" si="159"/>
        <v>-114.16666666666532</v>
      </c>
      <c r="T1086" s="10">
        <f t="shared" ca="1" si="160"/>
        <v>350</v>
      </c>
      <c r="U1086" s="10">
        <f t="shared" ca="1" si="161"/>
        <v>350</v>
      </c>
      <c r="V1086">
        <f t="shared" si="162"/>
        <v>6</v>
      </c>
    </row>
    <row r="1087" spans="1:22" x14ac:dyDescent="0.25">
      <c r="A1087">
        <v>121</v>
      </c>
      <c r="B1087">
        <v>6</v>
      </c>
      <c r="C1087">
        <v>90</v>
      </c>
      <c r="D1087">
        <v>1</v>
      </c>
      <c r="E1087">
        <v>0</v>
      </c>
      <c r="F1087">
        <v>1</v>
      </c>
      <c r="G1087">
        <v>1</v>
      </c>
      <c r="H1087">
        <v>350</v>
      </c>
      <c r="I1087">
        <f t="shared" si="163"/>
        <v>1080</v>
      </c>
      <c r="J1087" s="6">
        <f t="array" aca="1" ref="J1087:N1087" ca="1">TRANSPOSE(ols(OFFSET($C$2:$C$10,I1087,0),OFFSET($D$2:$H$10,I1087,0)))</f>
        <v>193.45238095237983</v>
      </c>
      <c r="K1087" s="6">
        <f ca="1"/>
        <v>-16.428571428570876</v>
      </c>
      <c r="L1087" s="6">
        <f ca="1"/>
        <v>-24.047619047618355</v>
      </c>
      <c r="M1087" s="6">
        <f ca="1"/>
        <v>29.523809523809518</v>
      </c>
      <c r="N1087" s="6">
        <f ca="1"/>
        <v>-0.32619047619047237</v>
      </c>
      <c r="O1087" s="6">
        <f t="shared" ca="1" si="155"/>
        <v>84.761904761905669</v>
      </c>
      <c r="P1087">
        <f t="shared" ca="1" si="156"/>
        <v>84.761904761905669</v>
      </c>
      <c r="Q1087" s="10">
        <f t="shared" ca="1" si="157"/>
        <v>84.761904761905669</v>
      </c>
      <c r="R1087" s="10">
        <f t="shared" ca="1" si="158"/>
        <v>198.92857142857099</v>
      </c>
      <c r="S1087" s="10">
        <f t="shared" ca="1" si="159"/>
        <v>-114.16666666666532</v>
      </c>
      <c r="T1087" s="10">
        <f t="shared" ca="1" si="160"/>
        <v>350</v>
      </c>
      <c r="U1087" s="10">
        <f t="shared" ca="1" si="161"/>
        <v>350</v>
      </c>
      <c r="V1087">
        <f t="shared" si="162"/>
        <v>6</v>
      </c>
    </row>
    <row r="1088" spans="1:22" x14ac:dyDescent="0.25">
      <c r="A1088">
        <v>121</v>
      </c>
      <c r="B1088">
        <v>7</v>
      </c>
      <c r="C1088">
        <v>70</v>
      </c>
      <c r="D1088">
        <v>1</v>
      </c>
      <c r="E1088">
        <v>1</v>
      </c>
      <c r="F1088">
        <v>0</v>
      </c>
      <c r="G1088">
        <v>1</v>
      </c>
      <c r="H1088">
        <v>450</v>
      </c>
      <c r="I1088">
        <f t="shared" si="163"/>
        <v>1080</v>
      </c>
      <c r="J1088" s="6">
        <f t="array" aca="1" ref="J1088:N1088" ca="1">TRANSPOSE(ols(OFFSET($C$2:$C$10,I1088,0),OFFSET($D$2:$H$10,I1088,0)))</f>
        <v>193.45238095237983</v>
      </c>
      <c r="K1088" s="6">
        <f ca="1"/>
        <v>-16.428571428570876</v>
      </c>
      <c r="L1088" s="6">
        <f ca="1"/>
        <v>-24.047619047618355</v>
      </c>
      <c r="M1088" s="6">
        <f ca="1"/>
        <v>29.523809523809518</v>
      </c>
      <c r="N1088" s="6">
        <f ca="1"/>
        <v>-0.32619047619047237</v>
      </c>
      <c r="O1088" s="6">
        <f t="shared" ca="1" si="155"/>
        <v>59.761904761905896</v>
      </c>
      <c r="P1088" t="str">
        <f t="shared" si="156"/>
        <v>NA</v>
      </c>
      <c r="Q1088" s="10">
        <f t="shared" ca="1" si="157"/>
        <v>84.761904761905669</v>
      </c>
      <c r="R1088" s="10">
        <f t="shared" ca="1" si="158"/>
        <v>206.54761904761847</v>
      </c>
      <c r="S1088" s="10">
        <f t="shared" ca="1" si="159"/>
        <v>-121.7857142857128</v>
      </c>
      <c r="T1088" s="10">
        <f t="shared" ca="1" si="160"/>
        <v>373.35766423357649</v>
      </c>
      <c r="U1088" s="10">
        <f t="shared" ca="1" si="161"/>
        <v>373.35766423357649</v>
      </c>
      <c r="V1088">
        <f t="shared" si="162"/>
        <v>5</v>
      </c>
    </row>
    <row r="1089" spans="1:22" x14ac:dyDescent="0.25">
      <c r="A1089">
        <v>121</v>
      </c>
      <c r="B1089">
        <v>8</v>
      </c>
      <c r="C1089">
        <v>15</v>
      </c>
      <c r="D1089">
        <v>1</v>
      </c>
      <c r="E1089">
        <v>1</v>
      </c>
      <c r="F1089">
        <v>0</v>
      </c>
      <c r="G1089">
        <v>1</v>
      </c>
      <c r="H1089">
        <v>550</v>
      </c>
      <c r="I1089">
        <f t="shared" si="163"/>
        <v>1080</v>
      </c>
      <c r="J1089" s="6">
        <f t="array" aca="1" ref="J1089:N1089" ca="1">TRANSPOSE(ols(OFFSET($C$2:$C$10,I1089,0),OFFSET($D$2:$H$10,I1089,0)))</f>
        <v>193.45238095237983</v>
      </c>
      <c r="K1089" s="6">
        <f ca="1"/>
        <v>-16.428571428570876</v>
      </c>
      <c r="L1089" s="6">
        <f ca="1"/>
        <v>-24.047619047618355</v>
      </c>
      <c r="M1089" s="6">
        <f ca="1"/>
        <v>29.523809523809518</v>
      </c>
      <c r="N1089" s="6">
        <f ca="1"/>
        <v>-0.32619047619047237</v>
      </c>
      <c r="O1089" s="6">
        <f t="shared" ca="1" si="155"/>
        <v>27.142857142858674</v>
      </c>
      <c r="P1089" t="str">
        <f t="shared" si="156"/>
        <v>NA</v>
      </c>
      <c r="Q1089" s="10">
        <f t="shared" ca="1" si="157"/>
        <v>84.761904761905669</v>
      </c>
      <c r="R1089" s="10">
        <f t="shared" ca="1" si="158"/>
        <v>206.54761904761847</v>
      </c>
      <c r="S1089" s="10">
        <f t="shared" ca="1" si="159"/>
        <v>-121.7857142857128</v>
      </c>
      <c r="T1089" s="10">
        <f t="shared" ca="1" si="160"/>
        <v>373.35766423357649</v>
      </c>
      <c r="U1089" s="10">
        <f t="shared" ca="1" si="161"/>
        <v>373.35766423357649</v>
      </c>
      <c r="V1089">
        <f t="shared" si="162"/>
        <v>5</v>
      </c>
    </row>
    <row r="1090" spans="1:22" x14ac:dyDescent="0.25">
      <c r="A1090">
        <v>121</v>
      </c>
      <c r="B1090">
        <v>9</v>
      </c>
      <c r="C1090">
        <v>25</v>
      </c>
      <c r="D1090">
        <v>1</v>
      </c>
      <c r="E1090">
        <v>0</v>
      </c>
      <c r="F1090">
        <v>0</v>
      </c>
      <c r="G1090">
        <v>1</v>
      </c>
      <c r="H1090">
        <v>650</v>
      </c>
      <c r="I1090">
        <f t="shared" si="163"/>
        <v>1080</v>
      </c>
      <c r="J1090" s="6">
        <f t="array" aca="1" ref="J1090:N1090" ca="1">TRANSPOSE(ols(OFFSET($C$2:$C$10,I1090,0),OFFSET($D$2:$H$10,I1090,0)))</f>
        <v>193.45238095237983</v>
      </c>
      <c r="K1090" s="6">
        <f ca="1"/>
        <v>-16.428571428570876</v>
      </c>
      <c r="L1090" s="6">
        <f ca="1"/>
        <v>-24.047619047618355</v>
      </c>
      <c r="M1090" s="6">
        <f ca="1"/>
        <v>29.523809523809518</v>
      </c>
      <c r="N1090" s="6">
        <f ca="1"/>
        <v>-0.32619047619047237</v>
      </c>
      <c r="O1090" s="6">
        <f t="shared" ca="1" si="155"/>
        <v>10.952380952382299</v>
      </c>
      <c r="P1090" t="str">
        <f t="shared" si="156"/>
        <v>NA</v>
      </c>
      <c r="Q1090" s="10">
        <f t="shared" ca="1" si="157"/>
        <v>84.761904761905669</v>
      </c>
      <c r="R1090" s="10">
        <f t="shared" ca="1" si="158"/>
        <v>222.97619047618934</v>
      </c>
      <c r="S1090" s="10">
        <f t="shared" ca="1" si="159"/>
        <v>-138.21428571428368</v>
      </c>
      <c r="T1090" s="10">
        <f t="shared" ca="1" si="160"/>
        <v>423.72262773722497</v>
      </c>
      <c r="U1090" s="10">
        <f t="shared" ca="1" si="161"/>
        <v>423.72262773722497</v>
      </c>
      <c r="V1090">
        <f t="shared" si="162"/>
        <v>4</v>
      </c>
    </row>
    <row r="1091" spans="1:22" x14ac:dyDescent="0.25">
      <c r="A1091">
        <v>122</v>
      </c>
      <c r="B1091">
        <v>1</v>
      </c>
      <c r="C1091">
        <v>90</v>
      </c>
      <c r="D1091">
        <v>1</v>
      </c>
      <c r="E1091">
        <v>0</v>
      </c>
      <c r="F1091">
        <v>1</v>
      </c>
      <c r="G1091">
        <v>0</v>
      </c>
      <c r="H1091">
        <v>250</v>
      </c>
      <c r="I1091">
        <f t="shared" si="163"/>
        <v>1089</v>
      </c>
      <c r="J1091" s="6">
        <f t="array" aca="1" ref="J1091:N1091" ca="1">TRANSPOSE(ols(OFFSET($C$2:$C$10,I1091,0),OFFSET($D$2:$H$10,I1091,0)))</f>
        <v>97.5</v>
      </c>
      <c r="K1091" s="6">
        <f ca="1"/>
        <v>2.5</v>
      </c>
      <c r="L1091" s="6">
        <f ca="1"/>
        <v>9.999999999998181</v>
      </c>
      <c r="M1091" s="6">
        <f ca="1"/>
        <v>-4.9999999999990905</v>
      </c>
      <c r="N1091" s="6">
        <f ca="1"/>
        <v>-5.0000000000000711E-2</v>
      </c>
      <c r="O1091" s="6">
        <f t="shared" ref="O1091:O1154" ca="1" si="164">SUMPRODUCT(J1091:N1091,D1091:H1091)</f>
        <v>94.99999999999801</v>
      </c>
      <c r="P1091" t="str">
        <f t="shared" ref="P1091:P1154" si="165">IF(AND(F1091=1,G1091=1,H1091=350),O1091,"NA")</f>
        <v>NA</v>
      </c>
      <c r="Q1091" s="10">
        <f t="shared" ref="Q1091:Q1154" ca="1" si="166">AVERAGEIF($A$2:$A$5383,A1091,$P$2:$P$5383)</f>
        <v>84.999999999998835</v>
      </c>
      <c r="R1091" s="10">
        <f t="shared" ref="R1091:R1154" ca="1" si="167">O1091-N1091*H1091</f>
        <v>107.49999999999818</v>
      </c>
      <c r="S1091" s="10">
        <f t="shared" ref="S1091:S1154" ca="1" si="168">Q1091-R1091</f>
        <v>-22.499999999999346</v>
      </c>
      <c r="T1091" s="10">
        <f t="shared" ref="T1091:T1154" ca="1" si="169">S1091/N1091</f>
        <v>449.99999999998056</v>
      </c>
      <c r="U1091" s="10">
        <f t="shared" ref="U1091:U1154" ca="1" si="170">IF(OR(T1091&lt;250,T1091&gt;650),"OR",T1091)</f>
        <v>449.99999999998056</v>
      </c>
      <c r="V1091">
        <f t="shared" ref="V1091:V1154" si="171">IF(AND(E1091=1,G1091=0),2,IF(AND(F1091=1,G1091=0),3,IF(AND(E1091=1,G1091=1),5,IF(AND(F1091=1,G1091=1),6,IF(G1091=0,1,IF(G1091=1,4))))))</f>
        <v>3</v>
      </c>
    </row>
    <row r="1092" spans="1:22" x14ac:dyDescent="0.25">
      <c r="A1092">
        <v>122</v>
      </c>
      <c r="B1092">
        <v>2</v>
      </c>
      <c r="C1092">
        <v>90</v>
      </c>
      <c r="D1092">
        <v>1</v>
      </c>
      <c r="E1092">
        <v>1</v>
      </c>
      <c r="F1092">
        <v>0</v>
      </c>
      <c r="G1092">
        <v>0</v>
      </c>
      <c r="H1092">
        <v>350</v>
      </c>
      <c r="I1092">
        <f t="shared" si="163"/>
        <v>1089</v>
      </c>
      <c r="J1092" s="6">
        <f t="array" aca="1" ref="J1092:N1092" ca="1">TRANSPOSE(ols(OFFSET($C$2:$C$10,I1092,0),OFFSET($D$2:$H$10,I1092,0)))</f>
        <v>97.5</v>
      </c>
      <c r="K1092" s="6">
        <f ca="1"/>
        <v>2.5</v>
      </c>
      <c r="L1092" s="6">
        <f ca="1"/>
        <v>9.999999999998181</v>
      </c>
      <c r="M1092" s="6">
        <f ca="1"/>
        <v>-4.9999999999990905</v>
      </c>
      <c r="N1092" s="6">
        <f ca="1"/>
        <v>-5.0000000000000711E-2</v>
      </c>
      <c r="O1092" s="6">
        <f t="shared" ca="1" si="164"/>
        <v>82.499999999999744</v>
      </c>
      <c r="P1092" t="str">
        <f t="shared" si="165"/>
        <v>NA</v>
      </c>
      <c r="Q1092" s="10">
        <f t="shared" ca="1" si="166"/>
        <v>84.999999999998835</v>
      </c>
      <c r="R1092" s="10">
        <f t="shared" ca="1" si="167"/>
        <v>100</v>
      </c>
      <c r="S1092" s="10">
        <f t="shared" ca="1" si="168"/>
        <v>-15.000000000001165</v>
      </c>
      <c r="T1092" s="10">
        <f t="shared" ca="1" si="169"/>
        <v>300.00000000001904</v>
      </c>
      <c r="U1092" s="10">
        <f t="shared" ca="1" si="170"/>
        <v>300.00000000001904</v>
      </c>
      <c r="V1092">
        <f t="shared" si="171"/>
        <v>2</v>
      </c>
    </row>
    <row r="1093" spans="1:22" x14ac:dyDescent="0.25">
      <c r="A1093">
        <v>122</v>
      </c>
      <c r="B1093">
        <v>3</v>
      </c>
      <c r="C1093">
        <v>80</v>
      </c>
      <c r="D1093">
        <v>1</v>
      </c>
      <c r="E1093">
        <v>1</v>
      </c>
      <c r="F1093">
        <v>0</v>
      </c>
      <c r="G1093">
        <v>0</v>
      </c>
      <c r="H1093">
        <v>450</v>
      </c>
      <c r="I1093">
        <f t="shared" si="163"/>
        <v>1089</v>
      </c>
      <c r="J1093" s="6">
        <f t="array" aca="1" ref="J1093:N1093" ca="1">TRANSPOSE(ols(OFFSET($C$2:$C$10,I1093,0),OFFSET($D$2:$H$10,I1093,0)))</f>
        <v>97.5</v>
      </c>
      <c r="K1093" s="6">
        <f ca="1"/>
        <v>2.5</v>
      </c>
      <c r="L1093" s="6">
        <f ca="1"/>
        <v>9.999999999998181</v>
      </c>
      <c r="M1093" s="6">
        <f ca="1"/>
        <v>-4.9999999999990905</v>
      </c>
      <c r="N1093" s="6">
        <f ca="1"/>
        <v>-5.0000000000000711E-2</v>
      </c>
      <c r="O1093" s="6">
        <f t="shared" ca="1" si="164"/>
        <v>77.499999999999687</v>
      </c>
      <c r="P1093" t="str">
        <f t="shared" si="165"/>
        <v>NA</v>
      </c>
      <c r="Q1093" s="10">
        <f t="shared" ca="1" si="166"/>
        <v>84.999999999998835</v>
      </c>
      <c r="R1093" s="10">
        <f t="shared" ca="1" si="167"/>
        <v>100</v>
      </c>
      <c r="S1093" s="10">
        <f t="shared" ca="1" si="168"/>
        <v>-15.000000000001165</v>
      </c>
      <c r="T1093" s="10">
        <f t="shared" ca="1" si="169"/>
        <v>300.00000000001904</v>
      </c>
      <c r="U1093" s="10">
        <f t="shared" ca="1" si="170"/>
        <v>300.00000000001904</v>
      </c>
      <c r="V1093">
        <f t="shared" si="171"/>
        <v>2</v>
      </c>
    </row>
    <row r="1094" spans="1:22" x14ac:dyDescent="0.25">
      <c r="A1094">
        <v>122</v>
      </c>
      <c r="B1094">
        <v>4</v>
      </c>
      <c r="C1094">
        <v>65</v>
      </c>
      <c r="D1094">
        <v>1</v>
      </c>
      <c r="E1094">
        <v>0</v>
      </c>
      <c r="F1094">
        <v>0</v>
      </c>
      <c r="G1094">
        <v>0</v>
      </c>
      <c r="H1094">
        <v>550</v>
      </c>
      <c r="I1094">
        <f t="shared" si="163"/>
        <v>1089</v>
      </c>
      <c r="J1094" s="6">
        <f t="array" aca="1" ref="J1094:N1094" ca="1">TRANSPOSE(ols(OFFSET($C$2:$C$10,I1094,0),OFFSET($D$2:$H$10,I1094,0)))</f>
        <v>97.5</v>
      </c>
      <c r="K1094" s="6">
        <f ca="1"/>
        <v>2.5</v>
      </c>
      <c r="L1094" s="6">
        <f ca="1"/>
        <v>9.999999999998181</v>
      </c>
      <c r="M1094" s="6">
        <f ca="1"/>
        <v>-4.9999999999990905</v>
      </c>
      <c r="N1094" s="6">
        <f ca="1"/>
        <v>-5.0000000000000711E-2</v>
      </c>
      <c r="O1094" s="6">
        <f t="shared" ca="1" si="164"/>
        <v>69.999999999999602</v>
      </c>
      <c r="P1094" t="str">
        <f t="shared" si="165"/>
        <v>NA</v>
      </c>
      <c r="Q1094" s="10">
        <f t="shared" ca="1" si="166"/>
        <v>84.999999999998835</v>
      </c>
      <c r="R1094" s="10">
        <f t="shared" ca="1" si="167"/>
        <v>97.5</v>
      </c>
      <c r="S1094" s="10">
        <f t="shared" ca="1" si="168"/>
        <v>-12.500000000001165</v>
      </c>
      <c r="T1094" s="10">
        <f t="shared" ca="1" si="169"/>
        <v>250.00000000001975</v>
      </c>
      <c r="U1094" s="10">
        <f t="shared" ca="1" si="170"/>
        <v>250.00000000001975</v>
      </c>
      <c r="V1094">
        <f t="shared" si="171"/>
        <v>1</v>
      </c>
    </row>
    <row r="1095" spans="1:22" x14ac:dyDescent="0.25">
      <c r="A1095">
        <v>122</v>
      </c>
      <c r="B1095">
        <v>5</v>
      </c>
      <c r="C1095">
        <v>90</v>
      </c>
      <c r="D1095">
        <v>1</v>
      </c>
      <c r="E1095">
        <v>0</v>
      </c>
      <c r="F1095">
        <v>1</v>
      </c>
      <c r="G1095">
        <v>1</v>
      </c>
      <c r="H1095">
        <v>250</v>
      </c>
      <c r="I1095">
        <f t="shared" si="163"/>
        <v>1089</v>
      </c>
      <c r="J1095" s="6">
        <f t="array" aca="1" ref="J1095:N1095" ca="1">TRANSPOSE(ols(OFFSET($C$2:$C$10,I1095,0),OFFSET($D$2:$H$10,I1095,0)))</f>
        <v>97.5</v>
      </c>
      <c r="K1095" s="6">
        <f ca="1"/>
        <v>2.5</v>
      </c>
      <c r="L1095" s="6">
        <f ca="1"/>
        <v>9.999999999998181</v>
      </c>
      <c r="M1095" s="6">
        <f ca="1"/>
        <v>-4.9999999999990905</v>
      </c>
      <c r="N1095" s="6">
        <f ca="1"/>
        <v>-5.0000000000000711E-2</v>
      </c>
      <c r="O1095" s="6">
        <f t="shared" ca="1" si="164"/>
        <v>89.99999999999892</v>
      </c>
      <c r="P1095" t="str">
        <f t="shared" si="165"/>
        <v>NA</v>
      </c>
      <c r="Q1095" s="10">
        <f t="shared" ca="1" si="166"/>
        <v>84.999999999998835</v>
      </c>
      <c r="R1095" s="10">
        <f t="shared" ca="1" si="167"/>
        <v>102.49999999999909</v>
      </c>
      <c r="S1095" s="10">
        <f t="shared" ca="1" si="168"/>
        <v>-17.500000000000256</v>
      </c>
      <c r="T1095" s="10">
        <f t="shared" ca="1" si="169"/>
        <v>350.00000000000011</v>
      </c>
      <c r="U1095" s="10">
        <f t="shared" ca="1" si="170"/>
        <v>350.00000000000011</v>
      </c>
      <c r="V1095">
        <f t="shared" si="171"/>
        <v>6</v>
      </c>
    </row>
    <row r="1096" spans="1:22" x14ac:dyDescent="0.25">
      <c r="A1096">
        <v>122</v>
      </c>
      <c r="B1096">
        <v>6</v>
      </c>
      <c r="C1096">
        <v>90</v>
      </c>
      <c r="D1096">
        <v>1</v>
      </c>
      <c r="E1096">
        <v>0</v>
      </c>
      <c r="F1096">
        <v>1</v>
      </c>
      <c r="G1096">
        <v>1</v>
      </c>
      <c r="H1096">
        <v>350</v>
      </c>
      <c r="I1096">
        <f t="shared" si="163"/>
        <v>1089</v>
      </c>
      <c r="J1096" s="6">
        <f t="array" aca="1" ref="J1096:N1096" ca="1">TRANSPOSE(ols(OFFSET($C$2:$C$10,I1096,0),OFFSET($D$2:$H$10,I1096,0)))</f>
        <v>97.5</v>
      </c>
      <c r="K1096" s="6">
        <f ca="1"/>
        <v>2.5</v>
      </c>
      <c r="L1096" s="6">
        <f ca="1"/>
        <v>9.999999999998181</v>
      </c>
      <c r="M1096" s="6">
        <f ca="1"/>
        <v>-4.9999999999990905</v>
      </c>
      <c r="N1096" s="6">
        <f ca="1"/>
        <v>-5.0000000000000711E-2</v>
      </c>
      <c r="O1096" s="6">
        <f t="shared" ca="1" si="164"/>
        <v>84.999999999998835</v>
      </c>
      <c r="P1096">
        <f t="shared" ca="1" si="165"/>
        <v>84.999999999998835</v>
      </c>
      <c r="Q1096" s="10">
        <f t="shared" ca="1" si="166"/>
        <v>84.999999999998835</v>
      </c>
      <c r="R1096" s="10">
        <f t="shared" ca="1" si="167"/>
        <v>102.49999999999909</v>
      </c>
      <c r="S1096" s="10">
        <f t="shared" ca="1" si="168"/>
        <v>-17.500000000000256</v>
      </c>
      <c r="T1096" s="10">
        <f t="shared" ca="1" si="169"/>
        <v>350.00000000000011</v>
      </c>
      <c r="U1096" s="10">
        <f t="shared" ca="1" si="170"/>
        <v>350.00000000000011</v>
      </c>
      <c r="V1096">
        <f t="shared" si="171"/>
        <v>6</v>
      </c>
    </row>
    <row r="1097" spans="1:22" x14ac:dyDescent="0.25">
      <c r="A1097">
        <v>122</v>
      </c>
      <c r="B1097">
        <v>7</v>
      </c>
      <c r="C1097">
        <v>65</v>
      </c>
      <c r="D1097">
        <v>1</v>
      </c>
      <c r="E1097">
        <v>1</v>
      </c>
      <c r="F1097">
        <v>0</v>
      </c>
      <c r="G1097">
        <v>1</v>
      </c>
      <c r="H1097">
        <v>450</v>
      </c>
      <c r="I1097">
        <f t="shared" si="163"/>
        <v>1089</v>
      </c>
      <c r="J1097" s="6">
        <f t="array" aca="1" ref="J1097:N1097" ca="1">TRANSPOSE(ols(OFFSET($C$2:$C$10,I1097,0),OFFSET($D$2:$H$10,I1097,0)))</f>
        <v>97.5</v>
      </c>
      <c r="K1097" s="6">
        <f ca="1"/>
        <v>2.5</v>
      </c>
      <c r="L1097" s="6">
        <f ca="1"/>
        <v>9.999999999998181</v>
      </c>
      <c r="M1097" s="6">
        <f ca="1"/>
        <v>-4.9999999999990905</v>
      </c>
      <c r="N1097" s="6">
        <f ca="1"/>
        <v>-5.0000000000000711E-2</v>
      </c>
      <c r="O1097" s="6">
        <f t="shared" ca="1" si="164"/>
        <v>72.500000000000597</v>
      </c>
      <c r="P1097" t="str">
        <f t="shared" si="165"/>
        <v>NA</v>
      </c>
      <c r="Q1097" s="10">
        <f t="shared" ca="1" si="166"/>
        <v>84.999999999998835</v>
      </c>
      <c r="R1097" s="10">
        <f t="shared" ca="1" si="167"/>
        <v>95.000000000000909</v>
      </c>
      <c r="S1097" s="10">
        <f t="shared" ca="1" si="168"/>
        <v>-10.000000000002075</v>
      </c>
      <c r="T1097" s="10">
        <f t="shared" ca="1" si="169"/>
        <v>200.00000000003865</v>
      </c>
      <c r="U1097" s="10" t="str">
        <f t="shared" ca="1" si="170"/>
        <v>OR</v>
      </c>
      <c r="V1097">
        <f t="shared" si="171"/>
        <v>5</v>
      </c>
    </row>
    <row r="1098" spans="1:22" x14ac:dyDescent="0.25">
      <c r="A1098">
        <v>122</v>
      </c>
      <c r="B1098">
        <v>8</v>
      </c>
      <c r="C1098">
        <v>65</v>
      </c>
      <c r="D1098">
        <v>1</v>
      </c>
      <c r="E1098">
        <v>1</v>
      </c>
      <c r="F1098">
        <v>0</v>
      </c>
      <c r="G1098">
        <v>1</v>
      </c>
      <c r="H1098">
        <v>550</v>
      </c>
      <c r="I1098">
        <f t="shared" si="163"/>
        <v>1089</v>
      </c>
      <c r="J1098" s="6">
        <f t="array" aca="1" ref="J1098:N1098" ca="1">TRANSPOSE(ols(OFFSET($C$2:$C$10,I1098,0),OFFSET($D$2:$H$10,I1098,0)))</f>
        <v>97.5</v>
      </c>
      <c r="K1098" s="6">
        <f ca="1"/>
        <v>2.5</v>
      </c>
      <c r="L1098" s="6">
        <f ca="1"/>
        <v>9.999999999998181</v>
      </c>
      <c r="M1098" s="6">
        <f ca="1"/>
        <v>-4.9999999999990905</v>
      </c>
      <c r="N1098" s="6">
        <f ca="1"/>
        <v>-5.0000000000000711E-2</v>
      </c>
      <c r="O1098" s="6">
        <f t="shared" ca="1" si="164"/>
        <v>67.500000000000512</v>
      </c>
      <c r="P1098" t="str">
        <f t="shared" si="165"/>
        <v>NA</v>
      </c>
      <c r="Q1098" s="10">
        <f t="shared" ca="1" si="166"/>
        <v>84.999999999998835</v>
      </c>
      <c r="R1098" s="10">
        <f t="shared" ca="1" si="167"/>
        <v>95.000000000000909</v>
      </c>
      <c r="S1098" s="10">
        <f t="shared" ca="1" si="168"/>
        <v>-10.000000000002075</v>
      </c>
      <c r="T1098" s="10">
        <f t="shared" ca="1" si="169"/>
        <v>200.00000000003865</v>
      </c>
      <c r="U1098" s="10" t="str">
        <f t="shared" ca="1" si="170"/>
        <v>OR</v>
      </c>
      <c r="V1098">
        <f t="shared" si="171"/>
        <v>5</v>
      </c>
    </row>
    <row r="1099" spans="1:22" x14ac:dyDescent="0.25">
      <c r="A1099">
        <v>122</v>
      </c>
      <c r="B1099">
        <v>9</v>
      </c>
      <c r="C1099">
        <v>65</v>
      </c>
      <c r="D1099">
        <v>1</v>
      </c>
      <c r="E1099">
        <v>0</v>
      </c>
      <c r="F1099">
        <v>0</v>
      </c>
      <c r="G1099">
        <v>1</v>
      </c>
      <c r="H1099">
        <v>650</v>
      </c>
      <c r="I1099">
        <f t="shared" si="163"/>
        <v>1089</v>
      </c>
      <c r="J1099" s="6">
        <f t="array" aca="1" ref="J1099:N1099" ca="1">TRANSPOSE(ols(OFFSET($C$2:$C$10,I1099,0),OFFSET($D$2:$H$10,I1099,0)))</f>
        <v>97.5</v>
      </c>
      <c r="K1099" s="6">
        <f ca="1"/>
        <v>2.5</v>
      </c>
      <c r="L1099" s="6">
        <f ca="1"/>
        <v>9.999999999998181</v>
      </c>
      <c r="M1099" s="6">
        <f ca="1"/>
        <v>-4.9999999999990905</v>
      </c>
      <c r="N1099" s="6">
        <f ca="1"/>
        <v>-5.0000000000000711E-2</v>
      </c>
      <c r="O1099" s="6">
        <f t="shared" ca="1" si="164"/>
        <v>60.000000000000448</v>
      </c>
      <c r="P1099" t="str">
        <f t="shared" si="165"/>
        <v>NA</v>
      </c>
      <c r="Q1099" s="10">
        <f t="shared" ca="1" si="166"/>
        <v>84.999999999998835</v>
      </c>
      <c r="R1099" s="10">
        <f t="shared" ca="1" si="167"/>
        <v>92.500000000000909</v>
      </c>
      <c r="S1099" s="10">
        <f t="shared" ca="1" si="168"/>
        <v>-7.5000000000020748</v>
      </c>
      <c r="T1099" s="10">
        <f t="shared" ca="1" si="169"/>
        <v>150.00000000003936</v>
      </c>
      <c r="U1099" s="10" t="str">
        <f t="shared" ca="1" si="170"/>
        <v>OR</v>
      </c>
      <c r="V1099">
        <f t="shared" si="171"/>
        <v>4</v>
      </c>
    </row>
    <row r="1100" spans="1:22" x14ac:dyDescent="0.25">
      <c r="A1100">
        <v>123</v>
      </c>
      <c r="B1100">
        <v>1</v>
      </c>
      <c r="C1100">
        <v>75</v>
      </c>
      <c r="D1100">
        <v>1</v>
      </c>
      <c r="E1100">
        <v>0</v>
      </c>
      <c r="F1100">
        <v>1</v>
      </c>
      <c r="G1100">
        <v>0</v>
      </c>
      <c r="H1100">
        <v>250</v>
      </c>
      <c r="I1100">
        <f t="shared" ref="I1100:I1163" si="172">IF(A1100&gt;A1099,I1099+9,I1099)</f>
        <v>1098</v>
      </c>
      <c r="J1100" s="6">
        <f t="array" aca="1" ref="J1100:N1100" ca="1">TRANSPOSE(ols(OFFSET($C$2:$C$10,I1100,0),OFFSET($D$2:$H$10,I1100,0)))</f>
        <v>98.035714285713766</v>
      </c>
      <c r="K1100" s="6">
        <f ca="1"/>
        <v>-1.4285714285717859</v>
      </c>
      <c r="L1100" s="6">
        <f ca="1"/>
        <v>-0.714285714286234</v>
      </c>
      <c r="M1100" s="6">
        <f ca="1"/>
        <v>-14.642857142856883</v>
      </c>
      <c r="N1100" s="6">
        <f ca="1"/>
        <v>-6.785714285714306E-2</v>
      </c>
      <c r="O1100" s="6">
        <f t="shared" ca="1" si="164"/>
        <v>80.357142857141767</v>
      </c>
      <c r="P1100" t="str">
        <f t="shared" si="165"/>
        <v>NA</v>
      </c>
      <c r="Q1100" s="10">
        <f t="shared" ca="1" si="166"/>
        <v>58.928571428570578</v>
      </c>
      <c r="R1100" s="10">
        <f t="shared" ca="1" si="167"/>
        <v>97.321428571427532</v>
      </c>
      <c r="S1100" s="10">
        <f t="shared" ca="1" si="168"/>
        <v>-38.392857142856954</v>
      </c>
      <c r="T1100" s="10">
        <f t="shared" ca="1" si="169"/>
        <v>565.78947368420609</v>
      </c>
      <c r="U1100" s="10">
        <f t="shared" ca="1" si="170"/>
        <v>565.78947368420609</v>
      </c>
      <c r="V1100">
        <f t="shared" si="171"/>
        <v>3</v>
      </c>
    </row>
    <row r="1101" spans="1:22" x14ac:dyDescent="0.25">
      <c r="A1101">
        <v>123</v>
      </c>
      <c r="B1101">
        <v>2</v>
      </c>
      <c r="C1101">
        <v>75</v>
      </c>
      <c r="D1101">
        <v>1</v>
      </c>
      <c r="E1101">
        <v>1</v>
      </c>
      <c r="F1101">
        <v>0</v>
      </c>
      <c r="G1101">
        <v>0</v>
      </c>
      <c r="H1101">
        <v>350</v>
      </c>
      <c r="I1101">
        <f t="shared" si="172"/>
        <v>1098</v>
      </c>
      <c r="J1101" s="6">
        <f t="array" aca="1" ref="J1101:N1101" ca="1">TRANSPOSE(ols(OFFSET($C$2:$C$10,I1101,0),OFFSET($D$2:$H$10,I1101,0)))</f>
        <v>98.035714285713766</v>
      </c>
      <c r="K1101" s="6">
        <f ca="1"/>
        <v>-1.4285714285717859</v>
      </c>
      <c r="L1101" s="6">
        <f ca="1"/>
        <v>-0.714285714286234</v>
      </c>
      <c r="M1101" s="6">
        <f ca="1"/>
        <v>-14.642857142856883</v>
      </c>
      <c r="N1101" s="6">
        <f ca="1"/>
        <v>-6.785714285714306E-2</v>
      </c>
      <c r="O1101" s="6">
        <f t="shared" ca="1" si="164"/>
        <v>72.857142857141909</v>
      </c>
      <c r="P1101" t="str">
        <f t="shared" si="165"/>
        <v>NA</v>
      </c>
      <c r="Q1101" s="10">
        <f t="shared" ca="1" si="166"/>
        <v>58.928571428570578</v>
      </c>
      <c r="R1101" s="10">
        <f t="shared" ca="1" si="167"/>
        <v>96.60714285714198</v>
      </c>
      <c r="S1101" s="10">
        <f t="shared" ca="1" si="168"/>
        <v>-37.678571428571402</v>
      </c>
      <c r="T1101" s="10">
        <f t="shared" ca="1" si="169"/>
        <v>555.26315789473483</v>
      </c>
      <c r="U1101" s="10">
        <f t="shared" ca="1" si="170"/>
        <v>555.26315789473483</v>
      </c>
      <c r="V1101">
        <f t="shared" si="171"/>
        <v>2</v>
      </c>
    </row>
    <row r="1102" spans="1:22" x14ac:dyDescent="0.25">
      <c r="A1102">
        <v>123</v>
      </c>
      <c r="B1102">
        <v>3</v>
      </c>
      <c r="C1102">
        <v>65</v>
      </c>
      <c r="D1102">
        <v>1</v>
      </c>
      <c r="E1102">
        <v>1</v>
      </c>
      <c r="F1102">
        <v>0</v>
      </c>
      <c r="G1102">
        <v>0</v>
      </c>
      <c r="H1102">
        <v>450</v>
      </c>
      <c r="I1102">
        <f t="shared" si="172"/>
        <v>1098</v>
      </c>
      <c r="J1102" s="6">
        <f t="array" aca="1" ref="J1102:N1102" ca="1">TRANSPOSE(ols(OFFSET($C$2:$C$10,I1102,0),OFFSET($D$2:$H$10,I1102,0)))</f>
        <v>98.035714285713766</v>
      </c>
      <c r="K1102" s="6">
        <f ca="1"/>
        <v>-1.4285714285717859</v>
      </c>
      <c r="L1102" s="6">
        <f ca="1"/>
        <v>-0.714285714286234</v>
      </c>
      <c r="M1102" s="6">
        <f ca="1"/>
        <v>-14.642857142856883</v>
      </c>
      <c r="N1102" s="6">
        <f ca="1"/>
        <v>-6.785714285714306E-2</v>
      </c>
      <c r="O1102" s="6">
        <f t="shared" ca="1" si="164"/>
        <v>66.071428571427603</v>
      </c>
      <c r="P1102" t="str">
        <f t="shared" si="165"/>
        <v>NA</v>
      </c>
      <c r="Q1102" s="10">
        <f t="shared" ca="1" si="166"/>
        <v>58.928571428570578</v>
      </c>
      <c r="R1102" s="10">
        <f t="shared" ca="1" si="167"/>
        <v>96.60714285714198</v>
      </c>
      <c r="S1102" s="10">
        <f t="shared" ca="1" si="168"/>
        <v>-37.678571428571402</v>
      </c>
      <c r="T1102" s="10">
        <f t="shared" ca="1" si="169"/>
        <v>555.26315789473483</v>
      </c>
      <c r="U1102" s="10">
        <f t="shared" ca="1" si="170"/>
        <v>555.26315789473483</v>
      </c>
      <c r="V1102">
        <f t="shared" si="171"/>
        <v>2</v>
      </c>
    </row>
    <row r="1103" spans="1:22" x14ac:dyDescent="0.25">
      <c r="A1103">
        <v>123</v>
      </c>
      <c r="B1103">
        <v>4</v>
      </c>
      <c r="C1103">
        <v>65</v>
      </c>
      <c r="D1103">
        <v>1</v>
      </c>
      <c r="E1103">
        <v>0</v>
      </c>
      <c r="F1103">
        <v>0</v>
      </c>
      <c r="G1103">
        <v>0</v>
      </c>
      <c r="H1103">
        <v>550</v>
      </c>
      <c r="I1103">
        <f t="shared" si="172"/>
        <v>1098</v>
      </c>
      <c r="J1103" s="6">
        <f t="array" aca="1" ref="J1103:N1103" ca="1">TRANSPOSE(ols(OFFSET($C$2:$C$10,I1103,0),OFFSET($D$2:$H$10,I1103,0)))</f>
        <v>98.035714285713766</v>
      </c>
      <c r="K1103" s="6">
        <f ca="1"/>
        <v>-1.4285714285717859</v>
      </c>
      <c r="L1103" s="6">
        <f ca="1"/>
        <v>-0.714285714286234</v>
      </c>
      <c r="M1103" s="6">
        <f ca="1"/>
        <v>-14.642857142856883</v>
      </c>
      <c r="N1103" s="6">
        <f ca="1"/>
        <v>-6.785714285714306E-2</v>
      </c>
      <c r="O1103" s="6">
        <f t="shared" ca="1" si="164"/>
        <v>60.714285714285083</v>
      </c>
      <c r="P1103" t="str">
        <f t="shared" si="165"/>
        <v>NA</v>
      </c>
      <c r="Q1103" s="10">
        <f t="shared" ca="1" si="166"/>
        <v>58.928571428570578</v>
      </c>
      <c r="R1103" s="10">
        <f t="shared" ca="1" si="167"/>
        <v>98.035714285713766</v>
      </c>
      <c r="S1103" s="10">
        <f t="shared" ca="1" si="168"/>
        <v>-39.107142857143188</v>
      </c>
      <c r="T1103" s="10">
        <f t="shared" ca="1" si="169"/>
        <v>576.31578947368735</v>
      </c>
      <c r="U1103" s="10">
        <f t="shared" ca="1" si="170"/>
        <v>576.31578947368735</v>
      </c>
      <c r="V1103">
        <f t="shared" si="171"/>
        <v>1</v>
      </c>
    </row>
    <row r="1104" spans="1:22" x14ac:dyDescent="0.25">
      <c r="A1104">
        <v>123</v>
      </c>
      <c r="B1104">
        <v>5</v>
      </c>
      <c r="C1104">
        <v>65</v>
      </c>
      <c r="D1104">
        <v>1</v>
      </c>
      <c r="E1104">
        <v>0</v>
      </c>
      <c r="F1104">
        <v>1</v>
      </c>
      <c r="G1104">
        <v>1</v>
      </c>
      <c r="H1104">
        <v>250</v>
      </c>
      <c r="I1104">
        <f t="shared" si="172"/>
        <v>1098</v>
      </c>
      <c r="J1104" s="6">
        <f t="array" aca="1" ref="J1104:N1104" ca="1">TRANSPOSE(ols(OFFSET($C$2:$C$10,I1104,0),OFFSET($D$2:$H$10,I1104,0)))</f>
        <v>98.035714285713766</v>
      </c>
      <c r="K1104" s="6">
        <f ca="1"/>
        <v>-1.4285714285717859</v>
      </c>
      <c r="L1104" s="6">
        <f ca="1"/>
        <v>-0.714285714286234</v>
      </c>
      <c r="M1104" s="6">
        <f ca="1"/>
        <v>-14.642857142856883</v>
      </c>
      <c r="N1104" s="6">
        <f ca="1"/>
        <v>-6.785714285714306E-2</v>
      </c>
      <c r="O1104" s="6">
        <f t="shared" ca="1" si="164"/>
        <v>65.714285714284884</v>
      </c>
      <c r="P1104" t="str">
        <f t="shared" si="165"/>
        <v>NA</v>
      </c>
      <c r="Q1104" s="10">
        <f t="shared" ca="1" si="166"/>
        <v>58.928571428570578</v>
      </c>
      <c r="R1104" s="10">
        <f t="shared" ca="1" si="167"/>
        <v>82.678571428570649</v>
      </c>
      <c r="S1104" s="10">
        <f t="shared" ca="1" si="168"/>
        <v>-23.750000000000071</v>
      </c>
      <c r="T1104" s="10">
        <f t="shared" ca="1" si="169"/>
        <v>350</v>
      </c>
      <c r="U1104" s="10">
        <f t="shared" ca="1" si="170"/>
        <v>350</v>
      </c>
      <c r="V1104">
        <f t="shared" si="171"/>
        <v>6</v>
      </c>
    </row>
    <row r="1105" spans="1:22" x14ac:dyDescent="0.25">
      <c r="A1105">
        <v>123</v>
      </c>
      <c r="B1105">
        <v>6</v>
      </c>
      <c r="C1105">
        <v>65</v>
      </c>
      <c r="D1105">
        <v>1</v>
      </c>
      <c r="E1105">
        <v>0</v>
      </c>
      <c r="F1105">
        <v>1</v>
      </c>
      <c r="G1105">
        <v>1</v>
      </c>
      <c r="H1105">
        <v>350</v>
      </c>
      <c r="I1105">
        <f t="shared" si="172"/>
        <v>1098</v>
      </c>
      <c r="J1105" s="6">
        <f t="array" aca="1" ref="J1105:N1105" ca="1">TRANSPOSE(ols(OFFSET($C$2:$C$10,I1105,0),OFFSET($D$2:$H$10,I1105,0)))</f>
        <v>98.035714285713766</v>
      </c>
      <c r="K1105" s="6">
        <f ca="1"/>
        <v>-1.4285714285717859</v>
      </c>
      <c r="L1105" s="6">
        <f ca="1"/>
        <v>-0.714285714286234</v>
      </c>
      <c r="M1105" s="6">
        <f ca="1"/>
        <v>-14.642857142856883</v>
      </c>
      <c r="N1105" s="6">
        <f ca="1"/>
        <v>-6.785714285714306E-2</v>
      </c>
      <c r="O1105" s="6">
        <f t="shared" ca="1" si="164"/>
        <v>58.928571428570578</v>
      </c>
      <c r="P1105">
        <f t="shared" ca="1" si="165"/>
        <v>58.928571428570578</v>
      </c>
      <c r="Q1105" s="10">
        <f t="shared" ca="1" si="166"/>
        <v>58.928571428570578</v>
      </c>
      <c r="R1105" s="10">
        <f t="shared" ca="1" si="167"/>
        <v>82.678571428570649</v>
      </c>
      <c r="S1105" s="10">
        <f t="shared" ca="1" si="168"/>
        <v>-23.750000000000071</v>
      </c>
      <c r="T1105" s="10">
        <f t="shared" ca="1" si="169"/>
        <v>350</v>
      </c>
      <c r="U1105" s="10">
        <f t="shared" ca="1" si="170"/>
        <v>350</v>
      </c>
      <c r="V1105">
        <f t="shared" si="171"/>
        <v>6</v>
      </c>
    </row>
    <row r="1106" spans="1:22" x14ac:dyDescent="0.25">
      <c r="A1106">
        <v>123</v>
      </c>
      <c r="B1106">
        <v>7</v>
      </c>
      <c r="C1106">
        <v>50</v>
      </c>
      <c r="D1106">
        <v>1</v>
      </c>
      <c r="E1106">
        <v>1</v>
      </c>
      <c r="F1106">
        <v>0</v>
      </c>
      <c r="G1106">
        <v>1</v>
      </c>
      <c r="H1106">
        <v>450</v>
      </c>
      <c r="I1106">
        <f t="shared" si="172"/>
        <v>1098</v>
      </c>
      <c r="J1106" s="6">
        <f t="array" aca="1" ref="J1106:N1106" ca="1">TRANSPOSE(ols(OFFSET($C$2:$C$10,I1106,0),OFFSET($D$2:$H$10,I1106,0)))</f>
        <v>98.035714285713766</v>
      </c>
      <c r="K1106" s="6">
        <f ca="1"/>
        <v>-1.4285714285717859</v>
      </c>
      <c r="L1106" s="6">
        <f ca="1"/>
        <v>-0.714285714286234</v>
      </c>
      <c r="M1106" s="6">
        <f ca="1"/>
        <v>-14.642857142856883</v>
      </c>
      <c r="N1106" s="6">
        <f ca="1"/>
        <v>-6.785714285714306E-2</v>
      </c>
      <c r="O1106" s="6">
        <f t="shared" ca="1" si="164"/>
        <v>51.42857142857072</v>
      </c>
      <c r="P1106" t="str">
        <f t="shared" si="165"/>
        <v>NA</v>
      </c>
      <c r="Q1106" s="10">
        <f t="shared" ca="1" si="166"/>
        <v>58.928571428570578</v>
      </c>
      <c r="R1106" s="10">
        <f t="shared" ca="1" si="167"/>
        <v>81.964285714285097</v>
      </c>
      <c r="S1106" s="10">
        <f t="shared" ca="1" si="168"/>
        <v>-23.035714285714519</v>
      </c>
      <c r="T1106" s="10">
        <f t="shared" ca="1" si="169"/>
        <v>339.47368421052875</v>
      </c>
      <c r="U1106" s="10">
        <f t="shared" ca="1" si="170"/>
        <v>339.47368421052875</v>
      </c>
      <c r="V1106">
        <f t="shared" si="171"/>
        <v>5</v>
      </c>
    </row>
    <row r="1107" spans="1:22" x14ac:dyDescent="0.25">
      <c r="A1107">
        <v>123</v>
      </c>
      <c r="B1107">
        <v>8</v>
      </c>
      <c r="C1107">
        <v>45</v>
      </c>
      <c r="D1107">
        <v>1</v>
      </c>
      <c r="E1107">
        <v>1</v>
      </c>
      <c r="F1107">
        <v>0</v>
      </c>
      <c r="G1107">
        <v>1</v>
      </c>
      <c r="H1107">
        <v>550</v>
      </c>
      <c r="I1107">
        <f t="shared" si="172"/>
        <v>1098</v>
      </c>
      <c r="J1107" s="6">
        <f t="array" aca="1" ref="J1107:N1107" ca="1">TRANSPOSE(ols(OFFSET($C$2:$C$10,I1107,0),OFFSET($D$2:$H$10,I1107,0)))</f>
        <v>98.035714285713766</v>
      </c>
      <c r="K1107" s="6">
        <f ca="1"/>
        <v>-1.4285714285717859</v>
      </c>
      <c r="L1107" s="6">
        <f ca="1"/>
        <v>-0.714285714286234</v>
      </c>
      <c r="M1107" s="6">
        <f ca="1"/>
        <v>-14.642857142856883</v>
      </c>
      <c r="N1107" s="6">
        <f ca="1"/>
        <v>-6.785714285714306E-2</v>
      </c>
      <c r="O1107" s="6">
        <f t="shared" ca="1" si="164"/>
        <v>44.642857142856414</v>
      </c>
      <c r="P1107" t="str">
        <f t="shared" si="165"/>
        <v>NA</v>
      </c>
      <c r="Q1107" s="10">
        <f t="shared" ca="1" si="166"/>
        <v>58.928571428570578</v>
      </c>
      <c r="R1107" s="10">
        <f t="shared" ca="1" si="167"/>
        <v>81.964285714285097</v>
      </c>
      <c r="S1107" s="10">
        <f t="shared" ca="1" si="168"/>
        <v>-23.035714285714519</v>
      </c>
      <c r="T1107" s="10">
        <f t="shared" ca="1" si="169"/>
        <v>339.47368421052875</v>
      </c>
      <c r="U1107" s="10">
        <f t="shared" ca="1" si="170"/>
        <v>339.47368421052875</v>
      </c>
      <c r="V1107">
        <f t="shared" si="171"/>
        <v>5</v>
      </c>
    </row>
    <row r="1108" spans="1:22" x14ac:dyDescent="0.25">
      <c r="A1108">
        <v>123</v>
      </c>
      <c r="B1108">
        <v>9</v>
      </c>
      <c r="C1108">
        <v>35</v>
      </c>
      <c r="D1108">
        <v>1</v>
      </c>
      <c r="E1108">
        <v>0</v>
      </c>
      <c r="F1108">
        <v>0</v>
      </c>
      <c r="G1108">
        <v>1</v>
      </c>
      <c r="H1108">
        <v>650</v>
      </c>
      <c r="I1108">
        <f t="shared" si="172"/>
        <v>1098</v>
      </c>
      <c r="J1108" s="6">
        <f t="array" aca="1" ref="J1108:N1108" ca="1">TRANSPOSE(ols(OFFSET($C$2:$C$10,I1108,0),OFFSET($D$2:$H$10,I1108,0)))</f>
        <v>98.035714285713766</v>
      </c>
      <c r="K1108" s="6">
        <f ca="1"/>
        <v>-1.4285714285717859</v>
      </c>
      <c r="L1108" s="6">
        <f ca="1"/>
        <v>-0.714285714286234</v>
      </c>
      <c r="M1108" s="6">
        <f ca="1"/>
        <v>-14.642857142856883</v>
      </c>
      <c r="N1108" s="6">
        <f ca="1"/>
        <v>-6.785714285714306E-2</v>
      </c>
      <c r="O1108" s="6">
        <f t="shared" ca="1" si="164"/>
        <v>39.285714285713894</v>
      </c>
      <c r="P1108" t="str">
        <f t="shared" si="165"/>
        <v>NA</v>
      </c>
      <c r="Q1108" s="10">
        <f t="shared" ca="1" si="166"/>
        <v>58.928571428570578</v>
      </c>
      <c r="R1108" s="10">
        <f t="shared" ca="1" si="167"/>
        <v>83.392857142856883</v>
      </c>
      <c r="S1108" s="10">
        <f t="shared" ca="1" si="168"/>
        <v>-24.464285714286305</v>
      </c>
      <c r="T1108" s="10">
        <f t="shared" ca="1" si="169"/>
        <v>360.52631578948132</v>
      </c>
      <c r="U1108" s="10">
        <f t="shared" ca="1" si="170"/>
        <v>360.52631578948132</v>
      </c>
      <c r="V1108">
        <f t="shared" si="171"/>
        <v>4</v>
      </c>
    </row>
    <row r="1109" spans="1:22" x14ac:dyDescent="0.25">
      <c r="A1109">
        <v>124</v>
      </c>
      <c r="B1109">
        <v>1</v>
      </c>
      <c r="C1109">
        <v>5</v>
      </c>
      <c r="D1109">
        <v>1</v>
      </c>
      <c r="E1109">
        <v>0</v>
      </c>
      <c r="F1109">
        <v>1</v>
      </c>
      <c r="G1109">
        <v>0</v>
      </c>
      <c r="H1109">
        <v>250</v>
      </c>
      <c r="I1109">
        <f t="shared" si="172"/>
        <v>1107</v>
      </c>
      <c r="J1109" s="6">
        <f t="array" aca="1" ref="J1109:N1109" ca="1">TRANSPOSE(ols(OFFSET($C$2:$C$10,I1109,0),OFFSET($D$2:$H$10,I1109,0)))</f>
        <v>79.523809523808723</v>
      </c>
      <c r="K1109" s="6">
        <f ca="1"/>
        <v>-19.285714285714221</v>
      </c>
      <c r="L1109" s="6">
        <f ca="1"/>
        <v>-50.476190476190368</v>
      </c>
      <c r="M1109" s="6">
        <f ca="1"/>
        <v>-4.7619047619047024</v>
      </c>
      <c r="N1109" s="6">
        <f ca="1"/>
        <v>-6.1904761904761685E-2</v>
      </c>
      <c r="O1109" s="6">
        <f t="shared" ca="1" si="164"/>
        <v>13.571428571427933</v>
      </c>
      <c r="P1109" t="str">
        <f t="shared" si="165"/>
        <v>NA</v>
      </c>
      <c r="Q1109" s="10">
        <f t="shared" ca="1" si="166"/>
        <v>2.6190476190470626</v>
      </c>
      <c r="R1109" s="10">
        <f t="shared" ca="1" si="167"/>
        <v>29.047619047618355</v>
      </c>
      <c r="S1109" s="10">
        <f t="shared" ca="1" si="168"/>
        <v>-26.428571428571292</v>
      </c>
      <c r="T1109" s="10">
        <f t="shared" ca="1" si="169"/>
        <v>426.92307692307622</v>
      </c>
      <c r="U1109" s="10">
        <f t="shared" ca="1" si="170"/>
        <v>426.92307692307622</v>
      </c>
      <c r="V1109">
        <f t="shared" si="171"/>
        <v>3</v>
      </c>
    </row>
    <row r="1110" spans="1:22" x14ac:dyDescent="0.25">
      <c r="A1110">
        <v>124</v>
      </c>
      <c r="B1110">
        <v>2</v>
      </c>
      <c r="C1110">
        <v>40</v>
      </c>
      <c r="D1110">
        <v>1</v>
      </c>
      <c r="E1110">
        <v>1</v>
      </c>
      <c r="F1110">
        <v>0</v>
      </c>
      <c r="G1110">
        <v>0</v>
      </c>
      <c r="H1110">
        <v>350</v>
      </c>
      <c r="I1110">
        <f t="shared" si="172"/>
        <v>1107</v>
      </c>
      <c r="J1110" s="6">
        <f t="array" aca="1" ref="J1110:N1110" ca="1">TRANSPOSE(ols(OFFSET($C$2:$C$10,I1110,0),OFFSET($D$2:$H$10,I1110,0)))</f>
        <v>79.523809523808723</v>
      </c>
      <c r="K1110" s="6">
        <f ca="1"/>
        <v>-19.285714285714221</v>
      </c>
      <c r="L1110" s="6">
        <f ca="1"/>
        <v>-50.476190476190368</v>
      </c>
      <c r="M1110" s="6">
        <f ca="1"/>
        <v>-4.7619047619047024</v>
      </c>
      <c r="N1110" s="6">
        <f ca="1"/>
        <v>-6.1904761904761685E-2</v>
      </c>
      <c r="O1110" s="6">
        <f t="shared" ca="1" si="164"/>
        <v>38.571428571427916</v>
      </c>
      <c r="P1110" t="str">
        <f t="shared" si="165"/>
        <v>NA</v>
      </c>
      <c r="Q1110" s="10">
        <f t="shared" ca="1" si="166"/>
        <v>2.6190476190470626</v>
      </c>
      <c r="R1110" s="10">
        <f t="shared" ca="1" si="167"/>
        <v>60.238095238094502</v>
      </c>
      <c r="S1110" s="10">
        <f t="shared" ca="1" si="168"/>
        <v>-57.619047619047436</v>
      </c>
      <c r="T1110" s="10">
        <f t="shared" ca="1" si="169"/>
        <v>930.76923076923106</v>
      </c>
      <c r="U1110" s="10" t="str">
        <f t="shared" ca="1" si="170"/>
        <v>OR</v>
      </c>
      <c r="V1110">
        <f t="shared" si="171"/>
        <v>2</v>
      </c>
    </row>
    <row r="1111" spans="1:22" x14ac:dyDescent="0.25">
      <c r="A1111">
        <v>124</v>
      </c>
      <c r="B1111">
        <v>3</v>
      </c>
      <c r="C1111">
        <v>40</v>
      </c>
      <c r="D1111">
        <v>1</v>
      </c>
      <c r="E1111">
        <v>1</v>
      </c>
      <c r="F1111">
        <v>0</v>
      </c>
      <c r="G1111">
        <v>0</v>
      </c>
      <c r="H1111">
        <v>450</v>
      </c>
      <c r="I1111">
        <f t="shared" si="172"/>
        <v>1107</v>
      </c>
      <c r="J1111" s="6">
        <f t="array" aca="1" ref="J1111:N1111" ca="1">TRANSPOSE(ols(OFFSET($C$2:$C$10,I1111,0),OFFSET($D$2:$H$10,I1111,0)))</f>
        <v>79.523809523808723</v>
      </c>
      <c r="K1111" s="6">
        <f ca="1"/>
        <v>-19.285714285714221</v>
      </c>
      <c r="L1111" s="6">
        <f ca="1"/>
        <v>-50.476190476190368</v>
      </c>
      <c r="M1111" s="6">
        <f ca="1"/>
        <v>-4.7619047619047024</v>
      </c>
      <c r="N1111" s="6">
        <f ca="1"/>
        <v>-6.1904761904761685E-2</v>
      </c>
      <c r="O1111" s="6">
        <f t="shared" ca="1" si="164"/>
        <v>32.38095238095174</v>
      </c>
      <c r="P1111" t="str">
        <f t="shared" si="165"/>
        <v>NA</v>
      </c>
      <c r="Q1111" s="10">
        <f t="shared" ca="1" si="166"/>
        <v>2.6190476190470626</v>
      </c>
      <c r="R1111" s="10">
        <f t="shared" ca="1" si="167"/>
        <v>60.238095238094502</v>
      </c>
      <c r="S1111" s="10">
        <f t="shared" ca="1" si="168"/>
        <v>-57.619047619047436</v>
      </c>
      <c r="T1111" s="10">
        <f t="shared" ca="1" si="169"/>
        <v>930.76923076923106</v>
      </c>
      <c r="U1111" s="10" t="str">
        <f t="shared" ca="1" si="170"/>
        <v>OR</v>
      </c>
      <c r="V1111">
        <f t="shared" si="171"/>
        <v>2</v>
      </c>
    </row>
    <row r="1112" spans="1:22" x14ac:dyDescent="0.25">
      <c r="A1112">
        <v>124</v>
      </c>
      <c r="B1112">
        <v>4</v>
      </c>
      <c r="C1112">
        <v>45</v>
      </c>
      <c r="D1112">
        <v>1</v>
      </c>
      <c r="E1112">
        <v>0</v>
      </c>
      <c r="F1112">
        <v>0</v>
      </c>
      <c r="G1112">
        <v>0</v>
      </c>
      <c r="H1112">
        <v>550</v>
      </c>
      <c r="I1112">
        <f t="shared" si="172"/>
        <v>1107</v>
      </c>
      <c r="J1112" s="6">
        <f t="array" aca="1" ref="J1112:N1112" ca="1">TRANSPOSE(ols(OFFSET($C$2:$C$10,I1112,0),OFFSET($D$2:$H$10,I1112,0)))</f>
        <v>79.523809523808723</v>
      </c>
      <c r="K1112" s="6">
        <f ca="1"/>
        <v>-19.285714285714221</v>
      </c>
      <c r="L1112" s="6">
        <f ca="1"/>
        <v>-50.476190476190368</v>
      </c>
      <c r="M1112" s="6">
        <f ca="1"/>
        <v>-4.7619047619047024</v>
      </c>
      <c r="N1112" s="6">
        <f ca="1"/>
        <v>-6.1904761904761685E-2</v>
      </c>
      <c r="O1112" s="6">
        <f t="shared" ca="1" si="164"/>
        <v>45.476190476189799</v>
      </c>
      <c r="P1112" t="str">
        <f t="shared" si="165"/>
        <v>NA</v>
      </c>
      <c r="Q1112" s="10">
        <f t="shared" ca="1" si="166"/>
        <v>2.6190476190470626</v>
      </c>
      <c r="R1112" s="10">
        <f t="shared" ca="1" si="167"/>
        <v>79.523809523808723</v>
      </c>
      <c r="S1112" s="10">
        <f t="shared" ca="1" si="168"/>
        <v>-76.904761904761656</v>
      </c>
      <c r="T1112" s="10">
        <f t="shared" ca="1" si="169"/>
        <v>1242.3076923076926</v>
      </c>
      <c r="U1112" s="10" t="str">
        <f t="shared" ca="1" si="170"/>
        <v>OR</v>
      </c>
      <c r="V1112">
        <f t="shared" si="171"/>
        <v>1</v>
      </c>
    </row>
    <row r="1113" spans="1:22" x14ac:dyDescent="0.25">
      <c r="A1113">
        <v>124</v>
      </c>
      <c r="B1113">
        <v>5</v>
      </c>
      <c r="C1113">
        <v>10</v>
      </c>
      <c r="D1113">
        <v>1</v>
      </c>
      <c r="E1113">
        <v>0</v>
      </c>
      <c r="F1113">
        <v>1</v>
      </c>
      <c r="G1113">
        <v>1</v>
      </c>
      <c r="H1113">
        <v>250</v>
      </c>
      <c r="I1113">
        <f t="shared" si="172"/>
        <v>1107</v>
      </c>
      <c r="J1113" s="6">
        <f t="array" aca="1" ref="J1113:N1113" ca="1">TRANSPOSE(ols(OFFSET($C$2:$C$10,I1113,0),OFFSET($D$2:$H$10,I1113,0)))</f>
        <v>79.523809523808723</v>
      </c>
      <c r="K1113" s="6">
        <f ca="1"/>
        <v>-19.285714285714221</v>
      </c>
      <c r="L1113" s="6">
        <f ca="1"/>
        <v>-50.476190476190368</v>
      </c>
      <c r="M1113" s="6">
        <f ca="1"/>
        <v>-4.7619047619047024</v>
      </c>
      <c r="N1113" s="6">
        <f ca="1"/>
        <v>-6.1904761904761685E-2</v>
      </c>
      <c r="O1113" s="6">
        <f t="shared" ca="1" si="164"/>
        <v>8.8095238095232311</v>
      </c>
      <c r="P1113" t="str">
        <f t="shared" si="165"/>
        <v>NA</v>
      </c>
      <c r="Q1113" s="10">
        <f t="shared" ca="1" si="166"/>
        <v>2.6190476190470626</v>
      </c>
      <c r="R1113" s="10">
        <f t="shared" ca="1" si="167"/>
        <v>24.285714285713652</v>
      </c>
      <c r="S1113" s="10">
        <f t="shared" ca="1" si="168"/>
        <v>-21.66666666666659</v>
      </c>
      <c r="T1113" s="10">
        <f t="shared" ca="1" si="169"/>
        <v>350</v>
      </c>
      <c r="U1113" s="10">
        <f t="shared" ca="1" si="170"/>
        <v>350</v>
      </c>
      <c r="V1113">
        <f t="shared" si="171"/>
        <v>6</v>
      </c>
    </row>
    <row r="1114" spans="1:22" x14ac:dyDescent="0.25">
      <c r="A1114">
        <v>124</v>
      </c>
      <c r="B1114">
        <v>6</v>
      </c>
      <c r="C1114">
        <v>10</v>
      </c>
      <c r="D1114">
        <v>1</v>
      </c>
      <c r="E1114">
        <v>0</v>
      </c>
      <c r="F1114">
        <v>1</v>
      </c>
      <c r="G1114">
        <v>1</v>
      </c>
      <c r="H1114">
        <v>350</v>
      </c>
      <c r="I1114">
        <f t="shared" si="172"/>
        <v>1107</v>
      </c>
      <c r="J1114" s="6">
        <f t="array" aca="1" ref="J1114:N1114" ca="1">TRANSPOSE(ols(OFFSET($C$2:$C$10,I1114,0),OFFSET($D$2:$H$10,I1114,0)))</f>
        <v>79.523809523808723</v>
      </c>
      <c r="K1114" s="6">
        <f ca="1"/>
        <v>-19.285714285714221</v>
      </c>
      <c r="L1114" s="6">
        <f ca="1"/>
        <v>-50.476190476190368</v>
      </c>
      <c r="M1114" s="6">
        <f ca="1"/>
        <v>-4.7619047619047024</v>
      </c>
      <c r="N1114" s="6">
        <f ca="1"/>
        <v>-6.1904761904761685E-2</v>
      </c>
      <c r="O1114" s="6">
        <f t="shared" ca="1" si="164"/>
        <v>2.6190476190470626</v>
      </c>
      <c r="P1114">
        <f t="shared" ca="1" si="165"/>
        <v>2.6190476190470626</v>
      </c>
      <c r="Q1114" s="10">
        <f t="shared" ca="1" si="166"/>
        <v>2.6190476190470626</v>
      </c>
      <c r="R1114" s="10">
        <f t="shared" ca="1" si="167"/>
        <v>24.285714285713652</v>
      </c>
      <c r="S1114" s="10">
        <f t="shared" ca="1" si="168"/>
        <v>-21.66666666666659</v>
      </c>
      <c r="T1114" s="10">
        <f t="shared" ca="1" si="169"/>
        <v>350</v>
      </c>
      <c r="U1114" s="10">
        <f t="shared" ca="1" si="170"/>
        <v>350</v>
      </c>
      <c r="V1114">
        <f t="shared" si="171"/>
        <v>6</v>
      </c>
    </row>
    <row r="1115" spans="1:22" x14ac:dyDescent="0.25">
      <c r="A1115">
        <v>124</v>
      </c>
      <c r="B1115">
        <v>7</v>
      </c>
      <c r="C1115">
        <v>25</v>
      </c>
      <c r="D1115">
        <v>1</v>
      </c>
      <c r="E1115">
        <v>1</v>
      </c>
      <c r="F1115">
        <v>0</v>
      </c>
      <c r="G1115">
        <v>1</v>
      </c>
      <c r="H1115">
        <v>450</v>
      </c>
      <c r="I1115">
        <f t="shared" si="172"/>
        <v>1107</v>
      </c>
      <c r="J1115" s="6">
        <f t="array" aca="1" ref="J1115:N1115" ca="1">TRANSPOSE(ols(OFFSET($C$2:$C$10,I1115,0),OFFSET($D$2:$H$10,I1115,0)))</f>
        <v>79.523809523808723</v>
      </c>
      <c r="K1115" s="6">
        <f ca="1"/>
        <v>-19.285714285714221</v>
      </c>
      <c r="L1115" s="6">
        <f ca="1"/>
        <v>-50.476190476190368</v>
      </c>
      <c r="M1115" s="6">
        <f ca="1"/>
        <v>-4.7619047619047024</v>
      </c>
      <c r="N1115" s="6">
        <f ca="1"/>
        <v>-6.1904761904761685E-2</v>
      </c>
      <c r="O1115" s="6">
        <f t="shared" ca="1" si="164"/>
        <v>27.619047619047041</v>
      </c>
      <c r="P1115" t="str">
        <f t="shared" si="165"/>
        <v>NA</v>
      </c>
      <c r="Q1115" s="10">
        <f t="shared" ca="1" si="166"/>
        <v>2.6190476190470626</v>
      </c>
      <c r="R1115" s="10">
        <f t="shared" ca="1" si="167"/>
        <v>55.476190476189799</v>
      </c>
      <c r="S1115" s="10">
        <f t="shared" ca="1" si="168"/>
        <v>-52.857142857142733</v>
      </c>
      <c r="T1115" s="10">
        <f t="shared" ca="1" si="169"/>
        <v>853.84615384615483</v>
      </c>
      <c r="U1115" s="10" t="str">
        <f t="shared" ca="1" si="170"/>
        <v>OR</v>
      </c>
      <c r="V1115">
        <f t="shared" si="171"/>
        <v>5</v>
      </c>
    </row>
    <row r="1116" spans="1:22" x14ac:dyDescent="0.25">
      <c r="A1116">
        <v>124</v>
      </c>
      <c r="B1116">
        <v>8</v>
      </c>
      <c r="C1116">
        <v>15</v>
      </c>
      <c r="D1116">
        <v>1</v>
      </c>
      <c r="E1116">
        <v>1</v>
      </c>
      <c r="F1116">
        <v>0</v>
      </c>
      <c r="G1116">
        <v>1</v>
      </c>
      <c r="H1116">
        <v>550</v>
      </c>
      <c r="I1116">
        <f t="shared" si="172"/>
        <v>1107</v>
      </c>
      <c r="J1116" s="6">
        <f t="array" aca="1" ref="J1116:N1116" ca="1">TRANSPOSE(ols(OFFSET($C$2:$C$10,I1116,0),OFFSET($D$2:$H$10,I1116,0)))</f>
        <v>79.523809523808723</v>
      </c>
      <c r="K1116" s="6">
        <f ca="1"/>
        <v>-19.285714285714221</v>
      </c>
      <c r="L1116" s="6">
        <f ca="1"/>
        <v>-50.476190476190368</v>
      </c>
      <c r="M1116" s="6">
        <f ca="1"/>
        <v>-4.7619047619047024</v>
      </c>
      <c r="N1116" s="6">
        <f ca="1"/>
        <v>-6.1904761904761685E-2</v>
      </c>
      <c r="O1116" s="6">
        <f t="shared" ca="1" si="164"/>
        <v>21.428571428570876</v>
      </c>
      <c r="P1116" t="str">
        <f t="shared" si="165"/>
        <v>NA</v>
      </c>
      <c r="Q1116" s="10">
        <f t="shared" ca="1" si="166"/>
        <v>2.6190476190470626</v>
      </c>
      <c r="R1116" s="10">
        <f t="shared" ca="1" si="167"/>
        <v>55.476190476189799</v>
      </c>
      <c r="S1116" s="10">
        <f t="shared" ca="1" si="168"/>
        <v>-52.857142857142733</v>
      </c>
      <c r="T1116" s="10">
        <f t="shared" ca="1" si="169"/>
        <v>853.84615384615483</v>
      </c>
      <c r="U1116" s="10" t="str">
        <f t="shared" ca="1" si="170"/>
        <v>OR</v>
      </c>
      <c r="V1116">
        <f t="shared" si="171"/>
        <v>5</v>
      </c>
    </row>
    <row r="1117" spans="1:22" x14ac:dyDescent="0.25">
      <c r="A1117">
        <v>124</v>
      </c>
      <c r="B1117">
        <v>9</v>
      </c>
      <c r="C1117">
        <v>35</v>
      </c>
      <c r="D1117">
        <v>1</v>
      </c>
      <c r="E1117">
        <v>0</v>
      </c>
      <c r="F1117">
        <v>0</v>
      </c>
      <c r="G1117">
        <v>1</v>
      </c>
      <c r="H1117">
        <v>650</v>
      </c>
      <c r="I1117">
        <f t="shared" si="172"/>
        <v>1107</v>
      </c>
      <c r="J1117" s="6">
        <f t="array" aca="1" ref="J1117:N1117" ca="1">TRANSPOSE(ols(OFFSET($C$2:$C$10,I1117,0),OFFSET($D$2:$H$10,I1117,0)))</f>
        <v>79.523809523808723</v>
      </c>
      <c r="K1117" s="6">
        <f ca="1"/>
        <v>-19.285714285714221</v>
      </c>
      <c r="L1117" s="6">
        <f ca="1"/>
        <v>-50.476190476190368</v>
      </c>
      <c r="M1117" s="6">
        <f ca="1"/>
        <v>-4.7619047619047024</v>
      </c>
      <c r="N1117" s="6">
        <f ca="1"/>
        <v>-6.1904761904761685E-2</v>
      </c>
      <c r="O1117" s="6">
        <f t="shared" ca="1" si="164"/>
        <v>34.523809523808922</v>
      </c>
      <c r="P1117" t="str">
        <f t="shared" si="165"/>
        <v>NA</v>
      </c>
      <c r="Q1117" s="10">
        <f t="shared" ca="1" si="166"/>
        <v>2.6190476190470626</v>
      </c>
      <c r="R1117" s="10">
        <f t="shared" ca="1" si="167"/>
        <v>74.76190476190402</v>
      </c>
      <c r="S1117" s="10">
        <f t="shared" ca="1" si="168"/>
        <v>-72.142857142856954</v>
      </c>
      <c r="T1117" s="10">
        <f t="shared" ca="1" si="169"/>
        <v>1165.3846153846164</v>
      </c>
      <c r="U1117" s="10" t="str">
        <f t="shared" ca="1" si="170"/>
        <v>OR</v>
      </c>
      <c r="V1117">
        <f t="shared" si="171"/>
        <v>4</v>
      </c>
    </row>
    <row r="1118" spans="1:22" x14ac:dyDescent="0.25">
      <c r="A1118">
        <v>125</v>
      </c>
      <c r="B1118">
        <v>1</v>
      </c>
      <c r="C1118">
        <v>65</v>
      </c>
      <c r="D1118">
        <v>1</v>
      </c>
      <c r="E1118">
        <v>0</v>
      </c>
      <c r="F1118">
        <v>1</v>
      </c>
      <c r="G1118">
        <v>0</v>
      </c>
      <c r="H1118">
        <v>250</v>
      </c>
      <c r="I1118">
        <f t="shared" si="172"/>
        <v>1116</v>
      </c>
      <c r="J1118" s="6">
        <f t="array" aca="1" ref="J1118:N1118" ca="1">TRANSPOSE(ols(OFFSET($C$2:$C$10,I1118,0),OFFSET($D$2:$H$10,I1118,0)))</f>
        <v>141.30952380952385</v>
      </c>
      <c r="K1118" s="6">
        <f ca="1"/>
        <v>-30.714285714285552</v>
      </c>
      <c r="L1118" s="6">
        <f ca="1"/>
        <v>-36.190476190476147</v>
      </c>
      <c r="M1118" s="6">
        <f ca="1"/>
        <v>8.095238095238301</v>
      </c>
      <c r="N1118" s="6">
        <f ca="1"/>
        <v>-0.15476190476190688</v>
      </c>
      <c r="O1118" s="6">
        <f t="shared" ca="1" si="164"/>
        <v>66.42857142857099</v>
      </c>
      <c r="P1118" t="str">
        <f t="shared" si="165"/>
        <v>NA</v>
      </c>
      <c r="Q1118" s="10">
        <f t="shared" ca="1" si="166"/>
        <v>59.047619047618596</v>
      </c>
      <c r="R1118" s="10">
        <f t="shared" ca="1" si="167"/>
        <v>105.11904761904771</v>
      </c>
      <c r="S1118" s="10">
        <f t="shared" ca="1" si="168"/>
        <v>-46.071428571429109</v>
      </c>
      <c r="T1118" s="10">
        <f t="shared" ca="1" si="169"/>
        <v>297.69230769230711</v>
      </c>
      <c r="U1118" s="10">
        <f t="shared" ca="1" si="170"/>
        <v>297.69230769230711</v>
      </c>
      <c r="V1118">
        <f t="shared" si="171"/>
        <v>3</v>
      </c>
    </row>
    <row r="1119" spans="1:22" x14ac:dyDescent="0.25">
      <c r="A1119">
        <v>125</v>
      </c>
      <c r="B1119">
        <v>2</v>
      </c>
      <c r="C1119">
        <v>55</v>
      </c>
      <c r="D1119">
        <v>1</v>
      </c>
      <c r="E1119">
        <v>1</v>
      </c>
      <c r="F1119">
        <v>0</v>
      </c>
      <c r="G1119">
        <v>0</v>
      </c>
      <c r="H1119">
        <v>350</v>
      </c>
      <c r="I1119">
        <f t="shared" si="172"/>
        <v>1116</v>
      </c>
      <c r="J1119" s="6">
        <f t="array" aca="1" ref="J1119:N1119" ca="1">TRANSPOSE(ols(OFFSET($C$2:$C$10,I1119,0),OFFSET($D$2:$H$10,I1119,0)))</f>
        <v>141.30952380952385</v>
      </c>
      <c r="K1119" s="6">
        <f ca="1"/>
        <v>-30.714285714285552</v>
      </c>
      <c r="L1119" s="6">
        <f ca="1"/>
        <v>-36.190476190476147</v>
      </c>
      <c r="M1119" s="6">
        <f ca="1"/>
        <v>8.095238095238301</v>
      </c>
      <c r="N1119" s="6">
        <f ca="1"/>
        <v>-0.15476190476190688</v>
      </c>
      <c r="O1119" s="6">
        <f t="shared" ca="1" si="164"/>
        <v>56.428571428570891</v>
      </c>
      <c r="P1119" t="str">
        <f t="shared" si="165"/>
        <v>NA</v>
      </c>
      <c r="Q1119" s="10">
        <f t="shared" ca="1" si="166"/>
        <v>59.047619047618596</v>
      </c>
      <c r="R1119" s="10">
        <f t="shared" ca="1" si="167"/>
        <v>110.5952380952383</v>
      </c>
      <c r="S1119" s="10">
        <f t="shared" ca="1" si="168"/>
        <v>-51.547619047619705</v>
      </c>
      <c r="T1119" s="10">
        <f t="shared" ca="1" si="169"/>
        <v>333.07692307692275</v>
      </c>
      <c r="U1119" s="10">
        <f t="shared" ca="1" si="170"/>
        <v>333.07692307692275</v>
      </c>
      <c r="V1119">
        <f t="shared" si="171"/>
        <v>2</v>
      </c>
    </row>
    <row r="1120" spans="1:22" x14ac:dyDescent="0.25">
      <c r="A1120">
        <v>125</v>
      </c>
      <c r="B1120">
        <v>3</v>
      </c>
      <c r="C1120">
        <v>45</v>
      </c>
      <c r="D1120">
        <v>1</v>
      </c>
      <c r="E1120">
        <v>1</v>
      </c>
      <c r="F1120">
        <v>0</v>
      </c>
      <c r="G1120">
        <v>0</v>
      </c>
      <c r="H1120">
        <v>450</v>
      </c>
      <c r="I1120">
        <f t="shared" si="172"/>
        <v>1116</v>
      </c>
      <c r="J1120" s="6">
        <f t="array" aca="1" ref="J1120:N1120" ca="1">TRANSPOSE(ols(OFFSET($C$2:$C$10,I1120,0),OFFSET($D$2:$H$10,I1120,0)))</f>
        <v>141.30952380952385</v>
      </c>
      <c r="K1120" s="6">
        <f ca="1"/>
        <v>-30.714285714285552</v>
      </c>
      <c r="L1120" s="6">
        <f ca="1"/>
        <v>-36.190476190476147</v>
      </c>
      <c r="M1120" s="6">
        <f ca="1"/>
        <v>8.095238095238301</v>
      </c>
      <c r="N1120" s="6">
        <f ca="1"/>
        <v>-0.15476190476190688</v>
      </c>
      <c r="O1120" s="6">
        <f t="shared" ca="1" si="164"/>
        <v>40.95238095238021</v>
      </c>
      <c r="P1120" t="str">
        <f t="shared" si="165"/>
        <v>NA</v>
      </c>
      <c r="Q1120" s="10">
        <f t="shared" ca="1" si="166"/>
        <v>59.047619047618596</v>
      </c>
      <c r="R1120" s="10">
        <f t="shared" ca="1" si="167"/>
        <v>110.5952380952383</v>
      </c>
      <c r="S1120" s="10">
        <f t="shared" ca="1" si="168"/>
        <v>-51.547619047619705</v>
      </c>
      <c r="T1120" s="10">
        <f t="shared" ca="1" si="169"/>
        <v>333.07692307692275</v>
      </c>
      <c r="U1120" s="10">
        <f t="shared" ca="1" si="170"/>
        <v>333.07692307692275</v>
      </c>
      <c r="V1120">
        <f t="shared" si="171"/>
        <v>2</v>
      </c>
    </row>
    <row r="1121" spans="1:22" x14ac:dyDescent="0.25">
      <c r="A1121">
        <v>125</v>
      </c>
      <c r="B1121">
        <v>4</v>
      </c>
      <c r="C1121">
        <v>55</v>
      </c>
      <c r="D1121">
        <v>1</v>
      </c>
      <c r="E1121">
        <v>0</v>
      </c>
      <c r="F1121">
        <v>0</v>
      </c>
      <c r="G1121">
        <v>0</v>
      </c>
      <c r="H1121">
        <v>550</v>
      </c>
      <c r="I1121">
        <f t="shared" si="172"/>
        <v>1116</v>
      </c>
      <c r="J1121" s="6">
        <f t="array" aca="1" ref="J1121:N1121" ca="1">TRANSPOSE(ols(OFFSET($C$2:$C$10,I1121,0),OFFSET($D$2:$H$10,I1121,0)))</f>
        <v>141.30952380952385</v>
      </c>
      <c r="K1121" s="6">
        <f ca="1"/>
        <v>-30.714285714285552</v>
      </c>
      <c r="L1121" s="6">
        <f ca="1"/>
        <v>-36.190476190476147</v>
      </c>
      <c r="M1121" s="6">
        <f ca="1"/>
        <v>8.095238095238301</v>
      </c>
      <c r="N1121" s="6">
        <f ca="1"/>
        <v>-0.15476190476190688</v>
      </c>
      <c r="O1121" s="6">
        <f t="shared" ca="1" si="164"/>
        <v>56.190476190475067</v>
      </c>
      <c r="P1121" t="str">
        <f t="shared" si="165"/>
        <v>NA</v>
      </c>
      <c r="Q1121" s="10">
        <f t="shared" ca="1" si="166"/>
        <v>59.047619047618596</v>
      </c>
      <c r="R1121" s="10">
        <f t="shared" ca="1" si="167"/>
        <v>141.30952380952385</v>
      </c>
      <c r="S1121" s="10">
        <f t="shared" ca="1" si="168"/>
        <v>-82.261904761905257</v>
      </c>
      <c r="T1121" s="10">
        <f t="shared" ca="1" si="169"/>
        <v>531.53846153845745</v>
      </c>
      <c r="U1121" s="10">
        <f t="shared" ca="1" si="170"/>
        <v>531.53846153845745</v>
      </c>
      <c r="V1121">
        <f t="shared" si="171"/>
        <v>1</v>
      </c>
    </row>
    <row r="1122" spans="1:22" x14ac:dyDescent="0.25">
      <c r="A1122">
        <v>125</v>
      </c>
      <c r="B1122">
        <v>5</v>
      </c>
      <c r="C1122">
        <v>80</v>
      </c>
      <c r="D1122">
        <v>1</v>
      </c>
      <c r="E1122">
        <v>0</v>
      </c>
      <c r="F1122">
        <v>1</v>
      </c>
      <c r="G1122">
        <v>1</v>
      </c>
      <c r="H1122">
        <v>250</v>
      </c>
      <c r="I1122">
        <f t="shared" si="172"/>
        <v>1116</v>
      </c>
      <c r="J1122" s="6">
        <f t="array" aca="1" ref="J1122:N1122" ca="1">TRANSPOSE(ols(OFFSET($C$2:$C$10,I1122,0),OFFSET($D$2:$H$10,I1122,0)))</f>
        <v>141.30952380952385</v>
      </c>
      <c r="K1122" s="6">
        <f ca="1"/>
        <v>-30.714285714285552</v>
      </c>
      <c r="L1122" s="6">
        <f ca="1"/>
        <v>-36.190476190476147</v>
      </c>
      <c r="M1122" s="6">
        <f ca="1"/>
        <v>8.095238095238301</v>
      </c>
      <c r="N1122" s="6">
        <f ca="1"/>
        <v>-0.15476190476190688</v>
      </c>
      <c r="O1122" s="6">
        <f t="shared" ca="1" si="164"/>
        <v>74.523809523809291</v>
      </c>
      <c r="P1122" t="str">
        <f t="shared" si="165"/>
        <v>NA</v>
      </c>
      <c r="Q1122" s="10">
        <f t="shared" ca="1" si="166"/>
        <v>59.047619047618596</v>
      </c>
      <c r="R1122" s="10">
        <f t="shared" ca="1" si="167"/>
        <v>113.21428571428601</v>
      </c>
      <c r="S1122" s="10">
        <f t="shared" ca="1" si="168"/>
        <v>-54.16666666666741</v>
      </c>
      <c r="T1122" s="10">
        <f t="shared" ca="1" si="169"/>
        <v>350</v>
      </c>
      <c r="U1122" s="10">
        <f t="shared" ca="1" si="170"/>
        <v>350</v>
      </c>
      <c r="V1122">
        <f t="shared" si="171"/>
        <v>6</v>
      </c>
    </row>
    <row r="1123" spans="1:22" x14ac:dyDescent="0.25">
      <c r="A1123">
        <v>125</v>
      </c>
      <c r="B1123">
        <v>6</v>
      </c>
      <c r="C1123">
        <v>55</v>
      </c>
      <c r="D1123">
        <v>1</v>
      </c>
      <c r="E1123">
        <v>0</v>
      </c>
      <c r="F1123">
        <v>1</v>
      </c>
      <c r="G1123">
        <v>1</v>
      </c>
      <c r="H1123">
        <v>350</v>
      </c>
      <c r="I1123">
        <f t="shared" si="172"/>
        <v>1116</v>
      </c>
      <c r="J1123" s="6">
        <f t="array" aca="1" ref="J1123:N1123" ca="1">TRANSPOSE(ols(OFFSET($C$2:$C$10,I1123,0),OFFSET($D$2:$H$10,I1123,0)))</f>
        <v>141.30952380952385</v>
      </c>
      <c r="K1123" s="6">
        <f ca="1"/>
        <v>-30.714285714285552</v>
      </c>
      <c r="L1123" s="6">
        <f ca="1"/>
        <v>-36.190476190476147</v>
      </c>
      <c r="M1123" s="6">
        <f ca="1"/>
        <v>8.095238095238301</v>
      </c>
      <c r="N1123" s="6">
        <f ca="1"/>
        <v>-0.15476190476190688</v>
      </c>
      <c r="O1123" s="6">
        <f t="shared" ca="1" si="164"/>
        <v>59.047619047618596</v>
      </c>
      <c r="P1123">
        <f t="shared" ca="1" si="165"/>
        <v>59.047619047618596</v>
      </c>
      <c r="Q1123" s="10">
        <f t="shared" ca="1" si="166"/>
        <v>59.047619047618596</v>
      </c>
      <c r="R1123" s="10">
        <f t="shared" ca="1" si="167"/>
        <v>113.21428571428601</v>
      </c>
      <c r="S1123" s="10">
        <f t="shared" ca="1" si="168"/>
        <v>-54.16666666666741</v>
      </c>
      <c r="T1123" s="10">
        <f t="shared" ca="1" si="169"/>
        <v>350</v>
      </c>
      <c r="U1123" s="10">
        <f t="shared" ca="1" si="170"/>
        <v>350</v>
      </c>
      <c r="V1123">
        <f t="shared" si="171"/>
        <v>6</v>
      </c>
    </row>
    <row r="1124" spans="1:22" x14ac:dyDescent="0.25">
      <c r="A1124">
        <v>125</v>
      </c>
      <c r="B1124">
        <v>7</v>
      </c>
      <c r="C1124">
        <v>45</v>
      </c>
      <c r="D1124">
        <v>1</v>
      </c>
      <c r="E1124">
        <v>1</v>
      </c>
      <c r="F1124">
        <v>0</v>
      </c>
      <c r="G1124">
        <v>1</v>
      </c>
      <c r="H1124">
        <v>450</v>
      </c>
      <c r="I1124">
        <f t="shared" si="172"/>
        <v>1116</v>
      </c>
      <c r="J1124" s="6">
        <f t="array" aca="1" ref="J1124:N1124" ca="1">TRANSPOSE(ols(OFFSET($C$2:$C$10,I1124,0),OFFSET($D$2:$H$10,I1124,0)))</f>
        <v>141.30952380952385</v>
      </c>
      <c r="K1124" s="6">
        <f ca="1"/>
        <v>-30.714285714285552</v>
      </c>
      <c r="L1124" s="6">
        <f ca="1"/>
        <v>-36.190476190476147</v>
      </c>
      <c r="M1124" s="6">
        <f ca="1"/>
        <v>8.095238095238301</v>
      </c>
      <c r="N1124" s="6">
        <f ca="1"/>
        <v>-0.15476190476190688</v>
      </c>
      <c r="O1124" s="6">
        <f t="shared" ca="1" si="164"/>
        <v>49.047619047618511</v>
      </c>
      <c r="P1124" t="str">
        <f t="shared" si="165"/>
        <v>NA</v>
      </c>
      <c r="Q1124" s="10">
        <f t="shared" ca="1" si="166"/>
        <v>59.047619047618596</v>
      </c>
      <c r="R1124" s="10">
        <f t="shared" ca="1" si="167"/>
        <v>118.6904761904766</v>
      </c>
      <c r="S1124" s="10">
        <f t="shared" ca="1" si="168"/>
        <v>-59.642857142858006</v>
      </c>
      <c r="T1124" s="10">
        <f t="shared" ca="1" si="169"/>
        <v>385.3846153846157</v>
      </c>
      <c r="U1124" s="10">
        <f t="shared" ca="1" si="170"/>
        <v>385.3846153846157</v>
      </c>
      <c r="V1124">
        <f t="shared" si="171"/>
        <v>5</v>
      </c>
    </row>
    <row r="1125" spans="1:22" x14ac:dyDescent="0.25">
      <c r="A1125">
        <v>125</v>
      </c>
      <c r="B1125">
        <v>8</v>
      </c>
      <c r="C1125">
        <v>35</v>
      </c>
      <c r="D1125">
        <v>1</v>
      </c>
      <c r="E1125">
        <v>1</v>
      </c>
      <c r="F1125">
        <v>0</v>
      </c>
      <c r="G1125">
        <v>1</v>
      </c>
      <c r="H1125">
        <v>550</v>
      </c>
      <c r="I1125">
        <f t="shared" si="172"/>
        <v>1116</v>
      </c>
      <c r="J1125" s="6">
        <f t="array" aca="1" ref="J1125:N1125" ca="1">TRANSPOSE(ols(OFFSET($C$2:$C$10,I1125,0),OFFSET($D$2:$H$10,I1125,0)))</f>
        <v>141.30952380952385</v>
      </c>
      <c r="K1125" s="6">
        <f ca="1"/>
        <v>-30.714285714285552</v>
      </c>
      <c r="L1125" s="6">
        <f ca="1"/>
        <v>-36.190476190476147</v>
      </c>
      <c r="M1125" s="6">
        <f ca="1"/>
        <v>8.095238095238301</v>
      </c>
      <c r="N1125" s="6">
        <f ca="1"/>
        <v>-0.15476190476190688</v>
      </c>
      <c r="O1125" s="6">
        <f t="shared" ca="1" si="164"/>
        <v>33.571428571427816</v>
      </c>
      <c r="P1125" t="str">
        <f t="shared" si="165"/>
        <v>NA</v>
      </c>
      <c r="Q1125" s="10">
        <f t="shared" ca="1" si="166"/>
        <v>59.047619047618596</v>
      </c>
      <c r="R1125" s="10">
        <f t="shared" ca="1" si="167"/>
        <v>118.6904761904766</v>
      </c>
      <c r="S1125" s="10">
        <f t="shared" ca="1" si="168"/>
        <v>-59.642857142858006</v>
      </c>
      <c r="T1125" s="10">
        <f t="shared" ca="1" si="169"/>
        <v>385.3846153846157</v>
      </c>
      <c r="U1125" s="10">
        <f t="shared" ca="1" si="170"/>
        <v>385.3846153846157</v>
      </c>
      <c r="V1125">
        <f t="shared" si="171"/>
        <v>5</v>
      </c>
    </row>
    <row r="1126" spans="1:22" x14ac:dyDescent="0.25">
      <c r="A1126">
        <v>125</v>
      </c>
      <c r="B1126">
        <v>9</v>
      </c>
      <c r="C1126">
        <v>50</v>
      </c>
      <c r="D1126">
        <v>1</v>
      </c>
      <c r="E1126">
        <v>0</v>
      </c>
      <c r="F1126">
        <v>0</v>
      </c>
      <c r="G1126">
        <v>1</v>
      </c>
      <c r="H1126">
        <v>650</v>
      </c>
      <c r="I1126">
        <f t="shared" si="172"/>
        <v>1116</v>
      </c>
      <c r="J1126" s="6">
        <f t="array" aca="1" ref="J1126:N1126" ca="1">TRANSPOSE(ols(OFFSET($C$2:$C$10,I1126,0),OFFSET($D$2:$H$10,I1126,0)))</f>
        <v>141.30952380952385</v>
      </c>
      <c r="K1126" s="6">
        <f ca="1"/>
        <v>-30.714285714285552</v>
      </c>
      <c r="L1126" s="6">
        <f ca="1"/>
        <v>-36.190476190476147</v>
      </c>
      <c r="M1126" s="6">
        <f ca="1"/>
        <v>8.095238095238301</v>
      </c>
      <c r="N1126" s="6">
        <f ca="1"/>
        <v>-0.15476190476190688</v>
      </c>
      <c r="O1126" s="6">
        <f t="shared" ca="1" si="164"/>
        <v>48.809523809522688</v>
      </c>
      <c r="P1126" t="str">
        <f t="shared" si="165"/>
        <v>NA</v>
      </c>
      <c r="Q1126" s="10">
        <f t="shared" ca="1" si="166"/>
        <v>59.047619047618596</v>
      </c>
      <c r="R1126" s="10">
        <f t="shared" ca="1" si="167"/>
        <v>149.40476190476215</v>
      </c>
      <c r="S1126" s="10">
        <f t="shared" ca="1" si="168"/>
        <v>-90.357142857143558</v>
      </c>
      <c r="T1126" s="10">
        <f t="shared" ca="1" si="169"/>
        <v>583.8461538461504</v>
      </c>
      <c r="U1126" s="10">
        <f t="shared" ca="1" si="170"/>
        <v>583.8461538461504</v>
      </c>
      <c r="V1126">
        <f t="shared" si="171"/>
        <v>4</v>
      </c>
    </row>
    <row r="1127" spans="1:22" x14ac:dyDescent="0.25">
      <c r="A1127">
        <v>126</v>
      </c>
      <c r="B1127">
        <v>1</v>
      </c>
      <c r="C1127">
        <v>40</v>
      </c>
      <c r="D1127">
        <v>1</v>
      </c>
      <c r="E1127">
        <v>0</v>
      </c>
      <c r="F1127">
        <v>1</v>
      </c>
      <c r="G1127">
        <v>0</v>
      </c>
      <c r="H1127">
        <v>250</v>
      </c>
      <c r="I1127">
        <f t="shared" si="172"/>
        <v>1125</v>
      </c>
      <c r="J1127" s="6">
        <f t="array" aca="1" ref="J1127:N1127" ca="1">TRANSPOSE(ols(OFFSET($C$2:$C$10,I1127,0),OFFSET($D$2:$H$10,I1127,0)))</f>
        <v>135.53571428571286</v>
      </c>
      <c r="K1127" s="6">
        <f ca="1"/>
        <v>-13.928571428571104</v>
      </c>
      <c r="L1127" s="6">
        <f ca="1"/>
        <v>-35.71428571428487</v>
      </c>
      <c r="M1127" s="6">
        <f ca="1"/>
        <v>30.357142857143003</v>
      </c>
      <c r="N1127" s="6">
        <f ca="1"/>
        <v>-0.21785714285714164</v>
      </c>
      <c r="O1127" s="6">
        <f t="shared" ca="1" si="164"/>
        <v>45.357142857142577</v>
      </c>
      <c r="P1127" t="str">
        <f t="shared" si="165"/>
        <v>NA</v>
      </c>
      <c r="Q1127" s="10">
        <f t="shared" ca="1" si="166"/>
        <v>53.928571428571416</v>
      </c>
      <c r="R1127" s="10">
        <f t="shared" ca="1" si="167"/>
        <v>99.821428571427987</v>
      </c>
      <c r="S1127" s="10">
        <f t="shared" ca="1" si="168"/>
        <v>-45.89285714285657</v>
      </c>
      <c r="T1127" s="10">
        <f t="shared" ca="1" si="169"/>
        <v>210.65573770491659</v>
      </c>
      <c r="U1127" s="10" t="str">
        <f t="shared" ca="1" si="170"/>
        <v>OR</v>
      </c>
      <c r="V1127">
        <f t="shared" si="171"/>
        <v>3</v>
      </c>
    </row>
    <row r="1128" spans="1:22" x14ac:dyDescent="0.25">
      <c r="A1128">
        <v>126</v>
      </c>
      <c r="B1128">
        <v>2</v>
      </c>
      <c r="C1128">
        <v>35</v>
      </c>
      <c r="D1128">
        <v>1</v>
      </c>
      <c r="E1128">
        <v>1</v>
      </c>
      <c r="F1128">
        <v>0</v>
      </c>
      <c r="G1128">
        <v>0</v>
      </c>
      <c r="H1128">
        <v>350</v>
      </c>
      <c r="I1128">
        <f t="shared" si="172"/>
        <v>1125</v>
      </c>
      <c r="J1128" s="6">
        <f t="array" aca="1" ref="J1128:N1128" ca="1">TRANSPOSE(ols(OFFSET($C$2:$C$10,I1128,0),OFFSET($D$2:$H$10,I1128,0)))</f>
        <v>135.53571428571286</v>
      </c>
      <c r="K1128" s="6">
        <f ca="1"/>
        <v>-13.928571428571104</v>
      </c>
      <c r="L1128" s="6">
        <f ca="1"/>
        <v>-35.71428571428487</v>
      </c>
      <c r="M1128" s="6">
        <f ca="1"/>
        <v>30.357142857143003</v>
      </c>
      <c r="N1128" s="6">
        <f ca="1"/>
        <v>-0.21785714285714164</v>
      </c>
      <c r="O1128" s="6">
        <f t="shared" ca="1" si="164"/>
        <v>45.357142857142179</v>
      </c>
      <c r="P1128" t="str">
        <f t="shared" si="165"/>
        <v>NA</v>
      </c>
      <c r="Q1128" s="10">
        <f t="shared" ca="1" si="166"/>
        <v>53.928571428571416</v>
      </c>
      <c r="R1128" s="10">
        <f t="shared" ca="1" si="167"/>
        <v>121.60714285714175</v>
      </c>
      <c r="S1128" s="10">
        <f t="shared" ca="1" si="168"/>
        <v>-67.678571428570336</v>
      </c>
      <c r="T1128" s="10">
        <f t="shared" ca="1" si="169"/>
        <v>310.65573770491477</v>
      </c>
      <c r="U1128" s="10">
        <f t="shared" ca="1" si="170"/>
        <v>310.65573770491477</v>
      </c>
      <c r="V1128">
        <f t="shared" si="171"/>
        <v>2</v>
      </c>
    </row>
    <row r="1129" spans="1:22" x14ac:dyDescent="0.25">
      <c r="A1129">
        <v>126</v>
      </c>
      <c r="B1129">
        <v>3</v>
      </c>
      <c r="C1129">
        <v>30</v>
      </c>
      <c r="D1129">
        <v>1</v>
      </c>
      <c r="E1129">
        <v>1</v>
      </c>
      <c r="F1129">
        <v>0</v>
      </c>
      <c r="G1129">
        <v>0</v>
      </c>
      <c r="H1129">
        <v>450</v>
      </c>
      <c r="I1129">
        <f t="shared" si="172"/>
        <v>1125</v>
      </c>
      <c r="J1129" s="6">
        <f t="array" aca="1" ref="J1129:N1129" ca="1">TRANSPOSE(ols(OFFSET($C$2:$C$10,I1129,0),OFFSET($D$2:$H$10,I1129,0)))</f>
        <v>135.53571428571286</v>
      </c>
      <c r="K1129" s="6">
        <f ca="1"/>
        <v>-13.928571428571104</v>
      </c>
      <c r="L1129" s="6">
        <f ca="1"/>
        <v>-35.71428571428487</v>
      </c>
      <c r="M1129" s="6">
        <f ca="1"/>
        <v>30.357142857143003</v>
      </c>
      <c r="N1129" s="6">
        <f ca="1"/>
        <v>-0.21785714285714164</v>
      </c>
      <c r="O1129" s="6">
        <f t="shared" ca="1" si="164"/>
        <v>23.571428571428015</v>
      </c>
      <c r="P1129" t="str">
        <f t="shared" si="165"/>
        <v>NA</v>
      </c>
      <c r="Q1129" s="10">
        <f t="shared" ca="1" si="166"/>
        <v>53.928571428571416</v>
      </c>
      <c r="R1129" s="10">
        <f t="shared" ca="1" si="167"/>
        <v>121.60714285714175</v>
      </c>
      <c r="S1129" s="10">
        <f t="shared" ca="1" si="168"/>
        <v>-67.678571428570336</v>
      </c>
      <c r="T1129" s="10">
        <f t="shared" ca="1" si="169"/>
        <v>310.65573770491477</v>
      </c>
      <c r="U1129" s="10">
        <f t="shared" ca="1" si="170"/>
        <v>310.65573770491477</v>
      </c>
      <c r="V1129">
        <f t="shared" si="171"/>
        <v>2</v>
      </c>
    </row>
    <row r="1130" spans="1:22" x14ac:dyDescent="0.25">
      <c r="A1130">
        <v>126</v>
      </c>
      <c r="B1130">
        <v>4</v>
      </c>
      <c r="C1130">
        <v>25</v>
      </c>
      <c r="D1130">
        <v>1</v>
      </c>
      <c r="E1130">
        <v>0</v>
      </c>
      <c r="F1130">
        <v>0</v>
      </c>
      <c r="G1130">
        <v>0</v>
      </c>
      <c r="H1130">
        <v>550</v>
      </c>
      <c r="I1130">
        <f t="shared" si="172"/>
        <v>1125</v>
      </c>
      <c r="J1130" s="6">
        <f t="array" aca="1" ref="J1130:N1130" ca="1">TRANSPOSE(ols(OFFSET($C$2:$C$10,I1130,0),OFFSET($D$2:$H$10,I1130,0)))</f>
        <v>135.53571428571286</v>
      </c>
      <c r="K1130" s="6">
        <f ca="1"/>
        <v>-13.928571428571104</v>
      </c>
      <c r="L1130" s="6">
        <f ca="1"/>
        <v>-35.71428571428487</v>
      </c>
      <c r="M1130" s="6">
        <f ca="1"/>
        <v>30.357142857143003</v>
      </c>
      <c r="N1130" s="6">
        <f ca="1"/>
        <v>-0.21785714285714164</v>
      </c>
      <c r="O1130" s="6">
        <f t="shared" ca="1" si="164"/>
        <v>15.714285714284955</v>
      </c>
      <c r="P1130" t="str">
        <f t="shared" si="165"/>
        <v>NA</v>
      </c>
      <c r="Q1130" s="10">
        <f t="shared" ca="1" si="166"/>
        <v>53.928571428571416</v>
      </c>
      <c r="R1130" s="10">
        <f t="shared" ca="1" si="167"/>
        <v>135.53571428571286</v>
      </c>
      <c r="S1130" s="10">
        <f t="shared" ca="1" si="168"/>
        <v>-81.60714285714144</v>
      </c>
      <c r="T1130" s="10">
        <f t="shared" ca="1" si="169"/>
        <v>374.59016393442181</v>
      </c>
      <c r="U1130" s="10">
        <f t="shared" ca="1" si="170"/>
        <v>374.59016393442181</v>
      </c>
      <c r="V1130">
        <f t="shared" si="171"/>
        <v>1</v>
      </c>
    </row>
    <row r="1131" spans="1:22" x14ac:dyDescent="0.25">
      <c r="A1131">
        <v>126</v>
      </c>
      <c r="B1131">
        <v>5</v>
      </c>
      <c r="C1131">
        <v>80</v>
      </c>
      <c r="D1131">
        <v>1</v>
      </c>
      <c r="E1131">
        <v>0</v>
      </c>
      <c r="F1131">
        <v>1</v>
      </c>
      <c r="G1131">
        <v>1</v>
      </c>
      <c r="H1131">
        <v>250</v>
      </c>
      <c r="I1131">
        <f t="shared" si="172"/>
        <v>1125</v>
      </c>
      <c r="J1131" s="6">
        <f t="array" aca="1" ref="J1131:N1131" ca="1">TRANSPOSE(ols(OFFSET($C$2:$C$10,I1131,0),OFFSET($D$2:$H$10,I1131,0)))</f>
        <v>135.53571428571286</v>
      </c>
      <c r="K1131" s="6">
        <f ca="1"/>
        <v>-13.928571428571104</v>
      </c>
      <c r="L1131" s="6">
        <f ca="1"/>
        <v>-35.71428571428487</v>
      </c>
      <c r="M1131" s="6">
        <f ca="1"/>
        <v>30.357142857143003</v>
      </c>
      <c r="N1131" s="6">
        <f ca="1"/>
        <v>-0.21785714285714164</v>
      </c>
      <c r="O1131" s="6">
        <f t="shared" ca="1" si="164"/>
        <v>75.71428571428558</v>
      </c>
      <c r="P1131" t="str">
        <f t="shared" si="165"/>
        <v>NA</v>
      </c>
      <c r="Q1131" s="10">
        <f t="shared" ca="1" si="166"/>
        <v>53.928571428571416</v>
      </c>
      <c r="R1131" s="10">
        <f t="shared" ca="1" si="167"/>
        <v>130.17857142857099</v>
      </c>
      <c r="S1131" s="10">
        <f t="shared" ca="1" si="168"/>
        <v>-76.249999999999574</v>
      </c>
      <c r="T1131" s="10">
        <f t="shared" ca="1" si="169"/>
        <v>350</v>
      </c>
      <c r="U1131" s="10">
        <f t="shared" ca="1" si="170"/>
        <v>350</v>
      </c>
      <c r="V1131">
        <f t="shared" si="171"/>
        <v>6</v>
      </c>
    </row>
    <row r="1132" spans="1:22" x14ac:dyDescent="0.25">
      <c r="A1132">
        <v>126</v>
      </c>
      <c r="B1132">
        <v>6</v>
      </c>
      <c r="C1132">
        <v>55</v>
      </c>
      <c r="D1132">
        <v>1</v>
      </c>
      <c r="E1132">
        <v>0</v>
      </c>
      <c r="F1132">
        <v>1</v>
      </c>
      <c r="G1132">
        <v>1</v>
      </c>
      <c r="H1132">
        <v>350</v>
      </c>
      <c r="I1132">
        <f t="shared" si="172"/>
        <v>1125</v>
      </c>
      <c r="J1132" s="6">
        <f t="array" aca="1" ref="J1132:N1132" ca="1">TRANSPOSE(ols(OFFSET($C$2:$C$10,I1132,0),OFFSET($D$2:$H$10,I1132,0)))</f>
        <v>135.53571428571286</v>
      </c>
      <c r="K1132" s="6">
        <f ca="1"/>
        <v>-13.928571428571104</v>
      </c>
      <c r="L1132" s="6">
        <f ca="1"/>
        <v>-35.71428571428487</v>
      </c>
      <c r="M1132" s="6">
        <f ca="1"/>
        <v>30.357142857143003</v>
      </c>
      <c r="N1132" s="6">
        <f ca="1"/>
        <v>-0.21785714285714164</v>
      </c>
      <c r="O1132" s="6">
        <f t="shared" ca="1" si="164"/>
        <v>53.928571428571416</v>
      </c>
      <c r="P1132">
        <f t="shared" ca="1" si="165"/>
        <v>53.928571428571416</v>
      </c>
      <c r="Q1132" s="10">
        <f t="shared" ca="1" si="166"/>
        <v>53.928571428571416</v>
      </c>
      <c r="R1132" s="10">
        <f t="shared" ca="1" si="167"/>
        <v>130.17857142857099</v>
      </c>
      <c r="S1132" s="10">
        <f t="shared" ca="1" si="168"/>
        <v>-76.249999999999574</v>
      </c>
      <c r="T1132" s="10">
        <f t="shared" ca="1" si="169"/>
        <v>350</v>
      </c>
      <c r="U1132" s="10">
        <f t="shared" ca="1" si="170"/>
        <v>350</v>
      </c>
      <c r="V1132">
        <f t="shared" si="171"/>
        <v>6</v>
      </c>
    </row>
    <row r="1133" spans="1:22" x14ac:dyDescent="0.25">
      <c r="A1133">
        <v>126</v>
      </c>
      <c r="B1133">
        <v>7</v>
      </c>
      <c r="C1133">
        <v>60</v>
      </c>
      <c r="D1133">
        <v>1</v>
      </c>
      <c r="E1133">
        <v>1</v>
      </c>
      <c r="F1133">
        <v>0</v>
      </c>
      <c r="G1133">
        <v>1</v>
      </c>
      <c r="H1133">
        <v>450</v>
      </c>
      <c r="I1133">
        <f t="shared" si="172"/>
        <v>1125</v>
      </c>
      <c r="J1133" s="6">
        <f t="array" aca="1" ref="J1133:N1133" ca="1">TRANSPOSE(ols(OFFSET($C$2:$C$10,I1133,0),OFFSET($D$2:$H$10,I1133,0)))</f>
        <v>135.53571428571286</v>
      </c>
      <c r="K1133" s="6">
        <f ca="1"/>
        <v>-13.928571428571104</v>
      </c>
      <c r="L1133" s="6">
        <f ca="1"/>
        <v>-35.71428571428487</v>
      </c>
      <c r="M1133" s="6">
        <f ca="1"/>
        <v>30.357142857143003</v>
      </c>
      <c r="N1133" s="6">
        <f ca="1"/>
        <v>-0.21785714285714164</v>
      </c>
      <c r="O1133" s="6">
        <f t="shared" ca="1" si="164"/>
        <v>53.928571428571018</v>
      </c>
      <c r="P1133" t="str">
        <f t="shared" si="165"/>
        <v>NA</v>
      </c>
      <c r="Q1133" s="10">
        <f t="shared" ca="1" si="166"/>
        <v>53.928571428571416</v>
      </c>
      <c r="R1133" s="10">
        <f t="shared" ca="1" si="167"/>
        <v>151.96428571428476</v>
      </c>
      <c r="S1133" s="10">
        <f t="shared" ca="1" si="168"/>
        <v>-98.03571428571334</v>
      </c>
      <c r="T1133" s="10">
        <f t="shared" ca="1" si="169"/>
        <v>449.99999999999818</v>
      </c>
      <c r="U1133" s="10">
        <f t="shared" ca="1" si="170"/>
        <v>449.99999999999818</v>
      </c>
      <c r="V1133">
        <f t="shared" si="171"/>
        <v>5</v>
      </c>
    </row>
    <row r="1134" spans="1:22" x14ac:dyDescent="0.25">
      <c r="A1134">
        <v>126</v>
      </c>
      <c r="B1134">
        <v>8</v>
      </c>
      <c r="C1134">
        <v>30</v>
      </c>
      <c r="D1134">
        <v>1</v>
      </c>
      <c r="E1134">
        <v>1</v>
      </c>
      <c r="F1134">
        <v>0</v>
      </c>
      <c r="G1134">
        <v>1</v>
      </c>
      <c r="H1134">
        <v>550</v>
      </c>
      <c r="I1134">
        <f t="shared" si="172"/>
        <v>1125</v>
      </c>
      <c r="J1134" s="6">
        <f t="array" aca="1" ref="J1134:N1134" ca="1">TRANSPOSE(ols(OFFSET($C$2:$C$10,I1134,0),OFFSET($D$2:$H$10,I1134,0)))</f>
        <v>135.53571428571286</v>
      </c>
      <c r="K1134" s="6">
        <f ca="1"/>
        <v>-13.928571428571104</v>
      </c>
      <c r="L1134" s="6">
        <f ca="1"/>
        <v>-35.71428571428487</v>
      </c>
      <c r="M1134" s="6">
        <f ca="1"/>
        <v>30.357142857143003</v>
      </c>
      <c r="N1134" s="6">
        <f ca="1"/>
        <v>-0.21785714285714164</v>
      </c>
      <c r="O1134" s="6">
        <f t="shared" ca="1" si="164"/>
        <v>32.142857142856855</v>
      </c>
      <c r="P1134" t="str">
        <f t="shared" si="165"/>
        <v>NA</v>
      </c>
      <c r="Q1134" s="10">
        <f t="shared" ca="1" si="166"/>
        <v>53.928571428571416</v>
      </c>
      <c r="R1134" s="10">
        <f t="shared" ca="1" si="167"/>
        <v>151.96428571428476</v>
      </c>
      <c r="S1134" s="10">
        <f t="shared" ca="1" si="168"/>
        <v>-98.03571428571334</v>
      </c>
      <c r="T1134" s="10">
        <f t="shared" ca="1" si="169"/>
        <v>449.99999999999818</v>
      </c>
      <c r="U1134" s="10">
        <f t="shared" ca="1" si="170"/>
        <v>449.99999999999818</v>
      </c>
      <c r="V1134">
        <f t="shared" si="171"/>
        <v>5</v>
      </c>
    </row>
    <row r="1135" spans="1:22" x14ac:dyDescent="0.25">
      <c r="A1135">
        <v>126</v>
      </c>
      <c r="B1135">
        <v>9</v>
      </c>
      <c r="C1135">
        <v>15</v>
      </c>
      <c r="D1135">
        <v>1</v>
      </c>
      <c r="E1135">
        <v>0</v>
      </c>
      <c r="F1135">
        <v>0</v>
      </c>
      <c r="G1135">
        <v>1</v>
      </c>
      <c r="H1135">
        <v>650</v>
      </c>
      <c r="I1135">
        <f t="shared" si="172"/>
        <v>1125</v>
      </c>
      <c r="J1135" s="6">
        <f t="array" aca="1" ref="J1135:N1135" ca="1">TRANSPOSE(ols(OFFSET($C$2:$C$10,I1135,0),OFFSET($D$2:$H$10,I1135,0)))</f>
        <v>135.53571428571286</v>
      </c>
      <c r="K1135" s="6">
        <f ca="1"/>
        <v>-13.928571428571104</v>
      </c>
      <c r="L1135" s="6">
        <f ca="1"/>
        <v>-35.71428571428487</v>
      </c>
      <c r="M1135" s="6">
        <f ca="1"/>
        <v>30.357142857143003</v>
      </c>
      <c r="N1135" s="6">
        <f ca="1"/>
        <v>-0.21785714285714164</v>
      </c>
      <c r="O1135" s="6">
        <f t="shared" ca="1" si="164"/>
        <v>24.285714285713794</v>
      </c>
      <c r="P1135" t="str">
        <f t="shared" si="165"/>
        <v>NA</v>
      </c>
      <c r="Q1135" s="10">
        <f t="shared" ca="1" si="166"/>
        <v>53.928571428571416</v>
      </c>
      <c r="R1135" s="10">
        <f t="shared" ca="1" si="167"/>
        <v>165.89285714285586</v>
      </c>
      <c r="S1135" s="10">
        <f t="shared" ca="1" si="168"/>
        <v>-111.96428571428444</v>
      </c>
      <c r="T1135" s="10">
        <f t="shared" ca="1" si="169"/>
        <v>513.93442622950522</v>
      </c>
      <c r="U1135" s="10">
        <f t="shared" ca="1" si="170"/>
        <v>513.93442622950522</v>
      </c>
      <c r="V1135">
        <f t="shared" si="171"/>
        <v>4</v>
      </c>
    </row>
    <row r="1136" spans="1:22" x14ac:dyDescent="0.25">
      <c r="A1136">
        <v>127</v>
      </c>
      <c r="B1136">
        <v>1</v>
      </c>
      <c r="C1136">
        <v>40</v>
      </c>
      <c r="D1136">
        <v>1</v>
      </c>
      <c r="E1136">
        <v>0</v>
      </c>
      <c r="F1136">
        <v>1</v>
      </c>
      <c r="G1136">
        <v>0</v>
      </c>
      <c r="H1136">
        <v>250</v>
      </c>
      <c r="I1136">
        <f t="shared" si="172"/>
        <v>1134</v>
      </c>
      <c r="J1136" s="6">
        <f t="array" aca="1" ref="J1136:N1136" ca="1">TRANSPOSE(ols(OFFSET($C$2:$C$10,I1136,0),OFFSET($D$2:$H$10,I1136,0)))</f>
        <v>78.988095238094502</v>
      </c>
      <c r="K1136" s="6">
        <f ca="1"/>
        <v>9.6428571428575651</v>
      </c>
      <c r="L1136" s="6">
        <f ca="1"/>
        <v>5.2380952380954113</v>
      </c>
      <c r="M1136" s="6">
        <f ca="1"/>
        <v>29.880952380952522</v>
      </c>
      <c r="N1136" s="6">
        <f ca="1"/>
        <v>-0.14404761904761898</v>
      </c>
      <c r="O1136" s="6">
        <f t="shared" ca="1" si="164"/>
        <v>48.214285714285168</v>
      </c>
      <c r="P1136" t="str">
        <f t="shared" si="165"/>
        <v>NA</v>
      </c>
      <c r="Q1136" s="10">
        <f t="shared" ca="1" si="166"/>
        <v>63.690476190475792</v>
      </c>
      <c r="R1136" s="10">
        <f t="shared" ca="1" si="167"/>
        <v>84.226190476189913</v>
      </c>
      <c r="S1136" s="10">
        <f t="shared" ca="1" si="168"/>
        <v>-20.535714285714121</v>
      </c>
      <c r="T1136" s="10">
        <f t="shared" ca="1" si="169"/>
        <v>142.56198347107332</v>
      </c>
      <c r="U1136" s="10" t="str">
        <f t="shared" ca="1" si="170"/>
        <v>OR</v>
      </c>
      <c r="V1136">
        <f t="shared" si="171"/>
        <v>3</v>
      </c>
    </row>
    <row r="1137" spans="1:22" x14ac:dyDescent="0.25">
      <c r="A1137">
        <v>127</v>
      </c>
      <c r="B1137">
        <v>2</v>
      </c>
      <c r="C1137">
        <v>30</v>
      </c>
      <c r="D1137">
        <v>1</v>
      </c>
      <c r="E1137">
        <v>1</v>
      </c>
      <c r="F1137">
        <v>0</v>
      </c>
      <c r="G1137">
        <v>0</v>
      </c>
      <c r="H1137">
        <v>350</v>
      </c>
      <c r="I1137">
        <f t="shared" si="172"/>
        <v>1134</v>
      </c>
      <c r="J1137" s="6">
        <f t="array" aca="1" ref="J1137:N1137" ca="1">TRANSPOSE(ols(OFFSET($C$2:$C$10,I1137,0),OFFSET($D$2:$H$10,I1137,0)))</f>
        <v>78.988095238094502</v>
      </c>
      <c r="K1137" s="6">
        <f ca="1"/>
        <v>9.6428571428575651</v>
      </c>
      <c r="L1137" s="6">
        <f ca="1"/>
        <v>5.2380952380954113</v>
      </c>
      <c r="M1137" s="6">
        <f ca="1"/>
        <v>29.880952380952522</v>
      </c>
      <c r="N1137" s="6">
        <f ca="1"/>
        <v>-0.14404761904761898</v>
      </c>
      <c r="O1137" s="6">
        <f t="shared" ca="1" si="164"/>
        <v>38.214285714285424</v>
      </c>
      <c r="P1137" t="str">
        <f t="shared" si="165"/>
        <v>NA</v>
      </c>
      <c r="Q1137" s="10">
        <f t="shared" ca="1" si="166"/>
        <v>63.690476190475792</v>
      </c>
      <c r="R1137" s="10">
        <f t="shared" ca="1" si="167"/>
        <v>88.630952380952067</v>
      </c>
      <c r="S1137" s="10">
        <f t="shared" ca="1" si="168"/>
        <v>-24.940476190476275</v>
      </c>
      <c r="T1137" s="10">
        <f t="shared" ca="1" si="169"/>
        <v>173.14049586776926</v>
      </c>
      <c r="U1137" s="10" t="str">
        <f t="shared" ca="1" si="170"/>
        <v>OR</v>
      </c>
      <c r="V1137">
        <f t="shared" si="171"/>
        <v>2</v>
      </c>
    </row>
    <row r="1138" spans="1:22" x14ac:dyDescent="0.25">
      <c r="A1138">
        <v>127</v>
      </c>
      <c r="B1138">
        <v>3</v>
      </c>
      <c r="C1138">
        <v>25</v>
      </c>
      <c r="D1138">
        <v>1</v>
      </c>
      <c r="E1138">
        <v>1</v>
      </c>
      <c r="F1138">
        <v>0</v>
      </c>
      <c r="G1138">
        <v>0</v>
      </c>
      <c r="H1138">
        <v>450</v>
      </c>
      <c r="I1138">
        <f t="shared" si="172"/>
        <v>1134</v>
      </c>
      <c r="J1138" s="6">
        <f t="array" aca="1" ref="J1138:N1138" ca="1">TRANSPOSE(ols(OFFSET($C$2:$C$10,I1138,0),OFFSET($D$2:$H$10,I1138,0)))</f>
        <v>78.988095238094502</v>
      </c>
      <c r="K1138" s="6">
        <f ca="1"/>
        <v>9.6428571428575651</v>
      </c>
      <c r="L1138" s="6">
        <f ca="1"/>
        <v>5.2380952380954113</v>
      </c>
      <c r="M1138" s="6">
        <f ca="1"/>
        <v>29.880952380952522</v>
      </c>
      <c r="N1138" s="6">
        <f ca="1"/>
        <v>-0.14404761904761898</v>
      </c>
      <c r="O1138" s="6">
        <f t="shared" ca="1" si="164"/>
        <v>23.809523809523526</v>
      </c>
      <c r="P1138" t="str">
        <f t="shared" si="165"/>
        <v>NA</v>
      </c>
      <c r="Q1138" s="10">
        <f t="shared" ca="1" si="166"/>
        <v>63.690476190475792</v>
      </c>
      <c r="R1138" s="10">
        <f t="shared" ca="1" si="167"/>
        <v>88.630952380952067</v>
      </c>
      <c r="S1138" s="10">
        <f t="shared" ca="1" si="168"/>
        <v>-24.940476190476275</v>
      </c>
      <c r="T1138" s="10">
        <f t="shared" ca="1" si="169"/>
        <v>173.14049586776926</v>
      </c>
      <c r="U1138" s="10" t="str">
        <f t="shared" ca="1" si="170"/>
        <v>OR</v>
      </c>
      <c r="V1138">
        <f t="shared" si="171"/>
        <v>2</v>
      </c>
    </row>
    <row r="1139" spans="1:22" x14ac:dyDescent="0.25">
      <c r="A1139">
        <v>127</v>
      </c>
      <c r="B1139">
        <v>4</v>
      </c>
      <c r="C1139">
        <v>15</v>
      </c>
      <c r="D1139">
        <v>1</v>
      </c>
      <c r="E1139">
        <v>0</v>
      </c>
      <c r="F1139">
        <v>0</v>
      </c>
      <c r="G1139">
        <v>0</v>
      </c>
      <c r="H1139">
        <v>550</v>
      </c>
      <c r="I1139">
        <f t="shared" si="172"/>
        <v>1134</v>
      </c>
      <c r="J1139" s="6">
        <f t="array" aca="1" ref="J1139:N1139" ca="1">TRANSPOSE(ols(OFFSET($C$2:$C$10,I1139,0),OFFSET($D$2:$H$10,I1139,0)))</f>
        <v>78.988095238094502</v>
      </c>
      <c r="K1139" s="6">
        <f ca="1"/>
        <v>9.6428571428575651</v>
      </c>
      <c r="L1139" s="6">
        <f ca="1"/>
        <v>5.2380952380954113</v>
      </c>
      <c r="M1139" s="6">
        <f ca="1"/>
        <v>29.880952380952522</v>
      </c>
      <c r="N1139" s="6">
        <f ca="1"/>
        <v>-0.14404761904761898</v>
      </c>
      <c r="O1139" s="6">
        <f t="shared" ca="1" si="164"/>
        <v>-0.23809523809593713</v>
      </c>
      <c r="P1139" t="str">
        <f t="shared" si="165"/>
        <v>NA</v>
      </c>
      <c r="Q1139" s="10">
        <f t="shared" ca="1" si="166"/>
        <v>63.690476190475792</v>
      </c>
      <c r="R1139" s="10">
        <f t="shared" ca="1" si="167"/>
        <v>78.988095238094502</v>
      </c>
      <c r="S1139" s="10">
        <f t="shared" ca="1" si="168"/>
        <v>-15.29761904761871</v>
      </c>
      <c r="T1139" s="10">
        <f t="shared" ca="1" si="169"/>
        <v>106.19834710743572</v>
      </c>
      <c r="U1139" s="10" t="str">
        <f t="shared" ca="1" si="170"/>
        <v>OR</v>
      </c>
      <c r="V1139">
        <f t="shared" si="171"/>
        <v>1</v>
      </c>
    </row>
    <row r="1140" spans="1:22" x14ac:dyDescent="0.25">
      <c r="A1140">
        <v>127</v>
      </c>
      <c r="B1140">
        <v>5</v>
      </c>
      <c r="C1140">
        <v>80</v>
      </c>
      <c r="D1140">
        <v>1</v>
      </c>
      <c r="E1140">
        <v>0</v>
      </c>
      <c r="F1140">
        <v>1</v>
      </c>
      <c r="G1140">
        <v>1</v>
      </c>
      <c r="H1140">
        <v>250</v>
      </c>
      <c r="I1140">
        <f t="shared" si="172"/>
        <v>1134</v>
      </c>
      <c r="J1140" s="6">
        <f t="array" aca="1" ref="J1140:N1140" ca="1">TRANSPOSE(ols(OFFSET($C$2:$C$10,I1140,0),OFFSET($D$2:$H$10,I1140,0)))</f>
        <v>78.988095238094502</v>
      </c>
      <c r="K1140" s="6">
        <f ca="1"/>
        <v>9.6428571428575651</v>
      </c>
      <c r="L1140" s="6">
        <f ca="1"/>
        <v>5.2380952380954113</v>
      </c>
      <c r="M1140" s="6">
        <f ca="1"/>
        <v>29.880952380952522</v>
      </c>
      <c r="N1140" s="6">
        <f ca="1"/>
        <v>-0.14404761904761898</v>
      </c>
      <c r="O1140" s="6">
        <f t="shared" ca="1" si="164"/>
        <v>78.09523809523769</v>
      </c>
      <c r="P1140" t="str">
        <f t="shared" si="165"/>
        <v>NA</v>
      </c>
      <c r="Q1140" s="10">
        <f t="shared" ca="1" si="166"/>
        <v>63.690476190475792</v>
      </c>
      <c r="R1140" s="10">
        <f t="shared" ca="1" si="167"/>
        <v>114.10714285714243</v>
      </c>
      <c r="S1140" s="10">
        <f t="shared" ca="1" si="168"/>
        <v>-50.416666666666643</v>
      </c>
      <c r="T1140" s="10">
        <f t="shared" ca="1" si="169"/>
        <v>350</v>
      </c>
      <c r="U1140" s="10">
        <f t="shared" ca="1" si="170"/>
        <v>350</v>
      </c>
      <c r="V1140">
        <f t="shared" si="171"/>
        <v>6</v>
      </c>
    </row>
    <row r="1141" spans="1:22" x14ac:dyDescent="0.25">
      <c r="A1141">
        <v>127</v>
      </c>
      <c r="B1141">
        <v>6</v>
      </c>
      <c r="C1141">
        <v>70</v>
      </c>
      <c r="D1141">
        <v>1</v>
      </c>
      <c r="E1141">
        <v>0</v>
      </c>
      <c r="F1141">
        <v>1</v>
      </c>
      <c r="G1141">
        <v>1</v>
      </c>
      <c r="H1141">
        <v>350</v>
      </c>
      <c r="I1141">
        <f t="shared" si="172"/>
        <v>1134</v>
      </c>
      <c r="J1141" s="6">
        <f t="array" aca="1" ref="J1141:N1141" ca="1">TRANSPOSE(ols(OFFSET($C$2:$C$10,I1141,0),OFFSET($D$2:$H$10,I1141,0)))</f>
        <v>78.988095238094502</v>
      </c>
      <c r="K1141" s="6">
        <f ca="1"/>
        <v>9.6428571428575651</v>
      </c>
      <c r="L1141" s="6">
        <f ca="1"/>
        <v>5.2380952380954113</v>
      </c>
      <c r="M1141" s="6">
        <f ca="1"/>
        <v>29.880952380952522</v>
      </c>
      <c r="N1141" s="6">
        <f ca="1"/>
        <v>-0.14404761904761898</v>
      </c>
      <c r="O1141" s="6">
        <f t="shared" ca="1" si="164"/>
        <v>63.690476190475792</v>
      </c>
      <c r="P1141">
        <f t="shared" ca="1" si="165"/>
        <v>63.690476190475792</v>
      </c>
      <c r="Q1141" s="10">
        <f t="shared" ca="1" si="166"/>
        <v>63.690476190475792</v>
      </c>
      <c r="R1141" s="10">
        <f t="shared" ca="1" si="167"/>
        <v>114.10714285714243</v>
      </c>
      <c r="S1141" s="10">
        <f t="shared" ca="1" si="168"/>
        <v>-50.416666666666643</v>
      </c>
      <c r="T1141" s="10">
        <f t="shared" ca="1" si="169"/>
        <v>350</v>
      </c>
      <c r="U1141" s="10">
        <f t="shared" ca="1" si="170"/>
        <v>350</v>
      </c>
      <c r="V1141">
        <f t="shared" si="171"/>
        <v>6</v>
      </c>
    </row>
    <row r="1142" spans="1:22" x14ac:dyDescent="0.25">
      <c r="A1142">
        <v>127</v>
      </c>
      <c r="B1142">
        <v>7</v>
      </c>
      <c r="C1142">
        <v>60</v>
      </c>
      <c r="D1142">
        <v>1</v>
      </c>
      <c r="E1142">
        <v>1</v>
      </c>
      <c r="F1142">
        <v>0</v>
      </c>
      <c r="G1142">
        <v>1</v>
      </c>
      <c r="H1142">
        <v>450</v>
      </c>
      <c r="I1142">
        <f t="shared" si="172"/>
        <v>1134</v>
      </c>
      <c r="J1142" s="6">
        <f t="array" aca="1" ref="J1142:N1142" ca="1">TRANSPOSE(ols(OFFSET($C$2:$C$10,I1142,0),OFFSET($D$2:$H$10,I1142,0)))</f>
        <v>78.988095238094502</v>
      </c>
      <c r="K1142" s="6">
        <f ca="1"/>
        <v>9.6428571428575651</v>
      </c>
      <c r="L1142" s="6">
        <f ca="1"/>
        <v>5.2380952380954113</v>
      </c>
      <c r="M1142" s="6">
        <f ca="1"/>
        <v>29.880952380952522</v>
      </c>
      <c r="N1142" s="6">
        <f ca="1"/>
        <v>-0.14404761904761898</v>
      </c>
      <c r="O1142" s="6">
        <f t="shared" ca="1" si="164"/>
        <v>53.690476190476048</v>
      </c>
      <c r="P1142" t="str">
        <f t="shared" si="165"/>
        <v>NA</v>
      </c>
      <c r="Q1142" s="10">
        <f t="shared" ca="1" si="166"/>
        <v>63.690476190475792</v>
      </c>
      <c r="R1142" s="10">
        <f t="shared" ca="1" si="167"/>
        <v>118.51190476190459</v>
      </c>
      <c r="S1142" s="10">
        <f t="shared" ca="1" si="168"/>
        <v>-54.821428571428797</v>
      </c>
      <c r="T1142" s="10">
        <f t="shared" ca="1" si="169"/>
        <v>380.57851239669594</v>
      </c>
      <c r="U1142" s="10">
        <f t="shared" ca="1" si="170"/>
        <v>380.57851239669594</v>
      </c>
      <c r="V1142">
        <f t="shared" si="171"/>
        <v>5</v>
      </c>
    </row>
    <row r="1143" spans="1:22" x14ac:dyDescent="0.25">
      <c r="A1143">
        <v>127</v>
      </c>
      <c r="B1143">
        <v>8</v>
      </c>
      <c r="C1143">
        <v>40</v>
      </c>
      <c r="D1143">
        <v>1</v>
      </c>
      <c r="E1143">
        <v>1</v>
      </c>
      <c r="F1143">
        <v>0</v>
      </c>
      <c r="G1143">
        <v>1</v>
      </c>
      <c r="H1143">
        <v>550</v>
      </c>
      <c r="I1143">
        <f t="shared" si="172"/>
        <v>1134</v>
      </c>
      <c r="J1143" s="6">
        <f t="array" aca="1" ref="J1143:N1143" ca="1">TRANSPOSE(ols(OFFSET($C$2:$C$10,I1143,0),OFFSET($D$2:$H$10,I1143,0)))</f>
        <v>78.988095238094502</v>
      </c>
      <c r="K1143" s="6">
        <f ca="1"/>
        <v>9.6428571428575651</v>
      </c>
      <c r="L1143" s="6">
        <f ca="1"/>
        <v>5.2380952380954113</v>
      </c>
      <c r="M1143" s="6">
        <f ca="1"/>
        <v>29.880952380952522</v>
      </c>
      <c r="N1143" s="6">
        <f ca="1"/>
        <v>-0.14404761904761898</v>
      </c>
      <c r="O1143" s="6">
        <f t="shared" ca="1" si="164"/>
        <v>39.28571428571415</v>
      </c>
      <c r="P1143" t="str">
        <f t="shared" si="165"/>
        <v>NA</v>
      </c>
      <c r="Q1143" s="10">
        <f t="shared" ca="1" si="166"/>
        <v>63.690476190475792</v>
      </c>
      <c r="R1143" s="10">
        <f t="shared" ca="1" si="167"/>
        <v>118.51190476190459</v>
      </c>
      <c r="S1143" s="10">
        <f t="shared" ca="1" si="168"/>
        <v>-54.821428571428797</v>
      </c>
      <c r="T1143" s="10">
        <f t="shared" ca="1" si="169"/>
        <v>380.57851239669594</v>
      </c>
      <c r="U1143" s="10">
        <f t="shared" ca="1" si="170"/>
        <v>380.57851239669594</v>
      </c>
      <c r="V1143">
        <f t="shared" si="171"/>
        <v>5</v>
      </c>
    </row>
    <row r="1144" spans="1:22" x14ac:dyDescent="0.25">
      <c r="A1144">
        <v>127</v>
      </c>
      <c r="B1144">
        <v>9</v>
      </c>
      <c r="C1144">
        <v>0</v>
      </c>
      <c r="D1144">
        <v>1</v>
      </c>
      <c r="E1144">
        <v>0</v>
      </c>
      <c r="F1144">
        <v>0</v>
      </c>
      <c r="G1144">
        <v>1</v>
      </c>
      <c r="H1144">
        <v>650</v>
      </c>
      <c r="I1144">
        <f t="shared" si="172"/>
        <v>1134</v>
      </c>
      <c r="J1144" s="6">
        <f t="array" aca="1" ref="J1144:N1144" ca="1">TRANSPOSE(ols(OFFSET($C$2:$C$10,I1144,0),OFFSET($D$2:$H$10,I1144,0)))</f>
        <v>78.988095238094502</v>
      </c>
      <c r="K1144" s="6">
        <f ca="1"/>
        <v>9.6428571428575651</v>
      </c>
      <c r="L1144" s="6">
        <f ca="1"/>
        <v>5.2380952380954113</v>
      </c>
      <c r="M1144" s="6">
        <f ca="1"/>
        <v>29.880952380952522</v>
      </c>
      <c r="N1144" s="6">
        <f ca="1"/>
        <v>-0.14404761904761898</v>
      </c>
      <c r="O1144" s="6">
        <f t="shared" ca="1" si="164"/>
        <v>15.238095238094687</v>
      </c>
      <c r="P1144" t="str">
        <f t="shared" si="165"/>
        <v>NA</v>
      </c>
      <c r="Q1144" s="10">
        <f t="shared" ca="1" si="166"/>
        <v>63.690476190475792</v>
      </c>
      <c r="R1144" s="10">
        <f t="shared" ca="1" si="167"/>
        <v>108.86904761904702</v>
      </c>
      <c r="S1144" s="10">
        <f t="shared" ca="1" si="168"/>
        <v>-45.178571428571232</v>
      </c>
      <c r="T1144" s="10">
        <f t="shared" ca="1" si="169"/>
        <v>313.63636363636243</v>
      </c>
      <c r="U1144" s="10">
        <f t="shared" ca="1" si="170"/>
        <v>313.63636363636243</v>
      </c>
      <c r="V1144">
        <f t="shared" si="171"/>
        <v>4</v>
      </c>
    </row>
    <row r="1145" spans="1:22" x14ac:dyDescent="0.25">
      <c r="A1145">
        <v>128</v>
      </c>
      <c r="B1145">
        <v>1</v>
      </c>
      <c r="C1145">
        <v>10</v>
      </c>
      <c r="D1145">
        <v>1</v>
      </c>
      <c r="E1145">
        <v>0</v>
      </c>
      <c r="F1145">
        <v>1</v>
      </c>
      <c r="G1145">
        <v>0</v>
      </c>
      <c r="H1145">
        <v>250</v>
      </c>
      <c r="I1145">
        <f t="shared" si="172"/>
        <v>1143</v>
      </c>
      <c r="J1145" s="6">
        <f t="array" aca="1" ref="J1145:N1145" ca="1">TRANSPOSE(ols(OFFSET($C$2:$C$10,I1145,0),OFFSET($D$2:$H$10,I1145,0)))</f>
        <v>73.392857142855746</v>
      </c>
      <c r="K1145" s="6">
        <f ca="1"/>
        <v>-13.214285714285438</v>
      </c>
      <c r="L1145" s="6">
        <f ca="1"/>
        <v>-17.857142857142094</v>
      </c>
      <c r="M1145" s="6">
        <f ca="1"/>
        <v>28.92857142857136</v>
      </c>
      <c r="N1145" s="6">
        <f ca="1"/>
        <v>-0.14642857142857002</v>
      </c>
      <c r="O1145" s="6">
        <f t="shared" ca="1" si="164"/>
        <v>18.928571428571146</v>
      </c>
      <c r="P1145" t="str">
        <f t="shared" si="165"/>
        <v>NA</v>
      </c>
      <c r="Q1145" s="10">
        <f t="shared" ca="1" si="166"/>
        <v>33.214285714285502</v>
      </c>
      <c r="R1145" s="10">
        <f t="shared" ca="1" si="167"/>
        <v>55.535714285713652</v>
      </c>
      <c r="S1145" s="10">
        <f t="shared" ca="1" si="168"/>
        <v>-22.32142857142815</v>
      </c>
      <c r="T1145" s="10">
        <f t="shared" ca="1" si="169"/>
        <v>152.43902439024248</v>
      </c>
      <c r="U1145" s="10" t="str">
        <f t="shared" ca="1" si="170"/>
        <v>OR</v>
      </c>
      <c r="V1145">
        <f t="shared" si="171"/>
        <v>3</v>
      </c>
    </row>
    <row r="1146" spans="1:22" x14ac:dyDescent="0.25">
      <c r="A1146">
        <v>128</v>
      </c>
      <c r="B1146">
        <v>2</v>
      </c>
      <c r="C1146">
        <v>5</v>
      </c>
      <c r="D1146">
        <v>1</v>
      </c>
      <c r="E1146">
        <v>1</v>
      </c>
      <c r="F1146">
        <v>0</v>
      </c>
      <c r="G1146">
        <v>0</v>
      </c>
      <c r="H1146">
        <v>350</v>
      </c>
      <c r="I1146">
        <f t="shared" si="172"/>
        <v>1143</v>
      </c>
      <c r="J1146" s="6">
        <f t="array" aca="1" ref="J1146:N1146" ca="1">TRANSPOSE(ols(OFFSET($C$2:$C$10,I1146,0),OFFSET($D$2:$H$10,I1146,0)))</f>
        <v>73.392857142855746</v>
      </c>
      <c r="K1146" s="6">
        <f ca="1"/>
        <v>-13.214285714285438</v>
      </c>
      <c r="L1146" s="6">
        <f ca="1"/>
        <v>-17.857142857142094</v>
      </c>
      <c r="M1146" s="6">
        <f ca="1"/>
        <v>28.92857142857136</v>
      </c>
      <c r="N1146" s="6">
        <f ca="1"/>
        <v>-0.14642857142857002</v>
      </c>
      <c r="O1146" s="6">
        <f t="shared" ca="1" si="164"/>
        <v>8.9285714285707982</v>
      </c>
      <c r="P1146" t="str">
        <f t="shared" si="165"/>
        <v>NA</v>
      </c>
      <c r="Q1146" s="10">
        <f t="shared" ca="1" si="166"/>
        <v>33.214285714285502</v>
      </c>
      <c r="R1146" s="10">
        <f t="shared" ca="1" si="167"/>
        <v>60.178571428570308</v>
      </c>
      <c r="S1146" s="10">
        <f t="shared" ca="1" si="168"/>
        <v>-26.964285714284806</v>
      </c>
      <c r="T1146" s="10">
        <f t="shared" ca="1" si="169"/>
        <v>184.14634146341021</v>
      </c>
      <c r="U1146" s="10" t="str">
        <f t="shared" ca="1" si="170"/>
        <v>OR</v>
      </c>
      <c r="V1146">
        <f t="shared" si="171"/>
        <v>2</v>
      </c>
    </row>
    <row r="1147" spans="1:22" x14ac:dyDescent="0.25">
      <c r="A1147">
        <v>128</v>
      </c>
      <c r="B1147">
        <v>3</v>
      </c>
      <c r="C1147">
        <v>0</v>
      </c>
      <c r="D1147">
        <v>1</v>
      </c>
      <c r="E1147">
        <v>1</v>
      </c>
      <c r="F1147">
        <v>0</v>
      </c>
      <c r="G1147">
        <v>0</v>
      </c>
      <c r="H1147">
        <v>450</v>
      </c>
      <c r="I1147">
        <f t="shared" si="172"/>
        <v>1143</v>
      </c>
      <c r="J1147" s="6">
        <f t="array" aca="1" ref="J1147:N1147" ca="1">TRANSPOSE(ols(OFFSET($C$2:$C$10,I1147,0),OFFSET($D$2:$H$10,I1147,0)))</f>
        <v>73.392857142855746</v>
      </c>
      <c r="K1147" s="6">
        <f ca="1"/>
        <v>-13.214285714285438</v>
      </c>
      <c r="L1147" s="6">
        <f ca="1"/>
        <v>-17.857142857142094</v>
      </c>
      <c r="M1147" s="6">
        <f ca="1"/>
        <v>28.92857142857136</v>
      </c>
      <c r="N1147" s="6">
        <f ca="1"/>
        <v>-0.14642857142857002</v>
      </c>
      <c r="O1147" s="6">
        <f t="shared" ca="1" si="164"/>
        <v>-5.7142857142862056</v>
      </c>
      <c r="P1147" t="str">
        <f t="shared" si="165"/>
        <v>NA</v>
      </c>
      <c r="Q1147" s="10">
        <f t="shared" ca="1" si="166"/>
        <v>33.214285714285502</v>
      </c>
      <c r="R1147" s="10">
        <f t="shared" ca="1" si="167"/>
        <v>60.178571428570308</v>
      </c>
      <c r="S1147" s="10">
        <f t="shared" ca="1" si="168"/>
        <v>-26.964285714284806</v>
      </c>
      <c r="T1147" s="10">
        <f t="shared" ca="1" si="169"/>
        <v>184.14634146341021</v>
      </c>
      <c r="U1147" s="10" t="str">
        <f t="shared" ca="1" si="170"/>
        <v>OR</v>
      </c>
      <c r="V1147">
        <f t="shared" si="171"/>
        <v>2</v>
      </c>
    </row>
    <row r="1148" spans="1:22" x14ac:dyDescent="0.25">
      <c r="A1148">
        <v>128</v>
      </c>
      <c r="B1148">
        <v>4</v>
      </c>
      <c r="C1148">
        <v>0</v>
      </c>
      <c r="D1148">
        <v>1</v>
      </c>
      <c r="E1148">
        <v>0</v>
      </c>
      <c r="F1148">
        <v>0</v>
      </c>
      <c r="G1148">
        <v>0</v>
      </c>
      <c r="H1148">
        <v>550</v>
      </c>
      <c r="I1148">
        <f t="shared" si="172"/>
        <v>1143</v>
      </c>
      <c r="J1148" s="6">
        <f t="array" aca="1" ref="J1148:N1148" ca="1">TRANSPOSE(ols(OFFSET($C$2:$C$10,I1148,0),OFFSET($D$2:$H$10,I1148,0)))</f>
        <v>73.392857142855746</v>
      </c>
      <c r="K1148" s="6">
        <f ca="1"/>
        <v>-13.214285714285438</v>
      </c>
      <c r="L1148" s="6">
        <f ca="1"/>
        <v>-17.857142857142094</v>
      </c>
      <c r="M1148" s="6">
        <f ca="1"/>
        <v>28.92857142857136</v>
      </c>
      <c r="N1148" s="6">
        <f ca="1"/>
        <v>-0.14642857142857002</v>
      </c>
      <c r="O1148" s="6">
        <f t="shared" ca="1" si="164"/>
        <v>-7.1428571428577641</v>
      </c>
      <c r="P1148" t="str">
        <f t="shared" si="165"/>
        <v>NA</v>
      </c>
      <c r="Q1148" s="10">
        <f t="shared" ca="1" si="166"/>
        <v>33.214285714285502</v>
      </c>
      <c r="R1148" s="10">
        <f t="shared" ca="1" si="167"/>
        <v>73.392857142855746</v>
      </c>
      <c r="S1148" s="10">
        <f t="shared" ca="1" si="168"/>
        <v>-40.178571428570244</v>
      </c>
      <c r="T1148" s="10">
        <f t="shared" ca="1" si="169"/>
        <v>274.39024390243355</v>
      </c>
      <c r="U1148" s="10">
        <f t="shared" ca="1" si="170"/>
        <v>274.39024390243355</v>
      </c>
      <c r="V1148">
        <f t="shared" si="171"/>
        <v>1</v>
      </c>
    </row>
    <row r="1149" spans="1:22" x14ac:dyDescent="0.25">
      <c r="A1149">
        <v>128</v>
      </c>
      <c r="B1149">
        <v>5</v>
      </c>
      <c r="C1149">
        <v>50</v>
      </c>
      <c r="D1149">
        <v>1</v>
      </c>
      <c r="E1149">
        <v>0</v>
      </c>
      <c r="F1149">
        <v>1</v>
      </c>
      <c r="G1149">
        <v>1</v>
      </c>
      <c r="H1149">
        <v>250</v>
      </c>
      <c r="I1149">
        <f t="shared" si="172"/>
        <v>1143</v>
      </c>
      <c r="J1149" s="6">
        <f t="array" aca="1" ref="J1149:N1149" ca="1">TRANSPOSE(ols(OFFSET($C$2:$C$10,I1149,0),OFFSET($D$2:$H$10,I1149,0)))</f>
        <v>73.392857142855746</v>
      </c>
      <c r="K1149" s="6">
        <f ca="1"/>
        <v>-13.214285714285438</v>
      </c>
      <c r="L1149" s="6">
        <f ca="1"/>
        <v>-17.857142857142094</v>
      </c>
      <c r="M1149" s="6">
        <f ca="1"/>
        <v>28.92857142857136</v>
      </c>
      <c r="N1149" s="6">
        <f ca="1"/>
        <v>-0.14642857142857002</v>
      </c>
      <c r="O1149" s="6">
        <f t="shared" ca="1" si="164"/>
        <v>47.857142857142506</v>
      </c>
      <c r="P1149" t="str">
        <f t="shared" si="165"/>
        <v>NA</v>
      </c>
      <c r="Q1149" s="10">
        <f t="shared" ca="1" si="166"/>
        <v>33.214285714285502</v>
      </c>
      <c r="R1149" s="10">
        <f t="shared" ca="1" si="167"/>
        <v>84.464285714285012</v>
      </c>
      <c r="S1149" s="10">
        <f t="shared" ca="1" si="168"/>
        <v>-51.24999999999951</v>
      </c>
      <c r="T1149" s="10">
        <f t="shared" ca="1" si="169"/>
        <v>350</v>
      </c>
      <c r="U1149" s="10">
        <f t="shared" ca="1" si="170"/>
        <v>350</v>
      </c>
      <c r="V1149">
        <f t="shared" si="171"/>
        <v>6</v>
      </c>
    </row>
    <row r="1150" spans="1:22" x14ac:dyDescent="0.25">
      <c r="A1150">
        <v>128</v>
      </c>
      <c r="B1150">
        <v>6</v>
      </c>
      <c r="C1150">
        <v>40</v>
      </c>
      <c r="D1150">
        <v>1</v>
      </c>
      <c r="E1150">
        <v>0</v>
      </c>
      <c r="F1150">
        <v>1</v>
      </c>
      <c r="G1150">
        <v>1</v>
      </c>
      <c r="H1150">
        <v>350</v>
      </c>
      <c r="I1150">
        <f t="shared" si="172"/>
        <v>1143</v>
      </c>
      <c r="J1150" s="6">
        <f t="array" aca="1" ref="J1150:N1150" ca="1">TRANSPOSE(ols(OFFSET($C$2:$C$10,I1150,0),OFFSET($D$2:$H$10,I1150,0)))</f>
        <v>73.392857142855746</v>
      </c>
      <c r="K1150" s="6">
        <f ca="1"/>
        <v>-13.214285714285438</v>
      </c>
      <c r="L1150" s="6">
        <f ca="1"/>
        <v>-17.857142857142094</v>
      </c>
      <c r="M1150" s="6">
        <f ca="1"/>
        <v>28.92857142857136</v>
      </c>
      <c r="N1150" s="6">
        <f ca="1"/>
        <v>-0.14642857142857002</v>
      </c>
      <c r="O1150" s="6">
        <f t="shared" ca="1" si="164"/>
        <v>33.214285714285502</v>
      </c>
      <c r="P1150">
        <f t="shared" ca="1" si="165"/>
        <v>33.214285714285502</v>
      </c>
      <c r="Q1150" s="10">
        <f t="shared" ca="1" si="166"/>
        <v>33.214285714285502</v>
      </c>
      <c r="R1150" s="10">
        <f t="shared" ca="1" si="167"/>
        <v>84.464285714285012</v>
      </c>
      <c r="S1150" s="10">
        <f t="shared" ca="1" si="168"/>
        <v>-51.24999999999951</v>
      </c>
      <c r="T1150" s="10">
        <f t="shared" ca="1" si="169"/>
        <v>350</v>
      </c>
      <c r="U1150" s="10">
        <f t="shared" ca="1" si="170"/>
        <v>350</v>
      </c>
      <c r="V1150">
        <f t="shared" si="171"/>
        <v>6</v>
      </c>
    </row>
    <row r="1151" spans="1:22" x14ac:dyDescent="0.25">
      <c r="A1151">
        <v>128</v>
      </c>
      <c r="B1151">
        <v>7</v>
      </c>
      <c r="C1151">
        <v>25</v>
      </c>
      <c r="D1151">
        <v>1</v>
      </c>
      <c r="E1151">
        <v>1</v>
      </c>
      <c r="F1151">
        <v>0</v>
      </c>
      <c r="G1151">
        <v>1</v>
      </c>
      <c r="H1151">
        <v>450</v>
      </c>
      <c r="I1151">
        <f t="shared" si="172"/>
        <v>1143</v>
      </c>
      <c r="J1151" s="6">
        <f t="array" aca="1" ref="J1151:N1151" ca="1">TRANSPOSE(ols(OFFSET($C$2:$C$10,I1151,0),OFFSET($D$2:$H$10,I1151,0)))</f>
        <v>73.392857142855746</v>
      </c>
      <c r="K1151" s="6">
        <f ca="1"/>
        <v>-13.214285714285438</v>
      </c>
      <c r="L1151" s="6">
        <f ca="1"/>
        <v>-17.857142857142094</v>
      </c>
      <c r="M1151" s="6">
        <f ca="1"/>
        <v>28.92857142857136</v>
      </c>
      <c r="N1151" s="6">
        <f ca="1"/>
        <v>-0.14642857142857002</v>
      </c>
      <c r="O1151" s="6">
        <f t="shared" ca="1" si="164"/>
        <v>23.214285714285154</v>
      </c>
      <c r="P1151" t="str">
        <f t="shared" si="165"/>
        <v>NA</v>
      </c>
      <c r="Q1151" s="10">
        <f t="shared" ca="1" si="166"/>
        <v>33.214285714285502</v>
      </c>
      <c r="R1151" s="10">
        <f t="shared" ca="1" si="167"/>
        <v>89.107142857141667</v>
      </c>
      <c r="S1151" s="10">
        <f t="shared" ca="1" si="168"/>
        <v>-55.892857142856165</v>
      </c>
      <c r="T1151" s="10">
        <f t="shared" ca="1" si="169"/>
        <v>381.7073170731677</v>
      </c>
      <c r="U1151" s="10">
        <f t="shared" ca="1" si="170"/>
        <v>381.7073170731677</v>
      </c>
      <c r="V1151">
        <f t="shared" si="171"/>
        <v>5</v>
      </c>
    </row>
    <row r="1152" spans="1:22" x14ac:dyDescent="0.25">
      <c r="A1152">
        <v>128</v>
      </c>
      <c r="B1152">
        <v>8</v>
      </c>
      <c r="C1152">
        <v>5</v>
      </c>
      <c r="D1152">
        <v>1</v>
      </c>
      <c r="E1152">
        <v>1</v>
      </c>
      <c r="F1152">
        <v>0</v>
      </c>
      <c r="G1152">
        <v>1</v>
      </c>
      <c r="H1152">
        <v>550</v>
      </c>
      <c r="I1152">
        <f t="shared" si="172"/>
        <v>1143</v>
      </c>
      <c r="J1152" s="6">
        <f t="array" aca="1" ref="J1152:N1152" ca="1">TRANSPOSE(ols(OFFSET($C$2:$C$10,I1152,0),OFFSET($D$2:$H$10,I1152,0)))</f>
        <v>73.392857142855746</v>
      </c>
      <c r="K1152" s="6">
        <f ca="1"/>
        <v>-13.214285714285438</v>
      </c>
      <c r="L1152" s="6">
        <f ca="1"/>
        <v>-17.857142857142094</v>
      </c>
      <c r="M1152" s="6">
        <f ca="1"/>
        <v>28.92857142857136</v>
      </c>
      <c r="N1152" s="6">
        <f ca="1"/>
        <v>-0.14642857142857002</v>
      </c>
      <c r="O1152" s="6">
        <f t="shared" ca="1" si="164"/>
        <v>8.5714285714281573</v>
      </c>
      <c r="P1152" t="str">
        <f t="shared" si="165"/>
        <v>NA</v>
      </c>
      <c r="Q1152" s="10">
        <f t="shared" ca="1" si="166"/>
        <v>33.214285714285502</v>
      </c>
      <c r="R1152" s="10">
        <f t="shared" ca="1" si="167"/>
        <v>89.107142857141667</v>
      </c>
      <c r="S1152" s="10">
        <f t="shared" ca="1" si="168"/>
        <v>-55.892857142856165</v>
      </c>
      <c r="T1152" s="10">
        <f t="shared" ca="1" si="169"/>
        <v>381.7073170731677</v>
      </c>
      <c r="U1152" s="10">
        <f t="shared" ca="1" si="170"/>
        <v>381.7073170731677</v>
      </c>
      <c r="V1152">
        <f t="shared" si="171"/>
        <v>5</v>
      </c>
    </row>
    <row r="1153" spans="1:22" x14ac:dyDescent="0.25">
      <c r="A1153">
        <v>128</v>
      </c>
      <c r="B1153">
        <v>9</v>
      </c>
      <c r="C1153">
        <v>0</v>
      </c>
      <c r="D1153">
        <v>1</v>
      </c>
      <c r="E1153">
        <v>0</v>
      </c>
      <c r="F1153">
        <v>0</v>
      </c>
      <c r="G1153">
        <v>1</v>
      </c>
      <c r="H1153">
        <v>650</v>
      </c>
      <c r="I1153">
        <f t="shared" si="172"/>
        <v>1143</v>
      </c>
      <c r="J1153" s="6">
        <f t="array" aca="1" ref="J1153:N1153" ca="1">TRANSPOSE(ols(OFFSET($C$2:$C$10,I1153,0),OFFSET($D$2:$H$10,I1153,0)))</f>
        <v>73.392857142855746</v>
      </c>
      <c r="K1153" s="6">
        <f ca="1"/>
        <v>-13.214285714285438</v>
      </c>
      <c r="L1153" s="6">
        <f ca="1"/>
        <v>-17.857142857142094</v>
      </c>
      <c r="M1153" s="6">
        <f ca="1"/>
        <v>28.92857142857136</v>
      </c>
      <c r="N1153" s="6">
        <f ca="1"/>
        <v>-0.14642857142857002</v>
      </c>
      <c r="O1153" s="6">
        <f t="shared" ca="1" si="164"/>
        <v>7.1428571428565988</v>
      </c>
      <c r="P1153" t="str">
        <f t="shared" si="165"/>
        <v>NA</v>
      </c>
      <c r="Q1153" s="10">
        <f t="shared" ca="1" si="166"/>
        <v>33.214285714285502</v>
      </c>
      <c r="R1153" s="10">
        <f t="shared" ca="1" si="167"/>
        <v>102.32142857142711</v>
      </c>
      <c r="S1153" s="10">
        <f t="shared" ca="1" si="168"/>
        <v>-69.107142857141611</v>
      </c>
      <c r="T1153" s="10">
        <f t="shared" ca="1" si="169"/>
        <v>471.95121951219113</v>
      </c>
      <c r="U1153" s="10">
        <f t="shared" ca="1" si="170"/>
        <v>471.95121951219113</v>
      </c>
      <c r="V1153">
        <f t="shared" si="171"/>
        <v>4</v>
      </c>
    </row>
    <row r="1154" spans="1:22" x14ac:dyDescent="0.25">
      <c r="A1154">
        <v>129</v>
      </c>
      <c r="B1154">
        <v>1</v>
      </c>
      <c r="C1154">
        <v>70</v>
      </c>
      <c r="D1154">
        <v>1</v>
      </c>
      <c r="E1154">
        <v>0</v>
      </c>
      <c r="F1154">
        <v>1</v>
      </c>
      <c r="G1154">
        <v>0</v>
      </c>
      <c r="H1154">
        <v>250</v>
      </c>
      <c r="I1154">
        <f t="shared" si="172"/>
        <v>1152</v>
      </c>
      <c r="J1154" s="6">
        <f t="array" aca="1" ref="J1154:N1154" ca="1">TRANSPOSE(ols(OFFSET($C$2:$C$10,I1154,0),OFFSET($D$2:$H$10,I1154,0)))</f>
        <v>151.13095238095138</v>
      </c>
      <c r="K1154" s="6">
        <f ca="1"/>
        <v>-16.071428571427987</v>
      </c>
      <c r="L1154" s="6">
        <f ca="1"/>
        <v>-27.619047619047251</v>
      </c>
      <c r="M1154" s="6">
        <f ca="1"/>
        <v>16.309523809523739</v>
      </c>
      <c r="N1154" s="6">
        <f ca="1"/>
        <v>-0.21547619047618838</v>
      </c>
      <c r="O1154" s="6">
        <f t="shared" ca="1" si="164"/>
        <v>69.642857142857039</v>
      </c>
      <c r="P1154" t="str">
        <f t="shared" si="165"/>
        <v>NA</v>
      </c>
      <c r="Q1154" s="10">
        <f t="shared" ca="1" si="166"/>
        <v>64.404761904761941</v>
      </c>
      <c r="R1154" s="10">
        <f t="shared" ca="1" si="167"/>
        <v>123.51190476190413</v>
      </c>
      <c r="S1154" s="10">
        <f t="shared" ca="1" si="168"/>
        <v>-59.107142857142193</v>
      </c>
      <c r="T1154" s="10">
        <f t="shared" ca="1" si="169"/>
        <v>274.30939226519297</v>
      </c>
      <c r="U1154" s="10">
        <f t="shared" ca="1" si="170"/>
        <v>274.30939226519297</v>
      </c>
      <c r="V1154">
        <f t="shared" si="171"/>
        <v>3</v>
      </c>
    </row>
    <row r="1155" spans="1:22" x14ac:dyDescent="0.25">
      <c r="A1155">
        <v>129</v>
      </c>
      <c r="B1155">
        <v>2</v>
      </c>
      <c r="C1155">
        <v>60</v>
      </c>
      <c r="D1155">
        <v>1</v>
      </c>
      <c r="E1155">
        <v>1</v>
      </c>
      <c r="F1155">
        <v>0</v>
      </c>
      <c r="G1155">
        <v>0</v>
      </c>
      <c r="H1155">
        <v>350</v>
      </c>
      <c r="I1155">
        <f t="shared" si="172"/>
        <v>1152</v>
      </c>
      <c r="J1155" s="6">
        <f t="array" aca="1" ref="J1155:N1155" ca="1">TRANSPOSE(ols(OFFSET($C$2:$C$10,I1155,0),OFFSET($D$2:$H$10,I1155,0)))</f>
        <v>151.13095238095138</v>
      </c>
      <c r="K1155" s="6">
        <f ca="1"/>
        <v>-16.071428571427987</v>
      </c>
      <c r="L1155" s="6">
        <f ca="1"/>
        <v>-27.619047619047251</v>
      </c>
      <c r="M1155" s="6">
        <f ca="1"/>
        <v>16.309523809523739</v>
      </c>
      <c r="N1155" s="6">
        <f ca="1"/>
        <v>-0.21547619047618838</v>
      </c>
      <c r="O1155" s="6">
        <f t="shared" ref="O1155:O1218" ca="1" si="173">SUMPRODUCT(J1155:N1155,D1155:H1155)</f>
        <v>59.642857142857466</v>
      </c>
      <c r="P1155" t="str">
        <f t="shared" ref="P1155:P1218" si="174">IF(AND(F1155=1,G1155=1,H1155=350),O1155,"NA")</f>
        <v>NA</v>
      </c>
      <c r="Q1155" s="10">
        <f t="shared" ref="Q1155:Q1218" ca="1" si="175">AVERAGEIF($A$2:$A$5383,A1155,$P$2:$P$5383)</f>
        <v>64.404761904761941</v>
      </c>
      <c r="R1155" s="10">
        <f t="shared" ref="R1155:R1218" ca="1" si="176">O1155-N1155*H1155</f>
        <v>135.0595238095234</v>
      </c>
      <c r="S1155" s="10">
        <f t="shared" ref="S1155:S1218" ca="1" si="177">Q1155-R1155</f>
        <v>-70.654761904761457</v>
      </c>
      <c r="T1155" s="10">
        <f t="shared" ref="T1155:T1218" ca="1" si="178">S1155/N1155</f>
        <v>327.90055248618899</v>
      </c>
      <c r="U1155" s="10">
        <f t="shared" ref="U1155:U1218" ca="1" si="179">IF(OR(T1155&lt;250,T1155&gt;650),"OR",T1155)</f>
        <v>327.90055248618899</v>
      </c>
      <c r="V1155">
        <f t="shared" ref="V1155:V1218" si="180">IF(AND(E1155=1,G1155=0),2,IF(AND(F1155=1,G1155=0),3,IF(AND(E1155=1,G1155=1),5,IF(AND(F1155=1,G1155=1),6,IF(G1155=0,1,IF(G1155=1,4))))))</f>
        <v>2</v>
      </c>
    </row>
    <row r="1156" spans="1:22" x14ac:dyDescent="0.25">
      <c r="A1156">
        <v>129</v>
      </c>
      <c r="B1156">
        <v>3</v>
      </c>
      <c r="C1156">
        <v>40</v>
      </c>
      <c r="D1156">
        <v>1</v>
      </c>
      <c r="E1156">
        <v>1</v>
      </c>
      <c r="F1156">
        <v>0</v>
      </c>
      <c r="G1156">
        <v>0</v>
      </c>
      <c r="H1156">
        <v>450</v>
      </c>
      <c r="I1156">
        <f t="shared" si="172"/>
        <v>1152</v>
      </c>
      <c r="J1156" s="6">
        <f t="array" aca="1" ref="J1156:N1156" ca="1">TRANSPOSE(ols(OFFSET($C$2:$C$10,I1156,0),OFFSET($D$2:$H$10,I1156,0)))</f>
        <v>151.13095238095138</v>
      </c>
      <c r="K1156" s="6">
        <f ca="1"/>
        <v>-16.071428571427987</v>
      </c>
      <c r="L1156" s="6">
        <f ca="1"/>
        <v>-27.619047619047251</v>
      </c>
      <c r="M1156" s="6">
        <f ca="1"/>
        <v>16.309523809523739</v>
      </c>
      <c r="N1156" s="6">
        <f ca="1"/>
        <v>-0.21547619047618838</v>
      </c>
      <c r="O1156" s="6">
        <f t="shared" ca="1" si="173"/>
        <v>38.095238095238628</v>
      </c>
      <c r="P1156" t="str">
        <f t="shared" si="174"/>
        <v>NA</v>
      </c>
      <c r="Q1156" s="10">
        <f t="shared" ca="1" si="175"/>
        <v>64.404761904761941</v>
      </c>
      <c r="R1156" s="10">
        <f t="shared" ca="1" si="176"/>
        <v>135.0595238095234</v>
      </c>
      <c r="S1156" s="10">
        <f t="shared" ca="1" si="177"/>
        <v>-70.654761904761457</v>
      </c>
      <c r="T1156" s="10">
        <f t="shared" ca="1" si="178"/>
        <v>327.90055248618899</v>
      </c>
      <c r="U1156" s="10">
        <f t="shared" ca="1" si="179"/>
        <v>327.90055248618899</v>
      </c>
      <c r="V1156">
        <f t="shared" si="180"/>
        <v>2</v>
      </c>
    </row>
    <row r="1157" spans="1:22" x14ac:dyDescent="0.25">
      <c r="A1157">
        <v>129</v>
      </c>
      <c r="B1157">
        <v>4</v>
      </c>
      <c r="C1157">
        <v>30</v>
      </c>
      <c r="D1157">
        <v>1</v>
      </c>
      <c r="E1157">
        <v>0</v>
      </c>
      <c r="F1157">
        <v>0</v>
      </c>
      <c r="G1157">
        <v>0</v>
      </c>
      <c r="H1157">
        <v>550</v>
      </c>
      <c r="I1157">
        <f t="shared" si="172"/>
        <v>1152</v>
      </c>
      <c r="J1157" s="6">
        <f t="array" aca="1" ref="J1157:N1157" ca="1">TRANSPOSE(ols(OFFSET($C$2:$C$10,I1157,0),OFFSET($D$2:$H$10,I1157,0)))</f>
        <v>151.13095238095138</v>
      </c>
      <c r="K1157" s="6">
        <f ca="1"/>
        <v>-16.071428571427987</v>
      </c>
      <c r="L1157" s="6">
        <f ca="1"/>
        <v>-27.619047619047251</v>
      </c>
      <c r="M1157" s="6">
        <f ca="1"/>
        <v>16.309523809523739</v>
      </c>
      <c r="N1157" s="6">
        <f ca="1"/>
        <v>-0.21547619047618838</v>
      </c>
      <c r="O1157" s="6">
        <f t="shared" ca="1" si="173"/>
        <v>32.619047619047777</v>
      </c>
      <c r="P1157" t="str">
        <f t="shared" si="174"/>
        <v>NA</v>
      </c>
      <c r="Q1157" s="10">
        <f t="shared" ca="1" si="175"/>
        <v>64.404761904761941</v>
      </c>
      <c r="R1157" s="10">
        <f t="shared" ca="1" si="176"/>
        <v>151.13095238095138</v>
      </c>
      <c r="S1157" s="10">
        <f t="shared" ca="1" si="177"/>
        <v>-86.726190476189444</v>
      </c>
      <c r="T1157" s="10">
        <f t="shared" ca="1" si="178"/>
        <v>402.48618784530299</v>
      </c>
      <c r="U1157" s="10">
        <f t="shared" ca="1" si="179"/>
        <v>402.48618784530299</v>
      </c>
      <c r="V1157">
        <f t="shared" si="180"/>
        <v>1</v>
      </c>
    </row>
    <row r="1158" spans="1:22" x14ac:dyDescent="0.25">
      <c r="A1158">
        <v>129</v>
      </c>
      <c r="B1158">
        <v>5</v>
      </c>
      <c r="C1158">
        <v>90</v>
      </c>
      <c r="D1158">
        <v>1</v>
      </c>
      <c r="E1158">
        <v>0</v>
      </c>
      <c r="F1158">
        <v>1</v>
      </c>
      <c r="G1158">
        <v>1</v>
      </c>
      <c r="H1158">
        <v>250</v>
      </c>
      <c r="I1158">
        <f t="shared" si="172"/>
        <v>1152</v>
      </c>
      <c r="J1158" s="6">
        <f t="array" aca="1" ref="J1158:N1158" ca="1">TRANSPOSE(ols(OFFSET($C$2:$C$10,I1158,0),OFFSET($D$2:$H$10,I1158,0)))</f>
        <v>151.13095238095138</v>
      </c>
      <c r="K1158" s="6">
        <f ca="1"/>
        <v>-16.071428571427987</v>
      </c>
      <c r="L1158" s="6">
        <f ca="1"/>
        <v>-27.619047619047251</v>
      </c>
      <c r="M1158" s="6">
        <f ca="1"/>
        <v>16.309523809523739</v>
      </c>
      <c r="N1158" s="6">
        <f ca="1"/>
        <v>-0.21547619047618838</v>
      </c>
      <c r="O1158" s="6">
        <f t="shared" ca="1" si="173"/>
        <v>85.952380952380778</v>
      </c>
      <c r="P1158" t="str">
        <f t="shared" si="174"/>
        <v>NA</v>
      </c>
      <c r="Q1158" s="10">
        <f t="shared" ca="1" si="175"/>
        <v>64.404761904761941</v>
      </c>
      <c r="R1158" s="10">
        <f t="shared" ca="1" si="176"/>
        <v>139.82142857142787</v>
      </c>
      <c r="S1158" s="10">
        <f t="shared" ca="1" si="177"/>
        <v>-75.416666666665932</v>
      </c>
      <c r="T1158" s="10">
        <f t="shared" ca="1" si="178"/>
        <v>350</v>
      </c>
      <c r="U1158" s="10">
        <f t="shared" ca="1" si="179"/>
        <v>350</v>
      </c>
      <c r="V1158">
        <f t="shared" si="180"/>
        <v>6</v>
      </c>
    </row>
    <row r="1159" spans="1:22" x14ac:dyDescent="0.25">
      <c r="A1159">
        <v>129</v>
      </c>
      <c r="B1159">
        <v>6</v>
      </c>
      <c r="C1159">
        <v>60</v>
      </c>
      <c r="D1159">
        <v>1</v>
      </c>
      <c r="E1159">
        <v>0</v>
      </c>
      <c r="F1159">
        <v>1</v>
      </c>
      <c r="G1159">
        <v>1</v>
      </c>
      <c r="H1159">
        <v>350</v>
      </c>
      <c r="I1159">
        <f t="shared" si="172"/>
        <v>1152</v>
      </c>
      <c r="J1159" s="6">
        <f t="array" aca="1" ref="J1159:N1159" ca="1">TRANSPOSE(ols(OFFSET($C$2:$C$10,I1159,0),OFFSET($D$2:$H$10,I1159,0)))</f>
        <v>151.13095238095138</v>
      </c>
      <c r="K1159" s="6">
        <f ca="1"/>
        <v>-16.071428571427987</v>
      </c>
      <c r="L1159" s="6">
        <f ca="1"/>
        <v>-27.619047619047251</v>
      </c>
      <c r="M1159" s="6">
        <f ca="1"/>
        <v>16.309523809523739</v>
      </c>
      <c r="N1159" s="6">
        <f ca="1"/>
        <v>-0.21547619047618838</v>
      </c>
      <c r="O1159" s="6">
        <f t="shared" ca="1" si="173"/>
        <v>64.404761904761941</v>
      </c>
      <c r="P1159">
        <f t="shared" ca="1" si="174"/>
        <v>64.404761904761941</v>
      </c>
      <c r="Q1159" s="10">
        <f t="shared" ca="1" si="175"/>
        <v>64.404761904761941</v>
      </c>
      <c r="R1159" s="10">
        <f t="shared" ca="1" si="176"/>
        <v>139.82142857142787</v>
      </c>
      <c r="S1159" s="10">
        <f t="shared" ca="1" si="177"/>
        <v>-75.416666666665932</v>
      </c>
      <c r="T1159" s="10">
        <f t="shared" ca="1" si="178"/>
        <v>350</v>
      </c>
      <c r="U1159" s="10">
        <f t="shared" ca="1" si="179"/>
        <v>350</v>
      </c>
      <c r="V1159">
        <f t="shared" si="180"/>
        <v>6</v>
      </c>
    </row>
    <row r="1160" spans="1:22" x14ac:dyDescent="0.25">
      <c r="A1160">
        <v>129</v>
      </c>
      <c r="B1160">
        <v>7</v>
      </c>
      <c r="C1160">
        <v>50</v>
      </c>
      <c r="D1160">
        <v>1</v>
      </c>
      <c r="E1160">
        <v>1</v>
      </c>
      <c r="F1160">
        <v>0</v>
      </c>
      <c r="G1160">
        <v>1</v>
      </c>
      <c r="H1160">
        <v>450</v>
      </c>
      <c r="I1160">
        <f t="shared" si="172"/>
        <v>1152</v>
      </c>
      <c r="J1160" s="6">
        <f t="array" aca="1" ref="J1160:N1160" ca="1">TRANSPOSE(ols(OFFSET($C$2:$C$10,I1160,0),OFFSET($D$2:$H$10,I1160,0)))</f>
        <v>151.13095238095138</v>
      </c>
      <c r="K1160" s="6">
        <f ca="1"/>
        <v>-16.071428571427987</v>
      </c>
      <c r="L1160" s="6">
        <f ca="1"/>
        <v>-27.619047619047251</v>
      </c>
      <c r="M1160" s="6">
        <f ca="1"/>
        <v>16.309523809523739</v>
      </c>
      <c r="N1160" s="6">
        <f ca="1"/>
        <v>-0.21547619047618838</v>
      </c>
      <c r="O1160" s="6">
        <f t="shared" ca="1" si="173"/>
        <v>54.404761904762367</v>
      </c>
      <c r="P1160" t="str">
        <f t="shared" si="174"/>
        <v>NA</v>
      </c>
      <c r="Q1160" s="10">
        <f t="shared" ca="1" si="175"/>
        <v>64.404761904761941</v>
      </c>
      <c r="R1160" s="10">
        <f t="shared" ca="1" si="176"/>
        <v>151.36904761904714</v>
      </c>
      <c r="S1160" s="10">
        <f t="shared" ca="1" si="177"/>
        <v>-86.964285714285197</v>
      </c>
      <c r="T1160" s="10">
        <f t="shared" ca="1" si="178"/>
        <v>403.59116022099602</v>
      </c>
      <c r="U1160" s="10">
        <f t="shared" ca="1" si="179"/>
        <v>403.59116022099602</v>
      </c>
      <c r="V1160">
        <f t="shared" si="180"/>
        <v>5</v>
      </c>
    </row>
    <row r="1161" spans="1:22" x14ac:dyDescent="0.25">
      <c r="A1161">
        <v>129</v>
      </c>
      <c r="B1161">
        <v>8</v>
      </c>
      <c r="C1161">
        <v>35</v>
      </c>
      <c r="D1161">
        <v>1</v>
      </c>
      <c r="E1161">
        <v>1</v>
      </c>
      <c r="F1161">
        <v>0</v>
      </c>
      <c r="G1161">
        <v>1</v>
      </c>
      <c r="H1161">
        <v>550</v>
      </c>
      <c r="I1161">
        <f t="shared" si="172"/>
        <v>1152</v>
      </c>
      <c r="J1161" s="6">
        <f t="array" aca="1" ref="J1161:N1161" ca="1">TRANSPOSE(ols(OFFSET($C$2:$C$10,I1161,0),OFFSET($D$2:$H$10,I1161,0)))</f>
        <v>151.13095238095138</v>
      </c>
      <c r="K1161" s="6">
        <f ca="1"/>
        <v>-16.071428571427987</v>
      </c>
      <c r="L1161" s="6">
        <f ca="1"/>
        <v>-27.619047619047251</v>
      </c>
      <c r="M1161" s="6">
        <f ca="1"/>
        <v>16.309523809523739</v>
      </c>
      <c r="N1161" s="6">
        <f ca="1"/>
        <v>-0.21547619047618838</v>
      </c>
      <c r="O1161" s="6">
        <f t="shared" ca="1" si="173"/>
        <v>32.857142857143529</v>
      </c>
      <c r="P1161" t="str">
        <f t="shared" si="174"/>
        <v>NA</v>
      </c>
      <c r="Q1161" s="10">
        <f t="shared" ca="1" si="175"/>
        <v>64.404761904761941</v>
      </c>
      <c r="R1161" s="10">
        <f t="shared" ca="1" si="176"/>
        <v>151.36904761904714</v>
      </c>
      <c r="S1161" s="10">
        <f t="shared" ca="1" si="177"/>
        <v>-86.964285714285197</v>
      </c>
      <c r="T1161" s="10">
        <f t="shared" ca="1" si="178"/>
        <v>403.59116022099602</v>
      </c>
      <c r="U1161" s="10">
        <f t="shared" ca="1" si="179"/>
        <v>403.59116022099602</v>
      </c>
      <c r="V1161">
        <f t="shared" si="180"/>
        <v>5</v>
      </c>
    </row>
    <row r="1162" spans="1:22" x14ac:dyDescent="0.25">
      <c r="A1162">
        <v>129</v>
      </c>
      <c r="B1162">
        <v>9</v>
      </c>
      <c r="C1162">
        <v>30</v>
      </c>
      <c r="D1162">
        <v>1</v>
      </c>
      <c r="E1162">
        <v>0</v>
      </c>
      <c r="F1162">
        <v>0</v>
      </c>
      <c r="G1162">
        <v>1</v>
      </c>
      <c r="H1162">
        <v>650</v>
      </c>
      <c r="I1162">
        <f t="shared" si="172"/>
        <v>1152</v>
      </c>
      <c r="J1162" s="6">
        <f t="array" aca="1" ref="J1162:N1162" ca="1">TRANSPOSE(ols(OFFSET($C$2:$C$10,I1162,0),OFFSET($D$2:$H$10,I1162,0)))</f>
        <v>151.13095238095138</v>
      </c>
      <c r="K1162" s="6">
        <f ca="1"/>
        <v>-16.071428571427987</v>
      </c>
      <c r="L1162" s="6">
        <f ca="1"/>
        <v>-27.619047619047251</v>
      </c>
      <c r="M1162" s="6">
        <f ca="1"/>
        <v>16.309523809523739</v>
      </c>
      <c r="N1162" s="6">
        <f ca="1"/>
        <v>-0.21547619047618838</v>
      </c>
      <c r="O1162" s="6">
        <f t="shared" ca="1" si="173"/>
        <v>27.380952380952692</v>
      </c>
      <c r="P1162" t="str">
        <f t="shared" si="174"/>
        <v>NA</v>
      </c>
      <c r="Q1162" s="10">
        <f t="shared" ca="1" si="175"/>
        <v>64.404761904761941</v>
      </c>
      <c r="R1162" s="10">
        <f t="shared" ca="1" si="176"/>
        <v>167.44047619047512</v>
      </c>
      <c r="S1162" s="10">
        <f t="shared" ca="1" si="177"/>
        <v>-103.03571428571318</v>
      </c>
      <c r="T1162" s="10">
        <f t="shared" ca="1" si="178"/>
        <v>478.17679558011002</v>
      </c>
      <c r="U1162" s="10">
        <f t="shared" ca="1" si="179"/>
        <v>478.17679558011002</v>
      </c>
      <c r="V1162">
        <f t="shared" si="180"/>
        <v>4</v>
      </c>
    </row>
    <row r="1163" spans="1:22" x14ac:dyDescent="0.25">
      <c r="A1163">
        <v>130</v>
      </c>
      <c r="B1163">
        <v>1</v>
      </c>
      <c r="C1163">
        <v>85</v>
      </c>
      <c r="D1163">
        <v>1</v>
      </c>
      <c r="E1163">
        <v>0</v>
      </c>
      <c r="F1163">
        <v>1</v>
      </c>
      <c r="G1163">
        <v>0</v>
      </c>
      <c r="H1163">
        <v>250</v>
      </c>
      <c r="I1163">
        <f t="shared" si="172"/>
        <v>1161</v>
      </c>
      <c r="J1163" s="6">
        <f t="array" aca="1" ref="J1163:N1163" ca="1">TRANSPOSE(ols(OFFSET($C$2:$C$10,I1163,0),OFFSET($D$2:$H$10,I1163,0)))</f>
        <v>196.60714285714039</v>
      </c>
      <c r="K1163" s="6">
        <f ca="1"/>
        <v>-4.285714285713766</v>
      </c>
      <c r="L1163" s="6">
        <f ca="1"/>
        <v>-27.142857142855974</v>
      </c>
      <c r="M1163" s="6">
        <f ca="1"/>
        <v>31.071428571428555</v>
      </c>
      <c r="N1163" s="6">
        <f ca="1"/>
        <v>-0.35357142857142421</v>
      </c>
      <c r="O1163" s="6">
        <f t="shared" ca="1" si="173"/>
        <v>81.071428571428356</v>
      </c>
      <c r="P1163" t="str">
        <f t="shared" si="174"/>
        <v>NA</v>
      </c>
      <c r="Q1163" s="10">
        <f t="shared" ca="1" si="175"/>
        <v>76.785714285714505</v>
      </c>
      <c r="R1163" s="10">
        <f t="shared" ca="1" si="176"/>
        <v>169.46428571428442</v>
      </c>
      <c r="S1163" s="10">
        <f t="shared" ca="1" si="177"/>
        <v>-92.67857142856991</v>
      </c>
      <c r="T1163" s="10">
        <f t="shared" ca="1" si="178"/>
        <v>262.12121212121104</v>
      </c>
      <c r="U1163" s="10">
        <f t="shared" ca="1" si="179"/>
        <v>262.12121212121104</v>
      </c>
      <c r="V1163">
        <f t="shared" si="180"/>
        <v>3</v>
      </c>
    </row>
    <row r="1164" spans="1:22" x14ac:dyDescent="0.25">
      <c r="A1164">
        <v>130</v>
      </c>
      <c r="B1164">
        <v>2</v>
      </c>
      <c r="C1164">
        <v>75</v>
      </c>
      <c r="D1164">
        <v>1</v>
      </c>
      <c r="E1164">
        <v>1</v>
      </c>
      <c r="F1164">
        <v>0</v>
      </c>
      <c r="G1164">
        <v>0</v>
      </c>
      <c r="H1164">
        <v>350</v>
      </c>
      <c r="I1164">
        <f t="shared" ref="I1164:I1227" si="181">IF(A1164&gt;A1163,I1163+9,I1163)</f>
        <v>1161</v>
      </c>
      <c r="J1164" s="6">
        <f t="array" aca="1" ref="J1164:N1164" ca="1">TRANSPOSE(ols(OFFSET($C$2:$C$10,I1164,0),OFFSET($D$2:$H$10,I1164,0)))</f>
        <v>196.60714285714039</v>
      </c>
      <c r="K1164" s="6">
        <f ca="1"/>
        <v>-4.285714285713766</v>
      </c>
      <c r="L1164" s="6">
        <f ca="1"/>
        <v>-27.142857142855974</v>
      </c>
      <c r="M1164" s="6">
        <f ca="1"/>
        <v>31.071428571428555</v>
      </c>
      <c r="N1164" s="6">
        <f ca="1"/>
        <v>-0.35357142857142421</v>
      </c>
      <c r="O1164" s="6">
        <f t="shared" ca="1" si="173"/>
        <v>68.571428571428157</v>
      </c>
      <c r="P1164" t="str">
        <f t="shared" si="174"/>
        <v>NA</v>
      </c>
      <c r="Q1164" s="10">
        <f t="shared" ca="1" si="175"/>
        <v>76.785714285714505</v>
      </c>
      <c r="R1164" s="10">
        <f t="shared" ca="1" si="176"/>
        <v>192.32142857142662</v>
      </c>
      <c r="S1164" s="10">
        <f t="shared" ca="1" si="177"/>
        <v>-115.53571428571212</v>
      </c>
      <c r="T1164" s="10">
        <f t="shared" ca="1" si="178"/>
        <v>326.76767676767469</v>
      </c>
      <c r="U1164" s="10">
        <f t="shared" ca="1" si="179"/>
        <v>326.76767676767469</v>
      </c>
      <c r="V1164">
        <f t="shared" si="180"/>
        <v>2</v>
      </c>
    </row>
    <row r="1165" spans="1:22" x14ac:dyDescent="0.25">
      <c r="A1165">
        <v>130</v>
      </c>
      <c r="B1165">
        <v>3</v>
      </c>
      <c r="C1165">
        <v>25</v>
      </c>
      <c r="D1165">
        <v>1</v>
      </c>
      <c r="E1165">
        <v>1</v>
      </c>
      <c r="F1165">
        <v>0</v>
      </c>
      <c r="G1165">
        <v>0</v>
      </c>
      <c r="H1165">
        <v>450</v>
      </c>
      <c r="I1165">
        <f t="shared" si="181"/>
        <v>1161</v>
      </c>
      <c r="J1165" s="6">
        <f t="array" aca="1" ref="J1165:N1165" ca="1">TRANSPOSE(ols(OFFSET($C$2:$C$10,I1165,0),OFFSET($D$2:$H$10,I1165,0)))</f>
        <v>196.60714285714039</v>
      </c>
      <c r="K1165" s="6">
        <f ca="1"/>
        <v>-4.285714285713766</v>
      </c>
      <c r="L1165" s="6">
        <f ca="1"/>
        <v>-27.142857142855974</v>
      </c>
      <c r="M1165" s="6">
        <f ca="1"/>
        <v>31.071428571428555</v>
      </c>
      <c r="N1165" s="6">
        <f ca="1"/>
        <v>-0.35357142857142421</v>
      </c>
      <c r="O1165" s="6">
        <f t="shared" ca="1" si="173"/>
        <v>33.214285714285722</v>
      </c>
      <c r="P1165" t="str">
        <f t="shared" si="174"/>
        <v>NA</v>
      </c>
      <c r="Q1165" s="10">
        <f t="shared" ca="1" si="175"/>
        <v>76.785714285714505</v>
      </c>
      <c r="R1165" s="10">
        <f t="shared" ca="1" si="176"/>
        <v>192.32142857142662</v>
      </c>
      <c r="S1165" s="10">
        <f t="shared" ca="1" si="177"/>
        <v>-115.53571428571212</v>
      </c>
      <c r="T1165" s="10">
        <f t="shared" ca="1" si="178"/>
        <v>326.76767676767469</v>
      </c>
      <c r="U1165" s="10">
        <f t="shared" ca="1" si="179"/>
        <v>326.76767676767469</v>
      </c>
      <c r="V1165">
        <f t="shared" si="180"/>
        <v>2</v>
      </c>
    </row>
    <row r="1166" spans="1:22" x14ac:dyDescent="0.25">
      <c r="A1166">
        <v>130</v>
      </c>
      <c r="B1166">
        <v>4</v>
      </c>
      <c r="C1166">
        <v>0</v>
      </c>
      <c r="D1166">
        <v>1</v>
      </c>
      <c r="E1166">
        <v>0</v>
      </c>
      <c r="F1166">
        <v>0</v>
      </c>
      <c r="G1166">
        <v>0</v>
      </c>
      <c r="H1166">
        <v>550</v>
      </c>
      <c r="I1166">
        <f t="shared" si="181"/>
        <v>1161</v>
      </c>
      <c r="J1166" s="6">
        <f t="array" aca="1" ref="J1166:N1166" ca="1">TRANSPOSE(ols(OFFSET($C$2:$C$10,I1166,0),OFFSET($D$2:$H$10,I1166,0)))</f>
        <v>196.60714285714039</v>
      </c>
      <c r="K1166" s="6">
        <f ca="1"/>
        <v>-4.285714285713766</v>
      </c>
      <c r="L1166" s="6">
        <f ca="1"/>
        <v>-27.142857142855974</v>
      </c>
      <c r="M1166" s="6">
        <f ca="1"/>
        <v>31.071428571428555</v>
      </c>
      <c r="N1166" s="6">
        <f ca="1"/>
        <v>-0.35357142857142421</v>
      </c>
      <c r="O1166" s="6">
        <f t="shared" ca="1" si="173"/>
        <v>2.142857142857082</v>
      </c>
      <c r="P1166" t="str">
        <f t="shared" si="174"/>
        <v>NA</v>
      </c>
      <c r="Q1166" s="10">
        <f t="shared" ca="1" si="175"/>
        <v>76.785714285714505</v>
      </c>
      <c r="R1166" s="10">
        <f t="shared" ca="1" si="176"/>
        <v>196.60714285714039</v>
      </c>
      <c r="S1166" s="10">
        <f t="shared" ca="1" si="177"/>
        <v>-119.82142857142588</v>
      </c>
      <c r="T1166" s="10">
        <f t="shared" ca="1" si="178"/>
        <v>338.88888888888545</v>
      </c>
      <c r="U1166" s="10">
        <f t="shared" ca="1" si="179"/>
        <v>338.88888888888545</v>
      </c>
      <c r="V1166">
        <f t="shared" si="180"/>
        <v>1</v>
      </c>
    </row>
    <row r="1167" spans="1:22" x14ac:dyDescent="0.25">
      <c r="A1167">
        <v>130</v>
      </c>
      <c r="B1167">
        <v>5</v>
      </c>
      <c r="C1167">
        <v>100</v>
      </c>
      <c r="D1167">
        <v>1</v>
      </c>
      <c r="E1167">
        <v>0</v>
      </c>
      <c r="F1167">
        <v>1</v>
      </c>
      <c r="G1167">
        <v>1</v>
      </c>
      <c r="H1167">
        <v>250</v>
      </c>
      <c r="I1167">
        <f t="shared" si="181"/>
        <v>1161</v>
      </c>
      <c r="J1167" s="6">
        <f t="array" aca="1" ref="J1167:N1167" ca="1">TRANSPOSE(ols(OFFSET($C$2:$C$10,I1167,0),OFFSET($D$2:$H$10,I1167,0)))</f>
        <v>196.60714285714039</v>
      </c>
      <c r="K1167" s="6">
        <f ca="1"/>
        <v>-4.285714285713766</v>
      </c>
      <c r="L1167" s="6">
        <f ca="1"/>
        <v>-27.142857142855974</v>
      </c>
      <c r="M1167" s="6">
        <f ca="1"/>
        <v>31.071428571428555</v>
      </c>
      <c r="N1167" s="6">
        <f ca="1"/>
        <v>-0.35357142857142421</v>
      </c>
      <c r="O1167" s="6">
        <f t="shared" ca="1" si="173"/>
        <v>112.14285714285691</v>
      </c>
      <c r="P1167" t="str">
        <f t="shared" si="174"/>
        <v>NA</v>
      </c>
      <c r="Q1167" s="10">
        <f t="shared" ca="1" si="175"/>
        <v>76.785714285714505</v>
      </c>
      <c r="R1167" s="10">
        <f t="shared" ca="1" si="176"/>
        <v>200.53571428571297</v>
      </c>
      <c r="S1167" s="10">
        <f t="shared" ca="1" si="177"/>
        <v>-123.74999999999847</v>
      </c>
      <c r="T1167" s="10">
        <f t="shared" ca="1" si="178"/>
        <v>350</v>
      </c>
      <c r="U1167" s="10">
        <f t="shared" ca="1" si="179"/>
        <v>350</v>
      </c>
      <c r="V1167">
        <f t="shared" si="180"/>
        <v>6</v>
      </c>
    </row>
    <row r="1168" spans="1:22" x14ac:dyDescent="0.25">
      <c r="A1168">
        <v>130</v>
      </c>
      <c r="B1168">
        <v>6</v>
      </c>
      <c r="C1168">
        <v>85</v>
      </c>
      <c r="D1168">
        <v>1</v>
      </c>
      <c r="E1168">
        <v>0</v>
      </c>
      <c r="F1168">
        <v>1</v>
      </c>
      <c r="G1168">
        <v>1</v>
      </c>
      <c r="H1168">
        <v>350</v>
      </c>
      <c r="I1168">
        <f t="shared" si="181"/>
        <v>1161</v>
      </c>
      <c r="J1168" s="6">
        <f t="array" aca="1" ref="J1168:N1168" ca="1">TRANSPOSE(ols(OFFSET($C$2:$C$10,I1168,0),OFFSET($D$2:$H$10,I1168,0)))</f>
        <v>196.60714285714039</v>
      </c>
      <c r="K1168" s="6">
        <f ca="1"/>
        <v>-4.285714285713766</v>
      </c>
      <c r="L1168" s="6">
        <f ca="1"/>
        <v>-27.142857142855974</v>
      </c>
      <c r="M1168" s="6">
        <f ca="1"/>
        <v>31.071428571428555</v>
      </c>
      <c r="N1168" s="6">
        <f ca="1"/>
        <v>-0.35357142857142421</v>
      </c>
      <c r="O1168" s="6">
        <f t="shared" ca="1" si="173"/>
        <v>76.785714285714505</v>
      </c>
      <c r="P1168">
        <f t="shared" ca="1" si="174"/>
        <v>76.785714285714505</v>
      </c>
      <c r="Q1168" s="10">
        <f t="shared" ca="1" si="175"/>
        <v>76.785714285714505</v>
      </c>
      <c r="R1168" s="10">
        <f t="shared" ca="1" si="176"/>
        <v>200.53571428571297</v>
      </c>
      <c r="S1168" s="10">
        <f t="shared" ca="1" si="177"/>
        <v>-123.74999999999847</v>
      </c>
      <c r="T1168" s="10">
        <f t="shared" ca="1" si="178"/>
        <v>350</v>
      </c>
      <c r="U1168" s="10">
        <f t="shared" ca="1" si="179"/>
        <v>350</v>
      </c>
      <c r="V1168">
        <f t="shared" si="180"/>
        <v>6</v>
      </c>
    </row>
    <row r="1169" spans="1:22" x14ac:dyDescent="0.25">
      <c r="A1169">
        <v>130</v>
      </c>
      <c r="B1169">
        <v>7</v>
      </c>
      <c r="C1169">
        <v>70</v>
      </c>
      <c r="D1169">
        <v>1</v>
      </c>
      <c r="E1169">
        <v>1</v>
      </c>
      <c r="F1169">
        <v>0</v>
      </c>
      <c r="G1169">
        <v>1</v>
      </c>
      <c r="H1169">
        <v>450</v>
      </c>
      <c r="I1169">
        <f t="shared" si="181"/>
        <v>1161</v>
      </c>
      <c r="J1169" s="6">
        <f t="array" aca="1" ref="J1169:N1169" ca="1">TRANSPOSE(ols(OFFSET($C$2:$C$10,I1169,0),OFFSET($D$2:$H$10,I1169,0)))</f>
        <v>196.60714285714039</v>
      </c>
      <c r="K1169" s="6">
        <f ca="1"/>
        <v>-4.285714285713766</v>
      </c>
      <c r="L1169" s="6">
        <f ca="1"/>
        <v>-27.142857142855974</v>
      </c>
      <c r="M1169" s="6">
        <f ca="1"/>
        <v>31.071428571428555</v>
      </c>
      <c r="N1169" s="6">
        <f ca="1"/>
        <v>-0.35357142857142421</v>
      </c>
      <c r="O1169" s="6">
        <f t="shared" ca="1" si="173"/>
        <v>64.285714285714278</v>
      </c>
      <c r="P1169" t="str">
        <f t="shared" si="174"/>
        <v>NA</v>
      </c>
      <c r="Q1169" s="10">
        <f t="shared" ca="1" si="175"/>
        <v>76.785714285714505</v>
      </c>
      <c r="R1169" s="10">
        <f t="shared" ca="1" si="176"/>
        <v>223.39285714285518</v>
      </c>
      <c r="S1169" s="10">
        <f t="shared" ca="1" si="177"/>
        <v>-146.60714285714067</v>
      </c>
      <c r="T1169" s="10">
        <f t="shared" ca="1" si="178"/>
        <v>414.64646464646358</v>
      </c>
      <c r="U1169" s="10">
        <f t="shared" ca="1" si="179"/>
        <v>414.64646464646358</v>
      </c>
      <c r="V1169">
        <f t="shared" si="180"/>
        <v>5</v>
      </c>
    </row>
    <row r="1170" spans="1:22" x14ac:dyDescent="0.25">
      <c r="A1170">
        <v>130</v>
      </c>
      <c r="B1170">
        <v>8</v>
      </c>
      <c r="C1170">
        <v>25</v>
      </c>
      <c r="D1170">
        <v>1</v>
      </c>
      <c r="E1170">
        <v>1</v>
      </c>
      <c r="F1170">
        <v>0</v>
      </c>
      <c r="G1170">
        <v>1</v>
      </c>
      <c r="H1170">
        <v>550</v>
      </c>
      <c r="I1170">
        <f t="shared" si="181"/>
        <v>1161</v>
      </c>
      <c r="J1170" s="6">
        <f t="array" aca="1" ref="J1170:N1170" ca="1">TRANSPOSE(ols(OFFSET($C$2:$C$10,I1170,0),OFFSET($D$2:$H$10,I1170,0)))</f>
        <v>196.60714285714039</v>
      </c>
      <c r="K1170" s="6">
        <f ca="1"/>
        <v>-4.285714285713766</v>
      </c>
      <c r="L1170" s="6">
        <f ca="1"/>
        <v>-27.142857142855974</v>
      </c>
      <c r="M1170" s="6">
        <f ca="1"/>
        <v>31.071428571428555</v>
      </c>
      <c r="N1170" s="6">
        <f ca="1"/>
        <v>-0.35357142857142421</v>
      </c>
      <c r="O1170" s="6">
        <f t="shared" ca="1" si="173"/>
        <v>28.928571428571871</v>
      </c>
      <c r="P1170" t="str">
        <f t="shared" si="174"/>
        <v>NA</v>
      </c>
      <c r="Q1170" s="10">
        <f t="shared" ca="1" si="175"/>
        <v>76.785714285714505</v>
      </c>
      <c r="R1170" s="10">
        <f t="shared" ca="1" si="176"/>
        <v>223.39285714285518</v>
      </c>
      <c r="S1170" s="10">
        <f t="shared" ca="1" si="177"/>
        <v>-146.60714285714067</v>
      </c>
      <c r="T1170" s="10">
        <f t="shared" ca="1" si="178"/>
        <v>414.64646464646358</v>
      </c>
      <c r="U1170" s="10">
        <f t="shared" ca="1" si="179"/>
        <v>414.64646464646358</v>
      </c>
      <c r="V1170">
        <f t="shared" si="180"/>
        <v>5</v>
      </c>
    </row>
    <row r="1171" spans="1:22" x14ac:dyDescent="0.25">
      <c r="A1171">
        <v>130</v>
      </c>
      <c r="B1171">
        <v>9</v>
      </c>
      <c r="C1171">
        <v>0</v>
      </c>
      <c r="D1171">
        <v>1</v>
      </c>
      <c r="E1171">
        <v>0</v>
      </c>
      <c r="F1171">
        <v>0</v>
      </c>
      <c r="G1171">
        <v>1</v>
      </c>
      <c r="H1171">
        <v>650</v>
      </c>
      <c r="I1171">
        <f t="shared" si="181"/>
        <v>1161</v>
      </c>
      <c r="J1171" s="6">
        <f t="array" aca="1" ref="J1171:N1171" ca="1">TRANSPOSE(ols(OFFSET($C$2:$C$10,I1171,0),OFFSET($D$2:$H$10,I1171,0)))</f>
        <v>196.60714285714039</v>
      </c>
      <c r="K1171" s="6">
        <f ca="1"/>
        <v>-4.285714285713766</v>
      </c>
      <c r="L1171" s="6">
        <f ca="1"/>
        <v>-27.142857142855974</v>
      </c>
      <c r="M1171" s="6">
        <f ca="1"/>
        <v>31.071428571428555</v>
      </c>
      <c r="N1171" s="6">
        <f ca="1"/>
        <v>-0.35357142857142421</v>
      </c>
      <c r="O1171" s="6">
        <f t="shared" ca="1" si="173"/>
        <v>-2.1428571428567977</v>
      </c>
      <c r="P1171" t="str">
        <f t="shared" si="174"/>
        <v>NA</v>
      </c>
      <c r="Q1171" s="10">
        <f t="shared" ca="1" si="175"/>
        <v>76.785714285714505</v>
      </c>
      <c r="R1171" s="10">
        <f t="shared" ca="1" si="176"/>
        <v>227.67857142856894</v>
      </c>
      <c r="S1171" s="10">
        <f t="shared" ca="1" si="177"/>
        <v>-150.89285714285444</v>
      </c>
      <c r="T1171" s="10">
        <f t="shared" ca="1" si="178"/>
        <v>426.7676767676744</v>
      </c>
      <c r="U1171" s="10">
        <f t="shared" ca="1" si="179"/>
        <v>426.7676767676744</v>
      </c>
      <c r="V1171">
        <f t="shared" si="180"/>
        <v>4</v>
      </c>
    </row>
    <row r="1172" spans="1:22" x14ac:dyDescent="0.25">
      <c r="A1172">
        <v>131</v>
      </c>
      <c r="B1172">
        <v>1</v>
      </c>
      <c r="C1172">
        <v>50</v>
      </c>
      <c r="D1172">
        <v>1</v>
      </c>
      <c r="E1172">
        <v>0</v>
      </c>
      <c r="F1172">
        <v>1</v>
      </c>
      <c r="G1172">
        <v>0</v>
      </c>
      <c r="H1172">
        <v>250</v>
      </c>
      <c r="I1172">
        <f t="shared" si="181"/>
        <v>1170</v>
      </c>
      <c r="J1172" s="6">
        <f t="array" aca="1" ref="J1172:N1172" ca="1">TRANSPOSE(ols(OFFSET($C$2:$C$10,I1172,0),OFFSET($D$2:$H$10,I1172,0)))</f>
        <v>43.690476190475238</v>
      </c>
      <c r="K1172" s="6">
        <f ca="1"/>
        <v>13.214285714285325</v>
      </c>
      <c r="L1172" s="6">
        <f ca="1"/>
        <v>11.190476190475238</v>
      </c>
      <c r="M1172" s="6">
        <f ca="1"/>
        <v>46.904761904762154</v>
      </c>
      <c r="N1172" s="6">
        <f ca="1"/>
        <v>-4.5238095238094189E-2</v>
      </c>
      <c r="O1172" s="6">
        <f t="shared" ca="1" si="173"/>
        <v>43.571428571426928</v>
      </c>
      <c r="P1172" t="str">
        <f t="shared" si="174"/>
        <v>NA</v>
      </c>
      <c r="Q1172" s="10">
        <f t="shared" ca="1" si="175"/>
        <v>85.952380952379656</v>
      </c>
      <c r="R1172" s="10">
        <f t="shared" ca="1" si="176"/>
        <v>54.880952380950475</v>
      </c>
      <c r="S1172" s="10">
        <f t="shared" ca="1" si="177"/>
        <v>31.07142857142918</v>
      </c>
      <c r="T1172" s="10">
        <f t="shared" ca="1" si="178"/>
        <v>-686.84210526318725</v>
      </c>
      <c r="U1172" s="10" t="str">
        <f t="shared" ca="1" si="179"/>
        <v>OR</v>
      </c>
      <c r="V1172">
        <f t="shared" si="180"/>
        <v>3</v>
      </c>
    </row>
    <row r="1173" spans="1:22" x14ac:dyDescent="0.25">
      <c r="A1173">
        <v>131</v>
      </c>
      <c r="B1173">
        <v>2</v>
      </c>
      <c r="C1173">
        <v>40</v>
      </c>
      <c r="D1173">
        <v>1</v>
      </c>
      <c r="E1173">
        <v>1</v>
      </c>
      <c r="F1173">
        <v>0</v>
      </c>
      <c r="G1173">
        <v>0</v>
      </c>
      <c r="H1173">
        <v>350</v>
      </c>
      <c r="I1173">
        <f t="shared" si="181"/>
        <v>1170</v>
      </c>
      <c r="J1173" s="6">
        <f t="array" aca="1" ref="J1173:N1173" ca="1">TRANSPOSE(ols(OFFSET($C$2:$C$10,I1173,0),OFFSET($D$2:$H$10,I1173,0)))</f>
        <v>43.690476190475238</v>
      </c>
      <c r="K1173" s="6">
        <f ca="1"/>
        <v>13.214285714285325</v>
      </c>
      <c r="L1173" s="6">
        <f ca="1"/>
        <v>11.190476190475238</v>
      </c>
      <c r="M1173" s="6">
        <f ca="1"/>
        <v>46.904761904762154</v>
      </c>
      <c r="N1173" s="6">
        <f ca="1"/>
        <v>-4.5238095238094189E-2</v>
      </c>
      <c r="O1173" s="6">
        <f t="shared" ca="1" si="173"/>
        <v>41.071428571427596</v>
      </c>
      <c r="P1173" t="str">
        <f t="shared" si="174"/>
        <v>NA</v>
      </c>
      <c r="Q1173" s="10">
        <f t="shared" ca="1" si="175"/>
        <v>85.952380952379656</v>
      </c>
      <c r="R1173" s="10">
        <f t="shared" ca="1" si="176"/>
        <v>56.904761904760562</v>
      </c>
      <c r="S1173" s="10">
        <f t="shared" ca="1" si="177"/>
        <v>29.047619047619094</v>
      </c>
      <c r="T1173" s="10">
        <f t="shared" ca="1" si="178"/>
        <v>-642.1052631579106</v>
      </c>
      <c r="U1173" s="10" t="str">
        <f t="shared" ca="1" si="179"/>
        <v>OR</v>
      </c>
      <c r="V1173">
        <f t="shared" si="180"/>
        <v>2</v>
      </c>
    </row>
    <row r="1174" spans="1:22" x14ac:dyDescent="0.25">
      <c r="A1174">
        <v>131</v>
      </c>
      <c r="B1174">
        <v>3</v>
      </c>
      <c r="C1174">
        <v>30</v>
      </c>
      <c r="D1174">
        <v>1</v>
      </c>
      <c r="E1174">
        <v>1</v>
      </c>
      <c r="F1174">
        <v>0</v>
      </c>
      <c r="G1174">
        <v>0</v>
      </c>
      <c r="H1174">
        <v>450</v>
      </c>
      <c r="I1174">
        <f t="shared" si="181"/>
        <v>1170</v>
      </c>
      <c r="J1174" s="6">
        <f t="array" aca="1" ref="J1174:N1174" ca="1">TRANSPOSE(ols(OFFSET($C$2:$C$10,I1174,0),OFFSET($D$2:$H$10,I1174,0)))</f>
        <v>43.690476190475238</v>
      </c>
      <c r="K1174" s="6">
        <f ca="1"/>
        <v>13.214285714285325</v>
      </c>
      <c r="L1174" s="6">
        <f ca="1"/>
        <v>11.190476190475238</v>
      </c>
      <c r="M1174" s="6">
        <f ca="1"/>
        <v>46.904761904762154</v>
      </c>
      <c r="N1174" s="6">
        <f ca="1"/>
        <v>-4.5238095238094189E-2</v>
      </c>
      <c r="O1174" s="6">
        <f t="shared" ca="1" si="173"/>
        <v>36.547619047618177</v>
      </c>
      <c r="P1174" t="str">
        <f t="shared" si="174"/>
        <v>NA</v>
      </c>
      <c r="Q1174" s="10">
        <f t="shared" ca="1" si="175"/>
        <v>85.952380952379656</v>
      </c>
      <c r="R1174" s="10">
        <f t="shared" ca="1" si="176"/>
        <v>56.904761904760562</v>
      </c>
      <c r="S1174" s="10">
        <f t="shared" ca="1" si="177"/>
        <v>29.047619047619094</v>
      </c>
      <c r="T1174" s="10">
        <f t="shared" ca="1" si="178"/>
        <v>-642.1052631579106</v>
      </c>
      <c r="U1174" s="10" t="str">
        <f t="shared" ca="1" si="179"/>
        <v>OR</v>
      </c>
      <c r="V1174">
        <f t="shared" si="180"/>
        <v>2</v>
      </c>
    </row>
    <row r="1175" spans="1:22" x14ac:dyDescent="0.25">
      <c r="A1175">
        <v>131</v>
      </c>
      <c r="B1175">
        <v>4</v>
      </c>
      <c r="C1175">
        <v>20</v>
      </c>
      <c r="D1175">
        <v>1</v>
      </c>
      <c r="E1175">
        <v>0</v>
      </c>
      <c r="F1175">
        <v>0</v>
      </c>
      <c r="G1175">
        <v>0</v>
      </c>
      <c r="H1175">
        <v>550</v>
      </c>
      <c r="I1175">
        <f t="shared" si="181"/>
        <v>1170</v>
      </c>
      <c r="J1175" s="6">
        <f t="array" aca="1" ref="J1175:N1175" ca="1">TRANSPOSE(ols(OFFSET($C$2:$C$10,I1175,0),OFFSET($D$2:$H$10,I1175,0)))</f>
        <v>43.690476190475238</v>
      </c>
      <c r="K1175" s="6">
        <f ca="1"/>
        <v>13.214285714285325</v>
      </c>
      <c r="L1175" s="6">
        <f ca="1"/>
        <v>11.190476190475238</v>
      </c>
      <c r="M1175" s="6">
        <f ca="1"/>
        <v>46.904761904762154</v>
      </c>
      <c r="N1175" s="6">
        <f ca="1"/>
        <v>-4.5238095238094189E-2</v>
      </c>
      <c r="O1175" s="6">
        <f t="shared" ca="1" si="173"/>
        <v>18.809523809523434</v>
      </c>
      <c r="P1175" t="str">
        <f t="shared" si="174"/>
        <v>NA</v>
      </c>
      <c r="Q1175" s="10">
        <f t="shared" ca="1" si="175"/>
        <v>85.952380952379656</v>
      </c>
      <c r="R1175" s="10">
        <f t="shared" ca="1" si="176"/>
        <v>43.690476190475238</v>
      </c>
      <c r="S1175" s="10">
        <f t="shared" ca="1" si="177"/>
        <v>42.261904761904418</v>
      </c>
      <c r="T1175" s="10">
        <f t="shared" ca="1" si="178"/>
        <v>-934.21052631580358</v>
      </c>
      <c r="U1175" s="10" t="str">
        <f t="shared" ca="1" si="179"/>
        <v>OR</v>
      </c>
      <c r="V1175">
        <f t="shared" si="180"/>
        <v>1</v>
      </c>
    </row>
    <row r="1176" spans="1:22" x14ac:dyDescent="0.25">
      <c r="A1176">
        <v>131</v>
      </c>
      <c r="B1176">
        <v>5</v>
      </c>
      <c r="C1176">
        <v>90</v>
      </c>
      <c r="D1176">
        <v>1</v>
      </c>
      <c r="E1176">
        <v>0</v>
      </c>
      <c r="F1176">
        <v>1</v>
      </c>
      <c r="G1176">
        <v>1</v>
      </c>
      <c r="H1176">
        <v>250</v>
      </c>
      <c r="I1176">
        <f t="shared" si="181"/>
        <v>1170</v>
      </c>
      <c r="J1176" s="6">
        <f t="array" aca="1" ref="J1176:N1176" ca="1">TRANSPOSE(ols(OFFSET($C$2:$C$10,I1176,0),OFFSET($D$2:$H$10,I1176,0)))</f>
        <v>43.690476190475238</v>
      </c>
      <c r="K1176" s="6">
        <f ca="1"/>
        <v>13.214285714285325</v>
      </c>
      <c r="L1176" s="6">
        <f ca="1"/>
        <v>11.190476190475238</v>
      </c>
      <c r="M1176" s="6">
        <f ca="1"/>
        <v>46.904761904762154</v>
      </c>
      <c r="N1176" s="6">
        <f ca="1"/>
        <v>-4.5238095238094189E-2</v>
      </c>
      <c r="O1176" s="6">
        <f t="shared" ca="1" si="173"/>
        <v>90.476190476189089</v>
      </c>
      <c r="P1176" t="str">
        <f t="shared" si="174"/>
        <v>NA</v>
      </c>
      <c r="Q1176" s="10">
        <f t="shared" ca="1" si="175"/>
        <v>85.952380952379656</v>
      </c>
      <c r="R1176" s="10">
        <f t="shared" ca="1" si="176"/>
        <v>101.78571428571263</v>
      </c>
      <c r="S1176" s="10">
        <f t="shared" ca="1" si="177"/>
        <v>-15.833333333332973</v>
      </c>
      <c r="T1176" s="10">
        <f t="shared" ca="1" si="178"/>
        <v>350.00000000000017</v>
      </c>
      <c r="U1176" s="10">
        <f t="shared" ca="1" si="179"/>
        <v>350.00000000000017</v>
      </c>
      <c r="V1176">
        <f t="shared" si="180"/>
        <v>6</v>
      </c>
    </row>
    <row r="1177" spans="1:22" x14ac:dyDescent="0.25">
      <c r="A1177">
        <v>131</v>
      </c>
      <c r="B1177">
        <v>6</v>
      </c>
      <c r="C1177">
        <v>80</v>
      </c>
      <c r="D1177">
        <v>1</v>
      </c>
      <c r="E1177">
        <v>0</v>
      </c>
      <c r="F1177">
        <v>1</v>
      </c>
      <c r="G1177">
        <v>1</v>
      </c>
      <c r="H1177">
        <v>350</v>
      </c>
      <c r="I1177">
        <f t="shared" si="181"/>
        <v>1170</v>
      </c>
      <c r="J1177" s="6">
        <f t="array" aca="1" ref="J1177:N1177" ca="1">TRANSPOSE(ols(OFFSET($C$2:$C$10,I1177,0),OFFSET($D$2:$H$10,I1177,0)))</f>
        <v>43.690476190475238</v>
      </c>
      <c r="K1177" s="6">
        <f ca="1"/>
        <v>13.214285714285325</v>
      </c>
      <c r="L1177" s="6">
        <f ca="1"/>
        <v>11.190476190475238</v>
      </c>
      <c r="M1177" s="6">
        <f ca="1"/>
        <v>46.904761904762154</v>
      </c>
      <c r="N1177" s="6">
        <f ca="1"/>
        <v>-4.5238095238094189E-2</v>
      </c>
      <c r="O1177" s="6">
        <f t="shared" ca="1" si="173"/>
        <v>85.952380952379656</v>
      </c>
      <c r="P1177">
        <f t="shared" ca="1" si="174"/>
        <v>85.952380952379656</v>
      </c>
      <c r="Q1177" s="10">
        <f t="shared" ca="1" si="175"/>
        <v>85.952380952379656</v>
      </c>
      <c r="R1177" s="10">
        <f t="shared" ca="1" si="176"/>
        <v>101.78571428571263</v>
      </c>
      <c r="S1177" s="10">
        <f t="shared" ca="1" si="177"/>
        <v>-15.833333333332973</v>
      </c>
      <c r="T1177" s="10">
        <f t="shared" ca="1" si="178"/>
        <v>350.00000000000017</v>
      </c>
      <c r="U1177" s="10">
        <f t="shared" ca="1" si="179"/>
        <v>350.00000000000017</v>
      </c>
      <c r="V1177">
        <f t="shared" si="180"/>
        <v>6</v>
      </c>
    </row>
    <row r="1178" spans="1:22" x14ac:dyDescent="0.25">
      <c r="A1178">
        <v>131</v>
      </c>
      <c r="B1178">
        <v>7</v>
      </c>
      <c r="C1178">
        <v>85</v>
      </c>
      <c r="D1178">
        <v>1</v>
      </c>
      <c r="E1178">
        <v>1</v>
      </c>
      <c r="F1178">
        <v>0</v>
      </c>
      <c r="G1178">
        <v>1</v>
      </c>
      <c r="H1178">
        <v>450</v>
      </c>
      <c r="I1178">
        <f t="shared" si="181"/>
        <v>1170</v>
      </c>
      <c r="J1178" s="6">
        <f t="array" aca="1" ref="J1178:N1178" ca="1">TRANSPOSE(ols(OFFSET($C$2:$C$10,I1178,0),OFFSET($D$2:$H$10,I1178,0)))</f>
        <v>43.690476190475238</v>
      </c>
      <c r="K1178" s="6">
        <f ca="1"/>
        <v>13.214285714285325</v>
      </c>
      <c r="L1178" s="6">
        <f ca="1"/>
        <v>11.190476190475238</v>
      </c>
      <c r="M1178" s="6">
        <f ca="1"/>
        <v>46.904761904762154</v>
      </c>
      <c r="N1178" s="6">
        <f ca="1"/>
        <v>-4.5238095238094189E-2</v>
      </c>
      <c r="O1178" s="6">
        <f t="shared" ca="1" si="173"/>
        <v>83.452380952380338</v>
      </c>
      <c r="P1178" t="str">
        <f t="shared" si="174"/>
        <v>NA</v>
      </c>
      <c r="Q1178" s="10">
        <f t="shared" ca="1" si="175"/>
        <v>85.952380952379656</v>
      </c>
      <c r="R1178" s="10">
        <f t="shared" ca="1" si="176"/>
        <v>103.80952380952272</v>
      </c>
      <c r="S1178" s="10">
        <f t="shared" ca="1" si="177"/>
        <v>-17.85714285714306</v>
      </c>
      <c r="T1178" s="10">
        <f t="shared" ca="1" si="178"/>
        <v>394.73684210527682</v>
      </c>
      <c r="U1178" s="10">
        <f t="shared" ca="1" si="179"/>
        <v>394.73684210527682</v>
      </c>
      <c r="V1178">
        <f t="shared" si="180"/>
        <v>5</v>
      </c>
    </row>
    <row r="1179" spans="1:22" x14ac:dyDescent="0.25">
      <c r="A1179">
        <v>131</v>
      </c>
      <c r="B1179">
        <v>8</v>
      </c>
      <c r="C1179">
        <v>85</v>
      </c>
      <c r="D1179">
        <v>1</v>
      </c>
      <c r="E1179">
        <v>1</v>
      </c>
      <c r="F1179">
        <v>0</v>
      </c>
      <c r="G1179">
        <v>1</v>
      </c>
      <c r="H1179">
        <v>550</v>
      </c>
      <c r="I1179">
        <f t="shared" si="181"/>
        <v>1170</v>
      </c>
      <c r="J1179" s="6">
        <f t="array" aca="1" ref="J1179:N1179" ca="1">TRANSPOSE(ols(OFFSET($C$2:$C$10,I1179,0),OFFSET($D$2:$H$10,I1179,0)))</f>
        <v>43.690476190475238</v>
      </c>
      <c r="K1179" s="6">
        <f ca="1"/>
        <v>13.214285714285325</v>
      </c>
      <c r="L1179" s="6">
        <f ca="1"/>
        <v>11.190476190475238</v>
      </c>
      <c r="M1179" s="6">
        <f ca="1"/>
        <v>46.904761904762154</v>
      </c>
      <c r="N1179" s="6">
        <f ca="1"/>
        <v>-4.5238095238094189E-2</v>
      </c>
      <c r="O1179" s="6">
        <f t="shared" ca="1" si="173"/>
        <v>78.928571428570905</v>
      </c>
      <c r="P1179" t="str">
        <f t="shared" si="174"/>
        <v>NA</v>
      </c>
      <c r="Q1179" s="10">
        <f t="shared" ca="1" si="175"/>
        <v>85.952380952379656</v>
      </c>
      <c r="R1179" s="10">
        <f t="shared" ca="1" si="176"/>
        <v>103.80952380952272</v>
      </c>
      <c r="S1179" s="10">
        <f t="shared" ca="1" si="177"/>
        <v>-17.85714285714306</v>
      </c>
      <c r="T1179" s="10">
        <f t="shared" ca="1" si="178"/>
        <v>394.73684210527682</v>
      </c>
      <c r="U1179" s="10">
        <f t="shared" ca="1" si="179"/>
        <v>394.73684210527682</v>
      </c>
      <c r="V1179">
        <f t="shared" si="180"/>
        <v>5</v>
      </c>
    </row>
    <row r="1180" spans="1:22" x14ac:dyDescent="0.25">
      <c r="A1180">
        <v>131</v>
      </c>
      <c r="B1180">
        <v>9</v>
      </c>
      <c r="C1180">
        <v>60</v>
      </c>
      <c r="D1180">
        <v>1</v>
      </c>
      <c r="E1180">
        <v>0</v>
      </c>
      <c r="F1180">
        <v>0</v>
      </c>
      <c r="G1180">
        <v>1</v>
      </c>
      <c r="H1180">
        <v>650</v>
      </c>
      <c r="I1180">
        <f t="shared" si="181"/>
        <v>1170</v>
      </c>
      <c r="J1180" s="6">
        <f t="array" aca="1" ref="J1180:N1180" ca="1">TRANSPOSE(ols(OFFSET($C$2:$C$10,I1180,0),OFFSET($D$2:$H$10,I1180,0)))</f>
        <v>43.690476190475238</v>
      </c>
      <c r="K1180" s="6">
        <f ca="1"/>
        <v>13.214285714285325</v>
      </c>
      <c r="L1180" s="6">
        <f ca="1"/>
        <v>11.190476190475238</v>
      </c>
      <c r="M1180" s="6">
        <f ca="1"/>
        <v>46.904761904762154</v>
      </c>
      <c r="N1180" s="6">
        <f ca="1"/>
        <v>-4.5238095238094189E-2</v>
      </c>
      <c r="O1180" s="6">
        <f t="shared" ca="1" si="173"/>
        <v>61.190476190476168</v>
      </c>
      <c r="P1180" t="str">
        <f t="shared" si="174"/>
        <v>NA</v>
      </c>
      <c r="Q1180" s="10">
        <f t="shared" ca="1" si="175"/>
        <v>85.952380952379656</v>
      </c>
      <c r="R1180" s="10">
        <f t="shared" ca="1" si="176"/>
        <v>90.595238095237391</v>
      </c>
      <c r="S1180" s="10">
        <f t="shared" ca="1" si="177"/>
        <v>-4.6428571428577357</v>
      </c>
      <c r="T1180" s="10">
        <f t="shared" ca="1" si="178"/>
        <v>102.6315789473839</v>
      </c>
      <c r="U1180" s="10" t="str">
        <f t="shared" ca="1" si="179"/>
        <v>OR</v>
      </c>
      <c r="V1180">
        <f t="shared" si="180"/>
        <v>4</v>
      </c>
    </row>
    <row r="1181" spans="1:22" x14ac:dyDescent="0.25">
      <c r="A1181">
        <v>132</v>
      </c>
      <c r="B1181">
        <v>1</v>
      </c>
      <c r="C1181">
        <v>40</v>
      </c>
      <c r="D1181">
        <v>1</v>
      </c>
      <c r="E1181">
        <v>0</v>
      </c>
      <c r="F1181">
        <v>1</v>
      </c>
      <c r="G1181">
        <v>0</v>
      </c>
      <c r="H1181">
        <v>250</v>
      </c>
      <c r="I1181">
        <f t="shared" si="181"/>
        <v>1179</v>
      </c>
      <c r="J1181" s="6">
        <f t="array" aca="1" ref="J1181:N1181" ca="1">TRANSPOSE(ols(OFFSET($C$2:$C$10,I1181,0),OFFSET($D$2:$H$10,I1181,0)))</f>
        <v>72.976190476189913</v>
      </c>
      <c r="K1181" s="6">
        <f ca="1"/>
        <v>31.785714285714221</v>
      </c>
      <c r="L1181" s="6">
        <f ca="1"/>
        <v>0.47619047618991317</v>
      </c>
      <c r="M1181" s="6">
        <f ca="1"/>
        <v>9.7619047619050434</v>
      </c>
      <c r="N1181" s="6">
        <f ca="1"/>
        <v>-8.8095238095236894E-2</v>
      </c>
      <c r="O1181" s="6">
        <f t="shared" ca="1" si="173"/>
        <v>51.428571428570606</v>
      </c>
      <c r="P1181" t="str">
        <f t="shared" si="174"/>
        <v>NA</v>
      </c>
      <c r="Q1181" s="10">
        <f t="shared" ca="1" si="175"/>
        <v>52.380952380951953</v>
      </c>
      <c r="R1181" s="10">
        <f t="shared" ca="1" si="176"/>
        <v>73.452380952379826</v>
      </c>
      <c r="S1181" s="10">
        <f t="shared" ca="1" si="177"/>
        <v>-21.071428571427873</v>
      </c>
      <c r="T1181" s="10">
        <f t="shared" ca="1" si="178"/>
        <v>239.18918918918453</v>
      </c>
      <c r="U1181" s="10" t="str">
        <f t="shared" ca="1" si="179"/>
        <v>OR</v>
      </c>
      <c r="V1181">
        <f t="shared" si="180"/>
        <v>3</v>
      </c>
    </row>
    <row r="1182" spans="1:22" x14ac:dyDescent="0.25">
      <c r="A1182">
        <v>132</v>
      </c>
      <c r="B1182">
        <v>2</v>
      </c>
      <c r="C1182">
        <v>80</v>
      </c>
      <c r="D1182">
        <v>1</v>
      </c>
      <c r="E1182">
        <v>1</v>
      </c>
      <c r="F1182">
        <v>0</v>
      </c>
      <c r="G1182">
        <v>0</v>
      </c>
      <c r="H1182">
        <v>350</v>
      </c>
      <c r="I1182">
        <f t="shared" si="181"/>
        <v>1179</v>
      </c>
      <c r="J1182" s="6">
        <f t="array" aca="1" ref="J1182:N1182" ca="1">TRANSPOSE(ols(OFFSET($C$2:$C$10,I1182,0),OFFSET($D$2:$H$10,I1182,0)))</f>
        <v>72.976190476189913</v>
      </c>
      <c r="K1182" s="6">
        <f ca="1"/>
        <v>31.785714285714221</v>
      </c>
      <c r="L1182" s="6">
        <f ca="1"/>
        <v>0.47619047618991317</v>
      </c>
      <c r="M1182" s="6">
        <f ca="1"/>
        <v>9.7619047619050434</v>
      </c>
      <c r="N1182" s="6">
        <f ca="1"/>
        <v>-8.8095238095236894E-2</v>
      </c>
      <c r="O1182" s="6">
        <f t="shared" ca="1" si="173"/>
        <v>73.928571428571217</v>
      </c>
      <c r="P1182" t="str">
        <f t="shared" si="174"/>
        <v>NA</v>
      </c>
      <c r="Q1182" s="10">
        <f t="shared" ca="1" si="175"/>
        <v>52.380952380951953</v>
      </c>
      <c r="R1182" s="10">
        <f t="shared" ca="1" si="176"/>
        <v>104.76190476190413</v>
      </c>
      <c r="S1182" s="10">
        <f t="shared" ca="1" si="177"/>
        <v>-52.380952380952181</v>
      </c>
      <c r="T1182" s="10">
        <f t="shared" ca="1" si="178"/>
        <v>594.59459459460038</v>
      </c>
      <c r="U1182" s="10">
        <f t="shared" ca="1" si="179"/>
        <v>594.59459459460038</v>
      </c>
      <c r="V1182">
        <f t="shared" si="180"/>
        <v>2</v>
      </c>
    </row>
    <row r="1183" spans="1:22" x14ac:dyDescent="0.25">
      <c r="A1183">
        <v>132</v>
      </c>
      <c r="B1183">
        <v>3</v>
      </c>
      <c r="C1183">
        <v>70</v>
      </c>
      <c r="D1183">
        <v>1</v>
      </c>
      <c r="E1183">
        <v>1</v>
      </c>
      <c r="F1183">
        <v>0</v>
      </c>
      <c r="G1183">
        <v>0</v>
      </c>
      <c r="H1183">
        <v>450</v>
      </c>
      <c r="I1183">
        <f t="shared" si="181"/>
        <v>1179</v>
      </c>
      <c r="J1183" s="6">
        <f t="array" aca="1" ref="J1183:N1183" ca="1">TRANSPOSE(ols(OFFSET($C$2:$C$10,I1183,0),OFFSET($D$2:$H$10,I1183,0)))</f>
        <v>72.976190476189913</v>
      </c>
      <c r="K1183" s="6">
        <f ca="1"/>
        <v>31.785714285714221</v>
      </c>
      <c r="L1183" s="6">
        <f ca="1"/>
        <v>0.47619047618991317</v>
      </c>
      <c r="M1183" s="6">
        <f ca="1"/>
        <v>9.7619047619050434</v>
      </c>
      <c r="N1183" s="6">
        <f ca="1"/>
        <v>-8.8095238095236894E-2</v>
      </c>
      <c r="O1183" s="6">
        <f t="shared" ca="1" si="173"/>
        <v>65.119047619047535</v>
      </c>
      <c r="P1183" t="str">
        <f t="shared" si="174"/>
        <v>NA</v>
      </c>
      <c r="Q1183" s="10">
        <f t="shared" ca="1" si="175"/>
        <v>52.380952380951953</v>
      </c>
      <c r="R1183" s="10">
        <f t="shared" ca="1" si="176"/>
        <v>104.76190476190413</v>
      </c>
      <c r="S1183" s="10">
        <f t="shared" ca="1" si="177"/>
        <v>-52.380952380952181</v>
      </c>
      <c r="T1183" s="10">
        <f t="shared" ca="1" si="178"/>
        <v>594.59459459460038</v>
      </c>
      <c r="U1183" s="10">
        <f t="shared" ca="1" si="179"/>
        <v>594.59459459460038</v>
      </c>
      <c r="V1183">
        <f t="shared" si="180"/>
        <v>2</v>
      </c>
    </row>
    <row r="1184" spans="1:22" x14ac:dyDescent="0.25">
      <c r="A1184">
        <v>132</v>
      </c>
      <c r="B1184">
        <v>4</v>
      </c>
      <c r="C1184">
        <v>25</v>
      </c>
      <c r="D1184">
        <v>1</v>
      </c>
      <c r="E1184">
        <v>0</v>
      </c>
      <c r="F1184">
        <v>0</v>
      </c>
      <c r="G1184">
        <v>0</v>
      </c>
      <c r="H1184">
        <v>550</v>
      </c>
      <c r="I1184">
        <f t="shared" si="181"/>
        <v>1179</v>
      </c>
      <c r="J1184" s="6">
        <f t="array" aca="1" ref="J1184:N1184" ca="1">TRANSPOSE(ols(OFFSET($C$2:$C$10,I1184,0),OFFSET($D$2:$H$10,I1184,0)))</f>
        <v>72.976190476189913</v>
      </c>
      <c r="K1184" s="6">
        <f ca="1"/>
        <v>31.785714285714221</v>
      </c>
      <c r="L1184" s="6">
        <f ca="1"/>
        <v>0.47619047618991317</v>
      </c>
      <c r="M1184" s="6">
        <f ca="1"/>
        <v>9.7619047619050434</v>
      </c>
      <c r="N1184" s="6">
        <f ca="1"/>
        <v>-8.8095238095236894E-2</v>
      </c>
      <c r="O1184" s="6">
        <f t="shared" ca="1" si="173"/>
        <v>24.523809523809618</v>
      </c>
      <c r="P1184" t="str">
        <f t="shared" si="174"/>
        <v>NA</v>
      </c>
      <c r="Q1184" s="10">
        <f t="shared" ca="1" si="175"/>
        <v>52.380952380951953</v>
      </c>
      <c r="R1184" s="10">
        <f t="shared" ca="1" si="176"/>
        <v>72.976190476189913</v>
      </c>
      <c r="S1184" s="10">
        <f t="shared" ca="1" si="177"/>
        <v>-20.59523809523796</v>
      </c>
      <c r="T1184" s="10">
        <f t="shared" ca="1" si="178"/>
        <v>233.78378378378542</v>
      </c>
      <c r="U1184" s="10" t="str">
        <f t="shared" ca="1" si="179"/>
        <v>OR</v>
      </c>
      <c r="V1184">
        <f t="shared" si="180"/>
        <v>1</v>
      </c>
    </row>
    <row r="1185" spans="1:22" x14ac:dyDescent="0.25">
      <c r="A1185">
        <v>132</v>
      </c>
      <c r="B1185">
        <v>5</v>
      </c>
      <c r="C1185">
        <v>50</v>
      </c>
      <c r="D1185">
        <v>1</v>
      </c>
      <c r="E1185">
        <v>0</v>
      </c>
      <c r="F1185">
        <v>1</v>
      </c>
      <c r="G1185">
        <v>1</v>
      </c>
      <c r="H1185">
        <v>250</v>
      </c>
      <c r="I1185">
        <f t="shared" si="181"/>
        <v>1179</v>
      </c>
      <c r="J1185" s="6">
        <f t="array" aca="1" ref="J1185:N1185" ca="1">TRANSPOSE(ols(OFFSET($C$2:$C$10,I1185,0),OFFSET($D$2:$H$10,I1185,0)))</f>
        <v>72.976190476189913</v>
      </c>
      <c r="K1185" s="6">
        <f ca="1"/>
        <v>31.785714285714221</v>
      </c>
      <c r="L1185" s="6">
        <f ca="1"/>
        <v>0.47619047618991317</v>
      </c>
      <c r="M1185" s="6">
        <f ca="1"/>
        <v>9.7619047619050434</v>
      </c>
      <c r="N1185" s="6">
        <f ca="1"/>
        <v>-8.8095238095236894E-2</v>
      </c>
      <c r="O1185" s="6">
        <f t="shared" ca="1" si="173"/>
        <v>61.19047619047565</v>
      </c>
      <c r="P1185" t="str">
        <f t="shared" si="174"/>
        <v>NA</v>
      </c>
      <c r="Q1185" s="10">
        <f t="shared" ca="1" si="175"/>
        <v>52.380952380951953</v>
      </c>
      <c r="R1185" s="10">
        <f t="shared" ca="1" si="176"/>
        <v>83.21428571428487</v>
      </c>
      <c r="S1185" s="10">
        <f t="shared" ca="1" si="177"/>
        <v>-30.833333333332916</v>
      </c>
      <c r="T1185" s="10">
        <f t="shared" ca="1" si="178"/>
        <v>350.00000000000006</v>
      </c>
      <c r="U1185" s="10">
        <f t="shared" ca="1" si="179"/>
        <v>350.00000000000006</v>
      </c>
      <c r="V1185">
        <f t="shared" si="180"/>
        <v>6</v>
      </c>
    </row>
    <row r="1186" spans="1:22" x14ac:dyDescent="0.25">
      <c r="A1186">
        <v>132</v>
      </c>
      <c r="B1186">
        <v>6</v>
      </c>
      <c r="C1186">
        <v>75</v>
      </c>
      <c r="D1186">
        <v>1</v>
      </c>
      <c r="E1186">
        <v>0</v>
      </c>
      <c r="F1186">
        <v>1</v>
      </c>
      <c r="G1186">
        <v>1</v>
      </c>
      <c r="H1186">
        <v>350</v>
      </c>
      <c r="I1186">
        <f t="shared" si="181"/>
        <v>1179</v>
      </c>
      <c r="J1186" s="6">
        <f t="array" aca="1" ref="J1186:N1186" ca="1">TRANSPOSE(ols(OFFSET($C$2:$C$10,I1186,0),OFFSET($D$2:$H$10,I1186,0)))</f>
        <v>72.976190476189913</v>
      </c>
      <c r="K1186" s="6">
        <f ca="1"/>
        <v>31.785714285714221</v>
      </c>
      <c r="L1186" s="6">
        <f ca="1"/>
        <v>0.47619047618991317</v>
      </c>
      <c r="M1186" s="6">
        <f ca="1"/>
        <v>9.7619047619050434</v>
      </c>
      <c r="N1186" s="6">
        <f ca="1"/>
        <v>-8.8095238095236894E-2</v>
      </c>
      <c r="O1186" s="6">
        <f t="shared" ca="1" si="173"/>
        <v>52.380952380951953</v>
      </c>
      <c r="P1186">
        <f t="shared" ca="1" si="174"/>
        <v>52.380952380951953</v>
      </c>
      <c r="Q1186" s="10">
        <f t="shared" ca="1" si="175"/>
        <v>52.380952380951953</v>
      </c>
      <c r="R1186" s="10">
        <f t="shared" ca="1" si="176"/>
        <v>83.21428571428487</v>
      </c>
      <c r="S1186" s="10">
        <f t="shared" ca="1" si="177"/>
        <v>-30.833333333332916</v>
      </c>
      <c r="T1186" s="10">
        <f t="shared" ca="1" si="178"/>
        <v>350.00000000000006</v>
      </c>
      <c r="U1186" s="10">
        <f t="shared" ca="1" si="179"/>
        <v>350.00000000000006</v>
      </c>
      <c r="V1186">
        <f t="shared" si="180"/>
        <v>6</v>
      </c>
    </row>
    <row r="1187" spans="1:22" x14ac:dyDescent="0.25">
      <c r="A1187">
        <v>132</v>
      </c>
      <c r="B1187">
        <v>7</v>
      </c>
      <c r="C1187">
        <v>80</v>
      </c>
      <c r="D1187">
        <v>1</v>
      </c>
      <c r="E1187">
        <v>1</v>
      </c>
      <c r="F1187">
        <v>0</v>
      </c>
      <c r="G1187">
        <v>1</v>
      </c>
      <c r="H1187">
        <v>450</v>
      </c>
      <c r="I1187">
        <f t="shared" si="181"/>
        <v>1179</v>
      </c>
      <c r="J1187" s="6">
        <f t="array" aca="1" ref="J1187:N1187" ca="1">TRANSPOSE(ols(OFFSET($C$2:$C$10,I1187,0),OFFSET($D$2:$H$10,I1187,0)))</f>
        <v>72.976190476189913</v>
      </c>
      <c r="K1187" s="6">
        <f ca="1"/>
        <v>31.785714285714221</v>
      </c>
      <c r="L1187" s="6">
        <f ca="1"/>
        <v>0.47619047618991317</v>
      </c>
      <c r="M1187" s="6">
        <f ca="1"/>
        <v>9.7619047619050434</v>
      </c>
      <c r="N1187" s="6">
        <f ca="1"/>
        <v>-8.8095238095236894E-2</v>
      </c>
      <c r="O1187" s="6">
        <f t="shared" ca="1" si="173"/>
        <v>74.880952380952579</v>
      </c>
      <c r="P1187" t="str">
        <f t="shared" si="174"/>
        <v>NA</v>
      </c>
      <c r="Q1187" s="10">
        <f t="shared" ca="1" si="175"/>
        <v>52.380952380951953</v>
      </c>
      <c r="R1187" s="10">
        <f t="shared" ca="1" si="176"/>
        <v>114.52380952380918</v>
      </c>
      <c r="S1187" s="10">
        <f t="shared" ca="1" si="177"/>
        <v>-62.142857142857224</v>
      </c>
      <c r="T1187" s="10">
        <f t="shared" ca="1" si="178"/>
        <v>705.40540540541599</v>
      </c>
      <c r="U1187" s="10" t="str">
        <f t="shared" ca="1" si="179"/>
        <v>OR</v>
      </c>
      <c r="V1187">
        <f t="shared" si="180"/>
        <v>5</v>
      </c>
    </row>
    <row r="1188" spans="1:22" x14ac:dyDescent="0.25">
      <c r="A1188">
        <v>132</v>
      </c>
      <c r="B1188">
        <v>8</v>
      </c>
      <c r="C1188">
        <v>50</v>
      </c>
      <c r="D1188">
        <v>1</v>
      </c>
      <c r="E1188">
        <v>1</v>
      </c>
      <c r="F1188">
        <v>0</v>
      </c>
      <c r="G1188">
        <v>1</v>
      </c>
      <c r="H1188">
        <v>550</v>
      </c>
      <c r="I1188">
        <f t="shared" si="181"/>
        <v>1179</v>
      </c>
      <c r="J1188" s="6">
        <f t="array" aca="1" ref="J1188:N1188" ca="1">TRANSPOSE(ols(OFFSET($C$2:$C$10,I1188,0),OFFSET($D$2:$H$10,I1188,0)))</f>
        <v>72.976190476189913</v>
      </c>
      <c r="K1188" s="6">
        <f ca="1"/>
        <v>31.785714285714221</v>
      </c>
      <c r="L1188" s="6">
        <f ca="1"/>
        <v>0.47619047618991317</v>
      </c>
      <c r="M1188" s="6">
        <f ca="1"/>
        <v>9.7619047619050434</v>
      </c>
      <c r="N1188" s="6">
        <f ca="1"/>
        <v>-8.8095238095236894E-2</v>
      </c>
      <c r="O1188" s="6">
        <f t="shared" ca="1" si="173"/>
        <v>66.071428571428882</v>
      </c>
      <c r="P1188" t="str">
        <f t="shared" si="174"/>
        <v>NA</v>
      </c>
      <c r="Q1188" s="10">
        <f t="shared" ca="1" si="175"/>
        <v>52.380952380951953</v>
      </c>
      <c r="R1188" s="10">
        <f t="shared" ca="1" si="176"/>
        <v>114.52380952380918</v>
      </c>
      <c r="S1188" s="10">
        <f t="shared" ca="1" si="177"/>
        <v>-62.142857142857224</v>
      </c>
      <c r="T1188" s="10">
        <f t="shared" ca="1" si="178"/>
        <v>705.40540540541599</v>
      </c>
      <c r="U1188" s="10" t="str">
        <f t="shared" ca="1" si="179"/>
        <v>OR</v>
      </c>
      <c r="V1188">
        <f t="shared" si="180"/>
        <v>5</v>
      </c>
    </row>
    <row r="1189" spans="1:22" x14ac:dyDescent="0.25">
      <c r="A1189">
        <v>132</v>
      </c>
      <c r="B1189">
        <v>9</v>
      </c>
      <c r="C1189">
        <v>25</v>
      </c>
      <c r="D1189">
        <v>1</v>
      </c>
      <c r="E1189">
        <v>0</v>
      </c>
      <c r="F1189">
        <v>0</v>
      </c>
      <c r="G1189">
        <v>1</v>
      </c>
      <c r="H1189">
        <v>650</v>
      </c>
      <c r="I1189">
        <f t="shared" si="181"/>
        <v>1179</v>
      </c>
      <c r="J1189" s="6">
        <f t="array" aca="1" ref="J1189:N1189" ca="1">TRANSPOSE(ols(OFFSET($C$2:$C$10,I1189,0),OFFSET($D$2:$H$10,I1189,0)))</f>
        <v>72.976190476189913</v>
      </c>
      <c r="K1189" s="6">
        <f ca="1"/>
        <v>31.785714285714221</v>
      </c>
      <c r="L1189" s="6">
        <f ca="1"/>
        <v>0.47619047618991317</v>
      </c>
      <c r="M1189" s="6">
        <f ca="1"/>
        <v>9.7619047619050434</v>
      </c>
      <c r="N1189" s="6">
        <f ca="1"/>
        <v>-8.8095238095236894E-2</v>
      </c>
      <c r="O1189" s="6">
        <f t="shared" ca="1" si="173"/>
        <v>25.476190476190979</v>
      </c>
      <c r="P1189" t="str">
        <f t="shared" si="174"/>
        <v>NA</v>
      </c>
      <c r="Q1189" s="10">
        <f t="shared" ca="1" si="175"/>
        <v>52.380952380951953</v>
      </c>
      <c r="R1189" s="10">
        <f t="shared" ca="1" si="176"/>
        <v>82.738095238094957</v>
      </c>
      <c r="S1189" s="10">
        <f t="shared" ca="1" si="177"/>
        <v>-30.357142857143003</v>
      </c>
      <c r="T1189" s="10">
        <f t="shared" ca="1" si="178"/>
        <v>344.59459459460095</v>
      </c>
      <c r="U1189" s="10">
        <f t="shared" ca="1" si="179"/>
        <v>344.59459459460095</v>
      </c>
      <c r="V1189">
        <f t="shared" si="180"/>
        <v>4</v>
      </c>
    </row>
    <row r="1190" spans="1:22" x14ac:dyDescent="0.25">
      <c r="A1190">
        <v>133</v>
      </c>
      <c r="B1190">
        <v>1</v>
      </c>
      <c r="C1190">
        <v>65</v>
      </c>
      <c r="D1190">
        <v>1</v>
      </c>
      <c r="E1190">
        <v>0</v>
      </c>
      <c r="F1190">
        <v>1</v>
      </c>
      <c r="G1190">
        <v>0</v>
      </c>
      <c r="H1190">
        <v>250</v>
      </c>
      <c r="I1190">
        <f t="shared" si="181"/>
        <v>1188</v>
      </c>
      <c r="J1190" s="6">
        <f t="array" aca="1" ref="J1190:N1190" ca="1">TRANSPOSE(ols(OFFSET($C$2:$C$10,I1190,0),OFFSET($D$2:$H$10,I1190,0)))</f>
        <v>87.797619047618355</v>
      </c>
      <c r="K1190" s="6">
        <f ca="1"/>
        <v>-3.5714285714288962</v>
      </c>
      <c r="L1190" s="6">
        <f ca="1"/>
        <v>-8.4523809523825548</v>
      </c>
      <c r="M1190" s="6">
        <f ca="1"/>
        <v>2.9761904761908227</v>
      </c>
      <c r="N1190" s="6">
        <f ca="1"/>
        <v>-4.8809523809527633E-2</v>
      </c>
      <c r="O1190" s="6">
        <f t="shared" ca="1" si="173"/>
        <v>67.142857142853899</v>
      </c>
      <c r="P1190" t="str">
        <f t="shared" si="174"/>
        <v>NA</v>
      </c>
      <c r="Q1190" s="10">
        <f t="shared" ca="1" si="175"/>
        <v>65.238095238091944</v>
      </c>
      <c r="R1190" s="10">
        <f t="shared" ca="1" si="176"/>
        <v>79.3452380952358</v>
      </c>
      <c r="S1190" s="10">
        <f t="shared" ca="1" si="177"/>
        <v>-14.107142857143856</v>
      </c>
      <c r="T1190" s="10">
        <f t="shared" ca="1" si="178"/>
        <v>289.02439024390026</v>
      </c>
      <c r="U1190" s="10">
        <f t="shared" ca="1" si="179"/>
        <v>289.02439024390026</v>
      </c>
      <c r="V1190">
        <f t="shared" si="180"/>
        <v>3</v>
      </c>
    </row>
    <row r="1191" spans="1:22" x14ac:dyDescent="0.25">
      <c r="A1191">
        <v>133</v>
      </c>
      <c r="B1191">
        <v>2</v>
      </c>
      <c r="C1191">
        <v>70</v>
      </c>
      <c r="D1191">
        <v>1</v>
      </c>
      <c r="E1191">
        <v>1</v>
      </c>
      <c r="F1191">
        <v>0</v>
      </c>
      <c r="G1191">
        <v>0</v>
      </c>
      <c r="H1191">
        <v>350</v>
      </c>
      <c r="I1191">
        <f t="shared" si="181"/>
        <v>1188</v>
      </c>
      <c r="J1191" s="6">
        <f t="array" aca="1" ref="J1191:N1191" ca="1">TRANSPOSE(ols(OFFSET($C$2:$C$10,I1191,0),OFFSET($D$2:$H$10,I1191,0)))</f>
        <v>87.797619047618355</v>
      </c>
      <c r="K1191" s="6">
        <f ca="1"/>
        <v>-3.5714285714288962</v>
      </c>
      <c r="L1191" s="6">
        <f ca="1"/>
        <v>-8.4523809523825548</v>
      </c>
      <c r="M1191" s="6">
        <f ca="1"/>
        <v>2.9761904761908227</v>
      </c>
      <c r="N1191" s="6">
        <f ca="1"/>
        <v>-4.8809523809527633E-2</v>
      </c>
      <c r="O1191" s="6">
        <f t="shared" ca="1" si="173"/>
        <v>67.14285714285478</v>
      </c>
      <c r="P1191" t="str">
        <f t="shared" si="174"/>
        <v>NA</v>
      </c>
      <c r="Q1191" s="10">
        <f t="shared" ca="1" si="175"/>
        <v>65.238095238091944</v>
      </c>
      <c r="R1191" s="10">
        <f t="shared" ca="1" si="176"/>
        <v>84.226190476189458</v>
      </c>
      <c r="S1191" s="10">
        <f t="shared" ca="1" si="177"/>
        <v>-18.988095238097515</v>
      </c>
      <c r="T1191" s="10">
        <f t="shared" ca="1" si="178"/>
        <v>389.02439024391862</v>
      </c>
      <c r="U1191" s="10">
        <f t="shared" ca="1" si="179"/>
        <v>389.02439024391862</v>
      </c>
      <c r="V1191">
        <f t="shared" si="180"/>
        <v>2</v>
      </c>
    </row>
    <row r="1192" spans="1:22" x14ac:dyDescent="0.25">
      <c r="A1192">
        <v>133</v>
      </c>
      <c r="B1192">
        <v>3</v>
      </c>
      <c r="C1192">
        <v>62.5</v>
      </c>
      <c r="D1192">
        <v>1</v>
      </c>
      <c r="E1192">
        <v>1</v>
      </c>
      <c r="F1192">
        <v>0</v>
      </c>
      <c r="G1192">
        <v>0</v>
      </c>
      <c r="H1192">
        <v>450</v>
      </c>
      <c r="I1192">
        <f t="shared" si="181"/>
        <v>1188</v>
      </c>
      <c r="J1192" s="6">
        <f t="array" aca="1" ref="J1192:N1192" ca="1">TRANSPOSE(ols(OFFSET($C$2:$C$10,I1192,0),OFFSET($D$2:$H$10,I1192,0)))</f>
        <v>87.797619047618355</v>
      </c>
      <c r="K1192" s="6">
        <f ca="1"/>
        <v>-3.5714285714288962</v>
      </c>
      <c r="L1192" s="6">
        <f ca="1"/>
        <v>-8.4523809523825548</v>
      </c>
      <c r="M1192" s="6">
        <f ca="1"/>
        <v>2.9761904761908227</v>
      </c>
      <c r="N1192" s="6">
        <f ca="1"/>
        <v>-4.8809523809527633E-2</v>
      </c>
      <c r="O1192" s="6">
        <f t="shared" ca="1" si="173"/>
        <v>62.261904761902024</v>
      </c>
      <c r="P1192" t="str">
        <f t="shared" si="174"/>
        <v>NA</v>
      </c>
      <c r="Q1192" s="10">
        <f t="shared" ca="1" si="175"/>
        <v>65.238095238091944</v>
      </c>
      <c r="R1192" s="10">
        <f t="shared" ca="1" si="176"/>
        <v>84.226190476189458</v>
      </c>
      <c r="S1192" s="10">
        <f t="shared" ca="1" si="177"/>
        <v>-18.988095238097515</v>
      </c>
      <c r="T1192" s="10">
        <f t="shared" ca="1" si="178"/>
        <v>389.02439024391862</v>
      </c>
      <c r="U1192" s="10">
        <f t="shared" ca="1" si="179"/>
        <v>389.02439024391862</v>
      </c>
      <c r="V1192">
        <f t="shared" si="180"/>
        <v>2</v>
      </c>
    </row>
    <row r="1193" spans="1:22" x14ac:dyDescent="0.25">
      <c r="A1193">
        <v>133</v>
      </c>
      <c r="B1193">
        <v>4</v>
      </c>
      <c r="C1193">
        <v>60</v>
      </c>
      <c r="D1193">
        <v>1</v>
      </c>
      <c r="E1193">
        <v>0</v>
      </c>
      <c r="F1193">
        <v>0</v>
      </c>
      <c r="G1193">
        <v>0</v>
      </c>
      <c r="H1193">
        <v>550</v>
      </c>
      <c r="I1193">
        <f t="shared" si="181"/>
        <v>1188</v>
      </c>
      <c r="J1193" s="6">
        <f t="array" aca="1" ref="J1193:N1193" ca="1">TRANSPOSE(ols(OFFSET($C$2:$C$10,I1193,0),OFFSET($D$2:$H$10,I1193,0)))</f>
        <v>87.797619047618355</v>
      </c>
      <c r="K1193" s="6">
        <f ca="1"/>
        <v>-3.5714285714288962</v>
      </c>
      <c r="L1193" s="6">
        <f ca="1"/>
        <v>-8.4523809523825548</v>
      </c>
      <c r="M1193" s="6">
        <f ca="1"/>
        <v>2.9761904761908227</v>
      </c>
      <c r="N1193" s="6">
        <f ca="1"/>
        <v>-4.8809523809527633E-2</v>
      </c>
      <c r="O1193" s="6">
        <f t="shared" ca="1" si="173"/>
        <v>60.952380952378157</v>
      </c>
      <c r="P1193" t="str">
        <f t="shared" si="174"/>
        <v>NA</v>
      </c>
      <c r="Q1193" s="10">
        <f t="shared" ca="1" si="175"/>
        <v>65.238095238091944</v>
      </c>
      <c r="R1193" s="10">
        <f t="shared" ca="1" si="176"/>
        <v>87.797619047618355</v>
      </c>
      <c r="S1193" s="10">
        <f t="shared" ca="1" si="177"/>
        <v>-22.559523809526411</v>
      </c>
      <c r="T1193" s="10">
        <f t="shared" ca="1" si="178"/>
        <v>462.19512195123662</v>
      </c>
      <c r="U1193" s="10">
        <f t="shared" ca="1" si="179"/>
        <v>462.19512195123662</v>
      </c>
      <c r="V1193">
        <f t="shared" si="180"/>
        <v>1</v>
      </c>
    </row>
    <row r="1194" spans="1:22" x14ac:dyDescent="0.25">
      <c r="A1194">
        <v>133</v>
      </c>
      <c r="B1194">
        <v>5</v>
      </c>
      <c r="C1194">
        <v>70</v>
      </c>
      <c r="D1194">
        <v>1</v>
      </c>
      <c r="E1194">
        <v>0</v>
      </c>
      <c r="F1194">
        <v>1</v>
      </c>
      <c r="G1194">
        <v>1</v>
      </c>
      <c r="H1194">
        <v>250</v>
      </c>
      <c r="I1194">
        <f t="shared" si="181"/>
        <v>1188</v>
      </c>
      <c r="J1194" s="6">
        <f t="array" aca="1" ref="J1194:N1194" ca="1">TRANSPOSE(ols(OFFSET($C$2:$C$10,I1194,0),OFFSET($D$2:$H$10,I1194,0)))</f>
        <v>87.797619047618355</v>
      </c>
      <c r="K1194" s="6">
        <f ca="1"/>
        <v>-3.5714285714288962</v>
      </c>
      <c r="L1194" s="6">
        <f ca="1"/>
        <v>-8.4523809523825548</v>
      </c>
      <c r="M1194" s="6">
        <f ca="1"/>
        <v>2.9761904761908227</v>
      </c>
      <c r="N1194" s="6">
        <f ca="1"/>
        <v>-4.8809523809527633E-2</v>
      </c>
      <c r="O1194" s="6">
        <f t="shared" ca="1" si="173"/>
        <v>70.119047619044721</v>
      </c>
      <c r="P1194" t="str">
        <f t="shared" si="174"/>
        <v>NA</v>
      </c>
      <c r="Q1194" s="10">
        <f t="shared" ca="1" si="175"/>
        <v>65.238095238091944</v>
      </c>
      <c r="R1194" s="10">
        <f t="shared" ca="1" si="176"/>
        <v>82.321428571426623</v>
      </c>
      <c r="S1194" s="10">
        <f t="shared" ca="1" si="177"/>
        <v>-17.083333333334679</v>
      </c>
      <c r="T1194" s="10">
        <f t="shared" ca="1" si="178"/>
        <v>350.00000000000017</v>
      </c>
      <c r="U1194" s="10">
        <f t="shared" ca="1" si="179"/>
        <v>350.00000000000017</v>
      </c>
      <c r="V1194">
        <f t="shared" si="180"/>
        <v>6</v>
      </c>
    </row>
    <row r="1195" spans="1:22" x14ac:dyDescent="0.25">
      <c r="A1195">
        <v>133</v>
      </c>
      <c r="B1195">
        <v>6</v>
      </c>
      <c r="C1195">
        <v>67.5</v>
      </c>
      <c r="D1195">
        <v>1</v>
      </c>
      <c r="E1195">
        <v>0</v>
      </c>
      <c r="F1195">
        <v>1</v>
      </c>
      <c r="G1195">
        <v>1</v>
      </c>
      <c r="H1195">
        <v>350</v>
      </c>
      <c r="I1195">
        <f t="shared" si="181"/>
        <v>1188</v>
      </c>
      <c r="J1195" s="6">
        <f t="array" aca="1" ref="J1195:N1195" ca="1">TRANSPOSE(ols(OFFSET($C$2:$C$10,I1195,0),OFFSET($D$2:$H$10,I1195,0)))</f>
        <v>87.797619047618355</v>
      </c>
      <c r="K1195" s="6">
        <f ca="1"/>
        <v>-3.5714285714288962</v>
      </c>
      <c r="L1195" s="6">
        <f ca="1"/>
        <v>-8.4523809523825548</v>
      </c>
      <c r="M1195" s="6">
        <f ca="1"/>
        <v>2.9761904761908227</v>
      </c>
      <c r="N1195" s="6">
        <f ca="1"/>
        <v>-4.8809523809527633E-2</v>
      </c>
      <c r="O1195" s="6">
        <f t="shared" ca="1" si="173"/>
        <v>65.238095238091944</v>
      </c>
      <c r="P1195">
        <f t="shared" ca="1" si="174"/>
        <v>65.238095238091944</v>
      </c>
      <c r="Q1195" s="10">
        <f t="shared" ca="1" si="175"/>
        <v>65.238095238091944</v>
      </c>
      <c r="R1195" s="10">
        <f t="shared" ca="1" si="176"/>
        <v>82.321428571426623</v>
      </c>
      <c r="S1195" s="10">
        <f t="shared" ca="1" si="177"/>
        <v>-17.083333333334679</v>
      </c>
      <c r="T1195" s="10">
        <f t="shared" ca="1" si="178"/>
        <v>350.00000000000017</v>
      </c>
      <c r="U1195" s="10">
        <f t="shared" ca="1" si="179"/>
        <v>350.00000000000017</v>
      </c>
      <c r="V1195">
        <f t="shared" si="180"/>
        <v>6</v>
      </c>
    </row>
    <row r="1196" spans="1:22" x14ac:dyDescent="0.25">
      <c r="A1196">
        <v>133</v>
      </c>
      <c r="B1196">
        <v>7</v>
      </c>
      <c r="C1196">
        <v>62.5</v>
      </c>
      <c r="D1196">
        <v>1</v>
      </c>
      <c r="E1196">
        <v>1</v>
      </c>
      <c r="F1196">
        <v>0</v>
      </c>
      <c r="G1196">
        <v>1</v>
      </c>
      <c r="H1196">
        <v>450</v>
      </c>
      <c r="I1196">
        <f t="shared" si="181"/>
        <v>1188</v>
      </c>
      <c r="J1196" s="6">
        <f t="array" aca="1" ref="J1196:N1196" ca="1">TRANSPOSE(ols(OFFSET($C$2:$C$10,I1196,0),OFFSET($D$2:$H$10,I1196,0)))</f>
        <v>87.797619047618355</v>
      </c>
      <c r="K1196" s="6">
        <f ca="1"/>
        <v>-3.5714285714288962</v>
      </c>
      <c r="L1196" s="6">
        <f ca="1"/>
        <v>-8.4523809523825548</v>
      </c>
      <c r="M1196" s="6">
        <f ca="1"/>
        <v>2.9761904761908227</v>
      </c>
      <c r="N1196" s="6">
        <f ca="1"/>
        <v>-4.8809523809527633E-2</v>
      </c>
      <c r="O1196" s="6">
        <f t="shared" ca="1" si="173"/>
        <v>65.238095238092853</v>
      </c>
      <c r="P1196" t="str">
        <f t="shared" si="174"/>
        <v>NA</v>
      </c>
      <c r="Q1196" s="10">
        <f t="shared" ca="1" si="175"/>
        <v>65.238095238091944</v>
      </c>
      <c r="R1196" s="10">
        <f t="shared" ca="1" si="176"/>
        <v>87.202380952380281</v>
      </c>
      <c r="S1196" s="10">
        <f t="shared" ca="1" si="177"/>
        <v>-21.964285714288337</v>
      </c>
      <c r="T1196" s="10">
        <f t="shared" ca="1" si="178"/>
        <v>450.00000000001847</v>
      </c>
      <c r="U1196" s="10">
        <f t="shared" ca="1" si="179"/>
        <v>450.00000000001847</v>
      </c>
      <c r="V1196">
        <f t="shared" si="180"/>
        <v>5</v>
      </c>
    </row>
    <row r="1197" spans="1:22" x14ac:dyDescent="0.25">
      <c r="A1197">
        <v>133</v>
      </c>
      <c r="B1197">
        <v>8</v>
      </c>
      <c r="C1197">
        <v>60</v>
      </c>
      <c r="D1197">
        <v>1</v>
      </c>
      <c r="E1197">
        <v>1</v>
      </c>
      <c r="F1197">
        <v>0</v>
      </c>
      <c r="G1197">
        <v>1</v>
      </c>
      <c r="H1197">
        <v>550</v>
      </c>
      <c r="I1197">
        <f t="shared" si="181"/>
        <v>1188</v>
      </c>
      <c r="J1197" s="6">
        <f t="array" aca="1" ref="J1197:N1197" ca="1">TRANSPOSE(ols(OFFSET($C$2:$C$10,I1197,0),OFFSET($D$2:$H$10,I1197,0)))</f>
        <v>87.797619047618355</v>
      </c>
      <c r="K1197" s="6">
        <f ca="1"/>
        <v>-3.5714285714288962</v>
      </c>
      <c r="L1197" s="6">
        <f ca="1"/>
        <v>-8.4523809523825548</v>
      </c>
      <c r="M1197" s="6">
        <f ca="1"/>
        <v>2.9761904761908227</v>
      </c>
      <c r="N1197" s="6">
        <f ca="1"/>
        <v>-4.8809523809527633E-2</v>
      </c>
      <c r="O1197" s="6">
        <f t="shared" ca="1" si="173"/>
        <v>60.357142857140083</v>
      </c>
      <c r="P1197" t="str">
        <f t="shared" si="174"/>
        <v>NA</v>
      </c>
      <c r="Q1197" s="10">
        <f t="shared" ca="1" si="175"/>
        <v>65.238095238091944</v>
      </c>
      <c r="R1197" s="10">
        <f t="shared" ca="1" si="176"/>
        <v>87.202380952380281</v>
      </c>
      <c r="S1197" s="10">
        <f t="shared" ca="1" si="177"/>
        <v>-21.964285714288337</v>
      </c>
      <c r="T1197" s="10">
        <f t="shared" ca="1" si="178"/>
        <v>450.00000000001847</v>
      </c>
      <c r="U1197" s="10">
        <f t="shared" ca="1" si="179"/>
        <v>450.00000000001847</v>
      </c>
      <c r="V1197">
        <f t="shared" si="180"/>
        <v>5</v>
      </c>
    </row>
    <row r="1198" spans="1:22" x14ac:dyDescent="0.25">
      <c r="A1198">
        <v>133</v>
      </c>
      <c r="B1198">
        <v>9</v>
      </c>
      <c r="C1198">
        <v>60</v>
      </c>
      <c r="D1198">
        <v>1</v>
      </c>
      <c r="E1198">
        <v>0</v>
      </c>
      <c r="F1198">
        <v>0</v>
      </c>
      <c r="G1198">
        <v>1</v>
      </c>
      <c r="H1198">
        <v>650</v>
      </c>
      <c r="I1198">
        <f t="shared" si="181"/>
        <v>1188</v>
      </c>
      <c r="J1198" s="6">
        <f t="array" aca="1" ref="J1198:N1198" ca="1">TRANSPOSE(ols(OFFSET($C$2:$C$10,I1198,0),OFFSET($D$2:$H$10,I1198,0)))</f>
        <v>87.797619047618355</v>
      </c>
      <c r="K1198" s="6">
        <f ca="1"/>
        <v>-3.5714285714288962</v>
      </c>
      <c r="L1198" s="6">
        <f ca="1"/>
        <v>-8.4523809523825548</v>
      </c>
      <c r="M1198" s="6">
        <f ca="1"/>
        <v>2.9761904761908227</v>
      </c>
      <c r="N1198" s="6">
        <f ca="1"/>
        <v>-4.8809523809527633E-2</v>
      </c>
      <c r="O1198" s="6">
        <f t="shared" ca="1" si="173"/>
        <v>59.047619047616216</v>
      </c>
      <c r="P1198" t="str">
        <f t="shared" si="174"/>
        <v>NA</v>
      </c>
      <c r="Q1198" s="10">
        <f t="shared" ca="1" si="175"/>
        <v>65.238095238091944</v>
      </c>
      <c r="R1198" s="10">
        <f t="shared" ca="1" si="176"/>
        <v>90.773809523809177</v>
      </c>
      <c r="S1198" s="10">
        <f t="shared" ca="1" si="177"/>
        <v>-25.535714285717233</v>
      </c>
      <c r="T1198" s="10">
        <f t="shared" ca="1" si="178"/>
        <v>523.17073170733647</v>
      </c>
      <c r="U1198" s="10">
        <f t="shared" ca="1" si="179"/>
        <v>523.17073170733647</v>
      </c>
      <c r="V1198">
        <f t="shared" si="180"/>
        <v>4</v>
      </c>
    </row>
    <row r="1199" spans="1:22" x14ac:dyDescent="0.25">
      <c r="A1199">
        <v>134</v>
      </c>
      <c r="B1199">
        <v>1</v>
      </c>
      <c r="C1199">
        <v>10</v>
      </c>
      <c r="D1199">
        <v>1</v>
      </c>
      <c r="E1199">
        <v>0</v>
      </c>
      <c r="F1199">
        <v>1</v>
      </c>
      <c r="G1199">
        <v>0</v>
      </c>
      <c r="H1199">
        <v>250</v>
      </c>
      <c r="I1199">
        <f t="shared" si="181"/>
        <v>1197</v>
      </c>
      <c r="J1199" s="6">
        <f t="array" aca="1" ref="J1199:N1199" ca="1">TRANSPOSE(ols(OFFSET($C$2:$C$10,I1199,0),OFFSET($D$2:$H$10,I1199,0)))</f>
        <v>122.99404761904589</v>
      </c>
      <c r="K1199" s="6">
        <f ca="1"/>
        <v>6.5714285714290099</v>
      </c>
      <c r="L1199" s="6">
        <f ca="1"/>
        <v>-56.880952380951612</v>
      </c>
      <c r="M1199" s="6">
        <f ca="1"/>
        <v>23.940476190476033</v>
      </c>
      <c r="N1199" s="6">
        <f ca="1"/>
        <v>-0.22202380952380629</v>
      </c>
      <c r="O1199" s="6">
        <f t="shared" ca="1" si="173"/>
        <v>10.607142857142705</v>
      </c>
      <c r="P1199" t="str">
        <f t="shared" si="174"/>
        <v>NA</v>
      </c>
      <c r="Q1199" s="10">
        <f t="shared" ca="1" si="175"/>
        <v>12.345238095238102</v>
      </c>
      <c r="R1199" s="10">
        <f t="shared" ca="1" si="176"/>
        <v>66.113095238094274</v>
      </c>
      <c r="S1199" s="10">
        <f t="shared" ca="1" si="177"/>
        <v>-53.767857142856172</v>
      </c>
      <c r="T1199" s="10">
        <f t="shared" ca="1" si="178"/>
        <v>242.17158176943616</v>
      </c>
      <c r="U1199" s="10" t="str">
        <f t="shared" ca="1" si="179"/>
        <v>OR</v>
      </c>
      <c r="V1199">
        <f t="shared" si="180"/>
        <v>3</v>
      </c>
    </row>
    <row r="1200" spans="1:22" x14ac:dyDescent="0.25">
      <c r="A1200">
        <v>134</v>
      </c>
      <c r="B1200">
        <v>2</v>
      </c>
      <c r="C1200">
        <v>60</v>
      </c>
      <c r="D1200">
        <v>1</v>
      </c>
      <c r="E1200">
        <v>1</v>
      </c>
      <c r="F1200">
        <v>0</v>
      </c>
      <c r="G1200">
        <v>0</v>
      </c>
      <c r="H1200">
        <v>350</v>
      </c>
      <c r="I1200">
        <f t="shared" si="181"/>
        <v>1197</v>
      </c>
      <c r="J1200" s="6">
        <f t="array" aca="1" ref="J1200:N1200" ca="1">TRANSPOSE(ols(OFFSET($C$2:$C$10,I1200,0),OFFSET($D$2:$H$10,I1200,0)))</f>
        <v>122.99404761904589</v>
      </c>
      <c r="K1200" s="6">
        <f ca="1"/>
        <v>6.5714285714290099</v>
      </c>
      <c r="L1200" s="6">
        <f ca="1"/>
        <v>-56.880952380951612</v>
      </c>
      <c r="M1200" s="6">
        <f ca="1"/>
        <v>23.940476190476033</v>
      </c>
      <c r="N1200" s="6">
        <f ca="1"/>
        <v>-0.22202380952380629</v>
      </c>
      <c r="O1200" s="6">
        <f t="shared" ca="1" si="173"/>
        <v>51.857142857142691</v>
      </c>
      <c r="P1200" t="str">
        <f t="shared" si="174"/>
        <v>NA</v>
      </c>
      <c r="Q1200" s="10">
        <f t="shared" ca="1" si="175"/>
        <v>12.345238095238102</v>
      </c>
      <c r="R1200" s="10">
        <f t="shared" ca="1" si="176"/>
        <v>129.5654761904749</v>
      </c>
      <c r="S1200" s="10">
        <f t="shared" ca="1" si="177"/>
        <v>-117.22023809523679</v>
      </c>
      <c r="T1200" s="10">
        <f t="shared" ca="1" si="178"/>
        <v>527.96246648793749</v>
      </c>
      <c r="U1200" s="10">
        <f t="shared" ca="1" si="179"/>
        <v>527.96246648793749</v>
      </c>
      <c r="V1200">
        <f t="shared" si="180"/>
        <v>2</v>
      </c>
    </row>
    <row r="1201" spans="1:22" x14ac:dyDescent="0.25">
      <c r="A1201">
        <v>134</v>
      </c>
      <c r="B1201">
        <v>3</v>
      </c>
      <c r="C1201">
        <v>23</v>
      </c>
      <c r="D1201">
        <v>1</v>
      </c>
      <c r="E1201">
        <v>1</v>
      </c>
      <c r="F1201">
        <v>0</v>
      </c>
      <c r="G1201">
        <v>0</v>
      </c>
      <c r="H1201">
        <v>450</v>
      </c>
      <c r="I1201">
        <f t="shared" si="181"/>
        <v>1197</v>
      </c>
      <c r="J1201" s="6">
        <f t="array" aca="1" ref="J1201:N1201" ca="1">TRANSPOSE(ols(OFFSET($C$2:$C$10,I1201,0),OFFSET($D$2:$H$10,I1201,0)))</f>
        <v>122.99404761904589</v>
      </c>
      <c r="K1201" s="6">
        <f ca="1"/>
        <v>6.5714285714290099</v>
      </c>
      <c r="L1201" s="6">
        <f ca="1"/>
        <v>-56.880952380951612</v>
      </c>
      <c r="M1201" s="6">
        <f ca="1"/>
        <v>23.940476190476033</v>
      </c>
      <c r="N1201" s="6">
        <f ca="1"/>
        <v>-0.22202380952380629</v>
      </c>
      <c r="O1201" s="6">
        <f t="shared" ca="1" si="173"/>
        <v>29.654761904762069</v>
      </c>
      <c r="P1201" t="str">
        <f t="shared" si="174"/>
        <v>NA</v>
      </c>
      <c r="Q1201" s="10">
        <f t="shared" ca="1" si="175"/>
        <v>12.345238095238102</v>
      </c>
      <c r="R1201" s="10">
        <f t="shared" ca="1" si="176"/>
        <v>129.5654761904749</v>
      </c>
      <c r="S1201" s="10">
        <f t="shared" ca="1" si="177"/>
        <v>-117.22023809523679</v>
      </c>
      <c r="T1201" s="10">
        <f t="shared" ca="1" si="178"/>
        <v>527.96246648793749</v>
      </c>
      <c r="U1201" s="10">
        <f t="shared" ca="1" si="179"/>
        <v>527.96246648793749</v>
      </c>
      <c r="V1201">
        <f t="shared" si="180"/>
        <v>2</v>
      </c>
    </row>
    <row r="1202" spans="1:22" x14ac:dyDescent="0.25">
      <c r="A1202">
        <v>134</v>
      </c>
      <c r="B1202">
        <v>4</v>
      </c>
      <c r="C1202">
        <v>0</v>
      </c>
      <c r="D1202">
        <v>1</v>
      </c>
      <c r="E1202">
        <v>0</v>
      </c>
      <c r="F1202">
        <v>0</v>
      </c>
      <c r="G1202">
        <v>0</v>
      </c>
      <c r="H1202">
        <v>550</v>
      </c>
      <c r="I1202">
        <f t="shared" si="181"/>
        <v>1197</v>
      </c>
      <c r="J1202" s="6">
        <f t="array" aca="1" ref="J1202:N1202" ca="1">TRANSPOSE(ols(OFFSET($C$2:$C$10,I1202,0),OFFSET($D$2:$H$10,I1202,0)))</f>
        <v>122.99404761904589</v>
      </c>
      <c r="K1202" s="6">
        <f ca="1"/>
        <v>6.5714285714290099</v>
      </c>
      <c r="L1202" s="6">
        <f ca="1"/>
        <v>-56.880952380951612</v>
      </c>
      <c r="M1202" s="6">
        <f ca="1"/>
        <v>23.940476190476033</v>
      </c>
      <c r="N1202" s="6">
        <f ca="1"/>
        <v>-0.22202380952380629</v>
      </c>
      <c r="O1202" s="6">
        <f t="shared" ca="1" si="173"/>
        <v>0.88095238095242223</v>
      </c>
      <c r="P1202" t="str">
        <f t="shared" si="174"/>
        <v>NA</v>
      </c>
      <c r="Q1202" s="10">
        <f t="shared" ca="1" si="175"/>
        <v>12.345238095238102</v>
      </c>
      <c r="R1202" s="10">
        <f t="shared" ca="1" si="176"/>
        <v>122.99404761904589</v>
      </c>
      <c r="S1202" s="10">
        <f t="shared" ca="1" si="177"/>
        <v>-110.64880952380778</v>
      </c>
      <c r="T1202" s="10">
        <f t="shared" ca="1" si="178"/>
        <v>498.36461126005304</v>
      </c>
      <c r="U1202" s="10">
        <f t="shared" ca="1" si="179"/>
        <v>498.36461126005304</v>
      </c>
      <c r="V1202">
        <f t="shared" si="180"/>
        <v>1</v>
      </c>
    </row>
    <row r="1203" spans="1:22" x14ac:dyDescent="0.25">
      <c r="A1203">
        <v>134</v>
      </c>
      <c r="B1203">
        <v>5</v>
      </c>
      <c r="C1203">
        <v>10</v>
      </c>
      <c r="D1203">
        <v>1</v>
      </c>
      <c r="E1203">
        <v>0</v>
      </c>
      <c r="F1203">
        <v>1</v>
      </c>
      <c r="G1203">
        <v>1</v>
      </c>
      <c r="H1203">
        <v>250</v>
      </c>
      <c r="I1203">
        <f t="shared" si="181"/>
        <v>1197</v>
      </c>
      <c r="J1203" s="6">
        <f t="array" aca="1" ref="J1203:N1203" ca="1">TRANSPOSE(ols(OFFSET($C$2:$C$10,I1203,0),OFFSET($D$2:$H$10,I1203,0)))</f>
        <v>122.99404761904589</v>
      </c>
      <c r="K1203" s="6">
        <f ca="1"/>
        <v>6.5714285714290099</v>
      </c>
      <c r="L1203" s="6">
        <f ca="1"/>
        <v>-56.880952380951612</v>
      </c>
      <c r="M1203" s="6">
        <f ca="1"/>
        <v>23.940476190476033</v>
      </c>
      <c r="N1203" s="6">
        <f ca="1"/>
        <v>-0.22202380952380629</v>
      </c>
      <c r="O1203" s="6">
        <f t="shared" ca="1" si="173"/>
        <v>34.547619047618738</v>
      </c>
      <c r="P1203" t="str">
        <f t="shared" si="174"/>
        <v>NA</v>
      </c>
      <c r="Q1203" s="10">
        <f t="shared" ca="1" si="175"/>
        <v>12.345238095238102</v>
      </c>
      <c r="R1203" s="10">
        <f t="shared" ca="1" si="176"/>
        <v>90.053571428570308</v>
      </c>
      <c r="S1203" s="10">
        <f t="shared" ca="1" si="177"/>
        <v>-77.708333333332206</v>
      </c>
      <c r="T1203" s="10">
        <f t="shared" ca="1" si="178"/>
        <v>350</v>
      </c>
      <c r="U1203" s="10">
        <f t="shared" ca="1" si="179"/>
        <v>350</v>
      </c>
      <c r="V1203">
        <f t="shared" si="180"/>
        <v>6</v>
      </c>
    </row>
    <row r="1204" spans="1:22" x14ac:dyDescent="0.25">
      <c r="A1204">
        <v>134</v>
      </c>
      <c r="B1204">
        <v>6</v>
      </c>
      <c r="C1204">
        <v>37.5</v>
      </c>
      <c r="D1204">
        <v>1</v>
      </c>
      <c r="E1204">
        <v>0</v>
      </c>
      <c r="F1204">
        <v>1</v>
      </c>
      <c r="G1204">
        <v>1</v>
      </c>
      <c r="H1204">
        <v>350</v>
      </c>
      <c r="I1204">
        <f t="shared" si="181"/>
        <v>1197</v>
      </c>
      <c r="J1204" s="6">
        <f t="array" aca="1" ref="J1204:N1204" ca="1">TRANSPOSE(ols(OFFSET($C$2:$C$10,I1204,0),OFFSET($D$2:$H$10,I1204,0)))</f>
        <v>122.99404761904589</v>
      </c>
      <c r="K1204" s="6">
        <f ca="1"/>
        <v>6.5714285714290099</v>
      </c>
      <c r="L1204" s="6">
        <f ca="1"/>
        <v>-56.880952380951612</v>
      </c>
      <c r="M1204" s="6">
        <f ca="1"/>
        <v>23.940476190476033</v>
      </c>
      <c r="N1204" s="6">
        <f ca="1"/>
        <v>-0.22202380952380629</v>
      </c>
      <c r="O1204" s="6">
        <f t="shared" ca="1" si="173"/>
        <v>12.345238095238102</v>
      </c>
      <c r="P1204">
        <f t="shared" ca="1" si="174"/>
        <v>12.345238095238102</v>
      </c>
      <c r="Q1204" s="10">
        <f t="shared" ca="1" si="175"/>
        <v>12.345238095238102</v>
      </c>
      <c r="R1204" s="10">
        <f t="shared" ca="1" si="176"/>
        <v>90.053571428570308</v>
      </c>
      <c r="S1204" s="10">
        <f t="shared" ca="1" si="177"/>
        <v>-77.708333333332206</v>
      </c>
      <c r="T1204" s="10">
        <f t="shared" ca="1" si="178"/>
        <v>350</v>
      </c>
      <c r="U1204" s="10">
        <f t="shared" ca="1" si="179"/>
        <v>350</v>
      </c>
      <c r="V1204">
        <f t="shared" si="180"/>
        <v>6</v>
      </c>
    </row>
    <row r="1205" spans="1:22" x14ac:dyDescent="0.25">
      <c r="A1205">
        <v>134</v>
      </c>
      <c r="B1205">
        <v>7</v>
      </c>
      <c r="C1205">
        <v>70</v>
      </c>
      <c r="D1205">
        <v>1</v>
      </c>
      <c r="E1205">
        <v>1</v>
      </c>
      <c r="F1205">
        <v>0</v>
      </c>
      <c r="G1205">
        <v>1</v>
      </c>
      <c r="H1205">
        <v>450</v>
      </c>
      <c r="I1205">
        <f t="shared" si="181"/>
        <v>1197</v>
      </c>
      <c r="J1205" s="6">
        <f t="array" aca="1" ref="J1205:N1205" ca="1">TRANSPOSE(ols(OFFSET($C$2:$C$10,I1205,0),OFFSET($D$2:$H$10,I1205,0)))</f>
        <v>122.99404761904589</v>
      </c>
      <c r="K1205" s="6">
        <f ca="1"/>
        <v>6.5714285714290099</v>
      </c>
      <c r="L1205" s="6">
        <f ca="1"/>
        <v>-56.880952380951612</v>
      </c>
      <c r="M1205" s="6">
        <f ca="1"/>
        <v>23.940476190476033</v>
      </c>
      <c r="N1205" s="6">
        <f ca="1"/>
        <v>-0.22202380952380629</v>
      </c>
      <c r="O1205" s="6">
        <f t="shared" ca="1" si="173"/>
        <v>53.595238095238102</v>
      </c>
      <c r="P1205" t="str">
        <f t="shared" si="174"/>
        <v>NA</v>
      </c>
      <c r="Q1205" s="10">
        <f t="shared" ca="1" si="175"/>
        <v>12.345238095238102</v>
      </c>
      <c r="R1205" s="10">
        <f t="shared" ca="1" si="176"/>
        <v>153.50595238095093</v>
      </c>
      <c r="S1205" s="10">
        <f t="shared" ca="1" si="177"/>
        <v>-141.16071428571283</v>
      </c>
      <c r="T1205" s="10">
        <f t="shared" ca="1" si="178"/>
        <v>635.79088471850139</v>
      </c>
      <c r="U1205" s="10">
        <f t="shared" ca="1" si="179"/>
        <v>635.79088471850139</v>
      </c>
      <c r="V1205">
        <f t="shared" si="180"/>
        <v>5</v>
      </c>
    </row>
    <row r="1206" spans="1:22" x14ac:dyDescent="0.25">
      <c r="A1206">
        <v>134</v>
      </c>
      <c r="B1206">
        <v>8</v>
      </c>
      <c r="C1206">
        <v>13.5</v>
      </c>
      <c r="D1206">
        <v>1</v>
      </c>
      <c r="E1206">
        <v>1</v>
      </c>
      <c r="F1206">
        <v>0</v>
      </c>
      <c r="G1206">
        <v>1</v>
      </c>
      <c r="H1206">
        <v>550</v>
      </c>
      <c r="I1206">
        <f t="shared" si="181"/>
        <v>1197</v>
      </c>
      <c r="J1206" s="6">
        <f t="array" aca="1" ref="J1206:N1206" ca="1">TRANSPOSE(ols(OFFSET($C$2:$C$10,I1206,0),OFFSET($D$2:$H$10,I1206,0)))</f>
        <v>122.99404761904589</v>
      </c>
      <c r="K1206" s="6">
        <f ca="1"/>
        <v>6.5714285714290099</v>
      </c>
      <c r="L1206" s="6">
        <f ca="1"/>
        <v>-56.880952380951612</v>
      </c>
      <c r="M1206" s="6">
        <f ca="1"/>
        <v>23.940476190476033</v>
      </c>
      <c r="N1206" s="6">
        <f ca="1"/>
        <v>-0.22202380952380629</v>
      </c>
      <c r="O1206" s="6">
        <f t="shared" ca="1" si="173"/>
        <v>31.392857142857466</v>
      </c>
      <c r="P1206" t="str">
        <f t="shared" si="174"/>
        <v>NA</v>
      </c>
      <c r="Q1206" s="10">
        <f t="shared" ca="1" si="175"/>
        <v>12.345238095238102</v>
      </c>
      <c r="R1206" s="10">
        <f t="shared" ca="1" si="176"/>
        <v>153.50595238095093</v>
      </c>
      <c r="S1206" s="10">
        <f t="shared" ca="1" si="177"/>
        <v>-141.16071428571283</v>
      </c>
      <c r="T1206" s="10">
        <f t="shared" ca="1" si="178"/>
        <v>635.79088471850139</v>
      </c>
      <c r="U1206" s="10">
        <f t="shared" ca="1" si="179"/>
        <v>635.79088471850139</v>
      </c>
      <c r="V1206">
        <f t="shared" si="180"/>
        <v>5</v>
      </c>
    </row>
    <row r="1207" spans="1:22" x14ac:dyDescent="0.25">
      <c r="A1207">
        <v>134</v>
      </c>
      <c r="B1207">
        <v>9</v>
      </c>
      <c r="C1207">
        <v>3.5</v>
      </c>
      <c r="D1207">
        <v>1</v>
      </c>
      <c r="E1207">
        <v>0</v>
      </c>
      <c r="F1207">
        <v>0</v>
      </c>
      <c r="G1207">
        <v>1</v>
      </c>
      <c r="H1207">
        <v>650</v>
      </c>
      <c r="I1207">
        <f t="shared" si="181"/>
        <v>1197</v>
      </c>
      <c r="J1207" s="6">
        <f t="array" aca="1" ref="J1207:N1207" ca="1">TRANSPOSE(ols(OFFSET($C$2:$C$10,I1207,0),OFFSET($D$2:$H$10,I1207,0)))</f>
        <v>122.99404761904589</v>
      </c>
      <c r="K1207" s="6">
        <f ca="1"/>
        <v>6.5714285714290099</v>
      </c>
      <c r="L1207" s="6">
        <f ca="1"/>
        <v>-56.880952380951612</v>
      </c>
      <c r="M1207" s="6">
        <f ca="1"/>
        <v>23.940476190476033</v>
      </c>
      <c r="N1207" s="6">
        <f ca="1"/>
        <v>-0.22202380952380629</v>
      </c>
      <c r="O1207" s="6">
        <f t="shared" ca="1" si="173"/>
        <v>2.6190476190478194</v>
      </c>
      <c r="P1207" t="str">
        <f t="shared" si="174"/>
        <v>NA</v>
      </c>
      <c r="Q1207" s="10">
        <f t="shared" ca="1" si="175"/>
        <v>12.345238095238102</v>
      </c>
      <c r="R1207" s="10">
        <f t="shared" ca="1" si="176"/>
        <v>146.93452380952192</v>
      </c>
      <c r="S1207" s="10">
        <f t="shared" ca="1" si="177"/>
        <v>-134.58928571428382</v>
      </c>
      <c r="T1207" s="10">
        <f t="shared" ca="1" si="178"/>
        <v>606.19302949061694</v>
      </c>
      <c r="U1207" s="10">
        <f t="shared" ca="1" si="179"/>
        <v>606.19302949061694</v>
      </c>
      <c r="V1207">
        <f t="shared" si="180"/>
        <v>4</v>
      </c>
    </row>
    <row r="1208" spans="1:22" x14ac:dyDescent="0.25">
      <c r="A1208">
        <v>135</v>
      </c>
      <c r="B1208">
        <v>1</v>
      </c>
      <c r="C1208">
        <v>50</v>
      </c>
      <c r="D1208">
        <v>1</v>
      </c>
      <c r="E1208">
        <v>0</v>
      </c>
      <c r="F1208">
        <v>1</v>
      </c>
      <c r="G1208">
        <v>0</v>
      </c>
      <c r="H1208">
        <v>250</v>
      </c>
      <c r="I1208">
        <f t="shared" si="181"/>
        <v>1206</v>
      </c>
      <c r="J1208" s="6">
        <f t="array" aca="1" ref="J1208:N1208" ca="1">TRANSPOSE(ols(OFFSET($C$2:$C$10,I1208,0),OFFSET($D$2:$H$10,I1208,0)))</f>
        <v>180.89285714285506</v>
      </c>
      <c r="K1208" s="6">
        <f ca="1"/>
        <v>-35.71428571428487</v>
      </c>
      <c r="L1208" s="6">
        <f ca="1"/>
        <v>-87.857142857142208</v>
      </c>
      <c r="M1208" s="6">
        <f ca="1"/>
        <v>8.9285714285717859</v>
      </c>
      <c r="N1208" s="6">
        <f ca="1"/>
        <v>-0.19642857142857117</v>
      </c>
      <c r="O1208" s="6">
        <f t="shared" ca="1" si="173"/>
        <v>43.928571428570066</v>
      </c>
      <c r="P1208" t="str">
        <f t="shared" si="174"/>
        <v>NA</v>
      </c>
      <c r="Q1208" s="10">
        <f t="shared" ca="1" si="175"/>
        <v>33.214285714284728</v>
      </c>
      <c r="R1208" s="10">
        <f t="shared" ca="1" si="176"/>
        <v>93.035714285712857</v>
      </c>
      <c r="S1208" s="10">
        <f t="shared" ca="1" si="177"/>
        <v>-59.821428571428129</v>
      </c>
      <c r="T1208" s="10">
        <f t="shared" ca="1" si="178"/>
        <v>304.54545454545269</v>
      </c>
      <c r="U1208" s="10">
        <f t="shared" ca="1" si="179"/>
        <v>304.54545454545269</v>
      </c>
      <c r="V1208">
        <f t="shared" si="180"/>
        <v>3</v>
      </c>
    </row>
    <row r="1209" spans="1:22" x14ac:dyDescent="0.25">
      <c r="A1209">
        <v>135</v>
      </c>
      <c r="B1209">
        <v>2</v>
      </c>
      <c r="C1209">
        <v>75</v>
      </c>
      <c r="D1209">
        <v>1</v>
      </c>
      <c r="E1209">
        <v>1</v>
      </c>
      <c r="F1209">
        <v>0</v>
      </c>
      <c r="G1209">
        <v>0</v>
      </c>
      <c r="H1209">
        <v>350</v>
      </c>
      <c r="I1209">
        <f t="shared" si="181"/>
        <v>1206</v>
      </c>
      <c r="J1209" s="6">
        <f t="array" aca="1" ref="J1209:N1209" ca="1">TRANSPOSE(ols(OFFSET($C$2:$C$10,I1209,0),OFFSET($D$2:$H$10,I1209,0)))</f>
        <v>180.89285714285506</v>
      </c>
      <c r="K1209" s="6">
        <f ca="1"/>
        <v>-35.71428571428487</v>
      </c>
      <c r="L1209" s="6">
        <f ca="1"/>
        <v>-87.857142857142208</v>
      </c>
      <c r="M1209" s="6">
        <f ca="1"/>
        <v>8.9285714285717859</v>
      </c>
      <c r="N1209" s="6">
        <f ca="1"/>
        <v>-0.19642857142857117</v>
      </c>
      <c r="O1209" s="6">
        <f t="shared" ca="1" si="173"/>
        <v>76.42857142857028</v>
      </c>
      <c r="P1209" t="str">
        <f t="shared" si="174"/>
        <v>NA</v>
      </c>
      <c r="Q1209" s="10">
        <f t="shared" ca="1" si="175"/>
        <v>33.214285714284728</v>
      </c>
      <c r="R1209" s="10">
        <f t="shared" ca="1" si="176"/>
        <v>145.17857142857019</v>
      </c>
      <c r="S1209" s="10">
        <f t="shared" ca="1" si="177"/>
        <v>-111.96428571428547</v>
      </c>
      <c r="T1209" s="10">
        <f t="shared" ca="1" si="178"/>
        <v>569.99999999999943</v>
      </c>
      <c r="U1209" s="10">
        <f t="shared" ca="1" si="179"/>
        <v>569.99999999999943</v>
      </c>
      <c r="V1209">
        <f t="shared" si="180"/>
        <v>2</v>
      </c>
    </row>
    <row r="1210" spans="1:22" x14ac:dyDescent="0.25">
      <c r="A1210">
        <v>135</v>
      </c>
      <c r="B1210">
        <v>3</v>
      </c>
      <c r="C1210">
        <v>50</v>
      </c>
      <c r="D1210">
        <v>1</v>
      </c>
      <c r="E1210">
        <v>1</v>
      </c>
      <c r="F1210">
        <v>0</v>
      </c>
      <c r="G1210">
        <v>0</v>
      </c>
      <c r="H1210">
        <v>450</v>
      </c>
      <c r="I1210">
        <f t="shared" si="181"/>
        <v>1206</v>
      </c>
      <c r="J1210" s="6">
        <f t="array" aca="1" ref="J1210:N1210" ca="1">TRANSPOSE(ols(OFFSET($C$2:$C$10,I1210,0),OFFSET($D$2:$H$10,I1210,0)))</f>
        <v>180.89285714285506</v>
      </c>
      <c r="K1210" s="6">
        <f ca="1"/>
        <v>-35.71428571428487</v>
      </c>
      <c r="L1210" s="6">
        <f ca="1"/>
        <v>-87.857142857142208</v>
      </c>
      <c r="M1210" s="6">
        <f ca="1"/>
        <v>8.9285714285717859</v>
      </c>
      <c r="N1210" s="6">
        <f ca="1"/>
        <v>-0.19642857142857117</v>
      </c>
      <c r="O1210" s="6">
        <f t="shared" ca="1" si="173"/>
        <v>56.785714285713169</v>
      </c>
      <c r="P1210" t="str">
        <f t="shared" si="174"/>
        <v>NA</v>
      </c>
      <c r="Q1210" s="10">
        <f t="shared" ca="1" si="175"/>
        <v>33.214285714284728</v>
      </c>
      <c r="R1210" s="10">
        <f t="shared" ca="1" si="176"/>
        <v>145.17857142857019</v>
      </c>
      <c r="S1210" s="10">
        <f t="shared" ca="1" si="177"/>
        <v>-111.96428571428547</v>
      </c>
      <c r="T1210" s="10">
        <f t="shared" ca="1" si="178"/>
        <v>569.99999999999943</v>
      </c>
      <c r="U1210" s="10">
        <f t="shared" ca="1" si="179"/>
        <v>569.99999999999943</v>
      </c>
      <c r="V1210">
        <f t="shared" si="180"/>
        <v>2</v>
      </c>
    </row>
    <row r="1211" spans="1:22" x14ac:dyDescent="0.25">
      <c r="A1211">
        <v>135</v>
      </c>
      <c r="B1211">
        <v>4</v>
      </c>
      <c r="C1211">
        <v>75</v>
      </c>
      <c r="D1211">
        <v>1</v>
      </c>
      <c r="E1211">
        <v>0</v>
      </c>
      <c r="F1211">
        <v>0</v>
      </c>
      <c r="G1211">
        <v>0</v>
      </c>
      <c r="H1211">
        <v>550</v>
      </c>
      <c r="I1211">
        <f t="shared" si="181"/>
        <v>1206</v>
      </c>
      <c r="J1211" s="6">
        <f t="array" aca="1" ref="J1211:N1211" ca="1">TRANSPOSE(ols(OFFSET($C$2:$C$10,I1211,0),OFFSET($D$2:$H$10,I1211,0)))</f>
        <v>180.89285714285506</v>
      </c>
      <c r="K1211" s="6">
        <f ca="1"/>
        <v>-35.71428571428487</v>
      </c>
      <c r="L1211" s="6">
        <f ca="1"/>
        <v>-87.857142857142208</v>
      </c>
      <c r="M1211" s="6">
        <f ca="1"/>
        <v>8.9285714285717859</v>
      </c>
      <c r="N1211" s="6">
        <f ca="1"/>
        <v>-0.19642857142857117</v>
      </c>
      <c r="O1211" s="6">
        <f t="shared" ca="1" si="173"/>
        <v>72.857142857140914</v>
      </c>
      <c r="P1211" t="str">
        <f t="shared" si="174"/>
        <v>NA</v>
      </c>
      <c r="Q1211" s="10">
        <f t="shared" ca="1" si="175"/>
        <v>33.214285714284728</v>
      </c>
      <c r="R1211" s="10">
        <f t="shared" ca="1" si="176"/>
        <v>180.89285714285506</v>
      </c>
      <c r="S1211" s="10">
        <f t="shared" ca="1" si="177"/>
        <v>-147.67857142857034</v>
      </c>
      <c r="T1211" s="10">
        <f t="shared" ca="1" si="178"/>
        <v>751.81818181817721</v>
      </c>
      <c r="U1211" s="10" t="str">
        <f t="shared" ca="1" si="179"/>
        <v>OR</v>
      </c>
      <c r="V1211">
        <f t="shared" si="180"/>
        <v>1</v>
      </c>
    </row>
    <row r="1212" spans="1:22" x14ac:dyDescent="0.25">
      <c r="A1212">
        <v>135</v>
      </c>
      <c r="B1212">
        <v>5</v>
      </c>
      <c r="C1212">
        <v>50</v>
      </c>
      <c r="D1212">
        <v>1</v>
      </c>
      <c r="E1212">
        <v>0</v>
      </c>
      <c r="F1212">
        <v>1</v>
      </c>
      <c r="G1212">
        <v>1</v>
      </c>
      <c r="H1212">
        <v>250</v>
      </c>
      <c r="I1212">
        <f t="shared" si="181"/>
        <v>1206</v>
      </c>
      <c r="J1212" s="6">
        <f t="array" aca="1" ref="J1212:N1212" ca="1">TRANSPOSE(ols(OFFSET($C$2:$C$10,I1212,0),OFFSET($D$2:$H$10,I1212,0)))</f>
        <v>180.89285714285506</v>
      </c>
      <c r="K1212" s="6">
        <f ca="1"/>
        <v>-35.71428571428487</v>
      </c>
      <c r="L1212" s="6">
        <f ca="1"/>
        <v>-87.857142857142208</v>
      </c>
      <c r="M1212" s="6">
        <f ca="1"/>
        <v>8.9285714285717859</v>
      </c>
      <c r="N1212" s="6">
        <f ca="1"/>
        <v>-0.19642857142857117</v>
      </c>
      <c r="O1212" s="6">
        <f t="shared" ca="1" si="173"/>
        <v>52.857142857141852</v>
      </c>
      <c r="P1212" t="str">
        <f t="shared" si="174"/>
        <v>NA</v>
      </c>
      <c r="Q1212" s="10">
        <f t="shared" ca="1" si="175"/>
        <v>33.214285714284728</v>
      </c>
      <c r="R1212" s="10">
        <f t="shared" ca="1" si="176"/>
        <v>101.96428571428464</v>
      </c>
      <c r="S1212" s="10">
        <f t="shared" ca="1" si="177"/>
        <v>-68.749999999999915</v>
      </c>
      <c r="T1212" s="10">
        <f t="shared" ca="1" si="178"/>
        <v>350</v>
      </c>
      <c r="U1212" s="10">
        <f t="shared" ca="1" si="179"/>
        <v>350</v>
      </c>
      <c r="V1212">
        <f t="shared" si="180"/>
        <v>6</v>
      </c>
    </row>
    <row r="1213" spans="1:22" x14ac:dyDescent="0.25">
      <c r="A1213">
        <v>135</v>
      </c>
      <c r="B1213">
        <v>6</v>
      </c>
      <c r="C1213">
        <v>30</v>
      </c>
      <c r="D1213">
        <v>1</v>
      </c>
      <c r="E1213">
        <v>0</v>
      </c>
      <c r="F1213">
        <v>1</v>
      </c>
      <c r="G1213">
        <v>1</v>
      </c>
      <c r="H1213">
        <v>350</v>
      </c>
      <c r="I1213">
        <f t="shared" si="181"/>
        <v>1206</v>
      </c>
      <c r="J1213" s="6">
        <f t="array" aca="1" ref="J1213:N1213" ca="1">TRANSPOSE(ols(OFFSET($C$2:$C$10,I1213,0),OFFSET($D$2:$H$10,I1213,0)))</f>
        <v>180.89285714285506</v>
      </c>
      <c r="K1213" s="6">
        <f ca="1"/>
        <v>-35.71428571428487</v>
      </c>
      <c r="L1213" s="6">
        <f ca="1"/>
        <v>-87.857142857142208</v>
      </c>
      <c r="M1213" s="6">
        <f ca="1"/>
        <v>8.9285714285717859</v>
      </c>
      <c r="N1213" s="6">
        <f ca="1"/>
        <v>-0.19642857142857117</v>
      </c>
      <c r="O1213" s="6">
        <f t="shared" ca="1" si="173"/>
        <v>33.214285714284728</v>
      </c>
      <c r="P1213">
        <f t="shared" ca="1" si="174"/>
        <v>33.214285714284728</v>
      </c>
      <c r="Q1213" s="10">
        <f t="shared" ca="1" si="175"/>
        <v>33.214285714284728</v>
      </c>
      <c r="R1213" s="10">
        <f t="shared" ca="1" si="176"/>
        <v>101.96428571428464</v>
      </c>
      <c r="S1213" s="10">
        <f t="shared" ca="1" si="177"/>
        <v>-68.749999999999915</v>
      </c>
      <c r="T1213" s="10">
        <f t="shared" ca="1" si="178"/>
        <v>350</v>
      </c>
      <c r="U1213" s="10">
        <f t="shared" ca="1" si="179"/>
        <v>350</v>
      </c>
      <c r="V1213">
        <f t="shared" si="180"/>
        <v>6</v>
      </c>
    </row>
    <row r="1214" spans="1:22" x14ac:dyDescent="0.25">
      <c r="A1214">
        <v>135</v>
      </c>
      <c r="B1214">
        <v>7</v>
      </c>
      <c r="C1214">
        <v>70</v>
      </c>
      <c r="D1214">
        <v>1</v>
      </c>
      <c r="E1214">
        <v>1</v>
      </c>
      <c r="F1214">
        <v>0</v>
      </c>
      <c r="G1214">
        <v>1</v>
      </c>
      <c r="H1214">
        <v>450</v>
      </c>
      <c r="I1214">
        <f t="shared" si="181"/>
        <v>1206</v>
      </c>
      <c r="J1214" s="6">
        <f t="array" aca="1" ref="J1214:N1214" ca="1">TRANSPOSE(ols(OFFSET($C$2:$C$10,I1214,0),OFFSET($D$2:$H$10,I1214,0)))</f>
        <v>180.89285714285506</v>
      </c>
      <c r="K1214" s="6">
        <f ca="1"/>
        <v>-35.71428571428487</v>
      </c>
      <c r="L1214" s="6">
        <f ca="1"/>
        <v>-87.857142857142208</v>
      </c>
      <c r="M1214" s="6">
        <f ca="1"/>
        <v>8.9285714285717859</v>
      </c>
      <c r="N1214" s="6">
        <f ca="1"/>
        <v>-0.19642857142857117</v>
      </c>
      <c r="O1214" s="6">
        <f t="shared" ca="1" si="173"/>
        <v>65.714285714284955</v>
      </c>
      <c r="P1214" t="str">
        <f t="shared" si="174"/>
        <v>NA</v>
      </c>
      <c r="Q1214" s="10">
        <f t="shared" ca="1" si="175"/>
        <v>33.214285714284728</v>
      </c>
      <c r="R1214" s="10">
        <f t="shared" ca="1" si="176"/>
        <v>154.10714285714198</v>
      </c>
      <c r="S1214" s="10">
        <f t="shared" ca="1" si="177"/>
        <v>-120.89285714285725</v>
      </c>
      <c r="T1214" s="10">
        <f t="shared" ca="1" si="178"/>
        <v>615.45454545454686</v>
      </c>
      <c r="U1214" s="10">
        <f t="shared" ca="1" si="179"/>
        <v>615.45454545454686</v>
      </c>
      <c r="V1214">
        <f t="shared" si="180"/>
        <v>5</v>
      </c>
    </row>
    <row r="1215" spans="1:22" x14ac:dyDescent="0.25">
      <c r="A1215">
        <v>135</v>
      </c>
      <c r="B1215">
        <v>8</v>
      </c>
      <c r="C1215">
        <v>50</v>
      </c>
      <c r="D1215">
        <v>1</v>
      </c>
      <c r="E1215">
        <v>1</v>
      </c>
      <c r="F1215">
        <v>0</v>
      </c>
      <c r="G1215">
        <v>1</v>
      </c>
      <c r="H1215">
        <v>550</v>
      </c>
      <c r="I1215">
        <f t="shared" si="181"/>
        <v>1206</v>
      </c>
      <c r="J1215" s="6">
        <f t="array" aca="1" ref="J1215:N1215" ca="1">TRANSPOSE(ols(OFFSET($C$2:$C$10,I1215,0),OFFSET($D$2:$H$10,I1215,0)))</f>
        <v>180.89285714285506</v>
      </c>
      <c r="K1215" s="6">
        <f ca="1"/>
        <v>-35.71428571428487</v>
      </c>
      <c r="L1215" s="6">
        <f ca="1"/>
        <v>-87.857142857142208</v>
      </c>
      <c r="M1215" s="6">
        <f ca="1"/>
        <v>8.9285714285717859</v>
      </c>
      <c r="N1215" s="6">
        <f ca="1"/>
        <v>-0.19642857142857117</v>
      </c>
      <c r="O1215" s="6">
        <f t="shared" ca="1" si="173"/>
        <v>46.07142857142783</v>
      </c>
      <c r="P1215" t="str">
        <f t="shared" si="174"/>
        <v>NA</v>
      </c>
      <c r="Q1215" s="10">
        <f t="shared" ca="1" si="175"/>
        <v>33.214285714284728</v>
      </c>
      <c r="R1215" s="10">
        <f t="shared" ca="1" si="176"/>
        <v>154.10714285714198</v>
      </c>
      <c r="S1215" s="10">
        <f t="shared" ca="1" si="177"/>
        <v>-120.89285714285725</v>
      </c>
      <c r="T1215" s="10">
        <f t="shared" ca="1" si="178"/>
        <v>615.45454545454686</v>
      </c>
      <c r="U1215" s="10">
        <f t="shared" ca="1" si="179"/>
        <v>615.45454545454686</v>
      </c>
      <c r="V1215">
        <f t="shared" si="180"/>
        <v>5</v>
      </c>
    </row>
    <row r="1216" spans="1:22" x14ac:dyDescent="0.25">
      <c r="A1216">
        <v>135</v>
      </c>
      <c r="B1216">
        <v>9</v>
      </c>
      <c r="C1216">
        <v>60</v>
      </c>
      <c r="D1216">
        <v>1</v>
      </c>
      <c r="E1216">
        <v>0</v>
      </c>
      <c r="F1216">
        <v>0</v>
      </c>
      <c r="G1216">
        <v>1</v>
      </c>
      <c r="H1216">
        <v>650</v>
      </c>
      <c r="I1216">
        <f t="shared" si="181"/>
        <v>1206</v>
      </c>
      <c r="J1216" s="6">
        <f t="array" aca="1" ref="J1216:N1216" ca="1">TRANSPOSE(ols(OFFSET($C$2:$C$10,I1216,0),OFFSET($D$2:$H$10,I1216,0)))</f>
        <v>180.89285714285506</v>
      </c>
      <c r="K1216" s="6">
        <f ca="1"/>
        <v>-35.71428571428487</v>
      </c>
      <c r="L1216" s="6">
        <f ca="1"/>
        <v>-87.857142857142208</v>
      </c>
      <c r="M1216" s="6">
        <f ca="1"/>
        <v>8.9285714285717859</v>
      </c>
      <c r="N1216" s="6">
        <f ca="1"/>
        <v>-0.19642857142857117</v>
      </c>
      <c r="O1216" s="6">
        <f t="shared" ca="1" si="173"/>
        <v>62.14285714285559</v>
      </c>
      <c r="P1216" t="str">
        <f t="shared" si="174"/>
        <v>NA</v>
      </c>
      <c r="Q1216" s="10">
        <f t="shared" ca="1" si="175"/>
        <v>33.214285714284728</v>
      </c>
      <c r="R1216" s="10">
        <f t="shared" ca="1" si="176"/>
        <v>189.82142857142685</v>
      </c>
      <c r="S1216" s="10">
        <f t="shared" ca="1" si="177"/>
        <v>-156.60714285714212</v>
      </c>
      <c r="T1216" s="10">
        <f t="shared" ca="1" si="178"/>
        <v>797.27272727272452</v>
      </c>
      <c r="U1216" s="10" t="str">
        <f t="shared" ca="1" si="179"/>
        <v>OR</v>
      </c>
      <c r="V1216">
        <f t="shared" si="180"/>
        <v>4</v>
      </c>
    </row>
    <row r="1217" spans="1:22" x14ac:dyDescent="0.25">
      <c r="A1217">
        <v>136</v>
      </c>
      <c r="B1217">
        <v>1</v>
      </c>
      <c r="C1217">
        <v>0</v>
      </c>
      <c r="D1217">
        <v>1</v>
      </c>
      <c r="E1217">
        <v>0</v>
      </c>
      <c r="F1217">
        <v>1</v>
      </c>
      <c r="G1217">
        <v>0</v>
      </c>
      <c r="H1217">
        <v>250</v>
      </c>
      <c r="I1217">
        <f t="shared" si="181"/>
        <v>1215</v>
      </c>
      <c r="J1217" s="6">
        <f t="array" aca="1" ref="J1217:N1217" ca="1">TRANSPOSE(ols(OFFSET($C$2:$C$10,I1217,0),OFFSET($D$2:$H$10,I1217,0)))</f>
        <v>14.64285714285694</v>
      </c>
      <c r="K1217" s="6">
        <f ca="1"/>
        <v>-5.7142857142856656</v>
      </c>
      <c r="L1217" s="6">
        <f ca="1"/>
        <v>-12.857142857142776</v>
      </c>
      <c r="M1217" s="6">
        <f ca="1"/>
        <v>6.4285714285714235</v>
      </c>
      <c r="N1217" s="6">
        <f ca="1"/>
        <v>-2.142857142857113E-2</v>
      </c>
      <c r="O1217" s="6">
        <f t="shared" ca="1" si="173"/>
        <v>-3.5714285714286191</v>
      </c>
      <c r="P1217" t="str">
        <f t="shared" si="174"/>
        <v>NA</v>
      </c>
      <c r="Q1217" s="10">
        <f t="shared" ca="1" si="175"/>
        <v>0.71428571428569221</v>
      </c>
      <c r="R1217" s="10">
        <f t="shared" ca="1" si="176"/>
        <v>1.7857142857141639</v>
      </c>
      <c r="S1217" s="10">
        <f t="shared" ca="1" si="177"/>
        <v>-1.0714285714284717</v>
      </c>
      <c r="T1217" s="10">
        <f t="shared" ca="1" si="178"/>
        <v>49.999999999996042</v>
      </c>
      <c r="U1217" s="10" t="str">
        <f t="shared" ca="1" si="179"/>
        <v>OR</v>
      </c>
      <c r="V1217">
        <f t="shared" si="180"/>
        <v>3</v>
      </c>
    </row>
    <row r="1218" spans="1:22" x14ac:dyDescent="0.25">
      <c r="A1218">
        <v>136</v>
      </c>
      <c r="B1218">
        <v>2</v>
      </c>
      <c r="C1218">
        <v>0</v>
      </c>
      <c r="D1218">
        <v>1</v>
      </c>
      <c r="E1218">
        <v>1</v>
      </c>
      <c r="F1218">
        <v>0</v>
      </c>
      <c r="G1218">
        <v>0</v>
      </c>
      <c r="H1218">
        <v>350</v>
      </c>
      <c r="I1218">
        <f t="shared" si="181"/>
        <v>1215</v>
      </c>
      <c r="J1218" s="6">
        <f t="array" aca="1" ref="J1218:N1218" ca="1">TRANSPOSE(ols(OFFSET($C$2:$C$10,I1218,0),OFFSET($D$2:$H$10,I1218,0)))</f>
        <v>14.64285714285694</v>
      </c>
      <c r="K1218" s="6">
        <f ca="1"/>
        <v>-5.7142857142856656</v>
      </c>
      <c r="L1218" s="6">
        <f ca="1"/>
        <v>-12.857142857142776</v>
      </c>
      <c r="M1218" s="6">
        <f ca="1"/>
        <v>6.4285714285714235</v>
      </c>
      <c r="N1218" s="6">
        <f ca="1"/>
        <v>-2.142857142857113E-2</v>
      </c>
      <c r="O1218" s="6">
        <f t="shared" ca="1" si="173"/>
        <v>1.4285714285713791</v>
      </c>
      <c r="P1218" t="str">
        <f t="shared" si="174"/>
        <v>NA</v>
      </c>
      <c r="Q1218" s="10">
        <f t="shared" ca="1" si="175"/>
        <v>0.71428571428569221</v>
      </c>
      <c r="R1218" s="10">
        <f t="shared" ca="1" si="176"/>
        <v>8.9285714285712743</v>
      </c>
      <c r="S1218" s="10">
        <f t="shared" ca="1" si="177"/>
        <v>-8.2142857142855821</v>
      </c>
      <c r="T1218" s="10">
        <f t="shared" ca="1" si="178"/>
        <v>383.33333333333252</v>
      </c>
      <c r="U1218" s="10">
        <f t="shared" ca="1" si="179"/>
        <v>383.33333333333252</v>
      </c>
      <c r="V1218">
        <f t="shared" si="180"/>
        <v>2</v>
      </c>
    </row>
    <row r="1219" spans="1:22" x14ac:dyDescent="0.25">
      <c r="A1219">
        <v>136</v>
      </c>
      <c r="B1219">
        <v>3</v>
      </c>
      <c r="C1219">
        <v>0</v>
      </c>
      <c r="D1219">
        <v>1</v>
      </c>
      <c r="E1219">
        <v>1</v>
      </c>
      <c r="F1219">
        <v>0</v>
      </c>
      <c r="G1219">
        <v>0</v>
      </c>
      <c r="H1219">
        <v>450</v>
      </c>
      <c r="I1219">
        <f t="shared" si="181"/>
        <v>1215</v>
      </c>
      <c r="J1219" s="6">
        <f t="array" aca="1" ref="J1219:N1219" ca="1">TRANSPOSE(ols(OFFSET($C$2:$C$10,I1219,0),OFFSET($D$2:$H$10,I1219,0)))</f>
        <v>14.64285714285694</v>
      </c>
      <c r="K1219" s="6">
        <f ca="1"/>
        <v>-5.7142857142856656</v>
      </c>
      <c r="L1219" s="6">
        <f ca="1"/>
        <v>-12.857142857142776</v>
      </c>
      <c r="M1219" s="6">
        <f ca="1"/>
        <v>6.4285714285714235</v>
      </c>
      <c r="N1219" s="6">
        <f ca="1"/>
        <v>-2.142857142857113E-2</v>
      </c>
      <c r="O1219" s="6">
        <f t="shared" ref="O1219:O1282" ca="1" si="182">SUMPRODUCT(J1219:N1219,D1219:H1219)</f>
        <v>-0.71428571428573484</v>
      </c>
      <c r="P1219" t="str">
        <f t="shared" ref="P1219:P1282" si="183">IF(AND(F1219=1,G1219=1,H1219=350),O1219,"NA")</f>
        <v>NA</v>
      </c>
      <c r="Q1219" s="10">
        <f t="shared" ref="Q1219:Q1282" ca="1" si="184">AVERAGEIF($A$2:$A$5383,A1219,$P$2:$P$5383)</f>
        <v>0.71428571428569221</v>
      </c>
      <c r="R1219" s="10">
        <f t="shared" ref="R1219:R1282" ca="1" si="185">O1219-N1219*H1219</f>
        <v>8.9285714285712743</v>
      </c>
      <c r="S1219" s="10">
        <f t="shared" ref="S1219:S1282" ca="1" si="186">Q1219-R1219</f>
        <v>-8.2142857142855821</v>
      </c>
      <c r="T1219" s="10">
        <f t="shared" ref="T1219:T1282" ca="1" si="187">S1219/N1219</f>
        <v>383.33333333333252</v>
      </c>
      <c r="U1219" s="10">
        <f t="shared" ref="U1219:U1282" ca="1" si="188">IF(OR(T1219&lt;250,T1219&gt;650),"OR",T1219)</f>
        <v>383.33333333333252</v>
      </c>
      <c r="V1219">
        <f t="shared" ref="V1219:V1282" si="189">IF(AND(E1219=1,G1219=0),2,IF(AND(F1219=1,G1219=0),3,IF(AND(E1219=1,G1219=1),5,IF(AND(F1219=1,G1219=1),6,IF(G1219=0,1,IF(G1219=1,4))))))</f>
        <v>2</v>
      </c>
    </row>
    <row r="1220" spans="1:22" x14ac:dyDescent="0.25">
      <c r="A1220">
        <v>136</v>
      </c>
      <c r="B1220">
        <v>4</v>
      </c>
      <c r="C1220">
        <v>0</v>
      </c>
      <c r="D1220">
        <v>1</v>
      </c>
      <c r="E1220">
        <v>0</v>
      </c>
      <c r="F1220">
        <v>0</v>
      </c>
      <c r="G1220">
        <v>0</v>
      </c>
      <c r="H1220">
        <v>550</v>
      </c>
      <c r="I1220">
        <f t="shared" si="181"/>
        <v>1215</v>
      </c>
      <c r="J1220" s="6">
        <f t="array" aca="1" ref="J1220:N1220" ca="1">TRANSPOSE(ols(OFFSET($C$2:$C$10,I1220,0),OFFSET($D$2:$H$10,I1220,0)))</f>
        <v>14.64285714285694</v>
      </c>
      <c r="K1220" s="6">
        <f ca="1"/>
        <v>-5.7142857142856656</v>
      </c>
      <c r="L1220" s="6">
        <f ca="1"/>
        <v>-12.857142857142776</v>
      </c>
      <c r="M1220" s="6">
        <f ca="1"/>
        <v>6.4285714285714235</v>
      </c>
      <c r="N1220" s="6">
        <f ca="1"/>
        <v>-2.142857142857113E-2</v>
      </c>
      <c r="O1220" s="6">
        <f t="shared" ca="1" si="182"/>
        <v>2.8571428571428186</v>
      </c>
      <c r="P1220" t="str">
        <f t="shared" si="183"/>
        <v>NA</v>
      </c>
      <c r="Q1220" s="10">
        <f t="shared" ca="1" si="184"/>
        <v>0.71428571428569221</v>
      </c>
      <c r="R1220" s="10">
        <f t="shared" ca="1" si="185"/>
        <v>14.64285714285694</v>
      </c>
      <c r="S1220" s="10">
        <f t="shared" ca="1" si="186"/>
        <v>-13.928571428571248</v>
      </c>
      <c r="T1220" s="10">
        <f t="shared" ca="1" si="187"/>
        <v>650.00000000000057</v>
      </c>
      <c r="U1220" s="10" t="str">
        <f t="shared" ca="1" si="188"/>
        <v>OR</v>
      </c>
      <c r="V1220">
        <f t="shared" si="189"/>
        <v>1</v>
      </c>
    </row>
    <row r="1221" spans="1:22" x14ac:dyDescent="0.25">
      <c r="A1221">
        <v>136</v>
      </c>
      <c r="B1221">
        <v>5</v>
      </c>
      <c r="C1221">
        <v>0</v>
      </c>
      <c r="D1221">
        <v>1</v>
      </c>
      <c r="E1221">
        <v>0</v>
      </c>
      <c r="F1221">
        <v>1</v>
      </c>
      <c r="G1221">
        <v>1</v>
      </c>
      <c r="H1221">
        <v>250</v>
      </c>
      <c r="I1221">
        <f t="shared" si="181"/>
        <v>1215</v>
      </c>
      <c r="J1221" s="6">
        <f t="array" aca="1" ref="J1221:N1221" ca="1">TRANSPOSE(ols(OFFSET($C$2:$C$10,I1221,0),OFFSET($D$2:$H$10,I1221,0)))</f>
        <v>14.64285714285694</v>
      </c>
      <c r="K1221" s="6">
        <f ca="1"/>
        <v>-5.7142857142856656</v>
      </c>
      <c r="L1221" s="6">
        <f ca="1"/>
        <v>-12.857142857142776</v>
      </c>
      <c r="M1221" s="6">
        <f ca="1"/>
        <v>6.4285714285714235</v>
      </c>
      <c r="N1221" s="6">
        <f ca="1"/>
        <v>-2.142857142857113E-2</v>
      </c>
      <c r="O1221" s="6">
        <f t="shared" ca="1" si="182"/>
        <v>2.8571428571428044</v>
      </c>
      <c r="P1221" t="str">
        <f t="shared" si="183"/>
        <v>NA</v>
      </c>
      <c r="Q1221" s="10">
        <f t="shared" ca="1" si="184"/>
        <v>0.71428571428569221</v>
      </c>
      <c r="R1221" s="10">
        <f t="shared" ca="1" si="185"/>
        <v>8.2142857142855874</v>
      </c>
      <c r="S1221" s="10">
        <f t="shared" ca="1" si="186"/>
        <v>-7.4999999999998952</v>
      </c>
      <c r="T1221" s="10">
        <f t="shared" ca="1" si="187"/>
        <v>350</v>
      </c>
      <c r="U1221" s="10">
        <f t="shared" ca="1" si="188"/>
        <v>350</v>
      </c>
      <c r="V1221">
        <f t="shared" si="189"/>
        <v>6</v>
      </c>
    </row>
    <row r="1222" spans="1:22" x14ac:dyDescent="0.25">
      <c r="A1222">
        <v>136</v>
      </c>
      <c r="B1222">
        <v>6</v>
      </c>
      <c r="C1222">
        <v>0</v>
      </c>
      <c r="D1222">
        <v>1</v>
      </c>
      <c r="E1222">
        <v>0</v>
      </c>
      <c r="F1222">
        <v>1</v>
      </c>
      <c r="G1222">
        <v>1</v>
      </c>
      <c r="H1222">
        <v>350</v>
      </c>
      <c r="I1222">
        <f t="shared" si="181"/>
        <v>1215</v>
      </c>
      <c r="J1222" s="6">
        <f t="array" aca="1" ref="J1222:N1222" ca="1">TRANSPOSE(ols(OFFSET($C$2:$C$10,I1222,0),OFFSET($D$2:$H$10,I1222,0)))</f>
        <v>14.64285714285694</v>
      </c>
      <c r="K1222" s="6">
        <f ca="1"/>
        <v>-5.7142857142856656</v>
      </c>
      <c r="L1222" s="6">
        <f ca="1"/>
        <v>-12.857142857142776</v>
      </c>
      <c r="M1222" s="6">
        <f ca="1"/>
        <v>6.4285714285714235</v>
      </c>
      <c r="N1222" s="6">
        <f ca="1"/>
        <v>-2.142857142857113E-2</v>
      </c>
      <c r="O1222" s="6">
        <f t="shared" ca="1" si="182"/>
        <v>0.71428571428569221</v>
      </c>
      <c r="P1222">
        <f t="shared" ca="1" si="183"/>
        <v>0.71428571428569221</v>
      </c>
      <c r="Q1222" s="10">
        <f t="shared" ca="1" si="184"/>
        <v>0.71428571428569221</v>
      </c>
      <c r="R1222" s="10">
        <f t="shared" ca="1" si="185"/>
        <v>8.2142857142855874</v>
      </c>
      <c r="S1222" s="10">
        <f t="shared" ca="1" si="186"/>
        <v>-7.4999999999998952</v>
      </c>
      <c r="T1222" s="10">
        <f t="shared" ca="1" si="187"/>
        <v>350</v>
      </c>
      <c r="U1222" s="10">
        <f t="shared" ca="1" si="188"/>
        <v>350</v>
      </c>
      <c r="V1222">
        <f t="shared" si="189"/>
        <v>6</v>
      </c>
    </row>
    <row r="1223" spans="1:22" x14ac:dyDescent="0.25">
      <c r="A1223">
        <v>136</v>
      </c>
      <c r="B1223">
        <v>7</v>
      </c>
      <c r="C1223">
        <v>10</v>
      </c>
      <c r="D1223">
        <v>1</v>
      </c>
      <c r="E1223">
        <v>1</v>
      </c>
      <c r="F1223">
        <v>0</v>
      </c>
      <c r="G1223">
        <v>1</v>
      </c>
      <c r="H1223">
        <v>450</v>
      </c>
      <c r="I1223">
        <f t="shared" si="181"/>
        <v>1215</v>
      </c>
      <c r="J1223" s="6">
        <f t="array" aca="1" ref="J1223:N1223" ca="1">TRANSPOSE(ols(OFFSET($C$2:$C$10,I1223,0),OFFSET($D$2:$H$10,I1223,0)))</f>
        <v>14.64285714285694</v>
      </c>
      <c r="K1223" s="6">
        <f ca="1"/>
        <v>-5.7142857142856656</v>
      </c>
      <c r="L1223" s="6">
        <f ca="1"/>
        <v>-12.857142857142776</v>
      </c>
      <c r="M1223" s="6">
        <f ca="1"/>
        <v>6.4285714285714235</v>
      </c>
      <c r="N1223" s="6">
        <f ca="1"/>
        <v>-2.142857142857113E-2</v>
      </c>
      <c r="O1223" s="6">
        <f t="shared" ca="1" si="182"/>
        <v>5.7142857142856887</v>
      </c>
      <c r="P1223" t="str">
        <f t="shared" si="183"/>
        <v>NA</v>
      </c>
      <c r="Q1223" s="10">
        <f t="shared" ca="1" si="184"/>
        <v>0.71428571428569221</v>
      </c>
      <c r="R1223" s="10">
        <f t="shared" ca="1" si="185"/>
        <v>15.357142857142698</v>
      </c>
      <c r="S1223" s="10">
        <f t="shared" ca="1" si="186"/>
        <v>-14.642857142857006</v>
      </c>
      <c r="T1223" s="10">
        <f t="shared" ca="1" si="187"/>
        <v>683.33333333333644</v>
      </c>
      <c r="U1223" s="10" t="str">
        <f t="shared" ca="1" si="188"/>
        <v>OR</v>
      </c>
      <c r="V1223">
        <f t="shared" si="189"/>
        <v>5</v>
      </c>
    </row>
    <row r="1224" spans="1:22" x14ac:dyDescent="0.25">
      <c r="A1224">
        <v>136</v>
      </c>
      <c r="B1224">
        <v>8</v>
      </c>
      <c r="C1224">
        <v>0</v>
      </c>
      <c r="D1224">
        <v>1</v>
      </c>
      <c r="E1224">
        <v>1</v>
      </c>
      <c r="F1224">
        <v>0</v>
      </c>
      <c r="G1224">
        <v>1</v>
      </c>
      <c r="H1224">
        <v>550</v>
      </c>
      <c r="I1224">
        <f t="shared" si="181"/>
        <v>1215</v>
      </c>
      <c r="J1224" s="6">
        <f t="array" aca="1" ref="J1224:N1224" ca="1">TRANSPOSE(ols(OFFSET($C$2:$C$10,I1224,0),OFFSET($D$2:$H$10,I1224,0)))</f>
        <v>14.64285714285694</v>
      </c>
      <c r="K1224" s="6">
        <f ca="1"/>
        <v>-5.7142857142856656</v>
      </c>
      <c r="L1224" s="6">
        <f ca="1"/>
        <v>-12.857142857142776</v>
      </c>
      <c r="M1224" s="6">
        <f ca="1"/>
        <v>6.4285714285714235</v>
      </c>
      <c r="N1224" s="6">
        <f ca="1"/>
        <v>-2.142857142857113E-2</v>
      </c>
      <c r="O1224" s="6">
        <f t="shared" ca="1" si="182"/>
        <v>3.5714285714285765</v>
      </c>
      <c r="P1224" t="str">
        <f t="shared" si="183"/>
        <v>NA</v>
      </c>
      <c r="Q1224" s="10">
        <f t="shared" ca="1" si="184"/>
        <v>0.71428571428569221</v>
      </c>
      <c r="R1224" s="10">
        <f t="shared" ca="1" si="185"/>
        <v>15.357142857142698</v>
      </c>
      <c r="S1224" s="10">
        <f t="shared" ca="1" si="186"/>
        <v>-14.642857142857006</v>
      </c>
      <c r="T1224" s="10">
        <f t="shared" ca="1" si="187"/>
        <v>683.33333333333644</v>
      </c>
      <c r="U1224" s="10" t="str">
        <f t="shared" ca="1" si="188"/>
        <v>OR</v>
      </c>
      <c r="V1224">
        <f t="shared" si="189"/>
        <v>5</v>
      </c>
    </row>
    <row r="1225" spans="1:22" x14ac:dyDescent="0.25">
      <c r="A1225">
        <v>136</v>
      </c>
      <c r="B1225">
        <v>9</v>
      </c>
      <c r="C1225">
        <v>10</v>
      </c>
      <c r="D1225">
        <v>1</v>
      </c>
      <c r="E1225">
        <v>0</v>
      </c>
      <c r="F1225">
        <v>0</v>
      </c>
      <c r="G1225">
        <v>1</v>
      </c>
      <c r="H1225">
        <v>650</v>
      </c>
      <c r="I1225">
        <f t="shared" si="181"/>
        <v>1215</v>
      </c>
      <c r="J1225" s="6">
        <f t="array" aca="1" ref="J1225:N1225" ca="1">TRANSPOSE(ols(OFFSET($C$2:$C$10,I1225,0),OFFSET($D$2:$H$10,I1225,0)))</f>
        <v>14.64285714285694</v>
      </c>
      <c r="K1225" s="6">
        <f ca="1"/>
        <v>-5.7142857142856656</v>
      </c>
      <c r="L1225" s="6">
        <f ca="1"/>
        <v>-12.857142857142776</v>
      </c>
      <c r="M1225" s="6">
        <f ca="1"/>
        <v>6.4285714285714235</v>
      </c>
      <c r="N1225" s="6">
        <f ca="1"/>
        <v>-2.142857142857113E-2</v>
      </c>
      <c r="O1225" s="6">
        <f t="shared" ca="1" si="182"/>
        <v>7.1428571428571281</v>
      </c>
      <c r="P1225" t="str">
        <f t="shared" si="183"/>
        <v>NA</v>
      </c>
      <c r="Q1225" s="10">
        <f t="shared" ca="1" si="184"/>
        <v>0.71428571428569221</v>
      </c>
      <c r="R1225" s="10">
        <f t="shared" ca="1" si="185"/>
        <v>21.071428571428363</v>
      </c>
      <c r="S1225" s="10">
        <f t="shared" ca="1" si="186"/>
        <v>-20.357142857142669</v>
      </c>
      <c r="T1225" s="10">
        <f t="shared" ca="1" si="187"/>
        <v>950.00000000000443</v>
      </c>
      <c r="U1225" s="10" t="str">
        <f t="shared" ca="1" si="188"/>
        <v>OR</v>
      </c>
      <c r="V1225">
        <f t="shared" si="189"/>
        <v>4</v>
      </c>
    </row>
    <row r="1226" spans="1:22" x14ac:dyDescent="0.25">
      <c r="A1226">
        <v>137</v>
      </c>
      <c r="B1226">
        <v>1</v>
      </c>
      <c r="C1226">
        <v>100</v>
      </c>
      <c r="D1226">
        <v>1</v>
      </c>
      <c r="E1226">
        <v>0</v>
      </c>
      <c r="F1226">
        <v>1</v>
      </c>
      <c r="G1226">
        <v>0</v>
      </c>
      <c r="H1226">
        <v>250</v>
      </c>
      <c r="I1226">
        <f t="shared" si="181"/>
        <v>1224</v>
      </c>
      <c r="J1226" s="6">
        <f t="array" aca="1" ref="J1226:N1226" ca="1">TRANSPOSE(ols(OFFSET($C$2:$C$10,I1226,0),OFFSET($D$2:$H$10,I1226,0)))</f>
        <v>178.27380952380554</v>
      </c>
      <c r="K1226" s="6">
        <f ca="1"/>
        <v>-1.7857142857139934</v>
      </c>
      <c r="L1226" s="6">
        <f ca="1"/>
        <v>-10.476190476189913</v>
      </c>
      <c r="M1226" s="6">
        <f ca="1"/>
        <v>12.738095238095411</v>
      </c>
      <c r="N1226" s="6">
        <f ca="1"/>
        <v>-0.28690476190475778</v>
      </c>
      <c r="O1226" s="6">
        <f t="shared" ca="1" si="182"/>
        <v>96.071428571426182</v>
      </c>
      <c r="P1226" t="str">
        <f t="shared" si="183"/>
        <v>NA</v>
      </c>
      <c r="Q1226" s="10">
        <f t="shared" ca="1" si="184"/>
        <v>80.119047619045816</v>
      </c>
      <c r="R1226" s="10">
        <f t="shared" ca="1" si="185"/>
        <v>167.79761904761563</v>
      </c>
      <c r="S1226" s="10">
        <f t="shared" ca="1" si="186"/>
        <v>-87.678571428569811</v>
      </c>
      <c r="T1226" s="10">
        <f t="shared" ca="1" si="187"/>
        <v>305.6016597510361</v>
      </c>
      <c r="U1226" s="10">
        <f t="shared" ca="1" si="188"/>
        <v>305.6016597510361</v>
      </c>
      <c r="V1226">
        <f t="shared" si="189"/>
        <v>3</v>
      </c>
    </row>
    <row r="1227" spans="1:22" x14ac:dyDescent="0.25">
      <c r="A1227">
        <v>137</v>
      </c>
      <c r="B1227">
        <v>2</v>
      </c>
      <c r="C1227">
        <v>85</v>
      </c>
      <c r="D1227">
        <v>1</v>
      </c>
      <c r="E1227">
        <v>1</v>
      </c>
      <c r="F1227">
        <v>0</v>
      </c>
      <c r="G1227">
        <v>0</v>
      </c>
      <c r="H1227">
        <v>350</v>
      </c>
      <c r="I1227">
        <f t="shared" si="181"/>
        <v>1224</v>
      </c>
      <c r="J1227" s="6">
        <f t="array" aca="1" ref="J1227:N1227" ca="1">TRANSPOSE(ols(OFFSET($C$2:$C$10,I1227,0),OFFSET($D$2:$H$10,I1227,0)))</f>
        <v>178.27380952380554</v>
      </c>
      <c r="K1227" s="6">
        <f ca="1"/>
        <v>-1.7857142857139934</v>
      </c>
      <c r="L1227" s="6">
        <f ca="1"/>
        <v>-10.476190476189913</v>
      </c>
      <c r="M1227" s="6">
        <f ca="1"/>
        <v>12.738095238095411</v>
      </c>
      <c r="N1227" s="6">
        <f ca="1"/>
        <v>-0.28690476190475778</v>
      </c>
      <c r="O1227" s="6">
        <f t="shared" ca="1" si="182"/>
        <v>76.071428571426324</v>
      </c>
      <c r="P1227" t="str">
        <f t="shared" si="183"/>
        <v>NA</v>
      </c>
      <c r="Q1227" s="10">
        <f t="shared" ca="1" si="184"/>
        <v>80.119047619045816</v>
      </c>
      <c r="R1227" s="10">
        <f t="shared" ca="1" si="185"/>
        <v>176.48809523809155</v>
      </c>
      <c r="S1227" s="10">
        <f t="shared" ca="1" si="186"/>
        <v>-96.36904761904573</v>
      </c>
      <c r="T1227" s="10">
        <f t="shared" ca="1" si="187"/>
        <v>335.89211618257087</v>
      </c>
      <c r="U1227" s="10">
        <f t="shared" ca="1" si="188"/>
        <v>335.89211618257087</v>
      </c>
      <c r="V1227">
        <f t="shared" si="189"/>
        <v>2</v>
      </c>
    </row>
    <row r="1228" spans="1:22" x14ac:dyDescent="0.25">
      <c r="A1228">
        <v>137</v>
      </c>
      <c r="B1228">
        <v>3</v>
      </c>
      <c r="C1228">
        <v>40</v>
      </c>
      <c r="D1228">
        <v>1</v>
      </c>
      <c r="E1228">
        <v>1</v>
      </c>
      <c r="F1228">
        <v>0</v>
      </c>
      <c r="G1228">
        <v>0</v>
      </c>
      <c r="H1228">
        <v>450</v>
      </c>
      <c r="I1228">
        <f t="shared" ref="I1228:I1291" si="190">IF(A1228&gt;A1227,I1227+9,I1227)</f>
        <v>1224</v>
      </c>
      <c r="J1228" s="6">
        <f t="array" aca="1" ref="J1228:N1228" ca="1">TRANSPOSE(ols(OFFSET($C$2:$C$10,I1228,0),OFFSET($D$2:$H$10,I1228,0)))</f>
        <v>178.27380952380554</v>
      </c>
      <c r="K1228" s="6">
        <f ca="1"/>
        <v>-1.7857142857139934</v>
      </c>
      <c r="L1228" s="6">
        <f ca="1"/>
        <v>-10.476190476189913</v>
      </c>
      <c r="M1228" s="6">
        <f ca="1"/>
        <v>12.738095238095411</v>
      </c>
      <c r="N1228" s="6">
        <f ca="1"/>
        <v>-0.28690476190475778</v>
      </c>
      <c r="O1228" s="6">
        <f t="shared" ca="1" si="182"/>
        <v>47.380952380950532</v>
      </c>
      <c r="P1228" t="str">
        <f t="shared" si="183"/>
        <v>NA</v>
      </c>
      <c r="Q1228" s="10">
        <f t="shared" ca="1" si="184"/>
        <v>80.119047619045816</v>
      </c>
      <c r="R1228" s="10">
        <f t="shared" ca="1" si="185"/>
        <v>176.48809523809155</v>
      </c>
      <c r="S1228" s="10">
        <f t="shared" ca="1" si="186"/>
        <v>-96.36904761904573</v>
      </c>
      <c r="T1228" s="10">
        <f t="shared" ca="1" si="187"/>
        <v>335.89211618257087</v>
      </c>
      <c r="U1228" s="10">
        <f t="shared" ca="1" si="188"/>
        <v>335.89211618257087</v>
      </c>
      <c r="V1228">
        <f t="shared" si="189"/>
        <v>2</v>
      </c>
    </row>
    <row r="1229" spans="1:22" x14ac:dyDescent="0.25">
      <c r="A1229">
        <v>137</v>
      </c>
      <c r="B1229">
        <v>4</v>
      </c>
      <c r="C1229">
        <v>15</v>
      </c>
      <c r="D1229">
        <v>1</v>
      </c>
      <c r="E1229">
        <v>0</v>
      </c>
      <c r="F1229">
        <v>0</v>
      </c>
      <c r="G1229">
        <v>0</v>
      </c>
      <c r="H1229">
        <v>550</v>
      </c>
      <c r="I1229">
        <f t="shared" si="190"/>
        <v>1224</v>
      </c>
      <c r="J1229" s="6">
        <f t="array" aca="1" ref="J1229:N1229" ca="1">TRANSPOSE(ols(OFFSET($C$2:$C$10,I1229,0),OFFSET($D$2:$H$10,I1229,0)))</f>
        <v>178.27380952380554</v>
      </c>
      <c r="K1229" s="6">
        <f ca="1"/>
        <v>-1.7857142857139934</v>
      </c>
      <c r="L1229" s="6">
        <f ca="1"/>
        <v>-10.476190476189913</v>
      </c>
      <c r="M1229" s="6">
        <f ca="1"/>
        <v>12.738095238095411</v>
      </c>
      <c r="N1229" s="6">
        <f ca="1"/>
        <v>-0.28690476190475778</v>
      </c>
      <c r="O1229" s="6">
        <f t="shared" ca="1" si="182"/>
        <v>20.476190476188776</v>
      </c>
      <c r="P1229" t="str">
        <f t="shared" si="183"/>
        <v>NA</v>
      </c>
      <c r="Q1229" s="10">
        <f t="shared" ca="1" si="184"/>
        <v>80.119047619045816</v>
      </c>
      <c r="R1229" s="10">
        <f t="shared" ca="1" si="185"/>
        <v>178.27380952380554</v>
      </c>
      <c r="S1229" s="10">
        <f t="shared" ca="1" si="186"/>
        <v>-98.154761904759724</v>
      </c>
      <c r="T1229" s="10">
        <f t="shared" ca="1" si="187"/>
        <v>342.11618257261142</v>
      </c>
      <c r="U1229" s="10">
        <f t="shared" ca="1" si="188"/>
        <v>342.11618257261142</v>
      </c>
      <c r="V1229">
        <f t="shared" si="189"/>
        <v>1</v>
      </c>
    </row>
    <row r="1230" spans="1:22" x14ac:dyDescent="0.25">
      <c r="A1230">
        <v>137</v>
      </c>
      <c r="B1230">
        <v>5</v>
      </c>
      <c r="C1230">
        <v>100</v>
      </c>
      <c r="D1230">
        <v>1</v>
      </c>
      <c r="E1230">
        <v>0</v>
      </c>
      <c r="F1230">
        <v>1</v>
      </c>
      <c r="G1230">
        <v>1</v>
      </c>
      <c r="H1230">
        <v>250</v>
      </c>
      <c r="I1230">
        <f t="shared" si="190"/>
        <v>1224</v>
      </c>
      <c r="J1230" s="6">
        <f t="array" aca="1" ref="J1230:N1230" ca="1">TRANSPOSE(ols(OFFSET($C$2:$C$10,I1230,0),OFFSET($D$2:$H$10,I1230,0)))</f>
        <v>178.27380952380554</v>
      </c>
      <c r="K1230" s="6">
        <f ca="1"/>
        <v>-1.7857142857139934</v>
      </c>
      <c r="L1230" s="6">
        <f ca="1"/>
        <v>-10.476190476189913</v>
      </c>
      <c r="M1230" s="6">
        <f ca="1"/>
        <v>12.738095238095411</v>
      </c>
      <c r="N1230" s="6">
        <f ca="1"/>
        <v>-0.28690476190475778</v>
      </c>
      <c r="O1230" s="6">
        <f t="shared" ca="1" si="182"/>
        <v>108.80952380952159</v>
      </c>
      <c r="P1230" t="str">
        <f t="shared" si="183"/>
        <v>NA</v>
      </c>
      <c r="Q1230" s="10">
        <f t="shared" ca="1" si="184"/>
        <v>80.119047619045816</v>
      </c>
      <c r="R1230" s="10">
        <f t="shared" ca="1" si="185"/>
        <v>180.53571428571104</v>
      </c>
      <c r="S1230" s="10">
        <f t="shared" ca="1" si="186"/>
        <v>-100.41666666666522</v>
      </c>
      <c r="T1230" s="10">
        <f t="shared" ca="1" si="187"/>
        <v>350</v>
      </c>
      <c r="U1230" s="10">
        <f t="shared" ca="1" si="188"/>
        <v>350</v>
      </c>
      <c r="V1230">
        <f t="shared" si="189"/>
        <v>6</v>
      </c>
    </row>
    <row r="1231" spans="1:22" x14ac:dyDescent="0.25">
      <c r="A1231">
        <v>137</v>
      </c>
      <c r="B1231">
        <v>6</v>
      </c>
      <c r="C1231">
        <v>85</v>
      </c>
      <c r="D1231">
        <v>1</v>
      </c>
      <c r="E1231">
        <v>0</v>
      </c>
      <c r="F1231">
        <v>1</v>
      </c>
      <c r="G1231">
        <v>1</v>
      </c>
      <c r="H1231">
        <v>350</v>
      </c>
      <c r="I1231">
        <f t="shared" si="190"/>
        <v>1224</v>
      </c>
      <c r="J1231" s="6">
        <f t="array" aca="1" ref="J1231:N1231" ca="1">TRANSPOSE(ols(OFFSET($C$2:$C$10,I1231,0),OFFSET($D$2:$H$10,I1231,0)))</f>
        <v>178.27380952380554</v>
      </c>
      <c r="K1231" s="6">
        <f ca="1"/>
        <v>-1.7857142857139934</v>
      </c>
      <c r="L1231" s="6">
        <f ca="1"/>
        <v>-10.476190476189913</v>
      </c>
      <c r="M1231" s="6">
        <f ca="1"/>
        <v>12.738095238095411</v>
      </c>
      <c r="N1231" s="6">
        <f ca="1"/>
        <v>-0.28690476190475778</v>
      </c>
      <c r="O1231" s="6">
        <f t="shared" ca="1" si="182"/>
        <v>80.119047619045816</v>
      </c>
      <c r="P1231">
        <f t="shared" ca="1" si="183"/>
        <v>80.119047619045816</v>
      </c>
      <c r="Q1231" s="10">
        <f t="shared" ca="1" si="184"/>
        <v>80.119047619045816</v>
      </c>
      <c r="R1231" s="10">
        <f t="shared" ca="1" si="185"/>
        <v>180.53571428571104</v>
      </c>
      <c r="S1231" s="10">
        <f t="shared" ca="1" si="186"/>
        <v>-100.41666666666522</v>
      </c>
      <c r="T1231" s="10">
        <f t="shared" ca="1" si="187"/>
        <v>350</v>
      </c>
      <c r="U1231" s="10">
        <f t="shared" ca="1" si="188"/>
        <v>350</v>
      </c>
      <c r="V1231">
        <f t="shared" si="189"/>
        <v>6</v>
      </c>
    </row>
    <row r="1232" spans="1:22" x14ac:dyDescent="0.25">
      <c r="A1232">
        <v>137</v>
      </c>
      <c r="B1232">
        <v>7</v>
      </c>
      <c r="C1232">
        <v>60</v>
      </c>
      <c r="D1232">
        <v>1</v>
      </c>
      <c r="E1232">
        <v>1</v>
      </c>
      <c r="F1232">
        <v>0</v>
      </c>
      <c r="G1232">
        <v>1</v>
      </c>
      <c r="H1232">
        <v>450</v>
      </c>
      <c r="I1232">
        <f t="shared" si="190"/>
        <v>1224</v>
      </c>
      <c r="J1232" s="6">
        <f t="array" aca="1" ref="J1232:N1232" ca="1">TRANSPOSE(ols(OFFSET($C$2:$C$10,I1232,0),OFFSET($D$2:$H$10,I1232,0)))</f>
        <v>178.27380952380554</v>
      </c>
      <c r="K1232" s="6">
        <f ca="1"/>
        <v>-1.7857142857139934</v>
      </c>
      <c r="L1232" s="6">
        <f ca="1"/>
        <v>-10.476190476189913</v>
      </c>
      <c r="M1232" s="6">
        <f ca="1"/>
        <v>12.738095238095411</v>
      </c>
      <c r="N1232" s="6">
        <f ca="1"/>
        <v>-0.28690476190475778</v>
      </c>
      <c r="O1232" s="6">
        <f t="shared" ca="1" si="182"/>
        <v>60.119047619045944</v>
      </c>
      <c r="P1232" t="str">
        <f t="shared" si="183"/>
        <v>NA</v>
      </c>
      <c r="Q1232" s="10">
        <f t="shared" ca="1" si="184"/>
        <v>80.119047619045816</v>
      </c>
      <c r="R1232" s="10">
        <f t="shared" ca="1" si="185"/>
        <v>189.22619047618696</v>
      </c>
      <c r="S1232" s="10">
        <f t="shared" ca="1" si="186"/>
        <v>-109.10714285714114</v>
      </c>
      <c r="T1232" s="10">
        <f t="shared" ca="1" si="187"/>
        <v>380.29045643153478</v>
      </c>
      <c r="U1232" s="10">
        <f t="shared" ca="1" si="188"/>
        <v>380.29045643153478</v>
      </c>
      <c r="V1232">
        <f t="shared" si="189"/>
        <v>5</v>
      </c>
    </row>
    <row r="1233" spans="1:22" x14ac:dyDescent="0.25">
      <c r="A1233">
        <v>137</v>
      </c>
      <c r="B1233">
        <v>8</v>
      </c>
      <c r="C1233">
        <v>30</v>
      </c>
      <c r="D1233">
        <v>1</v>
      </c>
      <c r="E1233">
        <v>1</v>
      </c>
      <c r="F1233">
        <v>0</v>
      </c>
      <c r="G1233">
        <v>1</v>
      </c>
      <c r="H1233">
        <v>550</v>
      </c>
      <c r="I1233">
        <f t="shared" si="190"/>
        <v>1224</v>
      </c>
      <c r="J1233" s="6">
        <f t="array" aca="1" ref="J1233:N1233" ca="1">TRANSPOSE(ols(OFFSET($C$2:$C$10,I1233,0),OFFSET($D$2:$H$10,I1233,0)))</f>
        <v>178.27380952380554</v>
      </c>
      <c r="K1233" s="6">
        <f ca="1"/>
        <v>-1.7857142857139934</v>
      </c>
      <c r="L1233" s="6">
        <f ca="1"/>
        <v>-10.476190476189913</v>
      </c>
      <c r="M1233" s="6">
        <f ca="1"/>
        <v>12.738095238095411</v>
      </c>
      <c r="N1233" s="6">
        <f ca="1"/>
        <v>-0.28690476190475778</v>
      </c>
      <c r="O1233" s="6">
        <f t="shared" ca="1" si="182"/>
        <v>31.428571428570194</v>
      </c>
      <c r="P1233" t="str">
        <f t="shared" si="183"/>
        <v>NA</v>
      </c>
      <c r="Q1233" s="10">
        <f t="shared" ca="1" si="184"/>
        <v>80.119047619045816</v>
      </c>
      <c r="R1233" s="10">
        <f t="shared" ca="1" si="185"/>
        <v>189.22619047618696</v>
      </c>
      <c r="S1233" s="10">
        <f t="shared" ca="1" si="186"/>
        <v>-109.10714285714114</v>
      </c>
      <c r="T1233" s="10">
        <f t="shared" ca="1" si="187"/>
        <v>380.29045643153478</v>
      </c>
      <c r="U1233" s="10">
        <f t="shared" ca="1" si="188"/>
        <v>380.29045643153478</v>
      </c>
      <c r="V1233">
        <f t="shared" si="189"/>
        <v>5</v>
      </c>
    </row>
    <row r="1234" spans="1:22" x14ac:dyDescent="0.25">
      <c r="A1234">
        <v>137</v>
      </c>
      <c r="B1234">
        <v>9</v>
      </c>
      <c r="C1234">
        <v>10</v>
      </c>
      <c r="D1234">
        <v>1</v>
      </c>
      <c r="E1234">
        <v>0</v>
      </c>
      <c r="F1234">
        <v>0</v>
      </c>
      <c r="G1234">
        <v>1</v>
      </c>
      <c r="H1234">
        <v>650</v>
      </c>
      <c r="I1234">
        <f t="shared" si="190"/>
        <v>1224</v>
      </c>
      <c r="J1234" s="6">
        <f t="array" aca="1" ref="J1234:N1234" ca="1">TRANSPOSE(ols(OFFSET($C$2:$C$10,I1234,0),OFFSET($D$2:$H$10,I1234,0)))</f>
        <v>178.27380952380554</v>
      </c>
      <c r="K1234" s="6">
        <f ca="1"/>
        <v>-1.7857142857139934</v>
      </c>
      <c r="L1234" s="6">
        <f ca="1"/>
        <v>-10.476190476189913</v>
      </c>
      <c r="M1234" s="6">
        <f ca="1"/>
        <v>12.738095238095411</v>
      </c>
      <c r="N1234" s="6">
        <f ca="1"/>
        <v>-0.28690476190475778</v>
      </c>
      <c r="O1234" s="6">
        <f t="shared" ca="1" si="182"/>
        <v>4.5238095238083815</v>
      </c>
      <c r="P1234" t="str">
        <f t="shared" si="183"/>
        <v>NA</v>
      </c>
      <c r="Q1234" s="10">
        <f t="shared" ca="1" si="184"/>
        <v>80.119047619045816</v>
      </c>
      <c r="R1234" s="10">
        <f t="shared" ca="1" si="185"/>
        <v>191.01190476190095</v>
      </c>
      <c r="S1234" s="10">
        <f t="shared" ca="1" si="186"/>
        <v>-110.89285714285514</v>
      </c>
      <c r="T1234" s="10">
        <f t="shared" ca="1" si="187"/>
        <v>386.51452282157533</v>
      </c>
      <c r="U1234" s="10">
        <f t="shared" ca="1" si="188"/>
        <v>386.51452282157533</v>
      </c>
      <c r="V1234">
        <f t="shared" si="189"/>
        <v>4</v>
      </c>
    </row>
    <row r="1235" spans="1:22" x14ac:dyDescent="0.25">
      <c r="A1235">
        <v>138</v>
      </c>
      <c r="B1235">
        <v>1</v>
      </c>
      <c r="C1235">
        <v>0</v>
      </c>
      <c r="D1235">
        <v>1</v>
      </c>
      <c r="E1235">
        <v>0</v>
      </c>
      <c r="F1235">
        <v>1</v>
      </c>
      <c r="G1235">
        <v>0</v>
      </c>
      <c r="H1235">
        <v>250</v>
      </c>
      <c r="I1235">
        <f t="shared" si="190"/>
        <v>1233</v>
      </c>
      <c r="J1235" s="6">
        <f t="array" aca="1" ref="J1235:N1235" ca="1">TRANSPOSE(ols(OFFSET($C$2:$C$10,I1235,0),OFFSET($D$2:$H$10,I1235,0)))</f>
        <v>152.32142857142571</v>
      </c>
      <c r="K1235" s="6">
        <f ca="1"/>
        <v>-27.857142857142208</v>
      </c>
      <c r="L1235" s="6">
        <f ca="1"/>
        <v>-56.42857142856974</v>
      </c>
      <c r="M1235" s="6">
        <f ca="1"/>
        <v>68.214285714285381</v>
      </c>
      <c r="N1235" s="6">
        <f ca="1"/>
        <v>-0.3107142857142815</v>
      </c>
      <c r="O1235" s="6">
        <f t="shared" ca="1" si="182"/>
        <v>18.214285714285595</v>
      </c>
      <c r="P1235" t="str">
        <f t="shared" si="183"/>
        <v>NA</v>
      </c>
      <c r="Q1235" s="10">
        <f t="shared" ca="1" si="184"/>
        <v>55.357142857142833</v>
      </c>
      <c r="R1235" s="10">
        <f t="shared" ca="1" si="185"/>
        <v>95.892857142855974</v>
      </c>
      <c r="S1235" s="10">
        <f t="shared" ca="1" si="186"/>
        <v>-40.535714285713141</v>
      </c>
      <c r="T1235" s="10">
        <f t="shared" ca="1" si="187"/>
        <v>130.45977011494062</v>
      </c>
      <c r="U1235" s="10" t="str">
        <f t="shared" ca="1" si="188"/>
        <v>OR</v>
      </c>
      <c r="V1235">
        <f t="shared" si="189"/>
        <v>3</v>
      </c>
    </row>
    <row r="1236" spans="1:22" x14ac:dyDescent="0.25">
      <c r="A1236">
        <v>138</v>
      </c>
      <c r="B1236">
        <v>2</v>
      </c>
      <c r="C1236">
        <v>0</v>
      </c>
      <c r="D1236">
        <v>1</v>
      </c>
      <c r="E1236">
        <v>1</v>
      </c>
      <c r="F1236">
        <v>0</v>
      </c>
      <c r="G1236">
        <v>0</v>
      </c>
      <c r="H1236">
        <v>350</v>
      </c>
      <c r="I1236">
        <f t="shared" si="190"/>
        <v>1233</v>
      </c>
      <c r="J1236" s="6">
        <f t="array" aca="1" ref="J1236:N1236" ca="1">TRANSPOSE(ols(OFFSET($C$2:$C$10,I1236,0),OFFSET($D$2:$H$10,I1236,0)))</f>
        <v>152.32142857142571</v>
      </c>
      <c r="K1236" s="6">
        <f ca="1"/>
        <v>-27.857142857142208</v>
      </c>
      <c r="L1236" s="6">
        <f ca="1"/>
        <v>-56.42857142856974</v>
      </c>
      <c r="M1236" s="6">
        <f ca="1"/>
        <v>68.214285714285381</v>
      </c>
      <c r="N1236" s="6">
        <f ca="1"/>
        <v>-0.3107142857142815</v>
      </c>
      <c r="O1236" s="6">
        <f t="shared" ca="1" si="182"/>
        <v>15.714285714284983</v>
      </c>
      <c r="P1236" t="str">
        <f t="shared" si="183"/>
        <v>NA</v>
      </c>
      <c r="Q1236" s="10">
        <f t="shared" ca="1" si="184"/>
        <v>55.357142857142833</v>
      </c>
      <c r="R1236" s="10">
        <f t="shared" ca="1" si="185"/>
        <v>124.46428571428351</v>
      </c>
      <c r="S1236" s="10">
        <f t="shared" ca="1" si="186"/>
        <v>-69.107142857140673</v>
      </c>
      <c r="T1236" s="10">
        <f t="shared" ca="1" si="187"/>
        <v>222.41379310344425</v>
      </c>
      <c r="U1236" s="10" t="str">
        <f t="shared" ca="1" si="188"/>
        <v>OR</v>
      </c>
      <c r="V1236">
        <f t="shared" si="189"/>
        <v>2</v>
      </c>
    </row>
    <row r="1237" spans="1:22" x14ac:dyDescent="0.25">
      <c r="A1237">
        <v>138</v>
      </c>
      <c r="B1237">
        <v>3</v>
      </c>
      <c r="C1237">
        <v>0</v>
      </c>
      <c r="D1237">
        <v>1</v>
      </c>
      <c r="E1237">
        <v>1</v>
      </c>
      <c r="F1237">
        <v>0</v>
      </c>
      <c r="G1237">
        <v>0</v>
      </c>
      <c r="H1237">
        <v>450</v>
      </c>
      <c r="I1237">
        <f t="shared" si="190"/>
        <v>1233</v>
      </c>
      <c r="J1237" s="6">
        <f t="array" aca="1" ref="J1237:N1237" ca="1">TRANSPOSE(ols(OFFSET($C$2:$C$10,I1237,0),OFFSET($D$2:$H$10,I1237,0)))</f>
        <v>152.32142857142571</v>
      </c>
      <c r="K1237" s="6">
        <f ca="1"/>
        <v>-27.857142857142208</v>
      </c>
      <c r="L1237" s="6">
        <f ca="1"/>
        <v>-56.42857142856974</v>
      </c>
      <c r="M1237" s="6">
        <f ca="1"/>
        <v>68.214285714285381</v>
      </c>
      <c r="N1237" s="6">
        <f ca="1"/>
        <v>-0.3107142857142815</v>
      </c>
      <c r="O1237" s="6">
        <f t="shared" ca="1" si="182"/>
        <v>-15.357142857143174</v>
      </c>
      <c r="P1237" t="str">
        <f t="shared" si="183"/>
        <v>NA</v>
      </c>
      <c r="Q1237" s="10">
        <f t="shared" ca="1" si="184"/>
        <v>55.357142857142833</v>
      </c>
      <c r="R1237" s="10">
        <f t="shared" ca="1" si="185"/>
        <v>124.46428571428351</v>
      </c>
      <c r="S1237" s="10">
        <f t="shared" ca="1" si="186"/>
        <v>-69.107142857140673</v>
      </c>
      <c r="T1237" s="10">
        <f t="shared" ca="1" si="187"/>
        <v>222.41379310344425</v>
      </c>
      <c r="U1237" s="10" t="str">
        <f t="shared" ca="1" si="188"/>
        <v>OR</v>
      </c>
      <c r="V1237">
        <f t="shared" si="189"/>
        <v>2</v>
      </c>
    </row>
    <row r="1238" spans="1:22" x14ac:dyDescent="0.25">
      <c r="A1238">
        <v>138</v>
      </c>
      <c r="B1238">
        <v>4</v>
      </c>
      <c r="C1238">
        <v>0</v>
      </c>
      <c r="D1238">
        <v>1</v>
      </c>
      <c r="E1238">
        <v>0</v>
      </c>
      <c r="F1238">
        <v>0</v>
      </c>
      <c r="G1238">
        <v>0</v>
      </c>
      <c r="H1238">
        <v>550</v>
      </c>
      <c r="I1238">
        <f t="shared" si="190"/>
        <v>1233</v>
      </c>
      <c r="J1238" s="6">
        <f t="array" aca="1" ref="J1238:N1238" ca="1">TRANSPOSE(ols(OFFSET($C$2:$C$10,I1238,0),OFFSET($D$2:$H$10,I1238,0)))</f>
        <v>152.32142857142571</v>
      </c>
      <c r="K1238" s="6">
        <f ca="1"/>
        <v>-27.857142857142208</v>
      </c>
      <c r="L1238" s="6">
        <f ca="1"/>
        <v>-56.42857142856974</v>
      </c>
      <c r="M1238" s="6">
        <f ca="1"/>
        <v>68.214285714285381</v>
      </c>
      <c r="N1238" s="6">
        <f ca="1"/>
        <v>-0.3107142857142815</v>
      </c>
      <c r="O1238" s="6">
        <f t="shared" ca="1" si="182"/>
        <v>-18.571428571429124</v>
      </c>
      <c r="P1238" t="str">
        <f t="shared" si="183"/>
        <v>NA</v>
      </c>
      <c r="Q1238" s="10">
        <f t="shared" ca="1" si="184"/>
        <v>55.357142857142833</v>
      </c>
      <c r="R1238" s="10">
        <f t="shared" ca="1" si="185"/>
        <v>152.32142857142571</v>
      </c>
      <c r="S1238" s="10">
        <f t="shared" ca="1" si="186"/>
        <v>-96.96428571428288</v>
      </c>
      <c r="T1238" s="10">
        <f t="shared" ca="1" si="187"/>
        <v>312.06896551723651</v>
      </c>
      <c r="U1238" s="10">
        <f t="shared" ca="1" si="188"/>
        <v>312.06896551723651</v>
      </c>
      <c r="V1238">
        <f t="shared" si="189"/>
        <v>1</v>
      </c>
    </row>
    <row r="1239" spans="1:22" x14ac:dyDescent="0.25">
      <c r="A1239">
        <v>138</v>
      </c>
      <c r="B1239">
        <v>5</v>
      </c>
      <c r="C1239">
        <v>80</v>
      </c>
      <c r="D1239">
        <v>1</v>
      </c>
      <c r="E1239">
        <v>0</v>
      </c>
      <c r="F1239">
        <v>1</v>
      </c>
      <c r="G1239">
        <v>1</v>
      </c>
      <c r="H1239">
        <v>250</v>
      </c>
      <c r="I1239">
        <f t="shared" si="190"/>
        <v>1233</v>
      </c>
      <c r="J1239" s="6">
        <f t="array" aca="1" ref="J1239:N1239" ca="1">TRANSPOSE(ols(OFFSET($C$2:$C$10,I1239,0),OFFSET($D$2:$H$10,I1239,0)))</f>
        <v>152.32142857142571</v>
      </c>
      <c r="K1239" s="6">
        <f ca="1"/>
        <v>-27.857142857142208</v>
      </c>
      <c r="L1239" s="6">
        <f ca="1"/>
        <v>-56.42857142856974</v>
      </c>
      <c r="M1239" s="6">
        <f ca="1"/>
        <v>68.214285714285381</v>
      </c>
      <c r="N1239" s="6">
        <f ca="1"/>
        <v>-0.3107142857142815</v>
      </c>
      <c r="O1239" s="6">
        <f t="shared" ca="1" si="182"/>
        <v>86.428571428570976</v>
      </c>
      <c r="P1239" t="str">
        <f t="shared" si="183"/>
        <v>NA</v>
      </c>
      <c r="Q1239" s="10">
        <f t="shared" ca="1" si="184"/>
        <v>55.357142857142833</v>
      </c>
      <c r="R1239" s="10">
        <f t="shared" ca="1" si="185"/>
        <v>164.10714285714135</v>
      </c>
      <c r="S1239" s="10">
        <f t="shared" ca="1" si="186"/>
        <v>-108.74999999999852</v>
      </c>
      <c r="T1239" s="10">
        <f t="shared" ca="1" si="187"/>
        <v>350</v>
      </c>
      <c r="U1239" s="10">
        <f t="shared" ca="1" si="188"/>
        <v>350</v>
      </c>
      <c r="V1239">
        <f t="shared" si="189"/>
        <v>6</v>
      </c>
    </row>
    <row r="1240" spans="1:22" x14ac:dyDescent="0.25">
      <c r="A1240">
        <v>138</v>
      </c>
      <c r="B1240">
        <v>6</v>
      </c>
      <c r="C1240">
        <v>80</v>
      </c>
      <c r="D1240">
        <v>1</v>
      </c>
      <c r="E1240">
        <v>0</v>
      </c>
      <c r="F1240">
        <v>1</v>
      </c>
      <c r="G1240">
        <v>1</v>
      </c>
      <c r="H1240">
        <v>350</v>
      </c>
      <c r="I1240">
        <f t="shared" si="190"/>
        <v>1233</v>
      </c>
      <c r="J1240" s="6">
        <f t="array" aca="1" ref="J1240:N1240" ca="1">TRANSPOSE(ols(OFFSET($C$2:$C$10,I1240,0),OFFSET($D$2:$H$10,I1240,0)))</f>
        <v>152.32142857142571</v>
      </c>
      <c r="K1240" s="6">
        <f ca="1"/>
        <v>-27.857142857142208</v>
      </c>
      <c r="L1240" s="6">
        <f ca="1"/>
        <v>-56.42857142856974</v>
      </c>
      <c r="M1240" s="6">
        <f ca="1"/>
        <v>68.214285714285381</v>
      </c>
      <c r="N1240" s="6">
        <f ca="1"/>
        <v>-0.3107142857142815</v>
      </c>
      <c r="O1240" s="6">
        <f t="shared" ca="1" si="182"/>
        <v>55.357142857142833</v>
      </c>
      <c r="P1240">
        <f t="shared" ca="1" si="183"/>
        <v>55.357142857142833</v>
      </c>
      <c r="Q1240" s="10">
        <f t="shared" ca="1" si="184"/>
        <v>55.357142857142833</v>
      </c>
      <c r="R1240" s="10">
        <f t="shared" ca="1" si="185"/>
        <v>164.10714285714135</v>
      </c>
      <c r="S1240" s="10">
        <f t="shared" ca="1" si="186"/>
        <v>-108.74999999999852</v>
      </c>
      <c r="T1240" s="10">
        <f t="shared" ca="1" si="187"/>
        <v>350</v>
      </c>
      <c r="U1240" s="10">
        <f t="shared" ca="1" si="188"/>
        <v>350</v>
      </c>
      <c r="V1240">
        <f t="shared" si="189"/>
        <v>6</v>
      </c>
    </row>
    <row r="1241" spans="1:22" x14ac:dyDescent="0.25">
      <c r="A1241">
        <v>138</v>
      </c>
      <c r="B1241">
        <v>7</v>
      </c>
      <c r="C1241">
        <v>75</v>
      </c>
      <c r="D1241">
        <v>1</v>
      </c>
      <c r="E1241">
        <v>1</v>
      </c>
      <c r="F1241">
        <v>0</v>
      </c>
      <c r="G1241">
        <v>1</v>
      </c>
      <c r="H1241">
        <v>450</v>
      </c>
      <c r="I1241">
        <f t="shared" si="190"/>
        <v>1233</v>
      </c>
      <c r="J1241" s="6">
        <f t="array" aca="1" ref="J1241:N1241" ca="1">TRANSPOSE(ols(OFFSET($C$2:$C$10,I1241,0),OFFSET($D$2:$H$10,I1241,0)))</f>
        <v>152.32142857142571</v>
      </c>
      <c r="K1241" s="6">
        <f ca="1"/>
        <v>-27.857142857142208</v>
      </c>
      <c r="L1241" s="6">
        <f ca="1"/>
        <v>-56.42857142856974</v>
      </c>
      <c r="M1241" s="6">
        <f ca="1"/>
        <v>68.214285714285381</v>
      </c>
      <c r="N1241" s="6">
        <f ca="1"/>
        <v>-0.3107142857142815</v>
      </c>
      <c r="O1241" s="6">
        <f t="shared" ca="1" si="182"/>
        <v>52.857142857142208</v>
      </c>
      <c r="P1241" t="str">
        <f t="shared" si="183"/>
        <v>NA</v>
      </c>
      <c r="Q1241" s="10">
        <f t="shared" ca="1" si="184"/>
        <v>55.357142857142833</v>
      </c>
      <c r="R1241" s="10">
        <f t="shared" ca="1" si="185"/>
        <v>192.67857142856889</v>
      </c>
      <c r="S1241" s="10">
        <f t="shared" ca="1" si="186"/>
        <v>-137.32142857142605</v>
      </c>
      <c r="T1241" s="10">
        <f t="shared" ca="1" si="187"/>
        <v>441.95402298850365</v>
      </c>
      <c r="U1241" s="10">
        <f t="shared" ca="1" si="188"/>
        <v>441.95402298850365</v>
      </c>
      <c r="V1241">
        <f t="shared" si="189"/>
        <v>5</v>
      </c>
    </row>
    <row r="1242" spans="1:22" x14ac:dyDescent="0.25">
      <c r="A1242">
        <v>138</v>
      </c>
      <c r="B1242">
        <v>8</v>
      </c>
      <c r="C1242">
        <v>0</v>
      </c>
      <c r="D1242">
        <v>1</v>
      </c>
      <c r="E1242">
        <v>1</v>
      </c>
      <c r="F1242">
        <v>0</v>
      </c>
      <c r="G1242">
        <v>1</v>
      </c>
      <c r="H1242">
        <v>550</v>
      </c>
      <c r="I1242">
        <f t="shared" si="190"/>
        <v>1233</v>
      </c>
      <c r="J1242" s="6">
        <f t="array" aca="1" ref="J1242:N1242" ca="1">TRANSPOSE(ols(OFFSET($C$2:$C$10,I1242,0),OFFSET($D$2:$H$10,I1242,0)))</f>
        <v>152.32142857142571</v>
      </c>
      <c r="K1242" s="6">
        <f ca="1"/>
        <v>-27.857142857142208</v>
      </c>
      <c r="L1242" s="6">
        <f ca="1"/>
        <v>-56.42857142856974</v>
      </c>
      <c r="M1242" s="6">
        <f ca="1"/>
        <v>68.214285714285381</v>
      </c>
      <c r="N1242" s="6">
        <f ca="1"/>
        <v>-0.3107142857142815</v>
      </c>
      <c r="O1242" s="6">
        <f t="shared" ca="1" si="182"/>
        <v>21.78571428571405</v>
      </c>
      <c r="P1242" t="str">
        <f t="shared" si="183"/>
        <v>NA</v>
      </c>
      <c r="Q1242" s="10">
        <f t="shared" ca="1" si="184"/>
        <v>55.357142857142833</v>
      </c>
      <c r="R1242" s="10">
        <f t="shared" ca="1" si="185"/>
        <v>192.67857142856889</v>
      </c>
      <c r="S1242" s="10">
        <f t="shared" ca="1" si="186"/>
        <v>-137.32142857142605</v>
      </c>
      <c r="T1242" s="10">
        <f t="shared" ca="1" si="187"/>
        <v>441.95402298850365</v>
      </c>
      <c r="U1242" s="10">
        <f t="shared" ca="1" si="188"/>
        <v>441.95402298850365</v>
      </c>
      <c r="V1242">
        <f t="shared" si="189"/>
        <v>5</v>
      </c>
    </row>
    <row r="1243" spans="1:22" x14ac:dyDescent="0.25">
      <c r="A1243">
        <v>138</v>
      </c>
      <c r="B1243">
        <v>9</v>
      </c>
      <c r="C1243">
        <v>0</v>
      </c>
      <c r="D1243">
        <v>1</v>
      </c>
      <c r="E1243">
        <v>0</v>
      </c>
      <c r="F1243">
        <v>0</v>
      </c>
      <c r="G1243">
        <v>1</v>
      </c>
      <c r="H1243">
        <v>650</v>
      </c>
      <c r="I1243">
        <f t="shared" si="190"/>
        <v>1233</v>
      </c>
      <c r="J1243" s="6">
        <f t="array" aca="1" ref="J1243:N1243" ca="1">TRANSPOSE(ols(OFFSET($C$2:$C$10,I1243,0),OFFSET($D$2:$H$10,I1243,0)))</f>
        <v>152.32142857142571</v>
      </c>
      <c r="K1243" s="6">
        <f ca="1"/>
        <v>-27.857142857142208</v>
      </c>
      <c r="L1243" s="6">
        <f ca="1"/>
        <v>-56.42857142856974</v>
      </c>
      <c r="M1243" s="6">
        <f ca="1"/>
        <v>68.214285714285381</v>
      </c>
      <c r="N1243" s="6">
        <f ca="1"/>
        <v>-0.3107142857142815</v>
      </c>
      <c r="O1243" s="6">
        <f t="shared" ca="1" si="182"/>
        <v>18.571428571428129</v>
      </c>
      <c r="P1243" t="str">
        <f t="shared" si="183"/>
        <v>NA</v>
      </c>
      <c r="Q1243" s="10">
        <f t="shared" ca="1" si="184"/>
        <v>55.357142857142833</v>
      </c>
      <c r="R1243" s="10">
        <f t="shared" ca="1" si="185"/>
        <v>220.53571428571109</v>
      </c>
      <c r="S1243" s="10">
        <f t="shared" ca="1" si="186"/>
        <v>-165.17857142856826</v>
      </c>
      <c r="T1243" s="10">
        <f t="shared" ca="1" si="187"/>
        <v>531.60919540229588</v>
      </c>
      <c r="U1243" s="10">
        <f t="shared" ca="1" si="188"/>
        <v>531.60919540229588</v>
      </c>
      <c r="V1243">
        <f t="shared" si="189"/>
        <v>4</v>
      </c>
    </row>
    <row r="1244" spans="1:22" x14ac:dyDescent="0.25">
      <c r="A1244">
        <v>139</v>
      </c>
      <c r="B1244">
        <v>1</v>
      </c>
      <c r="C1244">
        <v>42.5</v>
      </c>
      <c r="D1244">
        <v>1</v>
      </c>
      <c r="E1244">
        <v>0</v>
      </c>
      <c r="F1244">
        <v>1</v>
      </c>
      <c r="G1244">
        <v>0</v>
      </c>
      <c r="H1244">
        <v>250</v>
      </c>
      <c r="I1244">
        <f t="shared" si="190"/>
        <v>1242</v>
      </c>
      <c r="J1244" s="6">
        <f t="array" aca="1" ref="J1244:N1244" ca="1">TRANSPOSE(ols(OFFSET($C$2:$C$10,I1244,0),OFFSET($D$2:$H$10,I1244,0)))</f>
        <v>110.29761904761654</v>
      </c>
      <c r="K1244" s="6">
        <f ca="1"/>
        <v>-31.071428571428896</v>
      </c>
      <c r="L1244" s="6">
        <f ca="1"/>
        <v>-55.952380952381645</v>
      </c>
      <c r="M1244" s="6">
        <f ca="1"/>
        <v>0.47619047619082266</v>
      </c>
      <c r="N1244" s="6">
        <f ca="1"/>
        <v>-4.8809523809527633E-2</v>
      </c>
      <c r="O1244" s="6">
        <f t="shared" ca="1" si="182"/>
        <v>42.142857142852982</v>
      </c>
      <c r="P1244" t="str">
        <f t="shared" si="183"/>
        <v>NA</v>
      </c>
      <c r="Q1244" s="10">
        <f t="shared" ca="1" si="184"/>
        <v>37.738095238091041</v>
      </c>
      <c r="R1244" s="10">
        <f t="shared" ca="1" si="185"/>
        <v>54.34523809523489</v>
      </c>
      <c r="S1244" s="10">
        <f t="shared" ca="1" si="186"/>
        <v>-16.607142857143849</v>
      </c>
      <c r="T1244" s="10">
        <f t="shared" ca="1" si="187"/>
        <v>340.24390243901803</v>
      </c>
      <c r="U1244" s="10">
        <f t="shared" ca="1" si="188"/>
        <v>340.24390243901803</v>
      </c>
      <c r="V1244">
        <f t="shared" si="189"/>
        <v>3</v>
      </c>
    </row>
    <row r="1245" spans="1:22" x14ac:dyDescent="0.25">
      <c r="A1245">
        <v>139</v>
      </c>
      <c r="B1245">
        <v>2</v>
      </c>
      <c r="C1245">
        <v>67.5</v>
      </c>
      <c r="D1245">
        <v>1</v>
      </c>
      <c r="E1245">
        <v>1</v>
      </c>
      <c r="F1245">
        <v>0</v>
      </c>
      <c r="G1245">
        <v>0</v>
      </c>
      <c r="H1245">
        <v>350</v>
      </c>
      <c r="I1245">
        <f t="shared" si="190"/>
        <v>1242</v>
      </c>
      <c r="J1245" s="6">
        <f t="array" aca="1" ref="J1245:N1245" ca="1">TRANSPOSE(ols(OFFSET($C$2:$C$10,I1245,0),OFFSET($D$2:$H$10,I1245,0)))</f>
        <v>110.29761904761654</v>
      </c>
      <c r="K1245" s="6">
        <f ca="1"/>
        <v>-31.071428571428896</v>
      </c>
      <c r="L1245" s="6">
        <f ca="1"/>
        <v>-55.952380952381645</v>
      </c>
      <c r="M1245" s="6">
        <f ca="1"/>
        <v>0.47619047619082266</v>
      </c>
      <c r="N1245" s="6">
        <f ca="1"/>
        <v>-4.8809523809527633E-2</v>
      </c>
      <c r="O1245" s="6">
        <f t="shared" ca="1" si="182"/>
        <v>62.142857142852968</v>
      </c>
      <c r="P1245" t="str">
        <f t="shared" si="183"/>
        <v>NA</v>
      </c>
      <c r="Q1245" s="10">
        <f t="shared" ca="1" si="184"/>
        <v>37.738095238091041</v>
      </c>
      <c r="R1245" s="10">
        <f t="shared" ca="1" si="185"/>
        <v>79.226190476187639</v>
      </c>
      <c r="S1245" s="10">
        <f t="shared" ca="1" si="186"/>
        <v>-41.488095238096598</v>
      </c>
      <c r="T1245" s="10">
        <f t="shared" ca="1" si="187"/>
        <v>849.99999999996123</v>
      </c>
      <c r="U1245" s="10" t="str">
        <f t="shared" ca="1" si="188"/>
        <v>OR</v>
      </c>
      <c r="V1245">
        <f t="shared" si="189"/>
        <v>2</v>
      </c>
    </row>
    <row r="1246" spans="1:22" x14ac:dyDescent="0.25">
      <c r="A1246">
        <v>139</v>
      </c>
      <c r="B1246">
        <v>3</v>
      </c>
      <c r="C1246">
        <v>47.5</v>
      </c>
      <c r="D1246">
        <v>1</v>
      </c>
      <c r="E1246">
        <v>1</v>
      </c>
      <c r="F1246">
        <v>0</v>
      </c>
      <c r="G1246">
        <v>0</v>
      </c>
      <c r="H1246">
        <v>450</v>
      </c>
      <c r="I1246">
        <f t="shared" si="190"/>
        <v>1242</v>
      </c>
      <c r="J1246" s="6">
        <f t="array" aca="1" ref="J1246:N1246" ca="1">TRANSPOSE(ols(OFFSET($C$2:$C$10,I1246,0),OFFSET($D$2:$H$10,I1246,0)))</f>
        <v>110.29761904761654</v>
      </c>
      <c r="K1246" s="6">
        <f ca="1"/>
        <v>-31.071428571428896</v>
      </c>
      <c r="L1246" s="6">
        <f ca="1"/>
        <v>-55.952380952381645</v>
      </c>
      <c r="M1246" s="6">
        <f ca="1"/>
        <v>0.47619047619082266</v>
      </c>
      <c r="N1246" s="6">
        <f ca="1"/>
        <v>-4.8809523809527633E-2</v>
      </c>
      <c r="O1246" s="6">
        <f t="shared" ca="1" si="182"/>
        <v>57.261904761900205</v>
      </c>
      <c r="P1246" t="str">
        <f t="shared" si="183"/>
        <v>NA</v>
      </c>
      <c r="Q1246" s="10">
        <f t="shared" ca="1" si="184"/>
        <v>37.738095238091041</v>
      </c>
      <c r="R1246" s="10">
        <f t="shared" ca="1" si="185"/>
        <v>79.226190476187639</v>
      </c>
      <c r="S1246" s="10">
        <f t="shared" ca="1" si="186"/>
        <v>-41.488095238096598</v>
      </c>
      <c r="T1246" s="10">
        <f t="shared" ca="1" si="187"/>
        <v>849.99999999996123</v>
      </c>
      <c r="U1246" s="10" t="str">
        <f t="shared" ca="1" si="188"/>
        <v>OR</v>
      </c>
      <c r="V1246">
        <f t="shared" si="189"/>
        <v>2</v>
      </c>
    </row>
    <row r="1247" spans="1:22" x14ac:dyDescent="0.25">
      <c r="A1247">
        <v>139</v>
      </c>
      <c r="B1247">
        <v>4</v>
      </c>
      <c r="C1247">
        <v>87.5</v>
      </c>
      <c r="D1247">
        <v>1</v>
      </c>
      <c r="E1247">
        <v>0</v>
      </c>
      <c r="F1247">
        <v>0</v>
      </c>
      <c r="G1247">
        <v>0</v>
      </c>
      <c r="H1247">
        <v>550</v>
      </c>
      <c r="I1247">
        <f t="shared" si="190"/>
        <v>1242</v>
      </c>
      <c r="J1247" s="6">
        <f t="array" aca="1" ref="J1247:N1247" ca="1">TRANSPOSE(ols(OFFSET($C$2:$C$10,I1247,0),OFFSET($D$2:$H$10,I1247,0)))</f>
        <v>110.29761904761654</v>
      </c>
      <c r="K1247" s="6">
        <f ca="1"/>
        <v>-31.071428571428896</v>
      </c>
      <c r="L1247" s="6">
        <f ca="1"/>
        <v>-55.952380952381645</v>
      </c>
      <c r="M1247" s="6">
        <f ca="1"/>
        <v>0.47619047619082266</v>
      </c>
      <c r="N1247" s="6">
        <f ca="1"/>
        <v>-4.8809523809527633E-2</v>
      </c>
      <c r="O1247" s="6">
        <f t="shared" ca="1" si="182"/>
        <v>83.45238095237633</v>
      </c>
      <c r="P1247" t="str">
        <f t="shared" si="183"/>
        <v>NA</v>
      </c>
      <c r="Q1247" s="10">
        <f t="shared" ca="1" si="184"/>
        <v>37.738095238091041</v>
      </c>
      <c r="R1247" s="10">
        <f t="shared" ca="1" si="185"/>
        <v>110.29761904761654</v>
      </c>
      <c r="S1247" s="10">
        <f t="shared" ca="1" si="186"/>
        <v>-72.559523809525501</v>
      </c>
      <c r="T1247" s="10">
        <f t="shared" ca="1" si="187"/>
        <v>1486.5853658535768</v>
      </c>
      <c r="U1247" s="10" t="str">
        <f t="shared" ca="1" si="188"/>
        <v>OR</v>
      </c>
      <c r="V1247">
        <f t="shared" si="189"/>
        <v>1</v>
      </c>
    </row>
    <row r="1248" spans="1:22" x14ac:dyDescent="0.25">
      <c r="A1248">
        <v>139</v>
      </c>
      <c r="B1248">
        <v>5</v>
      </c>
      <c r="C1248">
        <v>42.5</v>
      </c>
      <c r="D1248">
        <v>1</v>
      </c>
      <c r="E1248">
        <v>0</v>
      </c>
      <c r="F1248">
        <v>1</v>
      </c>
      <c r="G1248">
        <v>1</v>
      </c>
      <c r="H1248">
        <v>250</v>
      </c>
      <c r="I1248">
        <f t="shared" si="190"/>
        <v>1242</v>
      </c>
      <c r="J1248" s="6">
        <f t="array" aca="1" ref="J1248:N1248" ca="1">TRANSPOSE(ols(OFFSET($C$2:$C$10,I1248,0),OFFSET($D$2:$H$10,I1248,0)))</f>
        <v>110.29761904761654</v>
      </c>
      <c r="K1248" s="6">
        <f ca="1"/>
        <v>-31.071428571428896</v>
      </c>
      <c r="L1248" s="6">
        <f ca="1"/>
        <v>-55.952380952381645</v>
      </c>
      <c r="M1248" s="6">
        <f ca="1"/>
        <v>0.47619047619082266</v>
      </c>
      <c r="N1248" s="6">
        <f ca="1"/>
        <v>-4.8809523809527633E-2</v>
      </c>
      <c r="O1248" s="6">
        <f t="shared" ca="1" si="182"/>
        <v>42.619047619043805</v>
      </c>
      <c r="P1248" t="str">
        <f t="shared" si="183"/>
        <v>NA</v>
      </c>
      <c r="Q1248" s="10">
        <f t="shared" ca="1" si="184"/>
        <v>37.738095238091041</v>
      </c>
      <c r="R1248" s="10">
        <f t="shared" ca="1" si="185"/>
        <v>54.821428571425713</v>
      </c>
      <c r="S1248" s="10">
        <f t="shared" ca="1" si="186"/>
        <v>-17.083333333334672</v>
      </c>
      <c r="T1248" s="10">
        <f t="shared" ca="1" si="187"/>
        <v>350</v>
      </c>
      <c r="U1248" s="10">
        <f t="shared" ca="1" si="188"/>
        <v>350</v>
      </c>
      <c r="V1248">
        <f t="shared" si="189"/>
        <v>6</v>
      </c>
    </row>
    <row r="1249" spans="1:22" x14ac:dyDescent="0.25">
      <c r="A1249">
        <v>139</v>
      </c>
      <c r="B1249">
        <v>6</v>
      </c>
      <c r="C1249">
        <v>37.5</v>
      </c>
      <c r="D1249">
        <v>1</v>
      </c>
      <c r="E1249">
        <v>0</v>
      </c>
      <c r="F1249">
        <v>1</v>
      </c>
      <c r="G1249">
        <v>1</v>
      </c>
      <c r="H1249">
        <v>350</v>
      </c>
      <c r="I1249">
        <f t="shared" si="190"/>
        <v>1242</v>
      </c>
      <c r="J1249" s="6">
        <f t="array" aca="1" ref="J1249:N1249" ca="1">TRANSPOSE(ols(OFFSET($C$2:$C$10,I1249,0),OFFSET($D$2:$H$10,I1249,0)))</f>
        <v>110.29761904761654</v>
      </c>
      <c r="K1249" s="6">
        <f ca="1"/>
        <v>-31.071428571428896</v>
      </c>
      <c r="L1249" s="6">
        <f ca="1"/>
        <v>-55.952380952381645</v>
      </c>
      <c r="M1249" s="6">
        <f ca="1"/>
        <v>0.47619047619082266</v>
      </c>
      <c r="N1249" s="6">
        <f ca="1"/>
        <v>-4.8809523809527633E-2</v>
      </c>
      <c r="O1249" s="6">
        <f t="shared" ca="1" si="182"/>
        <v>37.738095238091041</v>
      </c>
      <c r="P1249">
        <f t="shared" ca="1" si="183"/>
        <v>37.738095238091041</v>
      </c>
      <c r="Q1249" s="10">
        <f t="shared" ca="1" si="184"/>
        <v>37.738095238091041</v>
      </c>
      <c r="R1249" s="10">
        <f t="shared" ca="1" si="185"/>
        <v>54.821428571425713</v>
      </c>
      <c r="S1249" s="10">
        <f t="shared" ca="1" si="186"/>
        <v>-17.083333333334672</v>
      </c>
      <c r="T1249" s="10">
        <f t="shared" ca="1" si="187"/>
        <v>350</v>
      </c>
      <c r="U1249" s="10">
        <f t="shared" ca="1" si="188"/>
        <v>350</v>
      </c>
      <c r="V1249">
        <f t="shared" si="189"/>
        <v>6</v>
      </c>
    </row>
    <row r="1250" spans="1:22" x14ac:dyDescent="0.25">
      <c r="A1250">
        <v>139</v>
      </c>
      <c r="B1250">
        <v>7</v>
      </c>
      <c r="C1250">
        <v>52.5</v>
      </c>
      <c r="D1250">
        <v>1</v>
      </c>
      <c r="E1250">
        <v>1</v>
      </c>
      <c r="F1250">
        <v>0</v>
      </c>
      <c r="G1250">
        <v>1</v>
      </c>
      <c r="H1250">
        <v>450</v>
      </c>
      <c r="I1250">
        <f t="shared" si="190"/>
        <v>1242</v>
      </c>
      <c r="J1250" s="6">
        <f t="array" aca="1" ref="J1250:N1250" ca="1">TRANSPOSE(ols(OFFSET($C$2:$C$10,I1250,0),OFFSET($D$2:$H$10,I1250,0)))</f>
        <v>110.29761904761654</v>
      </c>
      <c r="K1250" s="6">
        <f ca="1"/>
        <v>-31.071428571428896</v>
      </c>
      <c r="L1250" s="6">
        <f ca="1"/>
        <v>-55.952380952381645</v>
      </c>
      <c r="M1250" s="6">
        <f ca="1"/>
        <v>0.47619047619082266</v>
      </c>
      <c r="N1250" s="6">
        <f ca="1"/>
        <v>-4.8809523809527633E-2</v>
      </c>
      <c r="O1250" s="6">
        <f t="shared" ca="1" si="182"/>
        <v>57.738095238091027</v>
      </c>
      <c r="P1250" t="str">
        <f t="shared" si="183"/>
        <v>NA</v>
      </c>
      <c r="Q1250" s="10">
        <f t="shared" ca="1" si="184"/>
        <v>37.738095238091041</v>
      </c>
      <c r="R1250" s="10">
        <f t="shared" ca="1" si="185"/>
        <v>79.702380952378462</v>
      </c>
      <c r="S1250" s="10">
        <f t="shared" ca="1" si="186"/>
        <v>-41.964285714287421</v>
      </c>
      <c r="T1250" s="10">
        <f t="shared" ca="1" si="187"/>
        <v>859.7560975609432</v>
      </c>
      <c r="U1250" s="10" t="str">
        <f t="shared" ca="1" si="188"/>
        <v>OR</v>
      </c>
      <c r="V1250">
        <f t="shared" si="189"/>
        <v>5</v>
      </c>
    </row>
    <row r="1251" spans="1:22" x14ac:dyDescent="0.25">
      <c r="A1251">
        <v>139</v>
      </c>
      <c r="B1251">
        <v>8</v>
      </c>
      <c r="C1251">
        <v>62.5</v>
      </c>
      <c r="D1251">
        <v>1</v>
      </c>
      <c r="E1251">
        <v>1</v>
      </c>
      <c r="F1251">
        <v>0</v>
      </c>
      <c r="G1251">
        <v>1</v>
      </c>
      <c r="H1251">
        <v>550</v>
      </c>
      <c r="I1251">
        <f t="shared" si="190"/>
        <v>1242</v>
      </c>
      <c r="J1251" s="6">
        <f t="array" aca="1" ref="J1251:N1251" ca="1">TRANSPOSE(ols(OFFSET($C$2:$C$10,I1251,0),OFFSET($D$2:$H$10,I1251,0)))</f>
        <v>110.29761904761654</v>
      </c>
      <c r="K1251" s="6">
        <f ca="1"/>
        <v>-31.071428571428896</v>
      </c>
      <c r="L1251" s="6">
        <f ca="1"/>
        <v>-55.952380952381645</v>
      </c>
      <c r="M1251" s="6">
        <f ca="1"/>
        <v>0.47619047619082266</v>
      </c>
      <c r="N1251" s="6">
        <f ca="1"/>
        <v>-4.8809523809527633E-2</v>
      </c>
      <c r="O1251" s="6">
        <f t="shared" ca="1" si="182"/>
        <v>52.857142857138264</v>
      </c>
      <c r="P1251" t="str">
        <f t="shared" si="183"/>
        <v>NA</v>
      </c>
      <c r="Q1251" s="10">
        <f t="shared" ca="1" si="184"/>
        <v>37.738095238091041</v>
      </c>
      <c r="R1251" s="10">
        <f t="shared" ca="1" si="185"/>
        <v>79.702380952378462</v>
      </c>
      <c r="S1251" s="10">
        <f t="shared" ca="1" si="186"/>
        <v>-41.964285714287421</v>
      </c>
      <c r="T1251" s="10">
        <f t="shared" ca="1" si="187"/>
        <v>859.7560975609432</v>
      </c>
      <c r="U1251" s="10" t="str">
        <f t="shared" ca="1" si="188"/>
        <v>OR</v>
      </c>
      <c r="V1251">
        <f t="shared" si="189"/>
        <v>5</v>
      </c>
    </row>
    <row r="1252" spans="1:22" x14ac:dyDescent="0.25">
      <c r="A1252">
        <v>139</v>
      </c>
      <c r="B1252">
        <v>9</v>
      </c>
      <c r="C1252">
        <v>75</v>
      </c>
      <c r="D1252">
        <v>1</v>
      </c>
      <c r="E1252">
        <v>0</v>
      </c>
      <c r="F1252">
        <v>0</v>
      </c>
      <c r="G1252">
        <v>1</v>
      </c>
      <c r="H1252">
        <v>650</v>
      </c>
      <c r="I1252">
        <f t="shared" si="190"/>
        <v>1242</v>
      </c>
      <c r="J1252" s="6">
        <f t="array" aca="1" ref="J1252:N1252" ca="1">TRANSPOSE(ols(OFFSET($C$2:$C$10,I1252,0),OFFSET($D$2:$H$10,I1252,0)))</f>
        <v>110.29761904761654</v>
      </c>
      <c r="K1252" s="6">
        <f ca="1"/>
        <v>-31.071428571428896</v>
      </c>
      <c r="L1252" s="6">
        <f ca="1"/>
        <v>-55.952380952381645</v>
      </c>
      <c r="M1252" s="6">
        <f ca="1"/>
        <v>0.47619047619082266</v>
      </c>
      <c r="N1252" s="6">
        <f ca="1"/>
        <v>-4.8809523809527633E-2</v>
      </c>
      <c r="O1252" s="6">
        <f t="shared" ca="1" si="182"/>
        <v>79.047619047614404</v>
      </c>
      <c r="P1252" t="str">
        <f t="shared" si="183"/>
        <v>NA</v>
      </c>
      <c r="Q1252" s="10">
        <f t="shared" ca="1" si="184"/>
        <v>37.738095238091041</v>
      </c>
      <c r="R1252" s="10">
        <f t="shared" ca="1" si="185"/>
        <v>110.77380952380736</v>
      </c>
      <c r="S1252" s="10">
        <f t="shared" ca="1" si="186"/>
        <v>-73.035714285716324</v>
      </c>
      <c r="T1252" s="10">
        <f t="shared" ca="1" si="187"/>
        <v>1496.3414634145588</v>
      </c>
      <c r="U1252" s="10" t="str">
        <f t="shared" ca="1" si="188"/>
        <v>OR</v>
      </c>
      <c r="V1252">
        <f t="shared" si="189"/>
        <v>4</v>
      </c>
    </row>
    <row r="1253" spans="1:22" x14ac:dyDescent="0.25">
      <c r="A1253">
        <v>140</v>
      </c>
      <c r="B1253">
        <v>1</v>
      </c>
      <c r="C1253">
        <v>100</v>
      </c>
      <c r="D1253">
        <v>1</v>
      </c>
      <c r="E1253">
        <v>0</v>
      </c>
      <c r="F1253">
        <v>1</v>
      </c>
      <c r="G1253">
        <v>0</v>
      </c>
      <c r="H1253">
        <v>250</v>
      </c>
      <c r="I1253">
        <f t="shared" si="190"/>
        <v>1251</v>
      </c>
      <c r="J1253" s="6">
        <f t="array" aca="1" ref="J1253:N1253" ca="1">TRANSPOSE(ols(OFFSET($C$2:$C$10,I1253,0),OFFSET($D$2:$H$10,I1253,0)))</f>
        <v>116.6071428571413</v>
      </c>
      <c r="K1253" s="6">
        <f ca="1"/>
        <v>0.7142857142853245</v>
      </c>
      <c r="L1253" s="6">
        <f ca="1"/>
        <v>-2.1428571428596115</v>
      </c>
      <c r="M1253" s="6">
        <f ca="1"/>
        <v>1.0714285714291236</v>
      </c>
      <c r="N1253" s="6">
        <f ca="1"/>
        <v>-5.3571428571434154E-2</v>
      </c>
      <c r="O1253" s="6">
        <f t="shared" ca="1" si="182"/>
        <v>101.07142857142316</v>
      </c>
      <c r="P1253" t="str">
        <f t="shared" si="183"/>
        <v>NA</v>
      </c>
      <c r="Q1253" s="10">
        <f t="shared" ca="1" si="184"/>
        <v>96.785714285708849</v>
      </c>
      <c r="R1253" s="10">
        <f t="shared" ca="1" si="185"/>
        <v>114.46428571428169</v>
      </c>
      <c r="S1253" s="10">
        <f t="shared" ca="1" si="186"/>
        <v>-17.678571428572837</v>
      </c>
      <c r="T1253" s="10">
        <f t="shared" ca="1" si="187"/>
        <v>329.99999999999193</v>
      </c>
      <c r="U1253" s="10">
        <f t="shared" ca="1" si="188"/>
        <v>329.99999999999193</v>
      </c>
      <c r="V1253">
        <f t="shared" si="189"/>
        <v>3</v>
      </c>
    </row>
    <row r="1254" spans="1:22" x14ac:dyDescent="0.25">
      <c r="A1254">
        <v>140</v>
      </c>
      <c r="B1254">
        <v>2</v>
      </c>
      <c r="C1254">
        <v>100</v>
      </c>
      <c r="D1254">
        <v>1</v>
      </c>
      <c r="E1254">
        <v>1</v>
      </c>
      <c r="F1254">
        <v>0</v>
      </c>
      <c r="G1254">
        <v>0</v>
      </c>
      <c r="H1254">
        <v>350</v>
      </c>
      <c r="I1254">
        <f t="shared" si="190"/>
        <v>1251</v>
      </c>
      <c r="J1254" s="6">
        <f t="array" aca="1" ref="J1254:N1254" ca="1">TRANSPOSE(ols(OFFSET($C$2:$C$10,I1254,0),OFFSET($D$2:$H$10,I1254,0)))</f>
        <v>116.6071428571413</v>
      </c>
      <c r="K1254" s="6">
        <f ca="1"/>
        <v>0.7142857142853245</v>
      </c>
      <c r="L1254" s="6">
        <f ca="1"/>
        <v>-2.1428571428596115</v>
      </c>
      <c r="M1254" s="6">
        <f ca="1"/>
        <v>1.0714285714291236</v>
      </c>
      <c r="N1254" s="6">
        <f ca="1"/>
        <v>-5.3571428571434154E-2</v>
      </c>
      <c r="O1254" s="6">
        <f t="shared" ca="1" si="182"/>
        <v>98.571428571424661</v>
      </c>
      <c r="P1254" t="str">
        <f t="shared" si="183"/>
        <v>NA</v>
      </c>
      <c r="Q1254" s="10">
        <f t="shared" ca="1" si="184"/>
        <v>96.785714285708849</v>
      </c>
      <c r="R1254" s="10">
        <f t="shared" ca="1" si="185"/>
        <v>117.32142857142662</v>
      </c>
      <c r="S1254" s="10">
        <f t="shared" ca="1" si="186"/>
        <v>-20.535714285717773</v>
      </c>
      <c r="T1254" s="10">
        <f t="shared" ca="1" si="187"/>
        <v>383.3333333333585</v>
      </c>
      <c r="U1254" s="10">
        <f t="shared" ca="1" si="188"/>
        <v>383.3333333333585</v>
      </c>
      <c r="V1254">
        <f t="shared" si="189"/>
        <v>2</v>
      </c>
    </row>
    <row r="1255" spans="1:22" x14ac:dyDescent="0.25">
      <c r="A1255">
        <v>140</v>
      </c>
      <c r="B1255">
        <v>3</v>
      </c>
      <c r="C1255">
        <v>90</v>
      </c>
      <c r="D1255">
        <v>1</v>
      </c>
      <c r="E1255">
        <v>1</v>
      </c>
      <c r="F1255">
        <v>0</v>
      </c>
      <c r="G1255">
        <v>0</v>
      </c>
      <c r="H1255">
        <v>450</v>
      </c>
      <c r="I1255">
        <f t="shared" si="190"/>
        <v>1251</v>
      </c>
      <c r="J1255" s="6">
        <f t="array" aca="1" ref="J1255:N1255" ca="1">TRANSPOSE(ols(OFFSET($C$2:$C$10,I1255,0),OFFSET($D$2:$H$10,I1255,0)))</f>
        <v>116.6071428571413</v>
      </c>
      <c r="K1255" s="6">
        <f ca="1"/>
        <v>0.7142857142853245</v>
      </c>
      <c r="L1255" s="6">
        <f ca="1"/>
        <v>-2.1428571428596115</v>
      </c>
      <c r="M1255" s="6">
        <f ca="1"/>
        <v>1.0714285714291236</v>
      </c>
      <c r="N1255" s="6">
        <f ca="1"/>
        <v>-5.3571428571434154E-2</v>
      </c>
      <c r="O1255" s="6">
        <f t="shared" ca="1" si="182"/>
        <v>93.21428571428126</v>
      </c>
      <c r="P1255" t="str">
        <f t="shared" si="183"/>
        <v>NA</v>
      </c>
      <c r="Q1255" s="10">
        <f t="shared" ca="1" si="184"/>
        <v>96.785714285708849</v>
      </c>
      <c r="R1255" s="10">
        <f t="shared" ca="1" si="185"/>
        <v>117.32142857142662</v>
      </c>
      <c r="S1255" s="10">
        <f t="shared" ca="1" si="186"/>
        <v>-20.535714285717773</v>
      </c>
      <c r="T1255" s="10">
        <f t="shared" ca="1" si="187"/>
        <v>383.3333333333585</v>
      </c>
      <c r="U1255" s="10">
        <f t="shared" ca="1" si="188"/>
        <v>383.3333333333585</v>
      </c>
      <c r="V1255">
        <f t="shared" si="189"/>
        <v>2</v>
      </c>
    </row>
    <row r="1256" spans="1:22" x14ac:dyDescent="0.25">
      <c r="A1256">
        <v>140</v>
      </c>
      <c r="B1256">
        <v>4</v>
      </c>
      <c r="C1256">
        <v>90</v>
      </c>
      <c r="D1256">
        <v>1</v>
      </c>
      <c r="E1256">
        <v>0</v>
      </c>
      <c r="F1256">
        <v>0</v>
      </c>
      <c r="G1256">
        <v>0</v>
      </c>
      <c r="H1256">
        <v>550</v>
      </c>
      <c r="I1256">
        <f t="shared" si="190"/>
        <v>1251</v>
      </c>
      <c r="J1256" s="6">
        <f t="array" aca="1" ref="J1256:N1256" ca="1">TRANSPOSE(ols(OFFSET($C$2:$C$10,I1256,0),OFFSET($D$2:$H$10,I1256,0)))</f>
        <v>116.6071428571413</v>
      </c>
      <c r="K1256" s="6">
        <f ca="1"/>
        <v>0.7142857142853245</v>
      </c>
      <c r="L1256" s="6">
        <f ca="1"/>
        <v>-2.1428571428596115</v>
      </c>
      <c r="M1256" s="6">
        <f ca="1"/>
        <v>1.0714285714291236</v>
      </c>
      <c r="N1256" s="6">
        <f ca="1"/>
        <v>-5.3571428571434154E-2</v>
      </c>
      <c r="O1256" s="6">
        <f t="shared" ca="1" si="182"/>
        <v>87.142857142852506</v>
      </c>
      <c r="P1256" t="str">
        <f t="shared" si="183"/>
        <v>NA</v>
      </c>
      <c r="Q1256" s="10">
        <f t="shared" ca="1" si="184"/>
        <v>96.785714285708849</v>
      </c>
      <c r="R1256" s="10">
        <f t="shared" ca="1" si="185"/>
        <v>116.6071428571413</v>
      </c>
      <c r="S1256" s="10">
        <f t="shared" ca="1" si="186"/>
        <v>-19.821428571432449</v>
      </c>
      <c r="T1256" s="10">
        <f t="shared" ca="1" si="187"/>
        <v>370.00000000003382</v>
      </c>
      <c r="U1256" s="10">
        <f t="shared" ca="1" si="188"/>
        <v>370.00000000003382</v>
      </c>
      <c r="V1256">
        <f t="shared" si="189"/>
        <v>1</v>
      </c>
    </row>
    <row r="1257" spans="1:22" x14ac:dyDescent="0.25">
      <c r="A1257">
        <v>140</v>
      </c>
      <c r="B1257">
        <v>5</v>
      </c>
      <c r="C1257">
        <v>100</v>
      </c>
      <c r="D1257">
        <v>1</v>
      </c>
      <c r="E1257">
        <v>0</v>
      </c>
      <c r="F1257">
        <v>1</v>
      </c>
      <c r="G1257">
        <v>1</v>
      </c>
      <c r="H1257">
        <v>250</v>
      </c>
      <c r="I1257">
        <f t="shared" si="190"/>
        <v>1251</v>
      </c>
      <c r="J1257" s="6">
        <f t="array" aca="1" ref="J1257:N1257" ca="1">TRANSPOSE(ols(OFFSET($C$2:$C$10,I1257,0),OFFSET($D$2:$H$10,I1257,0)))</f>
        <v>116.6071428571413</v>
      </c>
      <c r="K1257" s="6">
        <f ca="1"/>
        <v>0.7142857142853245</v>
      </c>
      <c r="L1257" s="6">
        <f ca="1"/>
        <v>-2.1428571428596115</v>
      </c>
      <c r="M1257" s="6">
        <f ca="1"/>
        <v>1.0714285714291236</v>
      </c>
      <c r="N1257" s="6">
        <f ca="1"/>
        <v>-5.3571428571434154E-2</v>
      </c>
      <c r="O1257" s="6">
        <f t="shared" ca="1" si="182"/>
        <v>102.14285714285228</v>
      </c>
      <c r="P1257" t="str">
        <f t="shared" si="183"/>
        <v>NA</v>
      </c>
      <c r="Q1257" s="10">
        <f t="shared" ca="1" si="184"/>
        <v>96.785714285708849</v>
      </c>
      <c r="R1257" s="10">
        <f t="shared" ca="1" si="185"/>
        <v>115.53571428571081</v>
      </c>
      <c r="S1257" s="10">
        <f t="shared" ca="1" si="186"/>
        <v>-18.750000000001961</v>
      </c>
      <c r="T1257" s="10">
        <f t="shared" ca="1" si="187"/>
        <v>350.00000000000011</v>
      </c>
      <c r="U1257" s="10">
        <f t="shared" ca="1" si="188"/>
        <v>350.00000000000011</v>
      </c>
      <c r="V1257">
        <f t="shared" si="189"/>
        <v>6</v>
      </c>
    </row>
    <row r="1258" spans="1:22" x14ac:dyDescent="0.25">
      <c r="A1258">
        <v>140</v>
      </c>
      <c r="B1258">
        <v>6</v>
      </c>
      <c r="C1258">
        <v>100</v>
      </c>
      <c r="D1258">
        <v>1</v>
      </c>
      <c r="E1258">
        <v>0</v>
      </c>
      <c r="F1258">
        <v>1</v>
      </c>
      <c r="G1258">
        <v>1</v>
      </c>
      <c r="H1258">
        <v>350</v>
      </c>
      <c r="I1258">
        <f t="shared" si="190"/>
        <v>1251</v>
      </c>
      <c r="J1258" s="6">
        <f t="array" aca="1" ref="J1258:N1258" ca="1">TRANSPOSE(ols(OFFSET($C$2:$C$10,I1258,0),OFFSET($D$2:$H$10,I1258,0)))</f>
        <v>116.6071428571413</v>
      </c>
      <c r="K1258" s="6">
        <f ca="1"/>
        <v>0.7142857142853245</v>
      </c>
      <c r="L1258" s="6">
        <f ca="1"/>
        <v>-2.1428571428596115</v>
      </c>
      <c r="M1258" s="6">
        <f ca="1"/>
        <v>1.0714285714291236</v>
      </c>
      <c r="N1258" s="6">
        <f ca="1"/>
        <v>-5.3571428571434154E-2</v>
      </c>
      <c r="O1258" s="6">
        <f t="shared" ca="1" si="182"/>
        <v>96.785714285708849</v>
      </c>
      <c r="P1258">
        <f t="shared" ca="1" si="183"/>
        <v>96.785714285708849</v>
      </c>
      <c r="Q1258" s="10">
        <f t="shared" ca="1" si="184"/>
        <v>96.785714285708849</v>
      </c>
      <c r="R1258" s="10">
        <f t="shared" ca="1" si="185"/>
        <v>115.53571428571081</v>
      </c>
      <c r="S1258" s="10">
        <f t="shared" ca="1" si="186"/>
        <v>-18.750000000001961</v>
      </c>
      <c r="T1258" s="10">
        <f t="shared" ca="1" si="187"/>
        <v>350.00000000000011</v>
      </c>
      <c r="U1258" s="10">
        <f t="shared" ca="1" si="188"/>
        <v>350.00000000000011</v>
      </c>
      <c r="V1258">
        <f t="shared" si="189"/>
        <v>6</v>
      </c>
    </row>
    <row r="1259" spans="1:22" x14ac:dyDescent="0.25">
      <c r="A1259">
        <v>140</v>
      </c>
      <c r="B1259">
        <v>7</v>
      </c>
      <c r="C1259">
        <v>95</v>
      </c>
      <c r="D1259">
        <v>1</v>
      </c>
      <c r="E1259">
        <v>1</v>
      </c>
      <c r="F1259">
        <v>0</v>
      </c>
      <c r="G1259">
        <v>1</v>
      </c>
      <c r="H1259">
        <v>450</v>
      </c>
      <c r="I1259">
        <f t="shared" si="190"/>
        <v>1251</v>
      </c>
      <c r="J1259" s="6">
        <f t="array" aca="1" ref="J1259:N1259" ca="1">TRANSPOSE(ols(OFFSET($C$2:$C$10,I1259,0),OFFSET($D$2:$H$10,I1259,0)))</f>
        <v>116.6071428571413</v>
      </c>
      <c r="K1259" s="6">
        <f ca="1"/>
        <v>0.7142857142853245</v>
      </c>
      <c r="L1259" s="6">
        <f ca="1"/>
        <v>-2.1428571428596115</v>
      </c>
      <c r="M1259" s="6">
        <f ca="1"/>
        <v>1.0714285714291236</v>
      </c>
      <c r="N1259" s="6">
        <f ca="1"/>
        <v>-5.3571428571434154E-2</v>
      </c>
      <c r="O1259" s="6">
        <f t="shared" ca="1" si="182"/>
        <v>94.285714285710384</v>
      </c>
      <c r="P1259" t="str">
        <f t="shared" si="183"/>
        <v>NA</v>
      </c>
      <c r="Q1259" s="10">
        <f t="shared" ca="1" si="184"/>
        <v>96.785714285708849</v>
      </c>
      <c r="R1259" s="10">
        <f t="shared" ca="1" si="185"/>
        <v>118.39285714285575</v>
      </c>
      <c r="S1259" s="10">
        <f t="shared" ca="1" si="186"/>
        <v>-21.607142857146897</v>
      </c>
      <c r="T1259" s="10">
        <f t="shared" ca="1" si="187"/>
        <v>403.33333333336674</v>
      </c>
      <c r="U1259" s="10">
        <f t="shared" ca="1" si="188"/>
        <v>403.33333333336674</v>
      </c>
      <c r="V1259">
        <f t="shared" si="189"/>
        <v>5</v>
      </c>
    </row>
    <row r="1260" spans="1:22" x14ac:dyDescent="0.25">
      <c r="A1260">
        <v>140</v>
      </c>
      <c r="B1260">
        <v>8</v>
      </c>
      <c r="C1260">
        <v>90</v>
      </c>
      <c r="D1260">
        <v>1</v>
      </c>
      <c r="E1260">
        <v>1</v>
      </c>
      <c r="F1260">
        <v>0</v>
      </c>
      <c r="G1260">
        <v>1</v>
      </c>
      <c r="H1260">
        <v>550</v>
      </c>
      <c r="I1260">
        <f t="shared" si="190"/>
        <v>1251</v>
      </c>
      <c r="J1260" s="6">
        <f t="array" aca="1" ref="J1260:N1260" ca="1">TRANSPOSE(ols(OFFSET($C$2:$C$10,I1260,0),OFFSET($D$2:$H$10,I1260,0)))</f>
        <v>116.6071428571413</v>
      </c>
      <c r="K1260" s="6">
        <f ca="1"/>
        <v>0.7142857142853245</v>
      </c>
      <c r="L1260" s="6">
        <f ca="1"/>
        <v>-2.1428571428596115</v>
      </c>
      <c r="M1260" s="6">
        <f ca="1"/>
        <v>1.0714285714291236</v>
      </c>
      <c r="N1260" s="6">
        <f ca="1"/>
        <v>-5.3571428571434154E-2</v>
      </c>
      <c r="O1260" s="6">
        <f t="shared" ca="1" si="182"/>
        <v>88.928571428566954</v>
      </c>
      <c r="P1260" t="str">
        <f t="shared" si="183"/>
        <v>NA</v>
      </c>
      <c r="Q1260" s="10">
        <f t="shared" ca="1" si="184"/>
        <v>96.785714285708849</v>
      </c>
      <c r="R1260" s="10">
        <f t="shared" ca="1" si="185"/>
        <v>118.39285714285575</v>
      </c>
      <c r="S1260" s="10">
        <f t="shared" ca="1" si="186"/>
        <v>-21.607142857146897</v>
      </c>
      <c r="T1260" s="10">
        <f t="shared" ca="1" si="187"/>
        <v>403.33333333336674</v>
      </c>
      <c r="U1260" s="10">
        <f t="shared" ca="1" si="188"/>
        <v>403.33333333336674</v>
      </c>
      <c r="V1260">
        <f t="shared" si="189"/>
        <v>5</v>
      </c>
    </row>
    <row r="1261" spans="1:22" x14ac:dyDescent="0.25">
      <c r="A1261">
        <v>140</v>
      </c>
      <c r="B1261">
        <v>9</v>
      </c>
      <c r="C1261">
        <v>80</v>
      </c>
      <c r="D1261">
        <v>1</v>
      </c>
      <c r="E1261">
        <v>0</v>
      </c>
      <c r="F1261">
        <v>0</v>
      </c>
      <c r="G1261">
        <v>1</v>
      </c>
      <c r="H1261">
        <v>650</v>
      </c>
      <c r="I1261">
        <f t="shared" si="190"/>
        <v>1251</v>
      </c>
      <c r="J1261" s="6">
        <f t="array" aca="1" ref="J1261:N1261" ca="1">TRANSPOSE(ols(OFFSET($C$2:$C$10,I1261,0),OFFSET($D$2:$H$10,I1261,0)))</f>
        <v>116.6071428571413</v>
      </c>
      <c r="K1261" s="6">
        <f ca="1"/>
        <v>0.7142857142853245</v>
      </c>
      <c r="L1261" s="6">
        <f ca="1"/>
        <v>-2.1428571428596115</v>
      </c>
      <c r="M1261" s="6">
        <f ca="1"/>
        <v>1.0714285714291236</v>
      </c>
      <c r="N1261" s="6">
        <f ca="1"/>
        <v>-5.3571428571434154E-2</v>
      </c>
      <c r="O1261" s="6">
        <f t="shared" ca="1" si="182"/>
        <v>82.857142857138228</v>
      </c>
      <c r="P1261" t="str">
        <f t="shared" si="183"/>
        <v>NA</v>
      </c>
      <c r="Q1261" s="10">
        <f t="shared" ca="1" si="184"/>
        <v>96.785714285708849</v>
      </c>
      <c r="R1261" s="10">
        <f t="shared" ca="1" si="185"/>
        <v>117.67857142857042</v>
      </c>
      <c r="S1261" s="10">
        <f t="shared" ca="1" si="186"/>
        <v>-20.892857142861573</v>
      </c>
      <c r="T1261" s="10">
        <f t="shared" ca="1" si="187"/>
        <v>390.00000000004206</v>
      </c>
      <c r="U1261" s="10">
        <f t="shared" ca="1" si="188"/>
        <v>390.00000000004206</v>
      </c>
      <c r="V1261">
        <f t="shared" si="189"/>
        <v>4</v>
      </c>
    </row>
    <row r="1262" spans="1:22" x14ac:dyDescent="0.25">
      <c r="A1262">
        <v>141</v>
      </c>
      <c r="B1262">
        <v>1</v>
      </c>
      <c r="C1262">
        <v>65</v>
      </c>
      <c r="D1262">
        <v>1</v>
      </c>
      <c r="E1262">
        <v>0</v>
      </c>
      <c r="F1262">
        <v>1</v>
      </c>
      <c r="G1262">
        <v>0</v>
      </c>
      <c r="H1262">
        <v>250</v>
      </c>
      <c r="I1262">
        <f t="shared" si="190"/>
        <v>1260</v>
      </c>
      <c r="J1262" s="6">
        <f t="array" aca="1" ref="J1262:N1262" ca="1">TRANSPOSE(ols(OFFSET($C$2:$C$10,I1262,0),OFFSET($D$2:$H$10,I1262,0)))</f>
        <v>77.738095238094502</v>
      </c>
      <c r="K1262" s="6">
        <f ca="1"/>
        <v>4.6428571428571104</v>
      </c>
      <c r="L1262" s="6">
        <f ca="1"/>
        <v>5.2380952380945018</v>
      </c>
      <c r="M1262" s="6">
        <f ca="1"/>
        <v>-17.619047619047365</v>
      </c>
      <c r="N1262" s="6">
        <f ca="1"/>
        <v>-6.9047619047621467E-2</v>
      </c>
      <c r="O1262" s="6">
        <f t="shared" ca="1" si="182"/>
        <v>65.714285714283633</v>
      </c>
      <c r="P1262" t="str">
        <f t="shared" si="183"/>
        <v>NA</v>
      </c>
      <c r="Q1262" s="10">
        <f t="shared" ca="1" si="184"/>
        <v>41.190476190474129</v>
      </c>
      <c r="R1262" s="10">
        <f t="shared" ca="1" si="185"/>
        <v>82.976190476189004</v>
      </c>
      <c r="S1262" s="10">
        <f t="shared" ca="1" si="186"/>
        <v>-41.785714285714874</v>
      </c>
      <c r="T1262" s="10">
        <f t="shared" ca="1" si="187"/>
        <v>605.17241379309075</v>
      </c>
      <c r="U1262" s="10">
        <f t="shared" ca="1" si="188"/>
        <v>605.17241379309075</v>
      </c>
      <c r="V1262">
        <f t="shared" si="189"/>
        <v>3</v>
      </c>
    </row>
    <row r="1263" spans="1:22" x14ac:dyDescent="0.25">
      <c r="A1263">
        <v>141</v>
      </c>
      <c r="B1263">
        <v>2</v>
      </c>
      <c r="C1263">
        <v>60</v>
      </c>
      <c r="D1263">
        <v>1</v>
      </c>
      <c r="E1263">
        <v>1</v>
      </c>
      <c r="F1263">
        <v>0</v>
      </c>
      <c r="G1263">
        <v>0</v>
      </c>
      <c r="H1263">
        <v>350</v>
      </c>
      <c r="I1263">
        <f t="shared" si="190"/>
        <v>1260</v>
      </c>
      <c r="J1263" s="6">
        <f t="array" aca="1" ref="J1263:N1263" ca="1">TRANSPOSE(ols(OFFSET($C$2:$C$10,I1263,0),OFFSET($D$2:$H$10,I1263,0)))</f>
        <v>77.738095238094502</v>
      </c>
      <c r="K1263" s="6">
        <f ca="1"/>
        <v>4.6428571428571104</v>
      </c>
      <c r="L1263" s="6">
        <f ca="1"/>
        <v>5.2380952380945018</v>
      </c>
      <c r="M1263" s="6">
        <f ca="1"/>
        <v>-17.619047619047365</v>
      </c>
      <c r="N1263" s="6">
        <f ca="1"/>
        <v>-6.9047619047621467E-2</v>
      </c>
      <c r="O1263" s="6">
        <f t="shared" ca="1" si="182"/>
        <v>58.214285714284102</v>
      </c>
      <c r="P1263" t="str">
        <f t="shared" si="183"/>
        <v>NA</v>
      </c>
      <c r="Q1263" s="10">
        <f t="shared" ca="1" si="184"/>
        <v>41.190476190474129</v>
      </c>
      <c r="R1263" s="10">
        <f t="shared" ca="1" si="185"/>
        <v>82.380952380951612</v>
      </c>
      <c r="S1263" s="10">
        <f t="shared" ca="1" si="186"/>
        <v>-41.190476190477483</v>
      </c>
      <c r="T1263" s="10">
        <f t="shared" ca="1" si="187"/>
        <v>596.55172413792889</v>
      </c>
      <c r="U1263" s="10">
        <f t="shared" ca="1" si="188"/>
        <v>596.55172413792889</v>
      </c>
      <c r="V1263">
        <f t="shared" si="189"/>
        <v>2</v>
      </c>
    </row>
    <row r="1264" spans="1:22" x14ac:dyDescent="0.25">
      <c r="A1264">
        <v>141</v>
      </c>
      <c r="B1264">
        <v>3</v>
      </c>
      <c r="C1264">
        <v>50</v>
      </c>
      <c r="D1264">
        <v>1</v>
      </c>
      <c r="E1264">
        <v>1</v>
      </c>
      <c r="F1264">
        <v>0</v>
      </c>
      <c r="G1264">
        <v>0</v>
      </c>
      <c r="H1264">
        <v>450</v>
      </c>
      <c r="I1264">
        <f t="shared" si="190"/>
        <v>1260</v>
      </c>
      <c r="J1264" s="6">
        <f t="array" aca="1" ref="J1264:N1264" ca="1">TRANSPOSE(ols(OFFSET($C$2:$C$10,I1264,0),OFFSET($D$2:$H$10,I1264,0)))</f>
        <v>77.738095238094502</v>
      </c>
      <c r="K1264" s="6">
        <f ca="1"/>
        <v>4.6428571428571104</v>
      </c>
      <c r="L1264" s="6">
        <f ca="1"/>
        <v>5.2380952380945018</v>
      </c>
      <c r="M1264" s="6">
        <f ca="1"/>
        <v>-17.619047619047365</v>
      </c>
      <c r="N1264" s="6">
        <f ca="1"/>
        <v>-6.9047619047621467E-2</v>
      </c>
      <c r="O1264" s="6">
        <f t="shared" ca="1" si="182"/>
        <v>51.309523809521949</v>
      </c>
      <c r="P1264" t="str">
        <f t="shared" si="183"/>
        <v>NA</v>
      </c>
      <c r="Q1264" s="10">
        <f t="shared" ca="1" si="184"/>
        <v>41.190476190474129</v>
      </c>
      <c r="R1264" s="10">
        <f t="shared" ca="1" si="185"/>
        <v>82.380952380951612</v>
      </c>
      <c r="S1264" s="10">
        <f t="shared" ca="1" si="186"/>
        <v>-41.190476190477483</v>
      </c>
      <c r="T1264" s="10">
        <f t="shared" ca="1" si="187"/>
        <v>596.55172413792889</v>
      </c>
      <c r="U1264" s="10">
        <f t="shared" ca="1" si="188"/>
        <v>596.55172413792889</v>
      </c>
      <c r="V1264">
        <f t="shared" si="189"/>
        <v>2</v>
      </c>
    </row>
    <row r="1265" spans="1:22" x14ac:dyDescent="0.25">
      <c r="A1265">
        <v>141</v>
      </c>
      <c r="B1265">
        <v>4</v>
      </c>
      <c r="C1265">
        <v>40</v>
      </c>
      <c r="D1265">
        <v>1</v>
      </c>
      <c r="E1265">
        <v>0</v>
      </c>
      <c r="F1265">
        <v>0</v>
      </c>
      <c r="G1265">
        <v>0</v>
      </c>
      <c r="H1265">
        <v>550</v>
      </c>
      <c r="I1265">
        <f t="shared" si="190"/>
        <v>1260</v>
      </c>
      <c r="J1265" s="6">
        <f t="array" aca="1" ref="J1265:N1265" ca="1">TRANSPOSE(ols(OFFSET($C$2:$C$10,I1265,0),OFFSET($D$2:$H$10,I1265,0)))</f>
        <v>77.738095238094502</v>
      </c>
      <c r="K1265" s="6">
        <f ca="1"/>
        <v>4.6428571428571104</v>
      </c>
      <c r="L1265" s="6">
        <f ca="1"/>
        <v>5.2380952380945018</v>
      </c>
      <c r="M1265" s="6">
        <f ca="1"/>
        <v>-17.619047619047365</v>
      </c>
      <c r="N1265" s="6">
        <f ca="1"/>
        <v>-6.9047619047621467E-2</v>
      </c>
      <c r="O1265" s="6">
        <f t="shared" ca="1" si="182"/>
        <v>39.761904761902699</v>
      </c>
      <c r="P1265" t="str">
        <f t="shared" si="183"/>
        <v>NA</v>
      </c>
      <c r="Q1265" s="10">
        <f t="shared" ca="1" si="184"/>
        <v>41.190476190474129</v>
      </c>
      <c r="R1265" s="10">
        <f t="shared" ca="1" si="185"/>
        <v>77.738095238094502</v>
      </c>
      <c r="S1265" s="10">
        <f t="shared" ca="1" si="186"/>
        <v>-36.547619047620373</v>
      </c>
      <c r="T1265" s="10">
        <f t="shared" ca="1" si="187"/>
        <v>529.31034482758685</v>
      </c>
      <c r="U1265" s="10">
        <f t="shared" ca="1" si="188"/>
        <v>529.31034482758685</v>
      </c>
      <c r="V1265">
        <f t="shared" si="189"/>
        <v>1</v>
      </c>
    </row>
    <row r="1266" spans="1:22" x14ac:dyDescent="0.25">
      <c r="A1266">
        <v>141</v>
      </c>
      <c r="B1266">
        <v>5</v>
      </c>
      <c r="C1266">
        <v>45</v>
      </c>
      <c r="D1266">
        <v>1</v>
      </c>
      <c r="E1266">
        <v>0</v>
      </c>
      <c r="F1266">
        <v>1</v>
      </c>
      <c r="G1266">
        <v>1</v>
      </c>
      <c r="H1266">
        <v>250</v>
      </c>
      <c r="I1266">
        <f t="shared" si="190"/>
        <v>1260</v>
      </c>
      <c r="J1266" s="6">
        <f t="array" aca="1" ref="J1266:N1266" ca="1">TRANSPOSE(ols(OFFSET($C$2:$C$10,I1266,0),OFFSET($D$2:$H$10,I1266,0)))</f>
        <v>77.738095238094502</v>
      </c>
      <c r="K1266" s="6">
        <f ca="1"/>
        <v>4.6428571428571104</v>
      </c>
      <c r="L1266" s="6">
        <f ca="1"/>
        <v>5.2380952380945018</v>
      </c>
      <c r="M1266" s="6">
        <f ca="1"/>
        <v>-17.619047619047365</v>
      </c>
      <c r="N1266" s="6">
        <f ca="1"/>
        <v>-6.9047619047621467E-2</v>
      </c>
      <c r="O1266" s="6">
        <f t="shared" ca="1" si="182"/>
        <v>48.095238095236269</v>
      </c>
      <c r="P1266" t="str">
        <f t="shared" si="183"/>
        <v>NA</v>
      </c>
      <c r="Q1266" s="10">
        <f t="shared" ca="1" si="184"/>
        <v>41.190476190474129</v>
      </c>
      <c r="R1266" s="10">
        <f t="shared" ca="1" si="185"/>
        <v>65.357142857141639</v>
      </c>
      <c r="S1266" s="10">
        <f t="shared" ca="1" si="186"/>
        <v>-24.16666666666751</v>
      </c>
      <c r="T1266" s="10">
        <f t="shared" ca="1" si="187"/>
        <v>349.99999999999994</v>
      </c>
      <c r="U1266" s="10">
        <f t="shared" ca="1" si="188"/>
        <v>349.99999999999994</v>
      </c>
      <c r="V1266">
        <f t="shared" si="189"/>
        <v>6</v>
      </c>
    </row>
    <row r="1267" spans="1:22" x14ac:dyDescent="0.25">
      <c r="A1267">
        <v>141</v>
      </c>
      <c r="B1267">
        <v>6</v>
      </c>
      <c r="C1267">
        <v>45</v>
      </c>
      <c r="D1267">
        <v>1</v>
      </c>
      <c r="E1267">
        <v>0</v>
      </c>
      <c r="F1267">
        <v>1</v>
      </c>
      <c r="G1267">
        <v>1</v>
      </c>
      <c r="H1267">
        <v>350</v>
      </c>
      <c r="I1267">
        <f t="shared" si="190"/>
        <v>1260</v>
      </c>
      <c r="J1267" s="6">
        <f t="array" aca="1" ref="J1267:N1267" ca="1">TRANSPOSE(ols(OFFSET($C$2:$C$10,I1267,0),OFFSET($D$2:$H$10,I1267,0)))</f>
        <v>77.738095238094502</v>
      </c>
      <c r="K1267" s="6">
        <f ca="1"/>
        <v>4.6428571428571104</v>
      </c>
      <c r="L1267" s="6">
        <f ca="1"/>
        <v>5.2380952380945018</v>
      </c>
      <c r="M1267" s="6">
        <f ca="1"/>
        <v>-17.619047619047365</v>
      </c>
      <c r="N1267" s="6">
        <f ca="1"/>
        <v>-6.9047619047621467E-2</v>
      </c>
      <c r="O1267" s="6">
        <f t="shared" ca="1" si="182"/>
        <v>41.190476190474129</v>
      </c>
      <c r="P1267">
        <f t="shared" ca="1" si="183"/>
        <v>41.190476190474129</v>
      </c>
      <c r="Q1267" s="10">
        <f t="shared" ca="1" si="184"/>
        <v>41.190476190474129</v>
      </c>
      <c r="R1267" s="10">
        <f t="shared" ca="1" si="185"/>
        <v>65.357142857141639</v>
      </c>
      <c r="S1267" s="10">
        <f t="shared" ca="1" si="186"/>
        <v>-24.16666666666751</v>
      </c>
      <c r="T1267" s="10">
        <f t="shared" ca="1" si="187"/>
        <v>349.99999999999994</v>
      </c>
      <c r="U1267" s="10">
        <f t="shared" ca="1" si="188"/>
        <v>349.99999999999994</v>
      </c>
      <c r="V1267">
        <f t="shared" si="189"/>
        <v>6</v>
      </c>
    </row>
    <row r="1268" spans="1:22" x14ac:dyDescent="0.25">
      <c r="A1268">
        <v>141</v>
      </c>
      <c r="B1268">
        <v>7</v>
      </c>
      <c r="C1268">
        <v>35</v>
      </c>
      <c r="D1268">
        <v>1</v>
      </c>
      <c r="E1268">
        <v>1</v>
      </c>
      <c r="F1268">
        <v>0</v>
      </c>
      <c r="G1268">
        <v>1</v>
      </c>
      <c r="H1268">
        <v>450</v>
      </c>
      <c r="I1268">
        <f t="shared" si="190"/>
        <v>1260</v>
      </c>
      <c r="J1268" s="6">
        <f t="array" aca="1" ref="J1268:N1268" ca="1">TRANSPOSE(ols(OFFSET($C$2:$C$10,I1268,0),OFFSET($D$2:$H$10,I1268,0)))</f>
        <v>77.738095238094502</v>
      </c>
      <c r="K1268" s="6">
        <f ca="1"/>
        <v>4.6428571428571104</v>
      </c>
      <c r="L1268" s="6">
        <f ca="1"/>
        <v>5.2380952380945018</v>
      </c>
      <c r="M1268" s="6">
        <f ca="1"/>
        <v>-17.619047619047365</v>
      </c>
      <c r="N1268" s="6">
        <f ca="1"/>
        <v>-6.9047619047621467E-2</v>
      </c>
      <c r="O1268" s="6">
        <f t="shared" ca="1" si="182"/>
        <v>33.690476190474584</v>
      </c>
      <c r="P1268" t="str">
        <f t="shared" si="183"/>
        <v>NA</v>
      </c>
      <c r="Q1268" s="10">
        <f t="shared" ca="1" si="184"/>
        <v>41.190476190474129</v>
      </c>
      <c r="R1268" s="10">
        <f t="shared" ca="1" si="185"/>
        <v>64.761904761904248</v>
      </c>
      <c r="S1268" s="10">
        <f t="shared" ca="1" si="186"/>
        <v>-23.571428571430118</v>
      </c>
      <c r="T1268" s="10">
        <f t="shared" ca="1" si="187"/>
        <v>341.37931034483802</v>
      </c>
      <c r="U1268" s="10">
        <f t="shared" ca="1" si="188"/>
        <v>341.37931034483802</v>
      </c>
      <c r="V1268">
        <f t="shared" si="189"/>
        <v>5</v>
      </c>
    </row>
    <row r="1269" spans="1:22" x14ac:dyDescent="0.25">
      <c r="A1269">
        <v>141</v>
      </c>
      <c r="B1269">
        <v>8</v>
      </c>
      <c r="C1269">
        <v>25</v>
      </c>
      <c r="D1269">
        <v>1</v>
      </c>
      <c r="E1269">
        <v>1</v>
      </c>
      <c r="F1269">
        <v>0</v>
      </c>
      <c r="G1269">
        <v>1</v>
      </c>
      <c r="H1269">
        <v>550</v>
      </c>
      <c r="I1269">
        <f t="shared" si="190"/>
        <v>1260</v>
      </c>
      <c r="J1269" s="6">
        <f t="array" aca="1" ref="J1269:N1269" ca="1">TRANSPOSE(ols(OFFSET($C$2:$C$10,I1269,0),OFFSET($D$2:$H$10,I1269,0)))</f>
        <v>77.738095238094502</v>
      </c>
      <c r="K1269" s="6">
        <f ca="1"/>
        <v>4.6428571428571104</v>
      </c>
      <c r="L1269" s="6">
        <f ca="1"/>
        <v>5.2380952380945018</v>
      </c>
      <c r="M1269" s="6">
        <f ca="1"/>
        <v>-17.619047619047365</v>
      </c>
      <c r="N1269" s="6">
        <f ca="1"/>
        <v>-6.9047619047621467E-2</v>
      </c>
      <c r="O1269" s="6">
        <f t="shared" ca="1" si="182"/>
        <v>26.785714285712444</v>
      </c>
      <c r="P1269" t="str">
        <f t="shared" si="183"/>
        <v>NA</v>
      </c>
      <c r="Q1269" s="10">
        <f t="shared" ca="1" si="184"/>
        <v>41.190476190474129</v>
      </c>
      <c r="R1269" s="10">
        <f t="shared" ca="1" si="185"/>
        <v>64.761904761904248</v>
      </c>
      <c r="S1269" s="10">
        <f t="shared" ca="1" si="186"/>
        <v>-23.571428571430118</v>
      </c>
      <c r="T1269" s="10">
        <f t="shared" ca="1" si="187"/>
        <v>341.37931034483802</v>
      </c>
      <c r="U1269" s="10">
        <f t="shared" ca="1" si="188"/>
        <v>341.37931034483802</v>
      </c>
      <c r="V1269">
        <f t="shared" si="189"/>
        <v>5</v>
      </c>
    </row>
    <row r="1270" spans="1:22" x14ac:dyDescent="0.25">
      <c r="A1270">
        <v>141</v>
      </c>
      <c r="B1270">
        <v>9</v>
      </c>
      <c r="C1270">
        <v>15</v>
      </c>
      <c r="D1270">
        <v>1</v>
      </c>
      <c r="E1270">
        <v>0</v>
      </c>
      <c r="F1270">
        <v>0</v>
      </c>
      <c r="G1270">
        <v>1</v>
      </c>
      <c r="H1270">
        <v>650</v>
      </c>
      <c r="I1270">
        <f t="shared" si="190"/>
        <v>1260</v>
      </c>
      <c r="J1270" s="6">
        <f t="array" aca="1" ref="J1270:N1270" ca="1">TRANSPOSE(ols(OFFSET($C$2:$C$10,I1270,0),OFFSET($D$2:$H$10,I1270,0)))</f>
        <v>77.738095238094502</v>
      </c>
      <c r="K1270" s="6">
        <f ca="1"/>
        <v>4.6428571428571104</v>
      </c>
      <c r="L1270" s="6">
        <f ca="1"/>
        <v>5.2380952380945018</v>
      </c>
      <c r="M1270" s="6">
        <f ca="1"/>
        <v>-17.619047619047365</v>
      </c>
      <c r="N1270" s="6">
        <f ca="1"/>
        <v>-6.9047619047621467E-2</v>
      </c>
      <c r="O1270" s="6">
        <f t="shared" ca="1" si="182"/>
        <v>15.23809523809318</v>
      </c>
      <c r="P1270" t="str">
        <f t="shared" si="183"/>
        <v>NA</v>
      </c>
      <c r="Q1270" s="10">
        <f t="shared" ca="1" si="184"/>
        <v>41.190476190474129</v>
      </c>
      <c r="R1270" s="10">
        <f t="shared" ca="1" si="185"/>
        <v>60.119047619047137</v>
      </c>
      <c r="S1270" s="10">
        <f t="shared" ca="1" si="186"/>
        <v>-18.928571428573008</v>
      </c>
      <c r="T1270" s="10">
        <f t="shared" ca="1" si="187"/>
        <v>274.13793103449603</v>
      </c>
      <c r="U1270" s="10">
        <f t="shared" ca="1" si="188"/>
        <v>274.13793103449603</v>
      </c>
      <c r="V1270">
        <f t="shared" si="189"/>
        <v>4</v>
      </c>
    </row>
    <row r="1271" spans="1:22" x14ac:dyDescent="0.25">
      <c r="A1271">
        <v>142</v>
      </c>
      <c r="B1271">
        <v>1</v>
      </c>
      <c r="C1271">
        <v>60</v>
      </c>
      <c r="D1271">
        <v>1</v>
      </c>
      <c r="E1271">
        <v>0</v>
      </c>
      <c r="F1271">
        <v>1</v>
      </c>
      <c r="G1271">
        <v>0</v>
      </c>
      <c r="H1271">
        <v>250</v>
      </c>
      <c r="I1271">
        <f t="shared" si="190"/>
        <v>1269</v>
      </c>
      <c r="J1271" s="6">
        <f t="array" aca="1" ref="J1271:N1271" ca="1">TRANSPOSE(ols(OFFSET($C$2:$C$10,I1271,0),OFFSET($D$2:$H$10,I1271,0)))</f>
        <v>90.595238095237619</v>
      </c>
      <c r="K1271" s="6">
        <f ca="1"/>
        <v>2.8571428571426623</v>
      </c>
      <c r="L1271" s="6">
        <f ca="1"/>
        <v>-1.9047619047614717</v>
      </c>
      <c r="M1271" s="6">
        <f ca="1"/>
        <v>-4.0476190476186957</v>
      </c>
      <c r="N1271" s="6">
        <f ca="1"/>
        <v>-9.761904761904816E-2</v>
      </c>
      <c r="O1271" s="6">
        <f t="shared" ca="1" si="182"/>
        <v>64.285714285714107</v>
      </c>
      <c r="P1271" t="str">
        <f t="shared" si="183"/>
        <v>NA</v>
      </c>
      <c r="Q1271" s="10">
        <f t="shared" ca="1" si="184"/>
        <v>50.476190476190595</v>
      </c>
      <c r="R1271" s="10">
        <f t="shared" ca="1" si="185"/>
        <v>88.690476190476147</v>
      </c>
      <c r="S1271" s="10">
        <f t="shared" ca="1" si="186"/>
        <v>-38.214285714285552</v>
      </c>
      <c r="T1271" s="10">
        <f t="shared" ca="1" si="187"/>
        <v>391.46341463414251</v>
      </c>
      <c r="U1271" s="10">
        <f t="shared" ca="1" si="188"/>
        <v>391.46341463414251</v>
      </c>
      <c r="V1271">
        <f t="shared" si="189"/>
        <v>3</v>
      </c>
    </row>
    <row r="1272" spans="1:22" x14ac:dyDescent="0.25">
      <c r="A1272">
        <v>142</v>
      </c>
      <c r="B1272">
        <v>2</v>
      </c>
      <c r="C1272">
        <v>60</v>
      </c>
      <c r="D1272">
        <v>1</v>
      </c>
      <c r="E1272">
        <v>1</v>
      </c>
      <c r="F1272">
        <v>0</v>
      </c>
      <c r="G1272">
        <v>0</v>
      </c>
      <c r="H1272">
        <v>350</v>
      </c>
      <c r="I1272">
        <f t="shared" si="190"/>
        <v>1269</v>
      </c>
      <c r="J1272" s="6">
        <f t="array" aca="1" ref="J1272:N1272" ca="1">TRANSPOSE(ols(OFFSET($C$2:$C$10,I1272,0),OFFSET($D$2:$H$10,I1272,0)))</f>
        <v>90.595238095237619</v>
      </c>
      <c r="K1272" s="6">
        <f ca="1"/>
        <v>2.8571428571426623</v>
      </c>
      <c r="L1272" s="6">
        <f ca="1"/>
        <v>-1.9047619047614717</v>
      </c>
      <c r="M1272" s="6">
        <f ca="1"/>
        <v>-4.0476190476186957</v>
      </c>
      <c r="N1272" s="6">
        <f ca="1"/>
        <v>-9.761904761904816E-2</v>
      </c>
      <c r="O1272" s="6">
        <f t="shared" ca="1" si="182"/>
        <v>59.285714285713425</v>
      </c>
      <c r="P1272" t="str">
        <f t="shared" si="183"/>
        <v>NA</v>
      </c>
      <c r="Q1272" s="10">
        <f t="shared" ca="1" si="184"/>
        <v>50.476190476190595</v>
      </c>
      <c r="R1272" s="10">
        <f t="shared" ca="1" si="185"/>
        <v>93.452380952380281</v>
      </c>
      <c r="S1272" s="10">
        <f t="shared" ca="1" si="186"/>
        <v>-42.976190476189686</v>
      </c>
      <c r="T1272" s="10">
        <f t="shared" ca="1" si="187"/>
        <v>440.24390243901388</v>
      </c>
      <c r="U1272" s="10">
        <f t="shared" ca="1" si="188"/>
        <v>440.24390243901388</v>
      </c>
      <c r="V1272">
        <f t="shared" si="189"/>
        <v>2</v>
      </c>
    </row>
    <row r="1273" spans="1:22" x14ac:dyDescent="0.25">
      <c r="A1273">
        <v>142</v>
      </c>
      <c r="B1273">
        <v>3</v>
      </c>
      <c r="C1273">
        <v>50</v>
      </c>
      <c r="D1273">
        <v>1</v>
      </c>
      <c r="E1273">
        <v>1</v>
      </c>
      <c r="F1273">
        <v>0</v>
      </c>
      <c r="G1273">
        <v>0</v>
      </c>
      <c r="H1273">
        <v>450</v>
      </c>
      <c r="I1273">
        <f t="shared" si="190"/>
        <v>1269</v>
      </c>
      <c r="J1273" s="6">
        <f t="array" aca="1" ref="J1273:N1273" ca="1">TRANSPOSE(ols(OFFSET($C$2:$C$10,I1273,0),OFFSET($D$2:$H$10,I1273,0)))</f>
        <v>90.595238095237619</v>
      </c>
      <c r="K1273" s="6">
        <f ca="1"/>
        <v>2.8571428571426623</v>
      </c>
      <c r="L1273" s="6">
        <f ca="1"/>
        <v>-1.9047619047614717</v>
      </c>
      <c r="M1273" s="6">
        <f ca="1"/>
        <v>-4.0476190476186957</v>
      </c>
      <c r="N1273" s="6">
        <f ca="1"/>
        <v>-9.761904761904816E-2</v>
      </c>
      <c r="O1273" s="6">
        <f t="shared" ca="1" si="182"/>
        <v>49.523809523808609</v>
      </c>
      <c r="P1273" t="str">
        <f t="shared" si="183"/>
        <v>NA</v>
      </c>
      <c r="Q1273" s="10">
        <f t="shared" ca="1" si="184"/>
        <v>50.476190476190595</v>
      </c>
      <c r="R1273" s="10">
        <f t="shared" ca="1" si="185"/>
        <v>93.452380952380281</v>
      </c>
      <c r="S1273" s="10">
        <f t="shared" ca="1" si="186"/>
        <v>-42.976190476189686</v>
      </c>
      <c r="T1273" s="10">
        <f t="shared" ca="1" si="187"/>
        <v>440.24390243901388</v>
      </c>
      <c r="U1273" s="10">
        <f t="shared" ca="1" si="188"/>
        <v>440.24390243901388</v>
      </c>
      <c r="V1273">
        <f t="shared" si="189"/>
        <v>2</v>
      </c>
    </row>
    <row r="1274" spans="1:22" x14ac:dyDescent="0.25">
      <c r="A1274">
        <v>142</v>
      </c>
      <c r="B1274">
        <v>4</v>
      </c>
      <c r="C1274">
        <v>40</v>
      </c>
      <c r="D1274">
        <v>1</v>
      </c>
      <c r="E1274">
        <v>0</v>
      </c>
      <c r="F1274">
        <v>0</v>
      </c>
      <c r="G1274">
        <v>0</v>
      </c>
      <c r="H1274">
        <v>550</v>
      </c>
      <c r="I1274">
        <f t="shared" si="190"/>
        <v>1269</v>
      </c>
      <c r="J1274" s="6">
        <f t="array" aca="1" ref="J1274:N1274" ca="1">TRANSPOSE(ols(OFFSET($C$2:$C$10,I1274,0),OFFSET($D$2:$H$10,I1274,0)))</f>
        <v>90.595238095237619</v>
      </c>
      <c r="K1274" s="6">
        <f ca="1"/>
        <v>2.8571428571426623</v>
      </c>
      <c r="L1274" s="6">
        <f ca="1"/>
        <v>-1.9047619047614717</v>
      </c>
      <c r="M1274" s="6">
        <f ca="1"/>
        <v>-4.0476190476186957</v>
      </c>
      <c r="N1274" s="6">
        <f ca="1"/>
        <v>-9.761904761904816E-2</v>
      </c>
      <c r="O1274" s="6">
        <f t="shared" ca="1" si="182"/>
        <v>36.904761904761131</v>
      </c>
      <c r="P1274" t="str">
        <f t="shared" si="183"/>
        <v>NA</v>
      </c>
      <c r="Q1274" s="10">
        <f t="shared" ca="1" si="184"/>
        <v>50.476190476190595</v>
      </c>
      <c r="R1274" s="10">
        <f t="shared" ca="1" si="185"/>
        <v>90.595238095237619</v>
      </c>
      <c r="S1274" s="10">
        <f t="shared" ca="1" si="186"/>
        <v>-40.119047619047024</v>
      </c>
      <c r="T1274" s="10">
        <f t="shared" ca="1" si="187"/>
        <v>410.97560975608917</v>
      </c>
      <c r="U1274" s="10">
        <f t="shared" ca="1" si="188"/>
        <v>410.97560975608917</v>
      </c>
      <c r="V1274">
        <f t="shared" si="189"/>
        <v>1</v>
      </c>
    </row>
    <row r="1275" spans="1:22" x14ac:dyDescent="0.25">
      <c r="A1275">
        <v>142</v>
      </c>
      <c r="B1275">
        <v>5</v>
      </c>
      <c r="C1275">
        <v>60</v>
      </c>
      <c r="D1275">
        <v>1</v>
      </c>
      <c r="E1275">
        <v>0</v>
      </c>
      <c r="F1275">
        <v>1</v>
      </c>
      <c r="G1275">
        <v>1</v>
      </c>
      <c r="H1275">
        <v>250</v>
      </c>
      <c r="I1275">
        <f t="shared" si="190"/>
        <v>1269</v>
      </c>
      <c r="J1275" s="6">
        <f t="array" aca="1" ref="J1275:N1275" ca="1">TRANSPOSE(ols(OFFSET($C$2:$C$10,I1275,0),OFFSET($D$2:$H$10,I1275,0)))</f>
        <v>90.595238095237619</v>
      </c>
      <c r="K1275" s="6">
        <f ca="1"/>
        <v>2.8571428571426623</v>
      </c>
      <c r="L1275" s="6">
        <f ca="1"/>
        <v>-1.9047619047614717</v>
      </c>
      <c r="M1275" s="6">
        <f ca="1"/>
        <v>-4.0476190476186957</v>
      </c>
      <c r="N1275" s="6">
        <f ca="1"/>
        <v>-9.761904761904816E-2</v>
      </c>
      <c r="O1275" s="6">
        <f t="shared" ca="1" si="182"/>
        <v>60.238095238095411</v>
      </c>
      <c r="P1275" t="str">
        <f t="shared" si="183"/>
        <v>NA</v>
      </c>
      <c r="Q1275" s="10">
        <f t="shared" ca="1" si="184"/>
        <v>50.476190476190595</v>
      </c>
      <c r="R1275" s="10">
        <f t="shared" ca="1" si="185"/>
        <v>84.642857142857451</v>
      </c>
      <c r="S1275" s="10">
        <f t="shared" ca="1" si="186"/>
        <v>-34.166666666666856</v>
      </c>
      <c r="T1275" s="10">
        <f t="shared" ca="1" si="187"/>
        <v>350</v>
      </c>
      <c r="U1275" s="10">
        <f t="shared" ca="1" si="188"/>
        <v>350</v>
      </c>
      <c r="V1275">
        <f t="shared" si="189"/>
        <v>6</v>
      </c>
    </row>
    <row r="1276" spans="1:22" x14ac:dyDescent="0.25">
      <c r="A1276">
        <v>142</v>
      </c>
      <c r="B1276">
        <v>6</v>
      </c>
      <c r="C1276">
        <v>55</v>
      </c>
      <c r="D1276">
        <v>1</v>
      </c>
      <c r="E1276">
        <v>0</v>
      </c>
      <c r="F1276">
        <v>1</v>
      </c>
      <c r="G1276">
        <v>1</v>
      </c>
      <c r="H1276">
        <v>350</v>
      </c>
      <c r="I1276">
        <f t="shared" si="190"/>
        <v>1269</v>
      </c>
      <c r="J1276" s="6">
        <f t="array" aca="1" ref="J1276:N1276" ca="1">TRANSPOSE(ols(OFFSET($C$2:$C$10,I1276,0),OFFSET($D$2:$H$10,I1276,0)))</f>
        <v>90.595238095237619</v>
      </c>
      <c r="K1276" s="6">
        <f ca="1"/>
        <v>2.8571428571426623</v>
      </c>
      <c r="L1276" s="6">
        <f ca="1"/>
        <v>-1.9047619047614717</v>
      </c>
      <c r="M1276" s="6">
        <f ca="1"/>
        <v>-4.0476190476186957</v>
      </c>
      <c r="N1276" s="6">
        <f ca="1"/>
        <v>-9.761904761904816E-2</v>
      </c>
      <c r="O1276" s="6">
        <f t="shared" ca="1" si="182"/>
        <v>50.476190476190595</v>
      </c>
      <c r="P1276">
        <f t="shared" ca="1" si="183"/>
        <v>50.476190476190595</v>
      </c>
      <c r="Q1276" s="10">
        <f t="shared" ca="1" si="184"/>
        <v>50.476190476190595</v>
      </c>
      <c r="R1276" s="10">
        <f t="shared" ca="1" si="185"/>
        <v>84.642857142857451</v>
      </c>
      <c r="S1276" s="10">
        <f t="shared" ca="1" si="186"/>
        <v>-34.166666666666856</v>
      </c>
      <c r="T1276" s="10">
        <f t="shared" ca="1" si="187"/>
        <v>350</v>
      </c>
      <c r="U1276" s="10">
        <f t="shared" ca="1" si="188"/>
        <v>350</v>
      </c>
      <c r="V1276">
        <f t="shared" si="189"/>
        <v>6</v>
      </c>
    </row>
    <row r="1277" spans="1:22" x14ac:dyDescent="0.25">
      <c r="A1277">
        <v>142</v>
      </c>
      <c r="B1277">
        <v>7</v>
      </c>
      <c r="C1277">
        <v>45</v>
      </c>
      <c r="D1277">
        <v>1</v>
      </c>
      <c r="E1277">
        <v>1</v>
      </c>
      <c r="F1277">
        <v>0</v>
      </c>
      <c r="G1277">
        <v>1</v>
      </c>
      <c r="H1277">
        <v>450</v>
      </c>
      <c r="I1277">
        <f t="shared" si="190"/>
        <v>1269</v>
      </c>
      <c r="J1277" s="6">
        <f t="array" aca="1" ref="J1277:N1277" ca="1">TRANSPOSE(ols(OFFSET($C$2:$C$10,I1277,0),OFFSET($D$2:$H$10,I1277,0)))</f>
        <v>90.595238095237619</v>
      </c>
      <c r="K1277" s="6">
        <f ca="1"/>
        <v>2.8571428571426623</v>
      </c>
      <c r="L1277" s="6">
        <f ca="1"/>
        <v>-1.9047619047614717</v>
      </c>
      <c r="M1277" s="6">
        <f ca="1"/>
        <v>-4.0476190476186957</v>
      </c>
      <c r="N1277" s="6">
        <f ca="1"/>
        <v>-9.761904761904816E-2</v>
      </c>
      <c r="O1277" s="6">
        <f t="shared" ca="1" si="182"/>
        <v>45.476190476189913</v>
      </c>
      <c r="P1277" t="str">
        <f t="shared" si="183"/>
        <v>NA</v>
      </c>
      <c r="Q1277" s="10">
        <f t="shared" ca="1" si="184"/>
        <v>50.476190476190595</v>
      </c>
      <c r="R1277" s="10">
        <f t="shared" ca="1" si="185"/>
        <v>89.404761904761585</v>
      </c>
      <c r="S1277" s="10">
        <f t="shared" ca="1" si="186"/>
        <v>-38.92857142857099</v>
      </c>
      <c r="T1277" s="10">
        <f t="shared" ca="1" si="187"/>
        <v>398.78048780487137</v>
      </c>
      <c r="U1277" s="10">
        <f t="shared" ca="1" si="188"/>
        <v>398.78048780487137</v>
      </c>
      <c r="V1277">
        <f t="shared" si="189"/>
        <v>5</v>
      </c>
    </row>
    <row r="1278" spans="1:22" x14ac:dyDescent="0.25">
      <c r="A1278">
        <v>142</v>
      </c>
      <c r="B1278">
        <v>8</v>
      </c>
      <c r="C1278">
        <v>35</v>
      </c>
      <c r="D1278">
        <v>1</v>
      </c>
      <c r="E1278">
        <v>1</v>
      </c>
      <c r="F1278">
        <v>0</v>
      </c>
      <c r="G1278">
        <v>1</v>
      </c>
      <c r="H1278">
        <v>550</v>
      </c>
      <c r="I1278">
        <f t="shared" si="190"/>
        <v>1269</v>
      </c>
      <c r="J1278" s="6">
        <f t="array" aca="1" ref="J1278:N1278" ca="1">TRANSPOSE(ols(OFFSET($C$2:$C$10,I1278,0),OFFSET($D$2:$H$10,I1278,0)))</f>
        <v>90.595238095237619</v>
      </c>
      <c r="K1278" s="6">
        <f ca="1"/>
        <v>2.8571428571426623</v>
      </c>
      <c r="L1278" s="6">
        <f ca="1"/>
        <v>-1.9047619047614717</v>
      </c>
      <c r="M1278" s="6">
        <f ca="1"/>
        <v>-4.0476190476186957</v>
      </c>
      <c r="N1278" s="6">
        <f ca="1"/>
        <v>-9.761904761904816E-2</v>
      </c>
      <c r="O1278" s="6">
        <f t="shared" ca="1" si="182"/>
        <v>35.714285714285097</v>
      </c>
      <c r="P1278" t="str">
        <f t="shared" si="183"/>
        <v>NA</v>
      </c>
      <c r="Q1278" s="10">
        <f t="shared" ca="1" si="184"/>
        <v>50.476190476190595</v>
      </c>
      <c r="R1278" s="10">
        <f t="shared" ca="1" si="185"/>
        <v>89.404761904761585</v>
      </c>
      <c r="S1278" s="10">
        <f t="shared" ca="1" si="186"/>
        <v>-38.92857142857099</v>
      </c>
      <c r="T1278" s="10">
        <f t="shared" ca="1" si="187"/>
        <v>398.78048780487137</v>
      </c>
      <c r="U1278" s="10">
        <f t="shared" ca="1" si="188"/>
        <v>398.78048780487137</v>
      </c>
      <c r="V1278">
        <f t="shared" si="189"/>
        <v>5</v>
      </c>
    </row>
    <row r="1279" spans="1:22" x14ac:dyDescent="0.25">
      <c r="A1279">
        <v>142</v>
      </c>
      <c r="B1279">
        <v>9</v>
      </c>
      <c r="C1279">
        <v>20</v>
      </c>
      <c r="D1279">
        <v>1</v>
      </c>
      <c r="E1279">
        <v>0</v>
      </c>
      <c r="F1279">
        <v>0</v>
      </c>
      <c r="G1279">
        <v>1</v>
      </c>
      <c r="H1279">
        <v>650</v>
      </c>
      <c r="I1279">
        <f t="shared" si="190"/>
        <v>1269</v>
      </c>
      <c r="J1279" s="6">
        <f t="array" aca="1" ref="J1279:N1279" ca="1">TRANSPOSE(ols(OFFSET($C$2:$C$10,I1279,0),OFFSET($D$2:$H$10,I1279,0)))</f>
        <v>90.595238095237619</v>
      </c>
      <c r="K1279" s="6">
        <f ca="1"/>
        <v>2.8571428571426623</v>
      </c>
      <c r="L1279" s="6">
        <f ca="1"/>
        <v>-1.9047619047614717</v>
      </c>
      <c r="M1279" s="6">
        <f ca="1"/>
        <v>-4.0476190476186957</v>
      </c>
      <c r="N1279" s="6">
        <f ca="1"/>
        <v>-9.761904761904816E-2</v>
      </c>
      <c r="O1279" s="6">
        <f t="shared" ca="1" si="182"/>
        <v>23.095238095237619</v>
      </c>
      <c r="P1279" t="str">
        <f t="shared" si="183"/>
        <v>NA</v>
      </c>
      <c r="Q1279" s="10">
        <f t="shared" ca="1" si="184"/>
        <v>50.476190476190595</v>
      </c>
      <c r="R1279" s="10">
        <f t="shared" ca="1" si="185"/>
        <v>86.547619047618923</v>
      </c>
      <c r="S1279" s="10">
        <f t="shared" ca="1" si="186"/>
        <v>-36.071428571428328</v>
      </c>
      <c r="T1279" s="10">
        <f t="shared" ca="1" si="187"/>
        <v>369.51219512194666</v>
      </c>
      <c r="U1279" s="10">
        <f t="shared" ca="1" si="188"/>
        <v>369.51219512194666</v>
      </c>
      <c r="V1279">
        <f t="shared" si="189"/>
        <v>4</v>
      </c>
    </row>
    <row r="1280" spans="1:22" x14ac:dyDescent="0.25">
      <c r="A1280">
        <v>143</v>
      </c>
      <c r="B1280">
        <v>1</v>
      </c>
      <c r="C1280">
        <v>40</v>
      </c>
      <c r="D1280">
        <v>1</v>
      </c>
      <c r="E1280">
        <v>0</v>
      </c>
      <c r="F1280">
        <v>1</v>
      </c>
      <c r="G1280">
        <v>0</v>
      </c>
      <c r="H1280">
        <v>250</v>
      </c>
      <c r="I1280">
        <f t="shared" si="190"/>
        <v>1278</v>
      </c>
      <c r="J1280" s="6">
        <f t="array" aca="1" ref="J1280:N1280" ca="1">TRANSPOSE(ols(OFFSET($C$2:$C$10,I1280,0),OFFSET($D$2:$H$10,I1280,0)))</f>
        <v>72.91666666666606</v>
      </c>
      <c r="K1280" s="6">
        <f ca="1"/>
        <v>-4.9999999999998863</v>
      </c>
      <c r="L1280" s="6">
        <f ca="1"/>
        <v>-8.3333333333332575</v>
      </c>
      <c r="M1280" s="6">
        <f ca="1"/>
        <v>-0.83333333333331439</v>
      </c>
      <c r="N1280" s="6">
        <f ca="1"/>
        <v>-0.1083333333333325</v>
      </c>
      <c r="O1280" s="6">
        <f t="shared" ca="1" si="182"/>
        <v>37.499999999999673</v>
      </c>
      <c r="P1280" t="str">
        <f t="shared" si="183"/>
        <v>NA</v>
      </c>
      <c r="Q1280" s="10">
        <f t="shared" ca="1" si="184"/>
        <v>25.833333333333115</v>
      </c>
      <c r="R1280" s="10">
        <f t="shared" ca="1" si="185"/>
        <v>64.583333333332803</v>
      </c>
      <c r="S1280" s="10">
        <f t="shared" ca="1" si="186"/>
        <v>-38.749999999999687</v>
      </c>
      <c r="T1280" s="10">
        <f t="shared" ca="1" si="187"/>
        <v>357.69230769230757</v>
      </c>
      <c r="U1280" s="10">
        <f t="shared" ca="1" si="188"/>
        <v>357.69230769230757</v>
      </c>
      <c r="V1280">
        <f t="shared" si="189"/>
        <v>3</v>
      </c>
    </row>
    <row r="1281" spans="1:22" x14ac:dyDescent="0.25">
      <c r="A1281">
        <v>143</v>
      </c>
      <c r="B1281">
        <v>2</v>
      </c>
      <c r="C1281">
        <v>35</v>
      </c>
      <c r="D1281">
        <v>1</v>
      </c>
      <c r="E1281">
        <v>1</v>
      </c>
      <c r="F1281">
        <v>0</v>
      </c>
      <c r="G1281">
        <v>0</v>
      </c>
      <c r="H1281">
        <v>350</v>
      </c>
      <c r="I1281">
        <f t="shared" si="190"/>
        <v>1278</v>
      </c>
      <c r="J1281" s="6">
        <f t="array" aca="1" ref="J1281:N1281" ca="1">TRANSPOSE(ols(OFFSET($C$2:$C$10,I1281,0),OFFSET($D$2:$H$10,I1281,0)))</f>
        <v>72.91666666666606</v>
      </c>
      <c r="K1281" s="6">
        <f ca="1"/>
        <v>-4.9999999999998863</v>
      </c>
      <c r="L1281" s="6">
        <f ca="1"/>
        <v>-8.3333333333332575</v>
      </c>
      <c r="M1281" s="6">
        <f ca="1"/>
        <v>-0.83333333333331439</v>
      </c>
      <c r="N1281" s="6">
        <f ca="1"/>
        <v>-0.1083333333333325</v>
      </c>
      <c r="O1281" s="6">
        <f t="shared" ca="1" si="182"/>
        <v>29.999999999999801</v>
      </c>
      <c r="P1281" t="str">
        <f t="shared" si="183"/>
        <v>NA</v>
      </c>
      <c r="Q1281" s="10">
        <f t="shared" ca="1" si="184"/>
        <v>25.833333333333115</v>
      </c>
      <c r="R1281" s="10">
        <f t="shared" ca="1" si="185"/>
        <v>67.916666666666174</v>
      </c>
      <c r="S1281" s="10">
        <f t="shared" ca="1" si="186"/>
        <v>-42.083333333333059</v>
      </c>
      <c r="T1281" s="10">
        <f t="shared" ca="1" si="187"/>
        <v>388.46153846153891</v>
      </c>
      <c r="U1281" s="10">
        <f t="shared" ca="1" si="188"/>
        <v>388.46153846153891</v>
      </c>
      <c r="V1281">
        <f t="shared" si="189"/>
        <v>2</v>
      </c>
    </row>
    <row r="1282" spans="1:22" x14ac:dyDescent="0.25">
      <c r="A1282">
        <v>143</v>
      </c>
      <c r="B1282">
        <v>3</v>
      </c>
      <c r="C1282">
        <v>15</v>
      </c>
      <c r="D1282">
        <v>1</v>
      </c>
      <c r="E1282">
        <v>1</v>
      </c>
      <c r="F1282">
        <v>0</v>
      </c>
      <c r="G1282">
        <v>0</v>
      </c>
      <c r="H1282">
        <v>450</v>
      </c>
      <c r="I1282">
        <f t="shared" si="190"/>
        <v>1278</v>
      </c>
      <c r="J1282" s="6">
        <f t="array" aca="1" ref="J1282:N1282" ca="1">TRANSPOSE(ols(OFFSET($C$2:$C$10,I1282,0),OFFSET($D$2:$H$10,I1282,0)))</f>
        <v>72.91666666666606</v>
      </c>
      <c r="K1282" s="6">
        <f ca="1"/>
        <v>-4.9999999999998863</v>
      </c>
      <c r="L1282" s="6">
        <f ca="1"/>
        <v>-8.3333333333332575</v>
      </c>
      <c r="M1282" s="6">
        <f ca="1"/>
        <v>-0.83333333333331439</v>
      </c>
      <c r="N1282" s="6">
        <f ca="1"/>
        <v>-0.1083333333333325</v>
      </c>
      <c r="O1282" s="6">
        <f t="shared" ca="1" si="182"/>
        <v>19.166666666666544</v>
      </c>
      <c r="P1282" t="str">
        <f t="shared" si="183"/>
        <v>NA</v>
      </c>
      <c r="Q1282" s="10">
        <f t="shared" ca="1" si="184"/>
        <v>25.833333333333115</v>
      </c>
      <c r="R1282" s="10">
        <f t="shared" ca="1" si="185"/>
        <v>67.916666666666174</v>
      </c>
      <c r="S1282" s="10">
        <f t="shared" ca="1" si="186"/>
        <v>-42.083333333333059</v>
      </c>
      <c r="T1282" s="10">
        <f t="shared" ca="1" si="187"/>
        <v>388.46153846153891</v>
      </c>
      <c r="U1282" s="10">
        <f t="shared" ca="1" si="188"/>
        <v>388.46153846153891</v>
      </c>
      <c r="V1282">
        <f t="shared" si="189"/>
        <v>2</v>
      </c>
    </row>
    <row r="1283" spans="1:22" x14ac:dyDescent="0.25">
      <c r="A1283">
        <v>143</v>
      </c>
      <c r="B1283">
        <v>4</v>
      </c>
      <c r="C1283">
        <v>10</v>
      </c>
      <c r="D1283">
        <v>1</v>
      </c>
      <c r="E1283">
        <v>0</v>
      </c>
      <c r="F1283">
        <v>0</v>
      </c>
      <c r="G1283">
        <v>0</v>
      </c>
      <c r="H1283">
        <v>550</v>
      </c>
      <c r="I1283">
        <f t="shared" si="190"/>
        <v>1278</v>
      </c>
      <c r="J1283" s="6">
        <f t="array" aca="1" ref="J1283:N1283" ca="1">TRANSPOSE(ols(OFFSET($C$2:$C$10,I1283,0),OFFSET($D$2:$H$10,I1283,0)))</f>
        <v>72.91666666666606</v>
      </c>
      <c r="K1283" s="6">
        <f ca="1"/>
        <v>-4.9999999999998863</v>
      </c>
      <c r="L1283" s="6">
        <f ca="1"/>
        <v>-8.3333333333332575</v>
      </c>
      <c r="M1283" s="6">
        <f ca="1"/>
        <v>-0.83333333333331439</v>
      </c>
      <c r="N1283" s="6">
        <f ca="1"/>
        <v>-0.1083333333333325</v>
      </c>
      <c r="O1283" s="6">
        <f t="shared" ref="O1283:O1346" ca="1" si="191">SUMPRODUCT(J1283:N1283,D1283:H1283)</f>
        <v>13.333333333333186</v>
      </c>
      <c r="P1283" t="str">
        <f t="shared" ref="P1283:P1346" si="192">IF(AND(F1283=1,G1283=1,H1283=350),O1283,"NA")</f>
        <v>NA</v>
      </c>
      <c r="Q1283" s="10">
        <f t="shared" ref="Q1283:Q1346" ca="1" si="193">AVERAGEIF($A$2:$A$5383,A1283,$P$2:$P$5383)</f>
        <v>25.833333333333115</v>
      </c>
      <c r="R1283" s="10">
        <f t="shared" ref="R1283:R1346" ca="1" si="194">O1283-N1283*H1283</f>
        <v>72.91666666666606</v>
      </c>
      <c r="S1283" s="10">
        <f t="shared" ref="S1283:S1346" ca="1" si="195">Q1283-R1283</f>
        <v>-47.083333333332945</v>
      </c>
      <c r="T1283" s="10">
        <f t="shared" ref="T1283:T1346" ca="1" si="196">S1283/N1283</f>
        <v>434.61538461538436</v>
      </c>
      <c r="U1283" s="10">
        <f t="shared" ref="U1283:U1346" ca="1" si="197">IF(OR(T1283&lt;250,T1283&gt;650),"OR",T1283)</f>
        <v>434.61538461538436</v>
      </c>
      <c r="V1283">
        <f t="shared" ref="V1283:V1346" si="198">IF(AND(E1283=1,G1283=0),2,IF(AND(F1283=1,G1283=0),3,IF(AND(E1283=1,G1283=1),5,IF(AND(F1283=1,G1283=1),6,IF(G1283=0,1,IF(G1283=1,4))))))</f>
        <v>1</v>
      </c>
    </row>
    <row r="1284" spans="1:22" x14ac:dyDescent="0.25">
      <c r="A1284">
        <v>143</v>
      </c>
      <c r="B1284">
        <v>5</v>
      </c>
      <c r="C1284">
        <v>30</v>
      </c>
      <c r="D1284">
        <v>1</v>
      </c>
      <c r="E1284">
        <v>0</v>
      </c>
      <c r="F1284">
        <v>1</v>
      </c>
      <c r="G1284">
        <v>1</v>
      </c>
      <c r="H1284">
        <v>250</v>
      </c>
      <c r="I1284">
        <f t="shared" si="190"/>
        <v>1278</v>
      </c>
      <c r="J1284" s="6">
        <f t="array" aca="1" ref="J1284:N1284" ca="1">TRANSPOSE(ols(OFFSET($C$2:$C$10,I1284,0),OFFSET($D$2:$H$10,I1284,0)))</f>
        <v>72.91666666666606</v>
      </c>
      <c r="K1284" s="6">
        <f ca="1"/>
        <v>-4.9999999999998863</v>
      </c>
      <c r="L1284" s="6">
        <f ca="1"/>
        <v>-8.3333333333332575</v>
      </c>
      <c r="M1284" s="6">
        <f ca="1"/>
        <v>-0.83333333333331439</v>
      </c>
      <c r="N1284" s="6">
        <f ca="1"/>
        <v>-0.1083333333333325</v>
      </c>
      <c r="O1284" s="6">
        <f t="shared" ca="1" si="191"/>
        <v>36.666666666666359</v>
      </c>
      <c r="P1284" t="str">
        <f t="shared" si="192"/>
        <v>NA</v>
      </c>
      <c r="Q1284" s="10">
        <f t="shared" ca="1" si="193"/>
        <v>25.833333333333115</v>
      </c>
      <c r="R1284" s="10">
        <f t="shared" ca="1" si="194"/>
        <v>63.749999999999488</v>
      </c>
      <c r="S1284" s="10">
        <f t="shared" ca="1" si="195"/>
        <v>-37.916666666666373</v>
      </c>
      <c r="T1284" s="10">
        <f t="shared" ca="1" si="196"/>
        <v>349.99999999999994</v>
      </c>
      <c r="U1284" s="10">
        <f t="shared" ca="1" si="197"/>
        <v>349.99999999999994</v>
      </c>
      <c r="V1284">
        <f t="shared" si="198"/>
        <v>6</v>
      </c>
    </row>
    <row r="1285" spans="1:22" x14ac:dyDescent="0.25">
      <c r="A1285">
        <v>143</v>
      </c>
      <c r="B1285">
        <v>6</v>
      </c>
      <c r="C1285">
        <v>30</v>
      </c>
      <c r="D1285">
        <v>1</v>
      </c>
      <c r="E1285">
        <v>0</v>
      </c>
      <c r="F1285">
        <v>1</v>
      </c>
      <c r="G1285">
        <v>1</v>
      </c>
      <c r="H1285">
        <v>350</v>
      </c>
      <c r="I1285">
        <f t="shared" si="190"/>
        <v>1278</v>
      </c>
      <c r="J1285" s="6">
        <f t="array" aca="1" ref="J1285:N1285" ca="1">TRANSPOSE(ols(OFFSET($C$2:$C$10,I1285,0),OFFSET($D$2:$H$10,I1285,0)))</f>
        <v>72.91666666666606</v>
      </c>
      <c r="K1285" s="6">
        <f ca="1"/>
        <v>-4.9999999999998863</v>
      </c>
      <c r="L1285" s="6">
        <f ca="1"/>
        <v>-8.3333333333332575</v>
      </c>
      <c r="M1285" s="6">
        <f ca="1"/>
        <v>-0.83333333333331439</v>
      </c>
      <c r="N1285" s="6">
        <f ca="1"/>
        <v>-0.1083333333333325</v>
      </c>
      <c r="O1285" s="6">
        <f t="shared" ca="1" si="191"/>
        <v>25.833333333333115</v>
      </c>
      <c r="P1285">
        <f t="shared" ca="1" si="192"/>
        <v>25.833333333333115</v>
      </c>
      <c r="Q1285" s="10">
        <f t="shared" ca="1" si="193"/>
        <v>25.833333333333115</v>
      </c>
      <c r="R1285" s="10">
        <f t="shared" ca="1" si="194"/>
        <v>63.749999999999488</v>
      </c>
      <c r="S1285" s="10">
        <f t="shared" ca="1" si="195"/>
        <v>-37.916666666666373</v>
      </c>
      <c r="T1285" s="10">
        <f t="shared" ca="1" si="196"/>
        <v>349.99999999999994</v>
      </c>
      <c r="U1285" s="10">
        <f t="shared" ca="1" si="197"/>
        <v>349.99999999999994</v>
      </c>
      <c r="V1285">
        <f t="shared" si="198"/>
        <v>6</v>
      </c>
    </row>
    <row r="1286" spans="1:22" x14ac:dyDescent="0.25">
      <c r="A1286">
        <v>143</v>
      </c>
      <c r="B1286">
        <v>7</v>
      </c>
      <c r="C1286">
        <v>20</v>
      </c>
      <c r="D1286">
        <v>1</v>
      </c>
      <c r="E1286">
        <v>1</v>
      </c>
      <c r="F1286">
        <v>0</v>
      </c>
      <c r="G1286">
        <v>1</v>
      </c>
      <c r="H1286">
        <v>450</v>
      </c>
      <c r="I1286">
        <f t="shared" si="190"/>
        <v>1278</v>
      </c>
      <c r="J1286" s="6">
        <f t="array" aca="1" ref="J1286:N1286" ca="1">TRANSPOSE(ols(OFFSET($C$2:$C$10,I1286,0),OFFSET($D$2:$H$10,I1286,0)))</f>
        <v>72.91666666666606</v>
      </c>
      <c r="K1286" s="6">
        <f ca="1"/>
        <v>-4.9999999999998863</v>
      </c>
      <c r="L1286" s="6">
        <f ca="1"/>
        <v>-8.3333333333332575</v>
      </c>
      <c r="M1286" s="6">
        <f ca="1"/>
        <v>-0.83333333333331439</v>
      </c>
      <c r="N1286" s="6">
        <f ca="1"/>
        <v>-0.1083333333333325</v>
      </c>
      <c r="O1286" s="6">
        <f t="shared" ca="1" si="191"/>
        <v>18.333333333333229</v>
      </c>
      <c r="P1286" t="str">
        <f t="shared" si="192"/>
        <v>NA</v>
      </c>
      <c r="Q1286" s="10">
        <f t="shared" ca="1" si="193"/>
        <v>25.833333333333115</v>
      </c>
      <c r="R1286" s="10">
        <f t="shared" ca="1" si="194"/>
        <v>67.08333333333286</v>
      </c>
      <c r="S1286" s="10">
        <f t="shared" ca="1" si="195"/>
        <v>-41.249999999999744</v>
      </c>
      <c r="T1286" s="10">
        <f t="shared" ca="1" si="196"/>
        <v>380.76923076923134</v>
      </c>
      <c r="U1286" s="10">
        <f t="shared" ca="1" si="197"/>
        <v>380.76923076923134</v>
      </c>
      <c r="V1286">
        <f t="shared" si="198"/>
        <v>5</v>
      </c>
    </row>
    <row r="1287" spans="1:22" x14ac:dyDescent="0.25">
      <c r="A1287">
        <v>143</v>
      </c>
      <c r="B1287">
        <v>8</v>
      </c>
      <c r="C1287">
        <v>5</v>
      </c>
      <c r="D1287">
        <v>1</v>
      </c>
      <c r="E1287">
        <v>1</v>
      </c>
      <c r="F1287">
        <v>0</v>
      </c>
      <c r="G1287">
        <v>1</v>
      </c>
      <c r="H1287">
        <v>550</v>
      </c>
      <c r="I1287">
        <f t="shared" si="190"/>
        <v>1278</v>
      </c>
      <c r="J1287" s="6">
        <f t="array" aca="1" ref="J1287:N1287" ca="1">TRANSPOSE(ols(OFFSET($C$2:$C$10,I1287,0),OFFSET($D$2:$H$10,I1287,0)))</f>
        <v>72.91666666666606</v>
      </c>
      <c r="K1287" s="6">
        <f ca="1"/>
        <v>-4.9999999999998863</v>
      </c>
      <c r="L1287" s="6">
        <f ca="1"/>
        <v>-8.3333333333332575</v>
      </c>
      <c r="M1287" s="6">
        <f ca="1"/>
        <v>-0.83333333333331439</v>
      </c>
      <c r="N1287" s="6">
        <f ca="1"/>
        <v>-0.1083333333333325</v>
      </c>
      <c r="O1287" s="6">
        <f t="shared" ca="1" si="191"/>
        <v>7.4999999999999858</v>
      </c>
      <c r="P1287" t="str">
        <f t="shared" si="192"/>
        <v>NA</v>
      </c>
      <c r="Q1287" s="10">
        <f t="shared" ca="1" si="193"/>
        <v>25.833333333333115</v>
      </c>
      <c r="R1287" s="10">
        <f t="shared" ca="1" si="194"/>
        <v>67.08333333333286</v>
      </c>
      <c r="S1287" s="10">
        <f t="shared" ca="1" si="195"/>
        <v>-41.249999999999744</v>
      </c>
      <c r="T1287" s="10">
        <f t="shared" ca="1" si="196"/>
        <v>380.76923076923134</v>
      </c>
      <c r="U1287" s="10">
        <f t="shared" ca="1" si="197"/>
        <v>380.76923076923134</v>
      </c>
      <c r="V1287">
        <f t="shared" si="198"/>
        <v>5</v>
      </c>
    </row>
    <row r="1288" spans="1:22" x14ac:dyDescent="0.25">
      <c r="A1288">
        <v>143</v>
      </c>
      <c r="B1288">
        <v>9</v>
      </c>
      <c r="C1288">
        <v>5</v>
      </c>
      <c r="D1288">
        <v>1</v>
      </c>
      <c r="E1288">
        <v>0</v>
      </c>
      <c r="F1288">
        <v>0</v>
      </c>
      <c r="G1288">
        <v>1</v>
      </c>
      <c r="H1288">
        <v>650</v>
      </c>
      <c r="I1288">
        <f t="shared" si="190"/>
        <v>1278</v>
      </c>
      <c r="J1288" s="6">
        <f t="array" aca="1" ref="J1288:N1288" ca="1">TRANSPOSE(ols(OFFSET($C$2:$C$10,I1288,0),OFFSET($D$2:$H$10,I1288,0)))</f>
        <v>72.91666666666606</v>
      </c>
      <c r="K1288" s="6">
        <f ca="1"/>
        <v>-4.9999999999998863</v>
      </c>
      <c r="L1288" s="6">
        <f ca="1"/>
        <v>-8.3333333333332575</v>
      </c>
      <c r="M1288" s="6">
        <f ca="1"/>
        <v>-0.83333333333331439</v>
      </c>
      <c r="N1288" s="6">
        <f ca="1"/>
        <v>-0.1083333333333325</v>
      </c>
      <c r="O1288" s="6">
        <f t="shared" ca="1" si="191"/>
        <v>1.6666666666666146</v>
      </c>
      <c r="P1288" t="str">
        <f t="shared" si="192"/>
        <v>NA</v>
      </c>
      <c r="Q1288" s="10">
        <f t="shared" ca="1" si="193"/>
        <v>25.833333333333115</v>
      </c>
      <c r="R1288" s="10">
        <f t="shared" ca="1" si="194"/>
        <v>72.083333333332746</v>
      </c>
      <c r="S1288" s="10">
        <f t="shared" ca="1" si="195"/>
        <v>-46.249999999999631</v>
      </c>
      <c r="T1288" s="10">
        <f t="shared" ca="1" si="196"/>
        <v>426.92307692307679</v>
      </c>
      <c r="U1288" s="10">
        <f t="shared" ca="1" si="197"/>
        <v>426.92307692307679</v>
      </c>
      <c r="V1288">
        <f t="shared" si="198"/>
        <v>4</v>
      </c>
    </row>
    <row r="1289" spans="1:22" x14ac:dyDescent="0.25">
      <c r="A1289">
        <v>144</v>
      </c>
      <c r="B1289">
        <v>1</v>
      </c>
      <c r="C1289">
        <v>25</v>
      </c>
      <c r="D1289">
        <v>1</v>
      </c>
      <c r="E1289">
        <v>0</v>
      </c>
      <c r="F1289">
        <v>1</v>
      </c>
      <c r="G1289">
        <v>0</v>
      </c>
      <c r="H1289">
        <v>250</v>
      </c>
      <c r="I1289">
        <f t="shared" si="190"/>
        <v>1287</v>
      </c>
      <c r="J1289" s="6">
        <f t="array" aca="1" ref="J1289:N1289" ca="1">TRANSPOSE(ols(OFFSET($C$2:$C$10,I1289,0),OFFSET($D$2:$H$10,I1289,0)))</f>
        <v>102.02380952380736</v>
      </c>
      <c r="K1289" s="6">
        <f ca="1"/>
        <v>-5.5357142857146755</v>
      </c>
      <c r="L1289" s="6">
        <f ca="1"/>
        <v>-57.976190476190823</v>
      </c>
      <c r="M1289" s="6">
        <f ca="1"/>
        <v>5.2380952380958661</v>
      </c>
      <c r="N1289" s="6">
        <f ca="1"/>
        <v>-6.1904761904763461E-2</v>
      </c>
      <c r="O1289" s="6">
        <f t="shared" ca="1" si="191"/>
        <v>28.57142857142567</v>
      </c>
      <c r="P1289" t="str">
        <f t="shared" si="192"/>
        <v>NA</v>
      </c>
      <c r="Q1289" s="10">
        <f t="shared" ca="1" si="193"/>
        <v>27.61904761904519</v>
      </c>
      <c r="R1289" s="10">
        <f t="shared" ca="1" si="194"/>
        <v>44.047619047616536</v>
      </c>
      <c r="S1289" s="10">
        <f t="shared" ca="1" si="195"/>
        <v>-16.428571428571345</v>
      </c>
      <c r="T1289" s="10">
        <f t="shared" ca="1" si="196"/>
        <v>265.38461538460734</v>
      </c>
      <c r="U1289" s="10">
        <f t="shared" ca="1" si="197"/>
        <v>265.38461538460734</v>
      </c>
      <c r="V1289">
        <f t="shared" si="198"/>
        <v>3</v>
      </c>
    </row>
    <row r="1290" spans="1:22" x14ac:dyDescent="0.25">
      <c r="A1290">
        <v>144</v>
      </c>
      <c r="B1290">
        <v>2</v>
      </c>
      <c r="C1290">
        <v>75</v>
      </c>
      <c r="D1290">
        <v>1</v>
      </c>
      <c r="E1290">
        <v>1</v>
      </c>
      <c r="F1290">
        <v>0</v>
      </c>
      <c r="G1290">
        <v>0</v>
      </c>
      <c r="H1290">
        <v>350</v>
      </c>
      <c r="I1290">
        <f t="shared" si="190"/>
        <v>1287</v>
      </c>
      <c r="J1290" s="6">
        <f t="array" aca="1" ref="J1290:N1290" ca="1">TRANSPOSE(ols(OFFSET($C$2:$C$10,I1290,0),OFFSET($D$2:$H$10,I1290,0)))</f>
        <v>102.02380952380736</v>
      </c>
      <c r="K1290" s="6">
        <f ca="1"/>
        <v>-5.5357142857146755</v>
      </c>
      <c r="L1290" s="6">
        <f ca="1"/>
        <v>-57.976190476190823</v>
      </c>
      <c r="M1290" s="6">
        <f ca="1"/>
        <v>5.2380952380958661</v>
      </c>
      <c r="N1290" s="6">
        <f ca="1"/>
        <v>-6.1904761904763461E-2</v>
      </c>
      <c r="O1290" s="6">
        <f t="shared" ca="1" si="191"/>
        <v>74.821428571425471</v>
      </c>
      <c r="P1290" t="str">
        <f t="shared" si="192"/>
        <v>NA</v>
      </c>
      <c r="Q1290" s="10">
        <f t="shared" ca="1" si="193"/>
        <v>27.61904761904519</v>
      </c>
      <c r="R1290" s="10">
        <f t="shared" ca="1" si="194"/>
        <v>96.488095238092683</v>
      </c>
      <c r="S1290" s="10">
        <f t="shared" ca="1" si="195"/>
        <v>-68.869047619047493</v>
      </c>
      <c r="T1290" s="10">
        <f t="shared" ca="1" si="196"/>
        <v>1112.49999999997</v>
      </c>
      <c r="U1290" s="10" t="str">
        <f t="shared" ca="1" si="197"/>
        <v>OR</v>
      </c>
      <c r="V1290">
        <f t="shared" si="198"/>
        <v>2</v>
      </c>
    </row>
    <row r="1291" spans="1:22" x14ac:dyDescent="0.25">
      <c r="A1291">
        <v>144</v>
      </c>
      <c r="B1291">
        <v>3</v>
      </c>
      <c r="C1291">
        <v>75</v>
      </c>
      <c r="D1291">
        <v>1</v>
      </c>
      <c r="E1291">
        <v>1</v>
      </c>
      <c r="F1291">
        <v>0</v>
      </c>
      <c r="G1291">
        <v>0</v>
      </c>
      <c r="H1291">
        <v>450</v>
      </c>
      <c r="I1291">
        <f t="shared" si="190"/>
        <v>1287</v>
      </c>
      <c r="J1291" s="6">
        <f t="array" aca="1" ref="J1291:N1291" ca="1">TRANSPOSE(ols(OFFSET($C$2:$C$10,I1291,0),OFFSET($D$2:$H$10,I1291,0)))</f>
        <v>102.02380952380736</v>
      </c>
      <c r="K1291" s="6">
        <f ca="1"/>
        <v>-5.5357142857146755</v>
      </c>
      <c r="L1291" s="6">
        <f ca="1"/>
        <v>-57.976190476190823</v>
      </c>
      <c r="M1291" s="6">
        <f ca="1"/>
        <v>5.2380952380958661</v>
      </c>
      <c r="N1291" s="6">
        <f ca="1"/>
        <v>-6.1904761904763461E-2</v>
      </c>
      <c r="O1291" s="6">
        <f t="shared" ca="1" si="191"/>
        <v>68.630952380949125</v>
      </c>
      <c r="P1291" t="str">
        <f t="shared" si="192"/>
        <v>NA</v>
      </c>
      <c r="Q1291" s="10">
        <f t="shared" ca="1" si="193"/>
        <v>27.61904761904519</v>
      </c>
      <c r="R1291" s="10">
        <f t="shared" ca="1" si="194"/>
        <v>96.488095238092683</v>
      </c>
      <c r="S1291" s="10">
        <f t="shared" ca="1" si="195"/>
        <v>-68.869047619047493</v>
      </c>
      <c r="T1291" s="10">
        <f t="shared" ca="1" si="196"/>
        <v>1112.49999999997</v>
      </c>
      <c r="U1291" s="10" t="str">
        <f t="shared" ca="1" si="197"/>
        <v>OR</v>
      </c>
      <c r="V1291">
        <f t="shared" si="198"/>
        <v>2</v>
      </c>
    </row>
    <row r="1292" spans="1:22" x14ac:dyDescent="0.25">
      <c r="A1292">
        <v>144</v>
      </c>
      <c r="B1292">
        <v>4</v>
      </c>
      <c r="C1292">
        <v>65</v>
      </c>
      <c r="D1292">
        <v>1</v>
      </c>
      <c r="E1292">
        <v>0</v>
      </c>
      <c r="F1292">
        <v>0</v>
      </c>
      <c r="G1292">
        <v>0</v>
      </c>
      <c r="H1292">
        <v>550</v>
      </c>
      <c r="I1292">
        <f t="shared" ref="I1292:I1355" si="199">IF(A1292&gt;A1291,I1291+9,I1291)</f>
        <v>1287</v>
      </c>
      <c r="J1292" s="6">
        <f t="array" aca="1" ref="J1292:N1292" ca="1">TRANSPOSE(ols(OFFSET($C$2:$C$10,I1292,0),OFFSET($D$2:$H$10,I1292,0)))</f>
        <v>102.02380952380736</v>
      </c>
      <c r="K1292" s="6">
        <f ca="1"/>
        <v>-5.5357142857146755</v>
      </c>
      <c r="L1292" s="6">
        <f ca="1"/>
        <v>-57.976190476190823</v>
      </c>
      <c r="M1292" s="6">
        <f ca="1"/>
        <v>5.2380952380958661</v>
      </c>
      <c r="N1292" s="6">
        <f ca="1"/>
        <v>-6.1904761904763461E-2</v>
      </c>
      <c r="O1292" s="6">
        <f t="shared" ca="1" si="191"/>
        <v>67.976190476187455</v>
      </c>
      <c r="P1292" t="str">
        <f t="shared" si="192"/>
        <v>NA</v>
      </c>
      <c r="Q1292" s="10">
        <f t="shared" ca="1" si="193"/>
        <v>27.61904761904519</v>
      </c>
      <c r="R1292" s="10">
        <f t="shared" ca="1" si="194"/>
        <v>102.02380952380736</v>
      </c>
      <c r="S1292" s="10">
        <f t="shared" ca="1" si="195"/>
        <v>-74.404761904762168</v>
      </c>
      <c r="T1292" s="10">
        <f t="shared" ca="1" si="196"/>
        <v>1201.923076923051</v>
      </c>
      <c r="U1292" s="10" t="str">
        <f t="shared" ca="1" si="197"/>
        <v>OR</v>
      </c>
      <c r="V1292">
        <f t="shared" si="198"/>
        <v>1</v>
      </c>
    </row>
    <row r="1293" spans="1:22" x14ac:dyDescent="0.25">
      <c r="A1293">
        <v>144</v>
      </c>
      <c r="B1293">
        <v>5</v>
      </c>
      <c r="C1293">
        <v>40</v>
      </c>
      <c r="D1293">
        <v>1</v>
      </c>
      <c r="E1293">
        <v>0</v>
      </c>
      <c r="F1293">
        <v>1</v>
      </c>
      <c r="G1293">
        <v>1</v>
      </c>
      <c r="H1293">
        <v>250</v>
      </c>
      <c r="I1293">
        <f t="shared" si="199"/>
        <v>1287</v>
      </c>
      <c r="J1293" s="6">
        <f t="array" aca="1" ref="J1293:N1293" ca="1">TRANSPOSE(ols(OFFSET($C$2:$C$10,I1293,0),OFFSET($D$2:$H$10,I1293,0)))</f>
        <v>102.02380952380736</v>
      </c>
      <c r="K1293" s="6">
        <f ca="1"/>
        <v>-5.5357142857146755</v>
      </c>
      <c r="L1293" s="6">
        <f ca="1"/>
        <v>-57.976190476190823</v>
      </c>
      <c r="M1293" s="6">
        <f ca="1"/>
        <v>5.2380952380958661</v>
      </c>
      <c r="N1293" s="6">
        <f ca="1"/>
        <v>-6.1904761904763461E-2</v>
      </c>
      <c r="O1293" s="6">
        <f t="shared" ca="1" si="191"/>
        <v>33.809523809521536</v>
      </c>
      <c r="P1293" t="str">
        <f t="shared" si="192"/>
        <v>NA</v>
      </c>
      <c r="Q1293" s="10">
        <f t="shared" ca="1" si="193"/>
        <v>27.61904761904519</v>
      </c>
      <c r="R1293" s="10">
        <f t="shared" ca="1" si="194"/>
        <v>49.285714285712402</v>
      </c>
      <c r="S1293" s="10">
        <f t="shared" ca="1" si="195"/>
        <v>-21.666666666667211</v>
      </c>
      <c r="T1293" s="10">
        <f t="shared" ca="1" si="196"/>
        <v>350</v>
      </c>
      <c r="U1293" s="10">
        <f t="shared" ca="1" si="197"/>
        <v>350</v>
      </c>
      <c r="V1293">
        <f t="shared" si="198"/>
        <v>6</v>
      </c>
    </row>
    <row r="1294" spans="1:22" x14ac:dyDescent="0.25">
      <c r="A1294">
        <v>144</v>
      </c>
      <c r="B1294">
        <v>6</v>
      </c>
      <c r="C1294">
        <v>25</v>
      </c>
      <c r="D1294">
        <v>1</v>
      </c>
      <c r="E1294">
        <v>0</v>
      </c>
      <c r="F1294">
        <v>1</v>
      </c>
      <c r="G1294">
        <v>1</v>
      </c>
      <c r="H1294">
        <v>350</v>
      </c>
      <c r="I1294">
        <f t="shared" si="199"/>
        <v>1287</v>
      </c>
      <c r="J1294" s="6">
        <f t="array" aca="1" ref="J1294:N1294" ca="1">TRANSPOSE(ols(OFFSET($C$2:$C$10,I1294,0),OFFSET($D$2:$H$10,I1294,0)))</f>
        <v>102.02380952380736</v>
      </c>
      <c r="K1294" s="6">
        <f ca="1"/>
        <v>-5.5357142857146755</v>
      </c>
      <c r="L1294" s="6">
        <f ca="1"/>
        <v>-57.976190476190823</v>
      </c>
      <c r="M1294" s="6">
        <f ca="1"/>
        <v>5.2380952380958661</v>
      </c>
      <c r="N1294" s="6">
        <f ca="1"/>
        <v>-6.1904761904763461E-2</v>
      </c>
      <c r="O1294" s="6">
        <f t="shared" ca="1" si="191"/>
        <v>27.61904761904519</v>
      </c>
      <c r="P1294">
        <f t="shared" ca="1" si="192"/>
        <v>27.61904761904519</v>
      </c>
      <c r="Q1294" s="10">
        <f t="shared" ca="1" si="193"/>
        <v>27.61904761904519</v>
      </c>
      <c r="R1294" s="10">
        <f t="shared" ca="1" si="194"/>
        <v>49.285714285712402</v>
      </c>
      <c r="S1294" s="10">
        <f t="shared" ca="1" si="195"/>
        <v>-21.666666666667211</v>
      </c>
      <c r="T1294" s="10">
        <f t="shared" ca="1" si="196"/>
        <v>350</v>
      </c>
      <c r="U1294" s="10">
        <f t="shared" ca="1" si="197"/>
        <v>350</v>
      </c>
      <c r="V1294">
        <f t="shared" si="198"/>
        <v>6</v>
      </c>
    </row>
    <row r="1295" spans="1:22" x14ac:dyDescent="0.25">
      <c r="A1295">
        <v>144</v>
      </c>
      <c r="B1295">
        <v>7</v>
      </c>
      <c r="C1295">
        <v>67.5</v>
      </c>
      <c r="D1295">
        <v>1</v>
      </c>
      <c r="E1295">
        <v>1</v>
      </c>
      <c r="F1295">
        <v>0</v>
      </c>
      <c r="G1295">
        <v>1</v>
      </c>
      <c r="H1295">
        <v>450</v>
      </c>
      <c r="I1295">
        <f t="shared" si="199"/>
        <v>1287</v>
      </c>
      <c r="J1295" s="6">
        <f t="array" aca="1" ref="J1295:N1295" ca="1">TRANSPOSE(ols(OFFSET($C$2:$C$10,I1295,0),OFFSET($D$2:$H$10,I1295,0)))</f>
        <v>102.02380952380736</v>
      </c>
      <c r="K1295" s="6">
        <f ca="1"/>
        <v>-5.5357142857146755</v>
      </c>
      <c r="L1295" s="6">
        <f ca="1"/>
        <v>-57.976190476190823</v>
      </c>
      <c r="M1295" s="6">
        <f ca="1"/>
        <v>5.2380952380958661</v>
      </c>
      <c r="N1295" s="6">
        <f ca="1"/>
        <v>-6.1904761904763461E-2</v>
      </c>
      <c r="O1295" s="6">
        <f t="shared" ca="1" si="191"/>
        <v>73.869047619044991</v>
      </c>
      <c r="P1295" t="str">
        <f t="shared" si="192"/>
        <v>NA</v>
      </c>
      <c r="Q1295" s="10">
        <f t="shared" ca="1" si="193"/>
        <v>27.61904761904519</v>
      </c>
      <c r="R1295" s="10">
        <f t="shared" ca="1" si="194"/>
        <v>101.72619047618855</v>
      </c>
      <c r="S1295" s="10">
        <f t="shared" ca="1" si="195"/>
        <v>-74.107142857143359</v>
      </c>
      <c r="T1295" s="10">
        <f t="shared" ca="1" si="196"/>
        <v>1197.1153846153627</v>
      </c>
      <c r="U1295" s="10" t="str">
        <f t="shared" ca="1" si="197"/>
        <v>OR</v>
      </c>
      <c r="V1295">
        <f t="shared" si="198"/>
        <v>5</v>
      </c>
    </row>
    <row r="1296" spans="1:22" x14ac:dyDescent="0.25">
      <c r="A1296">
        <v>144</v>
      </c>
      <c r="B1296">
        <v>8</v>
      </c>
      <c r="C1296">
        <v>67.5</v>
      </c>
      <c r="D1296">
        <v>1</v>
      </c>
      <c r="E1296">
        <v>1</v>
      </c>
      <c r="F1296">
        <v>0</v>
      </c>
      <c r="G1296">
        <v>1</v>
      </c>
      <c r="H1296">
        <v>550</v>
      </c>
      <c r="I1296">
        <f t="shared" si="199"/>
        <v>1287</v>
      </c>
      <c r="J1296" s="6">
        <f t="array" aca="1" ref="J1296:N1296" ca="1">TRANSPOSE(ols(OFFSET($C$2:$C$10,I1296,0),OFFSET($D$2:$H$10,I1296,0)))</f>
        <v>102.02380952380736</v>
      </c>
      <c r="K1296" s="6">
        <f ca="1"/>
        <v>-5.5357142857146755</v>
      </c>
      <c r="L1296" s="6">
        <f ca="1"/>
        <v>-57.976190476190823</v>
      </c>
      <c r="M1296" s="6">
        <f ca="1"/>
        <v>5.2380952380958661</v>
      </c>
      <c r="N1296" s="6">
        <f ca="1"/>
        <v>-6.1904761904763461E-2</v>
      </c>
      <c r="O1296" s="6">
        <f t="shared" ca="1" si="191"/>
        <v>67.678571428568645</v>
      </c>
      <c r="P1296" t="str">
        <f t="shared" si="192"/>
        <v>NA</v>
      </c>
      <c r="Q1296" s="10">
        <f t="shared" ca="1" si="193"/>
        <v>27.61904761904519</v>
      </c>
      <c r="R1296" s="10">
        <f t="shared" ca="1" si="194"/>
        <v>101.72619047618855</v>
      </c>
      <c r="S1296" s="10">
        <f t="shared" ca="1" si="195"/>
        <v>-74.107142857143359</v>
      </c>
      <c r="T1296" s="10">
        <f t="shared" ca="1" si="196"/>
        <v>1197.1153846153627</v>
      </c>
      <c r="U1296" s="10" t="str">
        <f t="shared" ca="1" si="197"/>
        <v>OR</v>
      </c>
      <c r="V1296">
        <f t="shared" si="198"/>
        <v>5</v>
      </c>
    </row>
    <row r="1297" spans="1:22" x14ac:dyDescent="0.25">
      <c r="A1297">
        <v>144</v>
      </c>
      <c r="B1297">
        <v>9</v>
      </c>
      <c r="C1297">
        <v>70</v>
      </c>
      <c r="D1297">
        <v>1</v>
      </c>
      <c r="E1297">
        <v>0</v>
      </c>
      <c r="F1297">
        <v>0</v>
      </c>
      <c r="G1297">
        <v>1</v>
      </c>
      <c r="H1297">
        <v>650</v>
      </c>
      <c r="I1297">
        <f t="shared" si="199"/>
        <v>1287</v>
      </c>
      <c r="J1297" s="6">
        <f t="array" aca="1" ref="J1297:N1297" ca="1">TRANSPOSE(ols(OFFSET($C$2:$C$10,I1297,0),OFFSET($D$2:$H$10,I1297,0)))</f>
        <v>102.02380952380736</v>
      </c>
      <c r="K1297" s="6">
        <f ca="1"/>
        <v>-5.5357142857146755</v>
      </c>
      <c r="L1297" s="6">
        <f ca="1"/>
        <v>-57.976190476190823</v>
      </c>
      <c r="M1297" s="6">
        <f ca="1"/>
        <v>5.2380952380958661</v>
      </c>
      <c r="N1297" s="6">
        <f ca="1"/>
        <v>-6.1904761904763461E-2</v>
      </c>
      <c r="O1297" s="6">
        <f t="shared" ca="1" si="191"/>
        <v>67.023809523806975</v>
      </c>
      <c r="P1297" t="str">
        <f t="shared" si="192"/>
        <v>NA</v>
      </c>
      <c r="Q1297" s="10">
        <f t="shared" ca="1" si="193"/>
        <v>27.61904761904519</v>
      </c>
      <c r="R1297" s="10">
        <f t="shared" ca="1" si="194"/>
        <v>107.26190476190322</v>
      </c>
      <c r="S1297" s="10">
        <f t="shared" ca="1" si="195"/>
        <v>-79.642857142858034</v>
      </c>
      <c r="T1297" s="10">
        <f t="shared" ca="1" si="196"/>
        <v>1286.5384615384437</v>
      </c>
      <c r="U1297" s="10" t="str">
        <f t="shared" ca="1" si="197"/>
        <v>OR</v>
      </c>
      <c r="V1297">
        <f t="shared" si="198"/>
        <v>4</v>
      </c>
    </row>
    <row r="1298" spans="1:22" x14ac:dyDescent="0.25">
      <c r="A1298">
        <v>145</v>
      </c>
      <c r="B1298">
        <v>1</v>
      </c>
      <c r="C1298">
        <v>55</v>
      </c>
      <c r="D1298">
        <v>1</v>
      </c>
      <c r="E1298">
        <v>0</v>
      </c>
      <c r="F1298">
        <v>1</v>
      </c>
      <c r="G1298">
        <v>0</v>
      </c>
      <c r="H1298">
        <v>250</v>
      </c>
      <c r="I1298">
        <f t="shared" si="199"/>
        <v>1296</v>
      </c>
      <c r="J1298" s="6">
        <f t="array" aca="1" ref="J1298:N1298" ca="1">TRANSPOSE(ols(OFFSET($C$2:$C$10,I1298,0),OFFSET($D$2:$H$10,I1298,0)))</f>
        <v>174.99999999999818</v>
      </c>
      <c r="K1298" s="6">
        <f ca="1"/>
        <v>-30</v>
      </c>
      <c r="L1298" s="6">
        <f ca="1"/>
        <v>-70.000000000000909</v>
      </c>
      <c r="M1298" s="6">
        <f ca="1"/>
        <v>20.000000000000227</v>
      </c>
      <c r="N1298" s="6">
        <f ca="1"/>
        <v>-0.20000000000000107</v>
      </c>
      <c r="O1298" s="6">
        <f t="shared" ca="1" si="191"/>
        <v>54.999999999997002</v>
      </c>
      <c r="P1298" t="str">
        <f t="shared" si="192"/>
        <v>NA</v>
      </c>
      <c r="Q1298" s="10">
        <f t="shared" ca="1" si="193"/>
        <v>54.999999999997129</v>
      </c>
      <c r="R1298" s="10">
        <f t="shared" ca="1" si="194"/>
        <v>104.99999999999727</v>
      </c>
      <c r="S1298" s="10">
        <f t="shared" ca="1" si="195"/>
        <v>-50.000000000000142</v>
      </c>
      <c r="T1298" s="10">
        <f t="shared" ca="1" si="196"/>
        <v>249.99999999999937</v>
      </c>
      <c r="U1298" s="10" t="str">
        <f t="shared" ca="1" si="197"/>
        <v>OR</v>
      </c>
      <c r="V1298">
        <f t="shared" si="198"/>
        <v>3</v>
      </c>
    </row>
    <row r="1299" spans="1:22" x14ac:dyDescent="0.25">
      <c r="A1299">
        <v>145</v>
      </c>
      <c r="B1299">
        <v>2</v>
      </c>
      <c r="C1299">
        <v>75</v>
      </c>
      <c r="D1299">
        <v>1</v>
      </c>
      <c r="E1299">
        <v>1</v>
      </c>
      <c r="F1299">
        <v>0</v>
      </c>
      <c r="G1299">
        <v>0</v>
      </c>
      <c r="H1299">
        <v>350</v>
      </c>
      <c r="I1299">
        <f t="shared" si="199"/>
        <v>1296</v>
      </c>
      <c r="J1299" s="6">
        <f t="array" aca="1" ref="J1299:N1299" ca="1">TRANSPOSE(ols(OFFSET($C$2:$C$10,I1299,0),OFFSET($D$2:$H$10,I1299,0)))</f>
        <v>174.99999999999818</v>
      </c>
      <c r="K1299" s="6">
        <f ca="1"/>
        <v>-30</v>
      </c>
      <c r="L1299" s="6">
        <f ca="1"/>
        <v>-70.000000000000909</v>
      </c>
      <c r="M1299" s="6">
        <f ca="1"/>
        <v>20.000000000000227</v>
      </c>
      <c r="N1299" s="6">
        <f ca="1"/>
        <v>-0.20000000000000107</v>
      </c>
      <c r="O1299" s="6">
        <f t="shared" ca="1" si="191"/>
        <v>74.999999999997812</v>
      </c>
      <c r="P1299" t="str">
        <f t="shared" si="192"/>
        <v>NA</v>
      </c>
      <c r="Q1299" s="10">
        <f t="shared" ca="1" si="193"/>
        <v>54.999999999997129</v>
      </c>
      <c r="R1299" s="10">
        <f t="shared" ca="1" si="194"/>
        <v>144.99999999999818</v>
      </c>
      <c r="S1299" s="10">
        <f t="shared" ca="1" si="195"/>
        <v>-90.000000000001052</v>
      </c>
      <c r="T1299" s="10">
        <f t="shared" ca="1" si="196"/>
        <v>450.00000000000284</v>
      </c>
      <c r="U1299" s="10">
        <f t="shared" ca="1" si="197"/>
        <v>450.00000000000284</v>
      </c>
      <c r="V1299">
        <f t="shared" si="198"/>
        <v>2</v>
      </c>
    </row>
    <row r="1300" spans="1:22" x14ac:dyDescent="0.25">
      <c r="A1300">
        <v>145</v>
      </c>
      <c r="B1300">
        <v>3</v>
      </c>
      <c r="C1300">
        <v>55</v>
      </c>
      <c r="D1300">
        <v>1</v>
      </c>
      <c r="E1300">
        <v>1</v>
      </c>
      <c r="F1300">
        <v>0</v>
      </c>
      <c r="G1300">
        <v>0</v>
      </c>
      <c r="H1300">
        <v>450</v>
      </c>
      <c r="I1300">
        <f t="shared" si="199"/>
        <v>1296</v>
      </c>
      <c r="J1300" s="6">
        <f t="array" aca="1" ref="J1300:N1300" ca="1">TRANSPOSE(ols(OFFSET($C$2:$C$10,I1300,0),OFFSET($D$2:$H$10,I1300,0)))</f>
        <v>174.99999999999818</v>
      </c>
      <c r="K1300" s="6">
        <f ca="1"/>
        <v>-30</v>
      </c>
      <c r="L1300" s="6">
        <f ca="1"/>
        <v>-70.000000000000909</v>
      </c>
      <c r="M1300" s="6">
        <f ca="1"/>
        <v>20.000000000000227</v>
      </c>
      <c r="N1300" s="6">
        <f ca="1"/>
        <v>-0.20000000000000107</v>
      </c>
      <c r="O1300" s="6">
        <f t="shared" ca="1" si="191"/>
        <v>54.999999999997698</v>
      </c>
      <c r="P1300" t="str">
        <f t="shared" si="192"/>
        <v>NA</v>
      </c>
      <c r="Q1300" s="10">
        <f t="shared" ca="1" si="193"/>
        <v>54.999999999997129</v>
      </c>
      <c r="R1300" s="10">
        <f t="shared" ca="1" si="194"/>
        <v>144.99999999999818</v>
      </c>
      <c r="S1300" s="10">
        <f t="shared" ca="1" si="195"/>
        <v>-90.000000000001052</v>
      </c>
      <c r="T1300" s="10">
        <f t="shared" ca="1" si="196"/>
        <v>450.00000000000284</v>
      </c>
      <c r="U1300" s="10">
        <f t="shared" ca="1" si="197"/>
        <v>450.00000000000284</v>
      </c>
      <c r="V1300">
        <f t="shared" si="198"/>
        <v>2</v>
      </c>
    </row>
    <row r="1301" spans="1:22" x14ac:dyDescent="0.25">
      <c r="A1301">
        <v>145</v>
      </c>
      <c r="B1301">
        <v>4</v>
      </c>
      <c r="C1301">
        <v>65</v>
      </c>
      <c r="D1301">
        <v>1</v>
      </c>
      <c r="E1301">
        <v>0</v>
      </c>
      <c r="F1301">
        <v>0</v>
      </c>
      <c r="G1301">
        <v>0</v>
      </c>
      <c r="H1301">
        <v>550</v>
      </c>
      <c r="I1301">
        <f t="shared" si="199"/>
        <v>1296</v>
      </c>
      <c r="J1301" s="6">
        <f t="array" aca="1" ref="J1301:N1301" ca="1">TRANSPOSE(ols(OFFSET($C$2:$C$10,I1301,0),OFFSET($D$2:$H$10,I1301,0)))</f>
        <v>174.99999999999818</v>
      </c>
      <c r="K1301" s="6">
        <f ca="1"/>
        <v>-30</v>
      </c>
      <c r="L1301" s="6">
        <f ca="1"/>
        <v>-70.000000000000909</v>
      </c>
      <c r="M1301" s="6">
        <f ca="1"/>
        <v>20.000000000000227</v>
      </c>
      <c r="N1301" s="6">
        <f ca="1"/>
        <v>-0.20000000000000107</v>
      </c>
      <c r="O1301" s="6">
        <f t="shared" ca="1" si="191"/>
        <v>64.999999999997598</v>
      </c>
      <c r="P1301" t="str">
        <f t="shared" si="192"/>
        <v>NA</v>
      </c>
      <c r="Q1301" s="10">
        <f t="shared" ca="1" si="193"/>
        <v>54.999999999997129</v>
      </c>
      <c r="R1301" s="10">
        <f t="shared" ca="1" si="194"/>
        <v>174.99999999999818</v>
      </c>
      <c r="S1301" s="10">
        <f t="shared" ca="1" si="195"/>
        <v>-120.00000000000105</v>
      </c>
      <c r="T1301" s="10">
        <f t="shared" ca="1" si="196"/>
        <v>600.00000000000205</v>
      </c>
      <c r="U1301" s="10">
        <f t="shared" ca="1" si="197"/>
        <v>600.00000000000205</v>
      </c>
      <c r="V1301">
        <f t="shared" si="198"/>
        <v>1</v>
      </c>
    </row>
    <row r="1302" spans="1:22" x14ac:dyDescent="0.25">
      <c r="A1302">
        <v>145</v>
      </c>
      <c r="B1302">
        <v>5</v>
      </c>
      <c r="C1302">
        <v>75</v>
      </c>
      <c r="D1302">
        <v>1</v>
      </c>
      <c r="E1302">
        <v>0</v>
      </c>
      <c r="F1302">
        <v>1</v>
      </c>
      <c r="G1302">
        <v>1</v>
      </c>
      <c r="H1302">
        <v>250</v>
      </c>
      <c r="I1302">
        <f t="shared" si="199"/>
        <v>1296</v>
      </c>
      <c r="J1302" s="6">
        <f t="array" aca="1" ref="J1302:N1302" ca="1">TRANSPOSE(ols(OFFSET($C$2:$C$10,I1302,0),OFFSET($D$2:$H$10,I1302,0)))</f>
        <v>174.99999999999818</v>
      </c>
      <c r="K1302" s="6">
        <f ca="1"/>
        <v>-30</v>
      </c>
      <c r="L1302" s="6">
        <f ca="1"/>
        <v>-70.000000000000909</v>
      </c>
      <c r="M1302" s="6">
        <f ca="1"/>
        <v>20.000000000000227</v>
      </c>
      <c r="N1302" s="6">
        <f ca="1"/>
        <v>-0.20000000000000107</v>
      </c>
      <c r="O1302" s="6">
        <f t="shared" ca="1" si="191"/>
        <v>74.999999999997229</v>
      </c>
      <c r="P1302" t="str">
        <f t="shared" si="192"/>
        <v>NA</v>
      </c>
      <c r="Q1302" s="10">
        <f t="shared" ca="1" si="193"/>
        <v>54.999999999997129</v>
      </c>
      <c r="R1302" s="10">
        <f t="shared" ca="1" si="194"/>
        <v>124.9999999999975</v>
      </c>
      <c r="S1302" s="10">
        <f t="shared" ca="1" si="195"/>
        <v>-70.000000000000369</v>
      </c>
      <c r="T1302" s="10">
        <f t="shared" ca="1" si="196"/>
        <v>350</v>
      </c>
      <c r="U1302" s="10">
        <f t="shared" ca="1" si="197"/>
        <v>350</v>
      </c>
      <c r="V1302">
        <f t="shared" si="198"/>
        <v>6</v>
      </c>
    </row>
    <row r="1303" spans="1:22" x14ac:dyDescent="0.25">
      <c r="A1303">
        <v>145</v>
      </c>
      <c r="B1303">
        <v>6</v>
      </c>
      <c r="C1303">
        <v>55</v>
      </c>
      <c r="D1303">
        <v>1</v>
      </c>
      <c r="E1303">
        <v>0</v>
      </c>
      <c r="F1303">
        <v>1</v>
      </c>
      <c r="G1303">
        <v>1</v>
      </c>
      <c r="H1303">
        <v>350</v>
      </c>
      <c r="I1303">
        <f t="shared" si="199"/>
        <v>1296</v>
      </c>
      <c r="J1303" s="6">
        <f t="array" aca="1" ref="J1303:N1303" ca="1">TRANSPOSE(ols(OFFSET($C$2:$C$10,I1303,0),OFFSET($D$2:$H$10,I1303,0)))</f>
        <v>174.99999999999818</v>
      </c>
      <c r="K1303" s="6">
        <f ca="1"/>
        <v>-30</v>
      </c>
      <c r="L1303" s="6">
        <f ca="1"/>
        <v>-70.000000000000909</v>
      </c>
      <c r="M1303" s="6">
        <f ca="1"/>
        <v>20.000000000000227</v>
      </c>
      <c r="N1303" s="6">
        <f ca="1"/>
        <v>-0.20000000000000107</v>
      </c>
      <c r="O1303" s="6">
        <f t="shared" ca="1" si="191"/>
        <v>54.999999999997129</v>
      </c>
      <c r="P1303">
        <f t="shared" ca="1" si="192"/>
        <v>54.999999999997129</v>
      </c>
      <c r="Q1303" s="10">
        <f t="shared" ca="1" si="193"/>
        <v>54.999999999997129</v>
      </c>
      <c r="R1303" s="10">
        <f t="shared" ca="1" si="194"/>
        <v>124.9999999999975</v>
      </c>
      <c r="S1303" s="10">
        <f t="shared" ca="1" si="195"/>
        <v>-70.000000000000369</v>
      </c>
      <c r="T1303" s="10">
        <f t="shared" ca="1" si="196"/>
        <v>350</v>
      </c>
      <c r="U1303" s="10">
        <f t="shared" ca="1" si="197"/>
        <v>350</v>
      </c>
      <c r="V1303">
        <f t="shared" si="198"/>
        <v>6</v>
      </c>
    </row>
    <row r="1304" spans="1:22" x14ac:dyDescent="0.25">
      <c r="A1304">
        <v>145</v>
      </c>
      <c r="B1304">
        <v>7</v>
      </c>
      <c r="C1304">
        <v>75</v>
      </c>
      <c r="D1304">
        <v>1</v>
      </c>
      <c r="E1304">
        <v>1</v>
      </c>
      <c r="F1304">
        <v>0</v>
      </c>
      <c r="G1304">
        <v>1</v>
      </c>
      <c r="H1304">
        <v>450</v>
      </c>
      <c r="I1304">
        <f t="shared" si="199"/>
        <v>1296</v>
      </c>
      <c r="J1304" s="6">
        <f t="array" aca="1" ref="J1304:N1304" ca="1">TRANSPOSE(ols(OFFSET($C$2:$C$10,I1304,0),OFFSET($D$2:$H$10,I1304,0)))</f>
        <v>174.99999999999818</v>
      </c>
      <c r="K1304" s="6">
        <f ca="1"/>
        <v>-30</v>
      </c>
      <c r="L1304" s="6">
        <f ca="1"/>
        <v>-70.000000000000909</v>
      </c>
      <c r="M1304" s="6">
        <f ca="1"/>
        <v>20.000000000000227</v>
      </c>
      <c r="N1304" s="6">
        <f ca="1"/>
        <v>-0.20000000000000107</v>
      </c>
      <c r="O1304" s="6">
        <f t="shared" ca="1" si="191"/>
        <v>74.999999999997925</v>
      </c>
      <c r="P1304" t="str">
        <f t="shared" si="192"/>
        <v>NA</v>
      </c>
      <c r="Q1304" s="10">
        <f t="shared" ca="1" si="193"/>
        <v>54.999999999997129</v>
      </c>
      <c r="R1304" s="10">
        <f t="shared" ca="1" si="194"/>
        <v>164.99999999999841</v>
      </c>
      <c r="S1304" s="10">
        <f t="shared" ca="1" si="195"/>
        <v>-110.00000000000128</v>
      </c>
      <c r="T1304" s="10">
        <f t="shared" ca="1" si="196"/>
        <v>550.00000000000341</v>
      </c>
      <c r="U1304" s="10">
        <f t="shared" ca="1" si="197"/>
        <v>550.00000000000341</v>
      </c>
      <c r="V1304">
        <f t="shared" si="198"/>
        <v>5</v>
      </c>
    </row>
    <row r="1305" spans="1:22" x14ac:dyDescent="0.25">
      <c r="A1305">
        <v>145</v>
      </c>
      <c r="B1305">
        <v>8</v>
      </c>
      <c r="C1305">
        <v>55</v>
      </c>
      <c r="D1305">
        <v>1</v>
      </c>
      <c r="E1305">
        <v>1</v>
      </c>
      <c r="F1305">
        <v>0</v>
      </c>
      <c r="G1305">
        <v>1</v>
      </c>
      <c r="H1305">
        <v>550</v>
      </c>
      <c r="I1305">
        <f t="shared" si="199"/>
        <v>1296</v>
      </c>
      <c r="J1305" s="6">
        <f t="array" aca="1" ref="J1305:N1305" ca="1">TRANSPOSE(ols(OFFSET($C$2:$C$10,I1305,0),OFFSET($D$2:$H$10,I1305,0)))</f>
        <v>174.99999999999818</v>
      </c>
      <c r="K1305" s="6">
        <f ca="1"/>
        <v>-30</v>
      </c>
      <c r="L1305" s="6">
        <f ca="1"/>
        <v>-70.000000000000909</v>
      </c>
      <c r="M1305" s="6">
        <f ca="1"/>
        <v>20.000000000000227</v>
      </c>
      <c r="N1305" s="6">
        <f ca="1"/>
        <v>-0.20000000000000107</v>
      </c>
      <c r="O1305" s="6">
        <f t="shared" ca="1" si="191"/>
        <v>54.999999999997826</v>
      </c>
      <c r="P1305" t="str">
        <f t="shared" si="192"/>
        <v>NA</v>
      </c>
      <c r="Q1305" s="10">
        <f t="shared" ca="1" si="193"/>
        <v>54.999999999997129</v>
      </c>
      <c r="R1305" s="10">
        <f t="shared" ca="1" si="194"/>
        <v>164.99999999999841</v>
      </c>
      <c r="S1305" s="10">
        <f t="shared" ca="1" si="195"/>
        <v>-110.00000000000128</v>
      </c>
      <c r="T1305" s="10">
        <f t="shared" ca="1" si="196"/>
        <v>550.00000000000341</v>
      </c>
      <c r="U1305" s="10">
        <f t="shared" ca="1" si="197"/>
        <v>550.00000000000341</v>
      </c>
      <c r="V1305">
        <f t="shared" si="198"/>
        <v>5</v>
      </c>
    </row>
    <row r="1306" spans="1:22" x14ac:dyDescent="0.25">
      <c r="A1306">
        <v>145</v>
      </c>
      <c r="B1306">
        <v>9</v>
      </c>
      <c r="C1306">
        <v>65</v>
      </c>
      <c r="D1306">
        <v>1</v>
      </c>
      <c r="E1306">
        <v>0</v>
      </c>
      <c r="F1306">
        <v>0</v>
      </c>
      <c r="G1306">
        <v>1</v>
      </c>
      <c r="H1306">
        <v>650</v>
      </c>
      <c r="I1306">
        <f t="shared" si="199"/>
        <v>1296</v>
      </c>
      <c r="J1306" s="6">
        <f t="array" aca="1" ref="J1306:N1306" ca="1">TRANSPOSE(ols(OFFSET($C$2:$C$10,I1306,0),OFFSET($D$2:$H$10,I1306,0)))</f>
        <v>174.99999999999818</v>
      </c>
      <c r="K1306" s="6">
        <f ca="1"/>
        <v>-30</v>
      </c>
      <c r="L1306" s="6">
        <f ca="1"/>
        <v>-70.000000000000909</v>
      </c>
      <c r="M1306" s="6">
        <f ca="1"/>
        <v>20.000000000000227</v>
      </c>
      <c r="N1306" s="6">
        <f ca="1"/>
        <v>-0.20000000000000107</v>
      </c>
      <c r="O1306" s="6">
        <f t="shared" ca="1" si="191"/>
        <v>64.999999999997726</v>
      </c>
      <c r="P1306" t="str">
        <f t="shared" si="192"/>
        <v>NA</v>
      </c>
      <c r="Q1306" s="10">
        <f t="shared" ca="1" si="193"/>
        <v>54.999999999997129</v>
      </c>
      <c r="R1306" s="10">
        <f t="shared" ca="1" si="194"/>
        <v>194.99999999999841</v>
      </c>
      <c r="S1306" s="10">
        <f t="shared" ca="1" si="195"/>
        <v>-140.00000000000128</v>
      </c>
      <c r="T1306" s="10">
        <f t="shared" ca="1" si="196"/>
        <v>700.00000000000261</v>
      </c>
      <c r="U1306" s="10" t="str">
        <f t="shared" ca="1" si="197"/>
        <v>OR</v>
      </c>
      <c r="V1306">
        <f t="shared" si="198"/>
        <v>4</v>
      </c>
    </row>
    <row r="1307" spans="1:22" x14ac:dyDescent="0.25">
      <c r="A1307">
        <v>146</v>
      </c>
      <c r="B1307">
        <v>1</v>
      </c>
      <c r="C1307">
        <v>40</v>
      </c>
      <c r="D1307">
        <v>1</v>
      </c>
      <c r="E1307">
        <v>0</v>
      </c>
      <c r="F1307">
        <v>1</v>
      </c>
      <c r="G1307">
        <v>0</v>
      </c>
      <c r="H1307">
        <v>250</v>
      </c>
      <c r="I1307">
        <f t="shared" si="199"/>
        <v>1305</v>
      </c>
      <c r="J1307" s="6">
        <f t="array" aca="1" ref="J1307:N1307" ca="1">TRANSPOSE(ols(OFFSET($C$2:$C$10,I1307,0),OFFSET($D$2:$H$10,I1307,0)))</f>
        <v>117.32142857142753</v>
      </c>
      <c r="K1307" s="6">
        <f ca="1"/>
        <v>-10.35714285714289</v>
      </c>
      <c r="L1307" s="6">
        <f ca="1"/>
        <v>-51.428571428571558</v>
      </c>
      <c r="M1307" s="6">
        <f ca="1"/>
        <v>-6.7857142857142208</v>
      </c>
      <c r="N1307" s="6">
        <f ca="1"/>
        <v>-0.11071428571428754</v>
      </c>
      <c r="O1307" s="6">
        <f t="shared" ca="1" si="191"/>
        <v>38.214285714284088</v>
      </c>
      <c r="P1307" t="str">
        <f t="shared" si="192"/>
        <v>NA</v>
      </c>
      <c r="Q1307" s="10">
        <f t="shared" ca="1" si="193"/>
        <v>20.357142857141113</v>
      </c>
      <c r="R1307" s="10">
        <f t="shared" ca="1" si="194"/>
        <v>65.892857142855974</v>
      </c>
      <c r="S1307" s="10">
        <f t="shared" ca="1" si="195"/>
        <v>-45.53571428571486</v>
      </c>
      <c r="T1307" s="10">
        <f t="shared" ca="1" si="196"/>
        <v>411.29032258064359</v>
      </c>
      <c r="U1307" s="10">
        <f t="shared" ca="1" si="197"/>
        <v>411.29032258064359</v>
      </c>
      <c r="V1307">
        <f t="shared" si="198"/>
        <v>3</v>
      </c>
    </row>
    <row r="1308" spans="1:22" x14ac:dyDescent="0.25">
      <c r="A1308">
        <v>146</v>
      </c>
      <c r="B1308">
        <v>2</v>
      </c>
      <c r="C1308">
        <v>70</v>
      </c>
      <c r="D1308">
        <v>1</v>
      </c>
      <c r="E1308">
        <v>1</v>
      </c>
      <c r="F1308">
        <v>0</v>
      </c>
      <c r="G1308">
        <v>0</v>
      </c>
      <c r="H1308">
        <v>350</v>
      </c>
      <c r="I1308">
        <f t="shared" si="199"/>
        <v>1305</v>
      </c>
      <c r="J1308" s="6">
        <f t="array" aca="1" ref="J1308:N1308" ca="1">TRANSPOSE(ols(OFFSET($C$2:$C$10,I1308,0),OFFSET($D$2:$H$10,I1308,0)))</f>
        <v>117.32142857142753</v>
      </c>
      <c r="K1308" s="6">
        <f ca="1"/>
        <v>-10.35714285714289</v>
      </c>
      <c r="L1308" s="6">
        <f ca="1"/>
        <v>-51.428571428571558</v>
      </c>
      <c r="M1308" s="6">
        <f ca="1"/>
        <v>-6.7857142857142208</v>
      </c>
      <c r="N1308" s="6">
        <f ca="1"/>
        <v>-0.11071428571428754</v>
      </c>
      <c r="O1308" s="6">
        <f t="shared" ca="1" si="191"/>
        <v>68.214285714284003</v>
      </c>
      <c r="P1308" t="str">
        <f t="shared" si="192"/>
        <v>NA</v>
      </c>
      <c r="Q1308" s="10">
        <f t="shared" ca="1" si="193"/>
        <v>20.357142857141113</v>
      </c>
      <c r="R1308" s="10">
        <f t="shared" ca="1" si="194"/>
        <v>106.96428571428464</v>
      </c>
      <c r="S1308" s="10">
        <f t="shared" ca="1" si="195"/>
        <v>-86.607142857143529</v>
      </c>
      <c r="T1308" s="10">
        <f t="shared" ca="1" si="196"/>
        <v>782.2580645161222</v>
      </c>
      <c r="U1308" s="10" t="str">
        <f t="shared" ca="1" si="197"/>
        <v>OR</v>
      </c>
      <c r="V1308">
        <f t="shared" si="198"/>
        <v>2</v>
      </c>
    </row>
    <row r="1309" spans="1:22" x14ac:dyDescent="0.25">
      <c r="A1309">
        <v>146</v>
      </c>
      <c r="B1309">
        <v>3</v>
      </c>
      <c r="C1309">
        <v>55</v>
      </c>
      <c r="D1309">
        <v>1</v>
      </c>
      <c r="E1309">
        <v>1</v>
      </c>
      <c r="F1309">
        <v>0</v>
      </c>
      <c r="G1309">
        <v>0</v>
      </c>
      <c r="H1309">
        <v>450</v>
      </c>
      <c r="I1309">
        <f t="shared" si="199"/>
        <v>1305</v>
      </c>
      <c r="J1309" s="6">
        <f t="array" aca="1" ref="J1309:N1309" ca="1">TRANSPOSE(ols(OFFSET($C$2:$C$10,I1309,0),OFFSET($D$2:$H$10,I1309,0)))</f>
        <v>117.32142857142753</v>
      </c>
      <c r="K1309" s="6">
        <f ca="1"/>
        <v>-10.35714285714289</v>
      </c>
      <c r="L1309" s="6">
        <f ca="1"/>
        <v>-51.428571428571558</v>
      </c>
      <c r="M1309" s="6">
        <f ca="1"/>
        <v>-6.7857142857142208</v>
      </c>
      <c r="N1309" s="6">
        <f ca="1"/>
        <v>-0.11071428571428754</v>
      </c>
      <c r="O1309" s="6">
        <f t="shared" ca="1" si="191"/>
        <v>57.142857142855249</v>
      </c>
      <c r="P1309" t="str">
        <f t="shared" si="192"/>
        <v>NA</v>
      </c>
      <c r="Q1309" s="10">
        <f t="shared" ca="1" si="193"/>
        <v>20.357142857141113</v>
      </c>
      <c r="R1309" s="10">
        <f t="shared" ca="1" si="194"/>
        <v>106.96428571428464</v>
      </c>
      <c r="S1309" s="10">
        <f t="shared" ca="1" si="195"/>
        <v>-86.607142857143529</v>
      </c>
      <c r="T1309" s="10">
        <f t="shared" ca="1" si="196"/>
        <v>782.2580645161222</v>
      </c>
      <c r="U1309" s="10" t="str">
        <f t="shared" ca="1" si="197"/>
        <v>OR</v>
      </c>
      <c r="V1309">
        <f t="shared" si="198"/>
        <v>2</v>
      </c>
    </row>
    <row r="1310" spans="1:22" x14ac:dyDescent="0.25">
      <c r="A1310">
        <v>146</v>
      </c>
      <c r="B1310">
        <v>4</v>
      </c>
      <c r="C1310">
        <v>55</v>
      </c>
      <c r="D1310">
        <v>1</v>
      </c>
      <c r="E1310">
        <v>0</v>
      </c>
      <c r="F1310">
        <v>0</v>
      </c>
      <c r="G1310">
        <v>0</v>
      </c>
      <c r="H1310">
        <v>550</v>
      </c>
      <c r="I1310">
        <f t="shared" si="199"/>
        <v>1305</v>
      </c>
      <c r="J1310" s="6">
        <f t="array" aca="1" ref="J1310:N1310" ca="1">TRANSPOSE(ols(OFFSET($C$2:$C$10,I1310,0),OFFSET($D$2:$H$10,I1310,0)))</f>
        <v>117.32142857142753</v>
      </c>
      <c r="K1310" s="6">
        <f ca="1"/>
        <v>-10.35714285714289</v>
      </c>
      <c r="L1310" s="6">
        <f ca="1"/>
        <v>-51.428571428571558</v>
      </c>
      <c r="M1310" s="6">
        <f ca="1"/>
        <v>-6.7857142857142208</v>
      </c>
      <c r="N1310" s="6">
        <f ca="1"/>
        <v>-0.11071428571428754</v>
      </c>
      <c r="O1310" s="6">
        <f t="shared" ca="1" si="191"/>
        <v>56.428571428569384</v>
      </c>
      <c r="P1310" t="str">
        <f t="shared" si="192"/>
        <v>NA</v>
      </c>
      <c r="Q1310" s="10">
        <f t="shared" ca="1" si="193"/>
        <v>20.357142857141113</v>
      </c>
      <c r="R1310" s="10">
        <f t="shared" ca="1" si="194"/>
        <v>117.32142857142753</v>
      </c>
      <c r="S1310" s="10">
        <f t="shared" ca="1" si="195"/>
        <v>-96.964285714286419</v>
      </c>
      <c r="T1310" s="10">
        <f t="shared" ca="1" si="196"/>
        <v>875.8064516128951</v>
      </c>
      <c r="U1310" s="10" t="str">
        <f t="shared" ca="1" si="197"/>
        <v>OR</v>
      </c>
      <c r="V1310">
        <f t="shared" si="198"/>
        <v>1</v>
      </c>
    </row>
    <row r="1311" spans="1:22" x14ac:dyDescent="0.25">
      <c r="A1311">
        <v>146</v>
      </c>
      <c r="B1311">
        <v>5</v>
      </c>
      <c r="C1311">
        <v>30</v>
      </c>
      <c r="D1311">
        <v>1</v>
      </c>
      <c r="E1311">
        <v>0</v>
      </c>
      <c r="F1311">
        <v>1</v>
      </c>
      <c r="G1311">
        <v>1</v>
      </c>
      <c r="H1311">
        <v>250</v>
      </c>
      <c r="I1311">
        <f t="shared" si="199"/>
        <v>1305</v>
      </c>
      <c r="J1311" s="6">
        <f t="array" aca="1" ref="J1311:N1311" ca="1">TRANSPOSE(ols(OFFSET($C$2:$C$10,I1311,0),OFFSET($D$2:$H$10,I1311,0)))</f>
        <v>117.32142857142753</v>
      </c>
      <c r="K1311" s="6">
        <f ca="1"/>
        <v>-10.35714285714289</v>
      </c>
      <c r="L1311" s="6">
        <f ca="1"/>
        <v>-51.428571428571558</v>
      </c>
      <c r="M1311" s="6">
        <f ca="1"/>
        <v>-6.7857142857142208</v>
      </c>
      <c r="N1311" s="6">
        <f ca="1"/>
        <v>-0.11071428571428754</v>
      </c>
      <c r="O1311" s="6">
        <f t="shared" ca="1" si="191"/>
        <v>31.428571428569867</v>
      </c>
      <c r="P1311" t="str">
        <f t="shared" si="192"/>
        <v>NA</v>
      </c>
      <c r="Q1311" s="10">
        <f t="shared" ca="1" si="193"/>
        <v>20.357142857141113</v>
      </c>
      <c r="R1311" s="10">
        <f t="shared" ca="1" si="194"/>
        <v>59.107142857141753</v>
      </c>
      <c r="S1311" s="10">
        <f t="shared" ca="1" si="195"/>
        <v>-38.750000000000639</v>
      </c>
      <c r="T1311" s="10">
        <f t="shared" ca="1" si="196"/>
        <v>350</v>
      </c>
      <c r="U1311" s="10">
        <f t="shared" ca="1" si="197"/>
        <v>350</v>
      </c>
      <c r="V1311">
        <f t="shared" si="198"/>
        <v>6</v>
      </c>
    </row>
    <row r="1312" spans="1:22" x14ac:dyDescent="0.25">
      <c r="A1312">
        <v>146</v>
      </c>
      <c r="B1312">
        <v>6</v>
      </c>
      <c r="C1312">
        <v>20</v>
      </c>
      <c r="D1312">
        <v>1</v>
      </c>
      <c r="E1312">
        <v>0</v>
      </c>
      <c r="F1312">
        <v>1</v>
      </c>
      <c r="G1312">
        <v>1</v>
      </c>
      <c r="H1312">
        <v>350</v>
      </c>
      <c r="I1312">
        <f t="shared" si="199"/>
        <v>1305</v>
      </c>
      <c r="J1312" s="6">
        <f t="array" aca="1" ref="J1312:N1312" ca="1">TRANSPOSE(ols(OFFSET($C$2:$C$10,I1312,0),OFFSET($D$2:$H$10,I1312,0)))</f>
        <v>117.32142857142753</v>
      </c>
      <c r="K1312" s="6">
        <f ca="1"/>
        <v>-10.35714285714289</v>
      </c>
      <c r="L1312" s="6">
        <f ca="1"/>
        <v>-51.428571428571558</v>
      </c>
      <c r="M1312" s="6">
        <f ca="1"/>
        <v>-6.7857142857142208</v>
      </c>
      <c r="N1312" s="6">
        <f ca="1"/>
        <v>-0.11071428571428754</v>
      </c>
      <c r="O1312" s="6">
        <f t="shared" ca="1" si="191"/>
        <v>20.357142857141113</v>
      </c>
      <c r="P1312">
        <f t="shared" ca="1" si="192"/>
        <v>20.357142857141113</v>
      </c>
      <c r="Q1312" s="10">
        <f t="shared" ca="1" si="193"/>
        <v>20.357142857141113</v>
      </c>
      <c r="R1312" s="10">
        <f t="shared" ca="1" si="194"/>
        <v>59.107142857141753</v>
      </c>
      <c r="S1312" s="10">
        <f t="shared" ca="1" si="195"/>
        <v>-38.750000000000639</v>
      </c>
      <c r="T1312" s="10">
        <f t="shared" ca="1" si="196"/>
        <v>350</v>
      </c>
      <c r="U1312" s="10">
        <f t="shared" ca="1" si="197"/>
        <v>350</v>
      </c>
      <c r="V1312">
        <f t="shared" si="198"/>
        <v>6</v>
      </c>
    </row>
    <row r="1313" spans="1:22" x14ac:dyDescent="0.25">
      <c r="A1313">
        <v>146</v>
      </c>
      <c r="B1313">
        <v>7</v>
      </c>
      <c r="C1313">
        <v>50</v>
      </c>
      <c r="D1313">
        <v>1</v>
      </c>
      <c r="E1313">
        <v>1</v>
      </c>
      <c r="F1313">
        <v>0</v>
      </c>
      <c r="G1313">
        <v>1</v>
      </c>
      <c r="H1313">
        <v>450</v>
      </c>
      <c r="I1313">
        <f t="shared" si="199"/>
        <v>1305</v>
      </c>
      <c r="J1313" s="6">
        <f t="array" aca="1" ref="J1313:N1313" ca="1">TRANSPOSE(ols(OFFSET($C$2:$C$10,I1313,0),OFFSET($D$2:$H$10,I1313,0)))</f>
        <v>117.32142857142753</v>
      </c>
      <c r="K1313" s="6">
        <f ca="1"/>
        <v>-10.35714285714289</v>
      </c>
      <c r="L1313" s="6">
        <f ca="1"/>
        <v>-51.428571428571558</v>
      </c>
      <c r="M1313" s="6">
        <f ca="1"/>
        <v>-6.7857142857142208</v>
      </c>
      <c r="N1313" s="6">
        <f ca="1"/>
        <v>-0.11071428571428754</v>
      </c>
      <c r="O1313" s="6">
        <f t="shared" ca="1" si="191"/>
        <v>50.357142857141028</v>
      </c>
      <c r="P1313" t="str">
        <f t="shared" si="192"/>
        <v>NA</v>
      </c>
      <c r="Q1313" s="10">
        <f t="shared" ca="1" si="193"/>
        <v>20.357142857141113</v>
      </c>
      <c r="R1313" s="10">
        <f t="shared" ca="1" si="194"/>
        <v>100.17857142857042</v>
      </c>
      <c r="S1313" s="10">
        <f t="shared" ca="1" si="195"/>
        <v>-79.821428571429308</v>
      </c>
      <c r="T1313" s="10">
        <f t="shared" ca="1" si="196"/>
        <v>720.96774193547867</v>
      </c>
      <c r="U1313" s="10" t="str">
        <f t="shared" ca="1" si="197"/>
        <v>OR</v>
      </c>
      <c r="V1313">
        <f t="shared" si="198"/>
        <v>5</v>
      </c>
    </row>
    <row r="1314" spans="1:22" x14ac:dyDescent="0.25">
      <c r="A1314">
        <v>146</v>
      </c>
      <c r="B1314">
        <v>8</v>
      </c>
      <c r="C1314">
        <v>40</v>
      </c>
      <c r="D1314">
        <v>1</v>
      </c>
      <c r="E1314">
        <v>1</v>
      </c>
      <c r="F1314">
        <v>0</v>
      </c>
      <c r="G1314">
        <v>1</v>
      </c>
      <c r="H1314">
        <v>550</v>
      </c>
      <c r="I1314">
        <f t="shared" si="199"/>
        <v>1305</v>
      </c>
      <c r="J1314" s="6">
        <f t="array" aca="1" ref="J1314:N1314" ca="1">TRANSPOSE(ols(OFFSET($C$2:$C$10,I1314,0),OFFSET($D$2:$H$10,I1314,0)))</f>
        <v>117.32142857142753</v>
      </c>
      <c r="K1314" s="6">
        <f ca="1"/>
        <v>-10.35714285714289</v>
      </c>
      <c r="L1314" s="6">
        <f ca="1"/>
        <v>-51.428571428571558</v>
      </c>
      <c r="M1314" s="6">
        <f ca="1"/>
        <v>-6.7857142857142208</v>
      </c>
      <c r="N1314" s="6">
        <f ca="1"/>
        <v>-0.11071428571428754</v>
      </c>
      <c r="O1314" s="6">
        <f t="shared" ca="1" si="191"/>
        <v>39.285714285712274</v>
      </c>
      <c r="P1314" t="str">
        <f t="shared" si="192"/>
        <v>NA</v>
      </c>
      <c r="Q1314" s="10">
        <f t="shared" ca="1" si="193"/>
        <v>20.357142857141113</v>
      </c>
      <c r="R1314" s="10">
        <f t="shared" ca="1" si="194"/>
        <v>100.17857142857042</v>
      </c>
      <c r="S1314" s="10">
        <f t="shared" ca="1" si="195"/>
        <v>-79.821428571429308</v>
      </c>
      <c r="T1314" s="10">
        <f t="shared" ca="1" si="196"/>
        <v>720.96774193547867</v>
      </c>
      <c r="U1314" s="10" t="str">
        <f t="shared" ca="1" si="197"/>
        <v>OR</v>
      </c>
      <c r="V1314">
        <f t="shared" si="198"/>
        <v>5</v>
      </c>
    </row>
    <row r="1315" spans="1:22" x14ac:dyDescent="0.25">
      <c r="A1315">
        <v>146</v>
      </c>
      <c r="B1315">
        <v>9</v>
      </c>
      <c r="C1315">
        <v>40</v>
      </c>
      <c r="D1315">
        <v>1</v>
      </c>
      <c r="E1315">
        <v>0</v>
      </c>
      <c r="F1315">
        <v>0</v>
      </c>
      <c r="G1315">
        <v>1</v>
      </c>
      <c r="H1315">
        <v>650</v>
      </c>
      <c r="I1315">
        <f t="shared" si="199"/>
        <v>1305</v>
      </c>
      <c r="J1315" s="6">
        <f t="array" aca="1" ref="J1315:N1315" ca="1">TRANSPOSE(ols(OFFSET($C$2:$C$10,I1315,0),OFFSET($D$2:$H$10,I1315,0)))</f>
        <v>117.32142857142753</v>
      </c>
      <c r="K1315" s="6">
        <f ca="1"/>
        <v>-10.35714285714289</v>
      </c>
      <c r="L1315" s="6">
        <f ca="1"/>
        <v>-51.428571428571558</v>
      </c>
      <c r="M1315" s="6">
        <f ca="1"/>
        <v>-6.7857142857142208</v>
      </c>
      <c r="N1315" s="6">
        <f ca="1"/>
        <v>-0.11071428571428754</v>
      </c>
      <c r="O1315" s="6">
        <f t="shared" ca="1" si="191"/>
        <v>38.571428571426409</v>
      </c>
      <c r="P1315" t="str">
        <f t="shared" si="192"/>
        <v>NA</v>
      </c>
      <c r="Q1315" s="10">
        <f t="shared" ca="1" si="193"/>
        <v>20.357142857141113</v>
      </c>
      <c r="R1315" s="10">
        <f t="shared" ca="1" si="194"/>
        <v>110.53571428571331</v>
      </c>
      <c r="S1315" s="10">
        <f t="shared" ca="1" si="195"/>
        <v>-90.178571428572198</v>
      </c>
      <c r="T1315" s="10">
        <f t="shared" ca="1" si="196"/>
        <v>814.51612903225157</v>
      </c>
      <c r="U1315" s="10" t="str">
        <f t="shared" ca="1" si="197"/>
        <v>OR</v>
      </c>
      <c r="V1315">
        <f t="shared" si="198"/>
        <v>4</v>
      </c>
    </row>
    <row r="1316" spans="1:22" x14ac:dyDescent="0.25">
      <c r="A1316">
        <v>147</v>
      </c>
      <c r="B1316">
        <v>1</v>
      </c>
      <c r="C1316">
        <v>95</v>
      </c>
      <c r="D1316">
        <v>1</v>
      </c>
      <c r="E1316">
        <v>0</v>
      </c>
      <c r="F1316">
        <v>1</v>
      </c>
      <c r="G1316">
        <v>0</v>
      </c>
      <c r="H1316">
        <v>250</v>
      </c>
      <c r="I1316">
        <f t="shared" si="199"/>
        <v>1314</v>
      </c>
      <c r="J1316" s="6">
        <f t="array" aca="1" ref="J1316:N1316" ca="1">TRANSPOSE(ols(OFFSET($C$2:$C$10,I1316,0),OFFSET($D$2:$H$10,I1316,0)))</f>
        <v>183.51190476190277</v>
      </c>
      <c r="K1316" s="6">
        <f ca="1"/>
        <v>-14.642857142856428</v>
      </c>
      <c r="L1316" s="6">
        <f ca="1"/>
        <v>-10.238095238094047</v>
      </c>
      <c r="M1316" s="6">
        <f ca="1"/>
        <v>7.6190476190477057</v>
      </c>
      <c r="N1316" s="6">
        <f ca="1"/>
        <v>-0.30595238095238031</v>
      </c>
      <c r="O1316" s="6">
        <f t="shared" ca="1" si="191"/>
        <v>96.785714285713652</v>
      </c>
      <c r="P1316" t="str">
        <f t="shared" si="192"/>
        <v>NA</v>
      </c>
      <c r="Q1316" s="10">
        <f t="shared" ca="1" si="193"/>
        <v>73.809523809523313</v>
      </c>
      <c r="R1316" s="10">
        <f t="shared" ca="1" si="194"/>
        <v>173.27380952380872</v>
      </c>
      <c r="S1316" s="10">
        <f t="shared" ca="1" si="195"/>
        <v>-99.46428571428541</v>
      </c>
      <c r="T1316" s="10">
        <f t="shared" ca="1" si="196"/>
        <v>325.09727626459113</v>
      </c>
      <c r="U1316" s="10">
        <f t="shared" ca="1" si="197"/>
        <v>325.09727626459113</v>
      </c>
      <c r="V1316">
        <f t="shared" si="198"/>
        <v>3</v>
      </c>
    </row>
    <row r="1317" spans="1:22" x14ac:dyDescent="0.25">
      <c r="A1317">
        <v>147</v>
      </c>
      <c r="B1317">
        <v>2</v>
      </c>
      <c r="C1317">
        <v>75</v>
      </c>
      <c r="D1317">
        <v>1</v>
      </c>
      <c r="E1317">
        <v>1</v>
      </c>
      <c r="F1317">
        <v>0</v>
      </c>
      <c r="G1317">
        <v>0</v>
      </c>
      <c r="H1317">
        <v>350</v>
      </c>
      <c r="I1317">
        <f t="shared" si="199"/>
        <v>1314</v>
      </c>
      <c r="J1317" s="6">
        <f t="array" aca="1" ref="J1317:N1317" ca="1">TRANSPOSE(ols(OFFSET($C$2:$C$10,I1317,0),OFFSET($D$2:$H$10,I1317,0)))</f>
        <v>183.51190476190277</v>
      </c>
      <c r="K1317" s="6">
        <f ca="1"/>
        <v>-14.642857142856428</v>
      </c>
      <c r="L1317" s="6">
        <f ca="1"/>
        <v>-10.238095238094047</v>
      </c>
      <c r="M1317" s="6">
        <f ca="1"/>
        <v>7.6190476190477057</v>
      </c>
      <c r="N1317" s="6">
        <f ca="1"/>
        <v>-0.30595238095238031</v>
      </c>
      <c r="O1317" s="6">
        <f t="shared" ca="1" si="191"/>
        <v>61.785714285713226</v>
      </c>
      <c r="P1317" t="str">
        <f t="shared" si="192"/>
        <v>NA</v>
      </c>
      <c r="Q1317" s="10">
        <f t="shared" ca="1" si="193"/>
        <v>73.809523809523313</v>
      </c>
      <c r="R1317" s="10">
        <f t="shared" ca="1" si="194"/>
        <v>168.86904761904634</v>
      </c>
      <c r="S1317" s="10">
        <f t="shared" ca="1" si="195"/>
        <v>-95.059523809523029</v>
      </c>
      <c r="T1317" s="10">
        <f t="shared" ca="1" si="196"/>
        <v>310.70038910505644</v>
      </c>
      <c r="U1317" s="10">
        <f t="shared" ca="1" si="197"/>
        <v>310.70038910505644</v>
      </c>
      <c r="V1317">
        <f t="shared" si="198"/>
        <v>2</v>
      </c>
    </row>
    <row r="1318" spans="1:22" x14ac:dyDescent="0.25">
      <c r="A1318">
        <v>147</v>
      </c>
      <c r="B1318">
        <v>3</v>
      </c>
      <c r="C1318">
        <v>30</v>
      </c>
      <c r="D1318">
        <v>1</v>
      </c>
      <c r="E1318">
        <v>1</v>
      </c>
      <c r="F1318">
        <v>0</v>
      </c>
      <c r="G1318">
        <v>0</v>
      </c>
      <c r="H1318">
        <v>450</v>
      </c>
      <c r="I1318">
        <f t="shared" si="199"/>
        <v>1314</v>
      </c>
      <c r="J1318" s="6">
        <f t="array" aca="1" ref="J1318:N1318" ca="1">TRANSPOSE(ols(OFFSET($C$2:$C$10,I1318,0),OFFSET($D$2:$H$10,I1318,0)))</f>
        <v>183.51190476190277</v>
      </c>
      <c r="K1318" s="6">
        <f ca="1"/>
        <v>-14.642857142856428</v>
      </c>
      <c r="L1318" s="6">
        <f ca="1"/>
        <v>-10.238095238094047</v>
      </c>
      <c r="M1318" s="6">
        <f ca="1"/>
        <v>7.6190476190477057</v>
      </c>
      <c r="N1318" s="6">
        <f ca="1"/>
        <v>-0.30595238095238031</v>
      </c>
      <c r="O1318" s="6">
        <f t="shared" ca="1" si="191"/>
        <v>31.190476190475209</v>
      </c>
      <c r="P1318" t="str">
        <f t="shared" si="192"/>
        <v>NA</v>
      </c>
      <c r="Q1318" s="10">
        <f t="shared" ca="1" si="193"/>
        <v>73.809523809523313</v>
      </c>
      <c r="R1318" s="10">
        <f t="shared" ca="1" si="194"/>
        <v>168.86904761904634</v>
      </c>
      <c r="S1318" s="10">
        <f t="shared" ca="1" si="195"/>
        <v>-95.059523809523029</v>
      </c>
      <c r="T1318" s="10">
        <f t="shared" ca="1" si="196"/>
        <v>310.70038910505644</v>
      </c>
      <c r="U1318" s="10">
        <f t="shared" ca="1" si="197"/>
        <v>310.70038910505644</v>
      </c>
      <c r="V1318">
        <f t="shared" si="198"/>
        <v>2</v>
      </c>
    </row>
    <row r="1319" spans="1:22" x14ac:dyDescent="0.25">
      <c r="A1319">
        <v>147</v>
      </c>
      <c r="B1319">
        <v>4</v>
      </c>
      <c r="C1319">
        <v>5</v>
      </c>
      <c r="D1319">
        <v>1</v>
      </c>
      <c r="E1319">
        <v>0</v>
      </c>
      <c r="F1319">
        <v>0</v>
      </c>
      <c r="G1319">
        <v>0</v>
      </c>
      <c r="H1319">
        <v>550</v>
      </c>
      <c r="I1319">
        <f t="shared" si="199"/>
        <v>1314</v>
      </c>
      <c r="J1319" s="6">
        <f t="array" aca="1" ref="J1319:N1319" ca="1">TRANSPOSE(ols(OFFSET($C$2:$C$10,I1319,0),OFFSET($D$2:$H$10,I1319,0)))</f>
        <v>183.51190476190277</v>
      </c>
      <c r="K1319" s="6">
        <f ca="1"/>
        <v>-14.642857142856428</v>
      </c>
      <c r="L1319" s="6">
        <f ca="1"/>
        <v>-10.238095238094047</v>
      </c>
      <c r="M1319" s="6">
        <f ca="1"/>
        <v>7.6190476190477057</v>
      </c>
      <c r="N1319" s="6">
        <f ca="1"/>
        <v>-0.30595238095238031</v>
      </c>
      <c r="O1319" s="6">
        <f t="shared" ca="1" si="191"/>
        <v>15.238095238093592</v>
      </c>
      <c r="P1319" t="str">
        <f t="shared" si="192"/>
        <v>NA</v>
      </c>
      <c r="Q1319" s="10">
        <f t="shared" ca="1" si="193"/>
        <v>73.809523809523313</v>
      </c>
      <c r="R1319" s="10">
        <f t="shared" ca="1" si="194"/>
        <v>183.51190476190277</v>
      </c>
      <c r="S1319" s="10">
        <f t="shared" ca="1" si="195"/>
        <v>-109.70238095237946</v>
      </c>
      <c r="T1319" s="10">
        <f t="shared" ca="1" si="196"/>
        <v>358.56031128404254</v>
      </c>
      <c r="U1319" s="10">
        <f t="shared" ca="1" si="197"/>
        <v>358.56031128404254</v>
      </c>
      <c r="V1319">
        <f t="shared" si="198"/>
        <v>1</v>
      </c>
    </row>
    <row r="1320" spans="1:22" x14ac:dyDescent="0.25">
      <c r="A1320">
        <v>147</v>
      </c>
      <c r="B1320">
        <v>5</v>
      </c>
      <c r="C1320">
        <v>100</v>
      </c>
      <c r="D1320">
        <v>1</v>
      </c>
      <c r="E1320">
        <v>0</v>
      </c>
      <c r="F1320">
        <v>1</v>
      </c>
      <c r="G1320">
        <v>1</v>
      </c>
      <c r="H1320">
        <v>250</v>
      </c>
      <c r="I1320">
        <f t="shared" si="199"/>
        <v>1314</v>
      </c>
      <c r="J1320" s="6">
        <f t="array" aca="1" ref="J1320:N1320" ca="1">TRANSPOSE(ols(OFFSET($C$2:$C$10,I1320,0),OFFSET($D$2:$H$10,I1320,0)))</f>
        <v>183.51190476190277</v>
      </c>
      <c r="K1320" s="6">
        <f ca="1"/>
        <v>-14.642857142856428</v>
      </c>
      <c r="L1320" s="6">
        <f ca="1"/>
        <v>-10.238095238094047</v>
      </c>
      <c r="M1320" s="6">
        <f ca="1"/>
        <v>7.6190476190477057</v>
      </c>
      <c r="N1320" s="6">
        <f ca="1"/>
        <v>-0.30595238095238031</v>
      </c>
      <c r="O1320" s="6">
        <f t="shared" ca="1" si="191"/>
        <v>104.40476190476136</v>
      </c>
      <c r="P1320" t="str">
        <f t="shared" si="192"/>
        <v>NA</v>
      </c>
      <c r="Q1320" s="10">
        <f t="shared" ca="1" si="193"/>
        <v>73.809523809523313</v>
      </c>
      <c r="R1320" s="10">
        <f t="shared" ca="1" si="194"/>
        <v>180.89285714285643</v>
      </c>
      <c r="S1320" s="10">
        <f t="shared" ca="1" si="195"/>
        <v>-107.08333333333312</v>
      </c>
      <c r="T1320" s="10">
        <f t="shared" ca="1" si="196"/>
        <v>350</v>
      </c>
      <c r="U1320" s="10">
        <f t="shared" ca="1" si="197"/>
        <v>350</v>
      </c>
      <c r="V1320">
        <f t="shared" si="198"/>
        <v>6</v>
      </c>
    </row>
    <row r="1321" spans="1:22" x14ac:dyDescent="0.25">
      <c r="A1321">
        <v>147</v>
      </c>
      <c r="B1321">
        <v>6</v>
      </c>
      <c r="C1321">
        <v>80</v>
      </c>
      <c r="D1321">
        <v>1</v>
      </c>
      <c r="E1321">
        <v>0</v>
      </c>
      <c r="F1321">
        <v>1</v>
      </c>
      <c r="G1321">
        <v>1</v>
      </c>
      <c r="H1321">
        <v>350</v>
      </c>
      <c r="I1321">
        <f t="shared" si="199"/>
        <v>1314</v>
      </c>
      <c r="J1321" s="6">
        <f t="array" aca="1" ref="J1321:N1321" ca="1">TRANSPOSE(ols(OFFSET($C$2:$C$10,I1321,0),OFFSET($D$2:$H$10,I1321,0)))</f>
        <v>183.51190476190277</v>
      </c>
      <c r="K1321" s="6">
        <f ca="1"/>
        <v>-14.642857142856428</v>
      </c>
      <c r="L1321" s="6">
        <f ca="1"/>
        <v>-10.238095238094047</v>
      </c>
      <c r="M1321" s="6">
        <f ca="1"/>
        <v>7.6190476190477057</v>
      </c>
      <c r="N1321" s="6">
        <f ca="1"/>
        <v>-0.30595238095238031</v>
      </c>
      <c r="O1321" s="6">
        <f t="shared" ca="1" si="191"/>
        <v>73.809523809523313</v>
      </c>
      <c r="P1321">
        <f t="shared" ca="1" si="192"/>
        <v>73.809523809523313</v>
      </c>
      <c r="Q1321" s="10">
        <f t="shared" ca="1" si="193"/>
        <v>73.809523809523313</v>
      </c>
      <c r="R1321" s="10">
        <f t="shared" ca="1" si="194"/>
        <v>180.89285714285643</v>
      </c>
      <c r="S1321" s="10">
        <f t="shared" ca="1" si="195"/>
        <v>-107.08333333333312</v>
      </c>
      <c r="T1321" s="10">
        <f t="shared" ca="1" si="196"/>
        <v>350</v>
      </c>
      <c r="U1321" s="10">
        <f t="shared" ca="1" si="197"/>
        <v>350</v>
      </c>
      <c r="V1321">
        <f t="shared" si="198"/>
        <v>6</v>
      </c>
    </row>
    <row r="1322" spans="1:22" x14ac:dyDescent="0.25">
      <c r="A1322">
        <v>147</v>
      </c>
      <c r="B1322">
        <v>7</v>
      </c>
      <c r="C1322">
        <v>30</v>
      </c>
      <c r="D1322">
        <v>1</v>
      </c>
      <c r="E1322">
        <v>1</v>
      </c>
      <c r="F1322">
        <v>0</v>
      </c>
      <c r="G1322">
        <v>1</v>
      </c>
      <c r="H1322">
        <v>450</v>
      </c>
      <c r="I1322">
        <f t="shared" si="199"/>
        <v>1314</v>
      </c>
      <c r="J1322" s="6">
        <f t="array" aca="1" ref="J1322:N1322" ca="1">TRANSPOSE(ols(OFFSET($C$2:$C$10,I1322,0),OFFSET($D$2:$H$10,I1322,0)))</f>
        <v>183.51190476190277</v>
      </c>
      <c r="K1322" s="6">
        <f ca="1"/>
        <v>-14.642857142856428</v>
      </c>
      <c r="L1322" s="6">
        <f ca="1"/>
        <v>-10.238095238094047</v>
      </c>
      <c r="M1322" s="6">
        <f ca="1"/>
        <v>7.6190476190477057</v>
      </c>
      <c r="N1322" s="6">
        <f ca="1"/>
        <v>-0.30595238095238031</v>
      </c>
      <c r="O1322" s="6">
        <f t="shared" ca="1" si="191"/>
        <v>38.809523809522915</v>
      </c>
      <c r="P1322" t="str">
        <f t="shared" si="192"/>
        <v>NA</v>
      </c>
      <c r="Q1322" s="10">
        <f t="shared" ca="1" si="193"/>
        <v>73.809523809523313</v>
      </c>
      <c r="R1322" s="10">
        <f t="shared" ca="1" si="194"/>
        <v>176.48809523809405</v>
      </c>
      <c r="S1322" s="10">
        <f t="shared" ca="1" si="195"/>
        <v>-102.67857142857073</v>
      </c>
      <c r="T1322" s="10">
        <f t="shared" ca="1" si="196"/>
        <v>335.60311284046537</v>
      </c>
      <c r="U1322" s="10">
        <f t="shared" ca="1" si="197"/>
        <v>335.60311284046537</v>
      </c>
      <c r="V1322">
        <f t="shared" si="198"/>
        <v>5</v>
      </c>
    </row>
    <row r="1323" spans="1:22" x14ac:dyDescent="0.25">
      <c r="A1323">
        <v>147</v>
      </c>
      <c r="B1323">
        <v>8</v>
      </c>
      <c r="C1323">
        <v>5</v>
      </c>
      <c r="D1323">
        <v>1</v>
      </c>
      <c r="E1323">
        <v>1</v>
      </c>
      <c r="F1323">
        <v>0</v>
      </c>
      <c r="G1323">
        <v>1</v>
      </c>
      <c r="H1323">
        <v>550</v>
      </c>
      <c r="I1323">
        <f t="shared" si="199"/>
        <v>1314</v>
      </c>
      <c r="J1323" s="6">
        <f t="array" aca="1" ref="J1323:N1323" ca="1">TRANSPOSE(ols(OFFSET($C$2:$C$10,I1323,0),OFFSET($D$2:$H$10,I1323,0)))</f>
        <v>183.51190476190277</v>
      </c>
      <c r="K1323" s="6">
        <f ca="1"/>
        <v>-14.642857142856428</v>
      </c>
      <c r="L1323" s="6">
        <f ca="1"/>
        <v>-10.238095238094047</v>
      </c>
      <c r="M1323" s="6">
        <f ca="1"/>
        <v>7.6190476190477057</v>
      </c>
      <c r="N1323" s="6">
        <f ca="1"/>
        <v>-0.30595238095238031</v>
      </c>
      <c r="O1323" s="6">
        <f t="shared" ca="1" si="191"/>
        <v>8.2142857142848698</v>
      </c>
      <c r="P1323" t="str">
        <f t="shared" si="192"/>
        <v>NA</v>
      </c>
      <c r="Q1323" s="10">
        <f t="shared" ca="1" si="193"/>
        <v>73.809523809523313</v>
      </c>
      <c r="R1323" s="10">
        <f t="shared" ca="1" si="194"/>
        <v>176.48809523809405</v>
      </c>
      <c r="S1323" s="10">
        <f t="shared" ca="1" si="195"/>
        <v>-102.67857142857073</v>
      </c>
      <c r="T1323" s="10">
        <f t="shared" ca="1" si="196"/>
        <v>335.60311284046537</v>
      </c>
      <c r="U1323" s="10">
        <f t="shared" ca="1" si="197"/>
        <v>335.60311284046537</v>
      </c>
      <c r="V1323">
        <f t="shared" si="198"/>
        <v>5</v>
      </c>
    </row>
    <row r="1324" spans="1:22" x14ac:dyDescent="0.25">
      <c r="A1324">
        <v>147</v>
      </c>
      <c r="B1324">
        <v>9</v>
      </c>
      <c r="C1324">
        <v>2.5</v>
      </c>
      <c r="D1324">
        <v>1</v>
      </c>
      <c r="E1324">
        <v>0</v>
      </c>
      <c r="F1324">
        <v>0</v>
      </c>
      <c r="G1324">
        <v>1</v>
      </c>
      <c r="H1324">
        <v>650</v>
      </c>
      <c r="I1324">
        <f t="shared" si="199"/>
        <v>1314</v>
      </c>
      <c r="J1324" s="6">
        <f t="array" aca="1" ref="J1324:N1324" ca="1">TRANSPOSE(ols(OFFSET($C$2:$C$10,I1324,0),OFFSET($D$2:$H$10,I1324,0)))</f>
        <v>183.51190476190277</v>
      </c>
      <c r="K1324" s="6">
        <f ca="1"/>
        <v>-14.642857142856428</v>
      </c>
      <c r="L1324" s="6">
        <f ca="1"/>
        <v>-10.238095238094047</v>
      </c>
      <c r="M1324" s="6">
        <f ca="1"/>
        <v>7.6190476190477057</v>
      </c>
      <c r="N1324" s="6">
        <f ca="1"/>
        <v>-0.30595238095238031</v>
      </c>
      <c r="O1324" s="6">
        <f t="shared" ca="1" si="191"/>
        <v>-7.7380952380967187</v>
      </c>
      <c r="P1324" t="str">
        <f t="shared" si="192"/>
        <v>NA</v>
      </c>
      <c r="Q1324" s="10">
        <f t="shared" ca="1" si="193"/>
        <v>73.809523809523313</v>
      </c>
      <c r="R1324" s="10">
        <f t="shared" ca="1" si="194"/>
        <v>191.13095238095048</v>
      </c>
      <c r="S1324" s="10">
        <f t="shared" ca="1" si="195"/>
        <v>-117.32142857142716</v>
      </c>
      <c r="T1324" s="10">
        <f t="shared" ca="1" si="196"/>
        <v>383.46303501945147</v>
      </c>
      <c r="U1324" s="10">
        <f t="shared" ca="1" si="197"/>
        <v>383.46303501945147</v>
      </c>
      <c r="V1324">
        <f t="shared" si="198"/>
        <v>4</v>
      </c>
    </row>
    <row r="1325" spans="1:22" x14ac:dyDescent="0.25">
      <c r="A1325">
        <v>148</v>
      </c>
      <c r="B1325">
        <v>1</v>
      </c>
      <c r="C1325">
        <v>51</v>
      </c>
      <c r="D1325">
        <v>1</v>
      </c>
      <c r="E1325">
        <v>0</v>
      </c>
      <c r="F1325">
        <v>1</v>
      </c>
      <c r="G1325">
        <v>0</v>
      </c>
      <c r="H1325">
        <v>250</v>
      </c>
      <c r="I1325">
        <f t="shared" si="199"/>
        <v>1323</v>
      </c>
      <c r="J1325" s="6">
        <f t="array" aca="1" ref="J1325:N1325" ca="1">TRANSPOSE(ols(OFFSET($C$2:$C$10,I1325,0),OFFSET($D$2:$H$10,I1325,0)))</f>
        <v>122.68452380952203</v>
      </c>
      <c r="K1325" s="6">
        <f ca="1"/>
        <v>-16.464285714285552</v>
      </c>
      <c r="L1325" s="6">
        <f ca="1"/>
        <v>-40.690476190477057</v>
      </c>
      <c r="M1325" s="6">
        <f ca="1"/>
        <v>-2.1547619047619264</v>
      </c>
      <c r="N1325" s="6">
        <f ca="1"/>
        <v>-0.11726190476190723</v>
      </c>
      <c r="O1325" s="6">
        <f t="shared" ca="1" si="191"/>
        <v>52.678571428568169</v>
      </c>
      <c r="P1325" t="str">
        <f t="shared" si="192"/>
        <v>NA</v>
      </c>
      <c r="Q1325" s="10">
        <f t="shared" ca="1" si="193"/>
        <v>38.79761904761552</v>
      </c>
      <c r="R1325" s="10">
        <f t="shared" ca="1" si="194"/>
        <v>81.994047619044977</v>
      </c>
      <c r="S1325" s="10">
        <f t="shared" ca="1" si="195"/>
        <v>-43.196428571429458</v>
      </c>
      <c r="T1325" s="10">
        <f t="shared" ca="1" si="196"/>
        <v>368.37563451776629</v>
      </c>
      <c r="U1325" s="10">
        <f t="shared" ca="1" si="197"/>
        <v>368.37563451776629</v>
      </c>
      <c r="V1325">
        <f t="shared" si="198"/>
        <v>3</v>
      </c>
    </row>
    <row r="1326" spans="1:22" x14ac:dyDescent="0.25">
      <c r="A1326">
        <v>148</v>
      </c>
      <c r="B1326">
        <v>2</v>
      </c>
      <c r="C1326">
        <v>65</v>
      </c>
      <c r="D1326">
        <v>1</v>
      </c>
      <c r="E1326">
        <v>1</v>
      </c>
      <c r="F1326">
        <v>0</v>
      </c>
      <c r="G1326">
        <v>0</v>
      </c>
      <c r="H1326">
        <v>350</v>
      </c>
      <c r="I1326">
        <f t="shared" si="199"/>
        <v>1323</v>
      </c>
      <c r="J1326" s="6">
        <f t="array" aca="1" ref="J1326:N1326" ca="1">TRANSPOSE(ols(OFFSET($C$2:$C$10,I1326,0),OFFSET($D$2:$H$10,I1326,0)))</f>
        <v>122.68452380952203</v>
      </c>
      <c r="K1326" s="6">
        <f ca="1"/>
        <v>-16.464285714285552</v>
      </c>
      <c r="L1326" s="6">
        <f ca="1"/>
        <v>-40.690476190477057</v>
      </c>
      <c r="M1326" s="6">
        <f ca="1"/>
        <v>-2.1547619047619264</v>
      </c>
      <c r="N1326" s="6">
        <f ca="1"/>
        <v>-0.11726190476190723</v>
      </c>
      <c r="O1326" s="6">
        <f t="shared" ca="1" si="191"/>
        <v>65.178571428568944</v>
      </c>
      <c r="P1326" t="str">
        <f t="shared" si="192"/>
        <v>NA</v>
      </c>
      <c r="Q1326" s="10">
        <f t="shared" ca="1" si="193"/>
        <v>38.79761904761552</v>
      </c>
      <c r="R1326" s="10">
        <f t="shared" ca="1" si="194"/>
        <v>106.22023809523648</v>
      </c>
      <c r="S1326" s="10">
        <f t="shared" ca="1" si="195"/>
        <v>-67.422619047620969</v>
      </c>
      <c r="T1326" s="10">
        <f t="shared" ca="1" si="196"/>
        <v>574.97461928934433</v>
      </c>
      <c r="U1326" s="10">
        <f t="shared" ca="1" si="197"/>
        <v>574.97461928934433</v>
      </c>
      <c r="V1326">
        <f t="shared" si="198"/>
        <v>2</v>
      </c>
    </row>
    <row r="1327" spans="1:22" x14ac:dyDescent="0.25">
      <c r="A1327">
        <v>148</v>
      </c>
      <c r="B1327">
        <v>3</v>
      </c>
      <c r="C1327">
        <v>51</v>
      </c>
      <c r="D1327">
        <v>1</v>
      </c>
      <c r="E1327">
        <v>1</v>
      </c>
      <c r="F1327">
        <v>0</v>
      </c>
      <c r="G1327">
        <v>0</v>
      </c>
      <c r="H1327">
        <v>450</v>
      </c>
      <c r="I1327">
        <f t="shared" si="199"/>
        <v>1323</v>
      </c>
      <c r="J1327" s="6">
        <f t="array" aca="1" ref="J1327:N1327" ca="1">TRANSPOSE(ols(OFFSET($C$2:$C$10,I1327,0),OFFSET($D$2:$H$10,I1327,0)))</f>
        <v>122.68452380952203</v>
      </c>
      <c r="K1327" s="6">
        <f ca="1"/>
        <v>-16.464285714285552</v>
      </c>
      <c r="L1327" s="6">
        <f ca="1"/>
        <v>-40.690476190477057</v>
      </c>
      <c r="M1327" s="6">
        <f ca="1"/>
        <v>-2.1547619047619264</v>
      </c>
      <c r="N1327" s="6">
        <f ca="1"/>
        <v>-0.11726190476190723</v>
      </c>
      <c r="O1327" s="6">
        <f t="shared" ca="1" si="191"/>
        <v>53.452380952378228</v>
      </c>
      <c r="P1327" t="str">
        <f t="shared" si="192"/>
        <v>NA</v>
      </c>
      <c r="Q1327" s="10">
        <f t="shared" ca="1" si="193"/>
        <v>38.79761904761552</v>
      </c>
      <c r="R1327" s="10">
        <f t="shared" ca="1" si="194"/>
        <v>106.22023809523648</v>
      </c>
      <c r="S1327" s="10">
        <f t="shared" ca="1" si="195"/>
        <v>-67.422619047620969</v>
      </c>
      <c r="T1327" s="10">
        <f t="shared" ca="1" si="196"/>
        <v>574.97461928934433</v>
      </c>
      <c r="U1327" s="10">
        <f t="shared" ca="1" si="197"/>
        <v>574.97461928934433</v>
      </c>
      <c r="V1327">
        <f t="shared" si="198"/>
        <v>2</v>
      </c>
    </row>
    <row r="1328" spans="1:22" x14ac:dyDescent="0.25">
      <c r="A1328">
        <v>148</v>
      </c>
      <c r="B1328">
        <v>4</v>
      </c>
      <c r="C1328">
        <v>62.5</v>
      </c>
      <c r="D1328">
        <v>1</v>
      </c>
      <c r="E1328">
        <v>0</v>
      </c>
      <c r="F1328">
        <v>0</v>
      </c>
      <c r="G1328">
        <v>0</v>
      </c>
      <c r="H1328">
        <v>550</v>
      </c>
      <c r="I1328">
        <f t="shared" si="199"/>
        <v>1323</v>
      </c>
      <c r="J1328" s="6">
        <f t="array" aca="1" ref="J1328:N1328" ca="1">TRANSPOSE(ols(OFFSET($C$2:$C$10,I1328,0),OFFSET($D$2:$H$10,I1328,0)))</f>
        <v>122.68452380952203</v>
      </c>
      <c r="K1328" s="6">
        <f ca="1"/>
        <v>-16.464285714285552</v>
      </c>
      <c r="L1328" s="6">
        <f ca="1"/>
        <v>-40.690476190477057</v>
      </c>
      <c r="M1328" s="6">
        <f ca="1"/>
        <v>-2.1547619047619264</v>
      </c>
      <c r="N1328" s="6">
        <f ca="1"/>
        <v>-0.11726190476190723</v>
      </c>
      <c r="O1328" s="6">
        <f t="shared" ca="1" si="191"/>
        <v>58.190476190473049</v>
      </c>
      <c r="P1328" t="str">
        <f t="shared" si="192"/>
        <v>NA</v>
      </c>
      <c r="Q1328" s="10">
        <f t="shared" ca="1" si="193"/>
        <v>38.79761904761552</v>
      </c>
      <c r="R1328" s="10">
        <f t="shared" ca="1" si="194"/>
        <v>122.68452380952203</v>
      </c>
      <c r="S1328" s="10">
        <f t="shared" ca="1" si="195"/>
        <v>-83.886904761906521</v>
      </c>
      <c r="T1328" s="10">
        <f t="shared" ca="1" si="196"/>
        <v>715.38071065989845</v>
      </c>
      <c r="U1328" s="10" t="str">
        <f t="shared" ca="1" si="197"/>
        <v>OR</v>
      </c>
      <c r="V1328">
        <f t="shared" si="198"/>
        <v>1</v>
      </c>
    </row>
    <row r="1329" spans="1:22" x14ac:dyDescent="0.25">
      <c r="A1329">
        <v>148</v>
      </c>
      <c r="B1329">
        <v>5</v>
      </c>
      <c r="C1329">
        <v>51</v>
      </c>
      <c r="D1329">
        <v>1</v>
      </c>
      <c r="E1329">
        <v>0</v>
      </c>
      <c r="F1329">
        <v>1</v>
      </c>
      <c r="G1329">
        <v>1</v>
      </c>
      <c r="H1329">
        <v>250</v>
      </c>
      <c r="I1329">
        <f t="shared" si="199"/>
        <v>1323</v>
      </c>
      <c r="J1329" s="6">
        <f t="array" aca="1" ref="J1329:N1329" ca="1">TRANSPOSE(ols(OFFSET($C$2:$C$10,I1329,0),OFFSET($D$2:$H$10,I1329,0)))</f>
        <v>122.68452380952203</v>
      </c>
      <c r="K1329" s="6">
        <f ca="1"/>
        <v>-16.464285714285552</v>
      </c>
      <c r="L1329" s="6">
        <f ca="1"/>
        <v>-40.690476190477057</v>
      </c>
      <c r="M1329" s="6">
        <f ca="1"/>
        <v>-2.1547619047619264</v>
      </c>
      <c r="N1329" s="6">
        <f ca="1"/>
        <v>-0.11726190476190723</v>
      </c>
      <c r="O1329" s="6">
        <f t="shared" ca="1" si="191"/>
        <v>50.523809523806243</v>
      </c>
      <c r="P1329" t="str">
        <f t="shared" si="192"/>
        <v>NA</v>
      </c>
      <c r="Q1329" s="10">
        <f t="shared" ca="1" si="193"/>
        <v>38.79761904761552</v>
      </c>
      <c r="R1329" s="10">
        <f t="shared" ca="1" si="194"/>
        <v>79.839285714283051</v>
      </c>
      <c r="S1329" s="10">
        <f t="shared" ca="1" si="195"/>
        <v>-41.041666666667531</v>
      </c>
      <c r="T1329" s="10">
        <f t="shared" ca="1" si="196"/>
        <v>350</v>
      </c>
      <c r="U1329" s="10">
        <f t="shared" ca="1" si="197"/>
        <v>350</v>
      </c>
      <c r="V1329">
        <f t="shared" si="198"/>
        <v>6</v>
      </c>
    </row>
    <row r="1330" spans="1:22" x14ac:dyDescent="0.25">
      <c r="A1330">
        <v>148</v>
      </c>
      <c r="B1330">
        <v>6</v>
      </c>
      <c r="C1330">
        <v>40</v>
      </c>
      <c r="D1330">
        <v>1</v>
      </c>
      <c r="E1330">
        <v>0</v>
      </c>
      <c r="F1330">
        <v>1</v>
      </c>
      <c r="G1330">
        <v>1</v>
      </c>
      <c r="H1330">
        <v>350</v>
      </c>
      <c r="I1330">
        <f t="shared" si="199"/>
        <v>1323</v>
      </c>
      <c r="J1330" s="6">
        <f t="array" aca="1" ref="J1330:N1330" ca="1">TRANSPOSE(ols(OFFSET($C$2:$C$10,I1330,0),OFFSET($D$2:$H$10,I1330,0)))</f>
        <v>122.68452380952203</v>
      </c>
      <c r="K1330" s="6">
        <f ca="1"/>
        <v>-16.464285714285552</v>
      </c>
      <c r="L1330" s="6">
        <f ca="1"/>
        <v>-40.690476190477057</v>
      </c>
      <c r="M1330" s="6">
        <f ca="1"/>
        <v>-2.1547619047619264</v>
      </c>
      <c r="N1330" s="6">
        <f ca="1"/>
        <v>-0.11726190476190723</v>
      </c>
      <c r="O1330" s="6">
        <f t="shared" ca="1" si="191"/>
        <v>38.79761904761552</v>
      </c>
      <c r="P1330">
        <f t="shared" ca="1" si="192"/>
        <v>38.79761904761552</v>
      </c>
      <c r="Q1330" s="10">
        <f t="shared" ca="1" si="193"/>
        <v>38.79761904761552</v>
      </c>
      <c r="R1330" s="10">
        <f t="shared" ca="1" si="194"/>
        <v>79.839285714283051</v>
      </c>
      <c r="S1330" s="10">
        <f t="shared" ca="1" si="195"/>
        <v>-41.041666666667531</v>
      </c>
      <c r="T1330" s="10">
        <f t="shared" ca="1" si="196"/>
        <v>350</v>
      </c>
      <c r="U1330" s="10">
        <f t="shared" ca="1" si="197"/>
        <v>350</v>
      </c>
      <c r="V1330">
        <f t="shared" si="198"/>
        <v>6</v>
      </c>
    </row>
    <row r="1331" spans="1:22" x14ac:dyDescent="0.25">
      <c r="A1331">
        <v>148</v>
      </c>
      <c r="B1331">
        <v>7</v>
      </c>
      <c r="C1331">
        <v>51</v>
      </c>
      <c r="D1331">
        <v>1</v>
      </c>
      <c r="E1331">
        <v>1</v>
      </c>
      <c r="F1331">
        <v>0</v>
      </c>
      <c r="G1331">
        <v>1</v>
      </c>
      <c r="H1331">
        <v>450</v>
      </c>
      <c r="I1331">
        <f t="shared" si="199"/>
        <v>1323</v>
      </c>
      <c r="J1331" s="6">
        <f t="array" aca="1" ref="J1331:N1331" ca="1">TRANSPOSE(ols(OFFSET($C$2:$C$10,I1331,0),OFFSET($D$2:$H$10,I1331,0)))</f>
        <v>122.68452380952203</v>
      </c>
      <c r="K1331" s="6">
        <f ca="1"/>
        <v>-16.464285714285552</v>
      </c>
      <c r="L1331" s="6">
        <f ca="1"/>
        <v>-40.690476190477057</v>
      </c>
      <c r="M1331" s="6">
        <f ca="1"/>
        <v>-2.1547619047619264</v>
      </c>
      <c r="N1331" s="6">
        <f ca="1"/>
        <v>-0.11726190476190723</v>
      </c>
      <c r="O1331" s="6">
        <f t="shared" ca="1" si="191"/>
        <v>51.297619047616301</v>
      </c>
      <c r="P1331" t="str">
        <f t="shared" si="192"/>
        <v>NA</v>
      </c>
      <c r="Q1331" s="10">
        <f t="shared" ca="1" si="193"/>
        <v>38.79761904761552</v>
      </c>
      <c r="R1331" s="10">
        <f t="shared" ca="1" si="194"/>
        <v>104.06547619047456</v>
      </c>
      <c r="S1331" s="10">
        <f t="shared" ca="1" si="195"/>
        <v>-65.267857142859043</v>
      </c>
      <c r="T1331" s="10">
        <f t="shared" ca="1" si="196"/>
        <v>556.5989847715781</v>
      </c>
      <c r="U1331" s="10">
        <f t="shared" ca="1" si="197"/>
        <v>556.5989847715781</v>
      </c>
      <c r="V1331">
        <f t="shared" si="198"/>
        <v>5</v>
      </c>
    </row>
    <row r="1332" spans="1:22" x14ac:dyDescent="0.25">
      <c r="A1332">
        <v>148</v>
      </c>
      <c r="B1332">
        <v>8</v>
      </c>
      <c r="C1332">
        <v>42.5</v>
      </c>
      <c r="D1332">
        <v>1</v>
      </c>
      <c r="E1332">
        <v>1</v>
      </c>
      <c r="F1332">
        <v>0</v>
      </c>
      <c r="G1332">
        <v>1</v>
      </c>
      <c r="H1332">
        <v>550</v>
      </c>
      <c r="I1332">
        <f t="shared" si="199"/>
        <v>1323</v>
      </c>
      <c r="J1332" s="6">
        <f t="array" aca="1" ref="J1332:N1332" ca="1">TRANSPOSE(ols(OFFSET($C$2:$C$10,I1332,0),OFFSET($D$2:$H$10,I1332,0)))</f>
        <v>122.68452380952203</v>
      </c>
      <c r="K1332" s="6">
        <f ca="1"/>
        <v>-16.464285714285552</v>
      </c>
      <c r="L1332" s="6">
        <f ca="1"/>
        <v>-40.690476190477057</v>
      </c>
      <c r="M1332" s="6">
        <f ca="1"/>
        <v>-2.1547619047619264</v>
      </c>
      <c r="N1332" s="6">
        <f ca="1"/>
        <v>-0.11726190476190723</v>
      </c>
      <c r="O1332" s="6">
        <f t="shared" ca="1" si="191"/>
        <v>39.571428571425571</v>
      </c>
      <c r="P1332" t="str">
        <f t="shared" si="192"/>
        <v>NA</v>
      </c>
      <c r="Q1332" s="10">
        <f t="shared" ca="1" si="193"/>
        <v>38.79761904761552</v>
      </c>
      <c r="R1332" s="10">
        <f t="shared" ca="1" si="194"/>
        <v>104.06547619047456</v>
      </c>
      <c r="S1332" s="10">
        <f t="shared" ca="1" si="195"/>
        <v>-65.267857142859043</v>
      </c>
      <c r="T1332" s="10">
        <f t="shared" ca="1" si="196"/>
        <v>556.5989847715781</v>
      </c>
      <c r="U1332" s="10">
        <f t="shared" ca="1" si="197"/>
        <v>556.5989847715781</v>
      </c>
      <c r="V1332">
        <f t="shared" si="198"/>
        <v>5</v>
      </c>
    </row>
    <row r="1333" spans="1:22" x14ac:dyDescent="0.25">
      <c r="A1333">
        <v>148</v>
      </c>
      <c r="B1333">
        <v>9</v>
      </c>
      <c r="C1333">
        <v>40</v>
      </c>
      <c r="D1333">
        <v>1</v>
      </c>
      <c r="E1333">
        <v>0</v>
      </c>
      <c r="F1333">
        <v>0</v>
      </c>
      <c r="G1333">
        <v>1</v>
      </c>
      <c r="H1333">
        <v>650</v>
      </c>
      <c r="I1333">
        <f t="shared" si="199"/>
        <v>1323</v>
      </c>
      <c r="J1333" s="6">
        <f t="array" aca="1" ref="J1333:N1333" ca="1">TRANSPOSE(ols(OFFSET($C$2:$C$10,I1333,0),OFFSET($D$2:$H$10,I1333,0)))</f>
        <v>122.68452380952203</v>
      </c>
      <c r="K1333" s="6">
        <f ca="1"/>
        <v>-16.464285714285552</v>
      </c>
      <c r="L1333" s="6">
        <f ca="1"/>
        <v>-40.690476190477057</v>
      </c>
      <c r="M1333" s="6">
        <f ca="1"/>
        <v>-2.1547619047619264</v>
      </c>
      <c r="N1333" s="6">
        <f ca="1"/>
        <v>-0.11726190476190723</v>
      </c>
      <c r="O1333" s="6">
        <f t="shared" ca="1" si="191"/>
        <v>44.309523809520414</v>
      </c>
      <c r="P1333" t="str">
        <f t="shared" si="192"/>
        <v>NA</v>
      </c>
      <c r="Q1333" s="10">
        <f t="shared" ca="1" si="193"/>
        <v>38.79761904761552</v>
      </c>
      <c r="R1333" s="10">
        <f t="shared" ca="1" si="194"/>
        <v>120.52976190476011</v>
      </c>
      <c r="S1333" s="10">
        <f t="shared" ca="1" si="195"/>
        <v>-81.732142857144595</v>
      </c>
      <c r="T1333" s="10">
        <f t="shared" ca="1" si="196"/>
        <v>697.00507614213211</v>
      </c>
      <c r="U1333" s="10" t="str">
        <f t="shared" ca="1" si="197"/>
        <v>OR</v>
      </c>
      <c r="V1333">
        <f t="shared" si="198"/>
        <v>4</v>
      </c>
    </row>
    <row r="1334" spans="1:22" x14ac:dyDescent="0.25">
      <c r="A1334">
        <v>149</v>
      </c>
      <c r="B1334">
        <v>1</v>
      </c>
      <c r="C1334">
        <v>60</v>
      </c>
      <c r="D1334">
        <v>1</v>
      </c>
      <c r="E1334">
        <v>0</v>
      </c>
      <c r="F1334">
        <v>1</v>
      </c>
      <c r="G1334">
        <v>0</v>
      </c>
      <c r="H1334">
        <v>250</v>
      </c>
      <c r="I1334">
        <f t="shared" si="199"/>
        <v>1332</v>
      </c>
      <c r="J1334" s="6">
        <f t="array" aca="1" ref="J1334:N1334" ca="1">TRANSPOSE(ols(OFFSET($C$2:$C$10,I1334,0),OFFSET($D$2:$H$10,I1334,0)))</f>
        <v>76.130952380951385</v>
      </c>
      <c r="K1334" s="6">
        <f ca="1"/>
        <v>-1.0714285714284415</v>
      </c>
      <c r="L1334" s="6">
        <f ca="1"/>
        <v>7.3809523809527491</v>
      </c>
      <c r="M1334" s="6">
        <f ca="1"/>
        <v>26.309523809523853</v>
      </c>
      <c r="N1334" s="6">
        <f ca="1"/>
        <v>-0.11547619047619051</v>
      </c>
      <c r="O1334" s="6">
        <f t="shared" ca="1" si="191"/>
        <v>54.642857142856506</v>
      </c>
      <c r="P1334" t="str">
        <f t="shared" si="192"/>
        <v>NA</v>
      </c>
      <c r="Q1334" s="10">
        <f t="shared" ca="1" si="193"/>
        <v>69.404761904761301</v>
      </c>
      <c r="R1334" s="10">
        <f t="shared" ca="1" si="194"/>
        <v>83.511904761904134</v>
      </c>
      <c r="S1334" s="10">
        <f t="shared" ca="1" si="195"/>
        <v>-14.107142857142833</v>
      </c>
      <c r="T1334" s="10">
        <f t="shared" ca="1" si="196"/>
        <v>122.16494845360801</v>
      </c>
      <c r="U1334" s="10" t="str">
        <f t="shared" ca="1" si="197"/>
        <v>OR</v>
      </c>
      <c r="V1334">
        <f t="shared" si="198"/>
        <v>3</v>
      </c>
    </row>
    <row r="1335" spans="1:22" x14ac:dyDescent="0.25">
      <c r="A1335">
        <v>149</v>
      </c>
      <c r="B1335">
        <v>2</v>
      </c>
      <c r="C1335">
        <v>30</v>
      </c>
      <c r="D1335">
        <v>1</v>
      </c>
      <c r="E1335">
        <v>1</v>
      </c>
      <c r="F1335">
        <v>0</v>
      </c>
      <c r="G1335">
        <v>0</v>
      </c>
      <c r="H1335">
        <v>350</v>
      </c>
      <c r="I1335">
        <f t="shared" si="199"/>
        <v>1332</v>
      </c>
      <c r="J1335" s="6">
        <f t="array" aca="1" ref="J1335:N1335" ca="1">TRANSPOSE(ols(OFFSET($C$2:$C$10,I1335,0),OFFSET($D$2:$H$10,I1335,0)))</f>
        <v>76.130952380951385</v>
      </c>
      <c r="K1335" s="6">
        <f ca="1"/>
        <v>-1.0714285714284415</v>
      </c>
      <c r="L1335" s="6">
        <f ca="1"/>
        <v>7.3809523809527491</v>
      </c>
      <c r="M1335" s="6">
        <f ca="1"/>
        <v>26.309523809523853</v>
      </c>
      <c r="N1335" s="6">
        <f ca="1"/>
        <v>-0.11547619047619051</v>
      </c>
      <c r="O1335" s="6">
        <f t="shared" ca="1" si="191"/>
        <v>34.642857142856265</v>
      </c>
      <c r="P1335" t="str">
        <f t="shared" si="192"/>
        <v>NA</v>
      </c>
      <c r="Q1335" s="10">
        <f t="shared" ca="1" si="193"/>
        <v>69.404761904761301</v>
      </c>
      <c r="R1335" s="10">
        <f t="shared" ca="1" si="194"/>
        <v>75.059523809522943</v>
      </c>
      <c r="S1335" s="10">
        <f t="shared" ca="1" si="195"/>
        <v>-5.6547619047616422</v>
      </c>
      <c r="T1335" s="10">
        <f t="shared" ca="1" si="196"/>
        <v>48.969072164946162</v>
      </c>
      <c r="U1335" s="10" t="str">
        <f t="shared" ca="1" si="197"/>
        <v>OR</v>
      </c>
      <c r="V1335">
        <f t="shared" si="198"/>
        <v>2</v>
      </c>
    </row>
    <row r="1336" spans="1:22" x14ac:dyDescent="0.25">
      <c r="A1336">
        <v>149</v>
      </c>
      <c r="B1336">
        <v>3</v>
      </c>
      <c r="C1336">
        <v>25</v>
      </c>
      <c r="D1336">
        <v>1</v>
      </c>
      <c r="E1336">
        <v>1</v>
      </c>
      <c r="F1336">
        <v>0</v>
      </c>
      <c r="G1336">
        <v>0</v>
      </c>
      <c r="H1336">
        <v>450</v>
      </c>
      <c r="I1336">
        <f t="shared" si="199"/>
        <v>1332</v>
      </c>
      <c r="J1336" s="6">
        <f t="array" aca="1" ref="J1336:N1336" ca="1">TRANSPOSE(ols(OFFSET($C$2:$C$10,I1336,0),OFFSET($D$2:$H$10,I1336,0)))</f>
        <v>76.130952380951385</v>
      </c>
      <c r="K1336" s="6">
        <f ca="1"/>
        <v>-1.0714285714284415</v>
      </c>
      <c r="L1336" s="6">
        <f ca="1"/>
        <v>7.3809523809527491</v>
      </c>
      <c r="M1336" s="6">
        <f ca="1"/>
        <v>26.309523809523853</v>
      </c>
      <c r="N1336" s="6">
        <f ca="1"/>
        <v>-0.11547619047619051</v>
      </c>
      <c r="O1336" s="6">
        <f t="shared" ca="1" si="191"/>
        <v>23.095238095237214</v>
      </c>
      <c r="P1336" t="str">
        <f t="shared" si="192"/>
        <v>NA</v>
      </c>
      <c r="Q1336" s="10">
        <f t="shared" ca="1" si="193"/>
        <v>69.404761904761301</v>
      </c>
      <c r="R1336" s="10">
        <f t="shared" ca="1" si="194"/>
        <v>75.059523809522943</v>
      </c>
      <c r="S1336" s="10">
        <f t="shared" ca="1" si="195"/>
        <v>-5.6547619047616422</v>
      </c>
      <c r="T1336" s="10">
        <f t="shared" ca="1" si="196"/>
        <v>48.969072164946162</v>
      </c>
      <c r="U1336" s="10" t="str">
        <f t="shared" ca="1" si="197"/>
        <v>OR</v>
      </c>
      <c r="V1336">
        <f t="shared" si="198"/>
        <v>2</v>
      </c>
    </row>
    <row r="1337" spans="1:22" x14ac:dyDescent="0.25">
      <c r="A1337">
        <v>149</v>
      </c>
      <c r="B1337">
        <v>4</v>
      </c>
      <c r="C1337">
        <v>10</v>
      </c>
      <c r="D1337">
        <v>1</v>
      </c>
      <c r="E1337">
        <v>0</v>
      </c>
      <c r="F1337">
        <v>0</v>
      </c>
      <c r="G1337">
        <v>0</v>
      </c>
      <c r="H1337">
        <v>550</v>
      </c>
      <c r="I1337">
        <f t="shared" si="199"/>
        <v>1332</v>
      </c>
      <c r="J1337" s="6">
        <f t="array" aca="1" ref="J1337:N1337" ca="1">TRANSPOSE(ols(OFFSET($C$2:$C$10,I1337,0),OFFSET($D$2:$H$10,I1337,0)))</f>
        <v>76.130952380951385</v>
      </c>
      <c r="K1337" s="6">
        <f ca="1"/>
        <v>-1.0714285714284415</v>
      </c>
      <c r="L1337" s="6">
        <f ca="1"/>
        <v>7.3809523809527491</v>
      </c>
      <c r="M1337" s="6">
        <f ca="1"/>
        <v>26.309523809523853</v>
      </c>
      <c r="N1337" s="6">
        <f ca="1"/>
        <v>-0.11547619047619051</v>
      </c>
      <c r="O1337" s="6">
        <f t="shared" ca="1" si="191"/>
        <v>12.619047619046604</v>
      </c>
      <c r="P1337" t="str">
        <f t="shared" si="192"/>
        <v>NA</v>
      </c>
      <c r="Q1337" s="10">
        <f t="shared" ca="1" si="193"/>
        <v>69.404761904761301</v>
      </c>
      <c r="R1337" s="10">
        <f t="shared" ca="1" si="194"/>
        <v>76.130952380951385</v>
      </c>
      <c r="S1337" s="10">
        <f t="shared" ca="1" si="195"/>
        <v>-6.7261904761900837</v>
      </c>
      <c r="T1337" s="10">
        <f t="shared" ca="1" si="196"/>
        <v>58.247422680408953</v>
      </c>
      <c r="U1337" s="10" t="str">
        <f t="shared" ca="1" si="197"/>
        <v>OR</v>
      </c>
      <c r="V1337">
        <f t="shared" si="198"/>
        <v>1</v>
      </c>
    </row>
    <row r="1338" spans="1:22" x14ac:dyDescent="0.25">
      <c r="A1338">
        <v>149</v>
      </c>
      <c r="B1338">
        <v>5</v>
      </c>
      <c r="C1338">
        <v>75</v>
      </c>
      <c r="D1338">
        <v>1</v>
      </c>
      <c r="E1338">
        <v>0</v>
      </c>
      <c r="F1338">
        <v>1</v>
      </c>
      <c r="G1338">
        <v>1</v>
      </c>
      <c r="H1338">
        <v>250</v>
      </c>
      <c r="I1338">
        <f t="shared" si="199"/>
        <v>1332</v>
      </c>
      <c r="J1338" s="6">
        <f t="array" aca="1" ref="J1338:N1338" ca="1">TRANSPOSE(ols(OFFSET($C$2:$C$10,I1338,0),OFFSET($D$2:$H$10,I1338,0)))</f>
        <v>76.130952380951385</v>
      </c>
      <c r="K1338" s="6">
        <f ca="1"/>
        <v>-1.0714285714284415</v>
      </c>
      <c r="L1338" s="6">
        <f ca="1"/>
        <v>7.3809523809527491</v>
      </c>
      <c r="M1338" s="6">
        <f ca="1"/>
        <v>26.309523809523853</v>
      </c>
      <c r="N1338" s="6">
        <f ca="1"/>
        <v>-0.11547619047619051</v>
      </c>
      <c r="O1338" s="6">
        <f t="shared" ca="1" si="191"/>
        <v>80.952380952380366</v>
      </c>
      <c r="P1338" t="str">
        <f t="shared" si="192"/>
        <v>NA</v>
      </c>
      <c r="Q1338" s="10">
        <f t="shared" ca="1" si="193"/>
        <v>69.404761904761301</v>
      </c>
      <c r="R1338" s="10">
        <f t="shared" ca="1" si="194"/>
        <v>109.82142857142799</v>
      </c>
      <c r="S1338" s="10">
        <f t="shared" ca="1" si="195"/>
        <v>-40.416666666666686</v>
      </c>
      <c r="T1338" s="10">
        <f t="shared" ca="1" si="196"/>
        <v>350.00000000000006</v>
      </c>
      <c r="U1338" s="10">
        <f t="shared" ca="1" si="197"/>
        <v>350.00000000000006</v>
      </c>
      <c r="V1338">
        <f t="shared" si="198"/>
        <v>6</v>
      </c>
    </row>
    <row r="1339" spans="1:22" x14ac:dyDescent="0.25">
      <c r="A1339">
        <v>149</v>
      </c>
      <c r="B1339">
        <v>6</v>
      </c>
      <c r="C1339">
        <v>70</v>
      </c>
      <c r="D1339">
        <v>1</v>
      </c>
      <c r="E1339">
        <v>0</v>
      </c>
      <c r="F1339">
        <v>1</v>
      </c>
      <c r="G1339">
        <v>1</v>
      </c>
      <c r="H1339">
        <v>350</v>
      </c>
      <c r="I1339">
        <f t="shared" si="199"/>
        <v>1332</v>
      </c>
      <c r="J1339" s="6">
        <f t="array" aca="1" ref="J1339:N1339" ca="1">TRANSPOSE(ols(OFFSET($C$2:$C$10,I1339,0),OFFSET($D$2:$H$10,I1339,0)))</f>
        <v>76.130952380951385</v>
      </c>
      <c r="K1339" s="6">
        <f ca="1"/>
        <v>-1.0714285714284415</v>
      </c>
      <c r="L1339" s="6">
        <f ca="1"/>
        <v>7.3809523809527491</v>
      </c>
      <c r="M1339" s="6">
        <f ca="1"/>
        <v>26.309523809523853</v>
      </c>
      <c r="N1339" s="6">
        <f ca="1"/>
        <v>-0.11547619047619051</v>
      </c>
      <c r="O1339" s="6">
        <f t="shared" ca="1" si="191"/>
        <v>69.404761904761301</v>
      </c>
      <c r="P1339">
        <f t="shared" ca="1" si="192"/>
        <v>69.404761904761301</v>
      </c>
      <c r="Q1339" s="10">
        <f t="shared" ca="1" si="193"/>
        <v>69.404761904761301</v>
      </c>
      <c r="R1339" s="10">
        <f t="shared" ca="1" si="194"/>
        <v>109.82142857142799</v>
      </c>
      <c r="S1339" s="10">
        <f t="shared" ca="1" si="195"/>
        <v>-40.416666666666686</v>
      </c>
      <c r="T1339" s="10">
        <f t="shared" ca="1" si="196"/>
        <v>350.00000000000006</v>
      </c>
      <c r="U1339" s="10">
        <f t="shared" ca="1" si="197"/>
        <v>350.00000000000006</v>
      </c>
      <c r="V1339">
        <f t="shared" si="198"/>
        <v>6</v>
      </c>
    </row>
    <row r="1340" spans="1:22" x14ac:dyDescent="0.25">
      <c r="A1340">
        <v>149</v>
      </c>
      <c r="B1340">
        <v>7</v>
      </c>
      <c r="C1340">
        <v>60</v>
      </c>
      <c r="D1340">
        <v>1</v>
      </c>
      <c r="E1340">
        <v>1</v>
      </c>
      <c r="F1340">
        <v>0</v>
      </c>
      <c r="G1340">
        <v>1</v>
      </c>
      <c r="H1340">
        <v>450</v>
      </c>
      <c r="I1340">
        <f t="shared" si="199"/>
        <v>1332</v>
      </c>
      <c r="J1340" s="6">
        <f t="array" aca="1" ref="J1340:N1340" ca="1">TRANSPOSE(ols(OFFSET($C$2:$C$10,I1340,0),OFFSET($D$2:$H$10,I1340,0)))</f>
        <v>76.130952380951385</v>
      </c>
      <c r="K1340" s="6">
        <f ca="1"/>
        <v>-1.0714285714284415</v>
      </c>
      <c r="L1340" s="6">
        <f ca="1"/>
        <v>7.3809523809527491</v>
      </c>
      <c r="M1340" s="6">
        <f ca="1"/>
        <v>26.309523809523853</v>
      </c>
      <c r="N1340" s="6">
        <f ca="1"/>
        <v>-0.11547619047619051</v>
      </c>
      <c r="O1340" s="6">
        <f t="shared" ca="1" si="191"/>
        <v>49.404761904761067</v>
      </c>
      <c r="P1340" t="str">
        <f t="shared" si="192"/>
        <v>NA</v>
      </c>
      <c r="Q1340" s="10">
        <f t="shared" ca="1" si="193"/>
        <v>69.404761904761301</v>
      </c>
      <c r="R1340" s="10">
        <f t="shared" ca="1" si="194"/>
        <v>101.3690476190468</v>
      </c>
      <c r="S1340" s="10">
        <f t="shared" ca="1" si="195"/>
        <v>-31.964285714285495</v>
      </c>
      <c r="T1340" s="10">
        <f t="shared" ca="1" si="196"/>
        <v>276.80412371133821</v>
      </c>
      <c r="U1340" s="10">
        <f t="shared" ca="1" si="197"/>
        <v>276.80412371133821</v>
      </c>
      <c r="V1340">
        <f t="shared" si="198"/>
        <v>5</v>
      </c>
    </row>
    <row r="1341" spans="1:22" x14ac:dyDescent="0.25">
      <c r="A1341">
        <v>149</v>
      </c>
      <c r="B1341">
        <v>8</v>
      </c>
      <c r="C1341">
        <v>30</v>
      </c>
      <c r="D1341">
        <v>1</v>
      </c>
      <c r="E1341">
        <v>1</v>
      </c>
      <c r="F1341">
        <v>0</v>
      </c>
      <c r="G1341">
        <v>1</v>
      </c>
      <c r="H1341">
        <v>550</v>
      </c>
      <c r="I1341">
        <f t="shared" si="199"/>
        <v>1332</v>
      </c>
      <c r="J1341" s="6">
        <f t="array" aca="1" ref="J1341:N1341" ca="1">TRANSPOSE(ols(OFFSET($C$2:$C$10,I1341,0),OFFSET($D$2:$H$10,I1341,0)))</f>
        <v>76.130952380951385</v>
      </c>
      <c r="K1341" s="6">
        <f ca="1"/>
        <v>-1.0714285714284415</v>
      </c>
      <c r="L1341" s="6">
        <f ca="1"/>
        <v>7.3809523809527491</v>
      </c>
      <c r="M1341" s="6">
        <f ca="1"/>
        <v>26.309523809523853</v>
      </c>
      <c r="N1341" s="6">
        <f ca="1"/>
        <v>-0.11547619047619051</v>
      </c>
      <c r="O1341" s="6">
        <f t="shared" ca="1" si="191"/>
        <v>37.857142857142016</v>
      </c>
      <c r="P1341" t="str">
        <f t="shared" si="192"/>
        <v>NA</v>
      </c>
      <c r="Q1341" s="10">
        <f t="shared" ca="1" si="193"/>
        <v>69.404761904761301</v>
      </c>
      <c r="R1341" s="10">
        <f t="shared" ca="1" si="194"/>
        <v>101.3690476190468</v>
      </c>
      <c r="S1341" s="10">
        <f t="shared" ca="1" si="195"/>
        <v>-31.964285714285495</v>
      </c>
      <c r="T1341" s="10">
        <f t="shared" ca="1" si="196"/>
        <v>276.80412371133821</v>
      </c>
      <c r="U1341" s="10">
        <f t="shared" ca="1" si="197"/>
        <v>276.80412371133821</v>
      </c>
      <c r="V1341">
        <f t="shared" si="198"/>
        <v>5</v>
      </c>
    </row>
    <row r="1342" spans="1:22" x14ac:dyDescent="0.25">
      <c r="A1342">
        <v>149</v>
      </c>
      <c r="B1342">
        <v>9</v>
      </c>
      <c r="C1342">
        <v>30</v>
      </c>
      <c r="D1342">
        <v>1</v>
      </c>
      <c r="E1342">
        <v>0</v>
      </c>
      <c r="F1342">
        <v>0</v>
      </c>
      <c r="G1342">
        <v>1</v>
      </c>
      <c r="H1342">
        <v>650</v>
      </c>
      <c r="I1342">
        <f t="shared" si="199"/>
        <v>1332</v>
      </c>
      <c r="J1342" s="6">
        <f t="array" aca="1" ref="J1342:N1342" ca="1">TRANSPOSE(ols(OFFSET($C$2:$C$10,I1342,0),OFFSET($D$2:$H$10,I1342,0)))</f>
        <v>76.130952380951385</v>
      </c>
      <c r="K1342" s="6">
        <f ca="1"/>
        <v>-1.0714285714284415</v>
      </c>
      <c r="L1342" s="6">
        <f ca="1"/>
        <v>7.3809523809527491</v>
      </c>
      <c r="M1342" s="6">
        <f ca="1"/>
        <v>26.309523809523853</v>
      </c>
      <c r="N1342" s="6">
        <f ca="1"/>
        <v>-0.11547619047619051</v>
      </c>
      <c r="O1342" s="6">
        <f t="shared" ca="1" si="191"/>
        <v>27.380952380951413</v>
      </c>
      <c r="P1342" t="str">
        <f t="shared" si="192"/>
        <v>NA</v>
      </c>
      <c r="Q1342" s="10">
        <f t="shared" ca="1" si="193"/>
        <v>69.404761904761301</v>
      </c>
      <c r="R1342" s="10">
        <f t="shared" ca="1" si="194"/>
        <v>102.44047619047524</v>
      </c>
      <c r="S1342" s="10">
        <f t="shared" ca="1" si="195"/>
        <v>-33.035714285713937</v>
      </c>
      <c r="T1342" s="10">
        <f t="shared" ca="1" si="196"/>
        <v>286.08247422680103</v>
      </c>
      <c r="U1342" s="10">
        <f t="shared" ca="1" si="197"/>
        <v>286.08247422680103</v>
      </c>
      <c r="V1342">
        <f t="shared" si="198"/>
        <v>4</v>
      </c>
    </row>
    <row r="1343" spans="1:22" x14ac:dyDescent="0.25">
      <c r="A1343">
        <v>150</v>
      </c>
      <c r="B1343">
        <v>1</v>
      </c>
      <c r="C1343">
        <v>0</v>
      </c>
      <c r="D1343">
        <v>1</v>
      </c>
      <c r="E1343">
        <v>0</v>
      </c>
      <c r="F1343">
        <v>1</v>
      </c>
      <c r="G1343">
        <v>0</v>
      </c>
      <c r="H1343">
        <v>250</v>
      </c>
      <c r="I1343">
        <f t="shared" si="199"/>
        <v>1341</v>
      </c>
      <c r="J1343" s="6">
        <f t="array" aca="1" ref="J1343:N1343" ca="1">TRANSPOSE(ols(OFFSET($C$2:$C$10,I1343,0),OFFSET($D$2:$H$10,I1343,0)))</f>
        <v>111.19047619047387</v>
      </c>
      <c r="K1343" s="6">
        <f ca="1"/>
        <v>35.714285714286234</v>
      </c>
      <c r="L1343" s="6">
        <f ca="1"/>
        <v>-63.809523809522943</v>
      </c>
      <c r="M1343" s="6">
        <f ca="1"/>
        <v>11.904761904761926</v>
      </c>
      <c r="N1343" s="6">
        <f ca="1"/>
        <v>-0.19523809523809366</v>
      </c>
      <c r="O1343" s="6">
        <f t="shared" ca="1" si="191"/>
        <v>-1.4285714285724822</v>
      </c>
      <c r="P1343" t="str">
        <f t="shared" si="192"/>
        <v>NA</v>
      </c>
      <c r="Q1343" s="10">
        <f t="shared" ca="1" si="193"/>
        <v>-9.0476190476199179</v>
      </c>
      <c r="R1343" s="10">
        <f t="shared" ca="1" si="194"/>
        <v>47.38095238095093</v>
      </c>
      <c r="S1343" s="10">
        <f t="shared" ca="1" si="195"/>
        <v>-56.428571428570848</v>
      </c>
      <c r="T1343" s="10">
        <f t="shared" ca="1" si="196"/>
        <v>289.02439024390179</v>
      </c>
      <c r="U1343" s="10">
        <f t="shared" ca="1" si="197"/>
        <v>289.02439024390179</v>
      </c>
      <c r="V1343">
        <f t="shared" si="198"/>
        <v>3</v>
      </c>
    </row>
    <row r="1344" spans="1:22" x14ac:dyDescent="0.25">
      <c r="A1344">
        <v>150</v>
      </c>
      <c r="B1344">
        <v>2</v>
      </c>
      <c r="C1344">
        <v>80</v>
      </c>
      <c r="D1344">
        <v>1</v>
      </c>
      <c r="E1344">
        <v>1</v>
      </c>
      <c r="F1344">
        <v>0</v>
      </c>
      <c r="G1344">
        <v>0</v>
      </c>
      <c r="H1344">
        <v>350</v>
      </c>
      <c r="I1344">
        <f t="shared" si="199"/>
        <v>1341</v>
      </c>
      <c r="J1344" s="6">
        <f t="array" aca="1" ref="J1344:N1344" ca="1">TRANSPOSE(ols(OFFSET($C$2:$C$10,I1344,0),OFFSET($D$2:$H$10,I1344,0)))</f>
        <v>111.19047619047387</v>
      </c>
      <c r="K1344" s="6">
        <f ca="1"/>
        <v>35.714285714286234</v>
      </c>
      <c r="L1344" s="6">
        <f ca="1"/>
        <v>-63.809523809522943</v>
      </c>
      <c r="M1344" s="6">
        <f ca="1"/>
        <v>11.904761904761926</v>
      </c>
      <c r="N1344" s="6">
        <f ca="1"/>
        <v>-0.19523809523809366</v>
      </c>
      <c r="O1344" s="6">
        <f t="shared" ca="1" si="191"/>
        <v>78.571428571427333</v>
      </c>
      <c r="P1344" t="str">
        <f t="shared" si="192"/>
        <v>NA</v>
      </c>
      <c r="Q1344" s="10">
        <f t="shared" ca="1" si="193"/>
        <v>-9.0476190476199179</v>
      </c>
      <c r="R1344" s="10">
        <f t="shared" ca="1" si="194"/>
        <v>146.90476190476011</v>
      </c>
      <c r="S1344" s="10">
        <f t="shared" ca="1" si="195"/>
        <v>-155.95238095238003</v>
      </c>
      <c r="T1344" s="10">
        <f t="shared" ca="1" si="196"/>
        <v>798.78048780487973</v>
      </c>
      <c r="U1344" s="10" t="str">
        <f t="shared" ca="1" si="197"/>
        <v>OR</v>
      </c>
      <c r="V1344">
        <f t="shared" si="198"/>
        <v>2</v>
      </c>
    </row>
    <row r="1345" spans="1:22" x14ac:dyDescent="0.25">
      <c r="A1345">
        <v>150</v>
      </c>
      <c r="B1345">
        <v>3</v>
      </c>
      <c r="C1345">
        <v>60</v>
      </c>
      <c r="D1345">
        <v>1</v>
      </c>
      <c r="E1345">
        <v>1</v>
      </c>
      <c r="F1345">
        <v>0</v>
      </c>
      <c r="G1345">
        <v>0</v>
      </c>
      <c r="H1345">
        <v>450</v>
      </c>
      <c r="I1345">
        <f t="shared" si="199"/>
        <v>1341</v>
      </c>
      <c r="J1345" s="6">
        <f t="array" aca="1" ref="J1345:N1345" ca="1">TRANSPOSE(ols(OFFSET($C$2:$C$10,I1345,0),OFFSET($D$2:$H$10,I1345,0)))</f>
        <v>111.19047619047387</v>
      </c>
      <c r="K1345" s="6">
        <f ca="1"/>
        <v>35.714285714286234</v>
      </c>
      <c r="L1345" s="6">
        <f ca="1"/>
        <v>-63.809523809522943</v>
      </c>
      <c r="M1345" s="6">
        <f ca="1"/>
        <v>11.904761904761926</v>
      </c>
      <c r="N1345" s="6">
        <f ca="1"/>
        <v>-0.19523809523809366</v>
      </c>
      <c r="O1345" s="6">
        <f t="shared" ca="1" si="191"/>
        <v>59.047619047617957</v>
      </c>
      <c r="P1345" t="str">
        <f t="shared" si="192"/>
        <v>NA</v>
      </c>
      <c r="Q1345" s="10">
        <f t="shared" ca="1" si="193"/>
        <v>-9.0476190476199179</v>
      </c>
      <c r="R1345" s="10">
        <f t="shared" ca="1" si="194"/>
        <v>146.90476190476011</v>
      </c>
      <c r="S1345" s="10">
        <f t="shared" ca="1" si="195"/>
        <v>-155.95238095238003</v>
      </c>
      <c r="T1345" s="10">
        <f t="shared" ca="1" si="196"/>
        <v>798.78048780487973</v>
      </c>
      <c r="U1345" s="10" t="str">
        <f t="shared" ca="1" si="197"/>
        <v>OR</v>
      </c>
      <c r="V1345">
        <f t="shared" si="198"/>
        <v>2</v>
      </c>
    </row>
    <row r="1346" spans="1:22" x14ac:dyDescent="0.25">
      <c r="A1346">
        <v>150</v>
      </c>
      <c r="B1346">
        <v>4</v>
      </c>
      <c r="C1346">
        <v>0</v>
      </c>
      <c r="D1346">
        <v>1</v>
      </c>
      <c r="E1346">
        <v>0</v>
      </c>
      <c r="F1346">
        <v>0</v>
      </c>
      <c r="G1346">
        <v>0</v>
      </c>
      <c r="H1346">
        <v>550</v>
      </c>
      <c r="I1346">
        <f t="shared" si="199"/>
        <v>1341</v>
      </c>
      <c r="J1346" s="6">
        <f t="array" aca="1" ref="J1346:N1346" ca="1">TRANSPOSE(ols(OFFSET($C$2:$C$10,I1346,0),OFFSET($D$2:$H$10,I1346,0)))</f>
        <v>111.19047619047387</v>
      </c>
      <c r="K1346" s="6">
        <f ca="1"/>
        <v>35.714285714286234</v>
      </c>
      <c r="L1346" s="6">
        <f ca="1"/>
        <v>-63.809523809522943</v>
      </c>
      <c r="M1346" s="6">
        <f ca="1"/>
        <v>11.904761904761926</v>
      </c>
      <c r="N1346" s="6">
        <f ca="1"/>
        <v>-0.19523809523809366</v>
      </c>
      <c r="O1346" s="6">
        <f t="shared" ca="1" si="191"/>
        <v>3.8095238095223607</v>
      </c>
      <c r="P1346" t="str">
        <f t="shared" si="192"/>
        <v>NA</v>
      </c>
      <c r="Q1346" s="10">
        <f t="shared" ca="1" si="193"/>
        <v>-9.0476190476199179</v>
      </c>
      <c r="R1346" s="10">
        <f t="shared" ca="1" si="194"/>
        <v>111.19047619047387</v>
      </c>
      <c r="S1346" s="10">
        <f t="shared" ca="1" si="195"/>
        <v>-120.23809523809379</v>
      </c>
      <c r="T1346" s="10">
        <f t="shared" ca="1" si="196"/>
        <v>615.853658536583</v>
      </c>
      <c r="U1346" s="10">
        <f t="shared" ca="1" si="197"/>
        <v>615.853658536583</v>
      </c>
      <c r="V1346">
        <f t="shared" si="198"/>
        <v>1</v>
      </c>
    </row>
    <row r="1347" spans="1:22" x14ac:dyDescent="0.25">
      <c r="A1347">
        <v>150</v>
      </c>
      <c r="B1347">
        <v>5</v>
      </c>
      <c r="C1347">
        <v>0</v>
      </c>
      <c r="D1347">
        <v>1</v>
      </c>
      <c r="E1347">
        <v>0</v>
      </c>
      <c r="F1347">
        <v>1</v>
      </c>
      <c r="G1347">
        <v>1</v>
      </c>
      <c r="H1347">
        <v>250</v>
      </c>
      <c r="I1347">
        <f t="shared" si="199"/>
        <v>1341</v>
      </c>
      <c r="J1347" s="6">
        <f t="array" aca="1" ref="J1347:N1347" ca="1">TRANSPOSE(ols(OFFSET($C$2:$C$10,I1347,0),OFFSET($D$2:$H$10,I1347,0)))</f>
        <v>111.19047619047387</v>
      </c>
      <c r="K1347" s="6">
        <f ca="1"/>
        <v>35.714285714286234</v>
      </c>
      <c r="L1347" s="6">
        <f ca="1"/>
        <v>-63.809523809522943</v>
      </c>
      <c r="M1347" s="6">
        <f ca="1"/>
        <v>11.904761904761926</v>
      </c>
      <c r="N1347" s="6">
        <f ca="1"/>
        <v>-0.19523809523809366</v>
      </c>
      <c r="O1347" s="6">
        <f t="shared" ref="O1347:O1410" ca="1" si="200">SUMPRODUCT(J1347:N1347,D1347:H1347)</f>
        <v>10.476190476189444</v>
      </c>
      <c r="P1347" t="str">
        <f t="shared" ref="P1347:P1410" si="201">IF(AND(F1347=1,G1347=1,H1347=350),O1347,"NA")</f>
        <v>NA</v>
      </c>
      <c r="Q1347" s="10">
        <f t="shared" ref="Q1347:Q1410" ca="1" si="202">AVERAGEIF($A$2:$A$5383,A1347,$P$2:$P$5383)</f>
        <v>-9.0476190476199179</v>
      </c>
      <c r="R1347" s="10">
        <f t="shared" ref="R1347:R1410" ca="1" si="203">O1347-N1347*H1347</f>
        <v>59.285714285712857</v>
      </c>
      <c r="S1347" s="10">
        <f t="shared" ref="S1347:S1410" ca="1" si="204">Q1347-R1347</f>
        <v>-68.333333333332774</v>
      </c>
      <c r="T1347" s="10">
        <f t="shared" ref="T1347:T1410" ca="1" si="205">S1347/N1347</f>
        <v>350</v>
      </c>
      <c r="U1347" s="10">
        <f t="shared" ref="U1347:U1410" ca="1" si="206">IF(OR(T1347&lt;250,T1347&gt;650),"OR",T1347)</f>
        <v>350</v>
      </c>
      <c r="V1347">
        <f t="shared" ref="V1347:V1410" si="207">IF(AND(E1347=1,G1347=0),2,IF(AND(F1347=1,G1347=0),3,IF(AND(E1347=1,G1347=1),5,IF(AND(F1347=1,G1347=1),6,IF(G1347=0,1,IF(G1347=1,4))))))</f>
        <v>6</v>
      </c>
    </row>
    <row r="1348" spans="1:22" x14ac:dyDescent="0.25">
      <c r="A1348">
        <v>150</v>
      </c>
      <c r="B1348">
        <v>6</v>
      </c>
      <c r="C1348">
        <v>0</v>
      </c>
      <c r="D1348">
        <v>1</v>
      </c>
      <c r="E1348">
        <v>0</v>
      </c>
      <c r="F1348">
        <v>1</v>
      </c>
      <c r="G1348">
        <v>1</v>
      </c>
      <c r="H1348">
        <v>350</v>
      </c>
      <c r="I1348">
        <f t="shared" si="199"/>
        <v>1341</v>
      </c>
      <c r="J1348" s="6">
        <f t="array" aca="1" ref="J1348:N1348" ca="1">TRANSPOSE(ols(OFFSET($C$2:$C$10,I1348,0),OFFSET($D$2:$H$10,I1348,0)))</f>
        <v>111.19047619047387</v>
      </c>
      <c r="K1348" s="6">
        <f ca="1"/>
        <v>35.714285714286234</v>
      </c>
      <c r="L1348" s="6">
        <f ca="1"/>
        <v>-63.809523809522943</v>
      </c>
      <c r="M1348" s="6">
        <f ca="1"/>
        <v>11.904761904761926</v>
      </c>
      <c r="N1348" s="6">
        <f ca="1"/>
        <v>-0.19523809523809366</v>
      </c>
      <c r="O1348" s="6">
        <f t="shared" ca="1" si="200"/>
        <v>-9.0476190476199179</v>
      </c>
      <c r="P1348">
        <f t="shared" ca="1" si="201"/>
        <v>-9.0476190476199179</v>
      </c>
      <c r="Q1348" s="10">
        <f t="shared" ca="1" si="202"/>
        <v>-9.0476190476199179</v>
      </c>
      <c r="R1348" s="10">
        <f t="shared" ca="1" si="203"/>
        <v>59.285714285712857</v>
      </c>
      <c r="S1348" s="10">
        <f t="shared" ca="1" si="204"/>
        <v>-68.333333333332774</v>
      </c>
      <c r="T1348" s="10">
        <f t="shared" ca="1" si="205"/>
        <v>350</v>
      </c>
      <c r="U1348" s="10">
        <f t="shared" ca="1" si="206"/>
        <v>350</v>
      </c>
      <c r="V1348">
        <f t="shared" si="207"/>
        <v>6</v>
      </c>
    </row>
    <row r="1349" spans="1:22" x14ac:dyDescent="0.25">
      <c r="A1349">
        <v>150</v>
      </c>
      <c r="B1349">
        <v>7</v>
      </c>
      <c r="C1349">
        <v>80</v>
      </c>
      <c r="D1349">
        <v>1</v>
      </c>
      <c r="E1349">
        <v>1</v>
      </c>
      <c r="F1349">
        <v>0</v>
      </c>
      <c r="G1349">
        <v>1</v>
      </c>
      <c r="H1349">
        <v>450</v>
      </c>
      <c r="I1349">
        <f t="shared" si="199"/>
        <v>1341</v>
      </c>
      <c r="J1349" s="6">
        <f t="array" aca="1" ref="J1349:N1349" ca="1">TRANSPOSE(ols(OFFSET($C$2:$C$10,I1349,0),OFFSET($D$2:$H$10,I1349,0)))</f>
        <v>111.19047619047387</v>
      </c>
      <c r="K1349" s="6">
        <f ca="1"/>
        <v>35.714285714286234</v>
      </c>
      <c r="L1349" s="6">
        <f ca="1"/>
        <v>-63.809523809522943</v>
      </c>
      <c r="M1349" s="6">
        <f ca="1"/>
        <v>11.904761904761926</v>
      </c>
      <c r="N1349" s="6">
        <f ca="1"/>
        <v>-0.19523809523809366</v>
      </c>
      <c r="O1349" s="6">
        <f t="shared" ca="1" si="200"/>
        <v>70.952380952379883</v>
      </c>
      <c r="P1349" t="str">
        <f t="shared" si="201"/>
        <v>NA</v>
      </c>
      <c r="Q1349" s="10">
        <f t="shared" ca="1" si="202"/>
        <v>-9.0476190476199179</v>
      </c>
      <c r="R1349" s="10">
        <f t="shared" ca="1" si="203"/>
        <v>158.80952380952203</v>
      </c>
      <c r="S1349" s="10">
        <f t="shared" ca="1" si="204"/>
        <v>-167.85714285714195</v>
      </c>
      <c r="T1349" s="10">
        <f t="shared" ca="1" si="205"/>
        <v>859.75609756097799</v>
      </c>
      <c r="U1349" s="10" t="str">
        <f t="shared" ca="1" si="206"/>
        <v>OR</v>
      </c>
      <c r="V1349">
        <f t="shared" si="207"/>
        <v>5</v>
      </c>
    </row>
    <row r="1350" spans="1:22" x14ac:dyDescent="0.25">
      <c r="A1350">
        <v>150</v>
      </c>
      <c r="B1350">
        <v>8</v>
      </c>
      <c r="C1350">
        <v>40</v>
      </c>
      <c r="D1350">
        <v>1</v>
      </c>
      <c r="E1350">
        <v>1</v>
      </c>
      <c r="F1350">
        <v>0</v>
      </c>
      <c r="G1350">
        <v>1</v>
      </c>
      <c r="H1350">
        <v>550</v>
      </c>
      <c r="I1350">
        <f t="shared" si="199"/>
        <v>1341</v>
      </c>
      <c r="J1350" s="6">
        <f t="array" aca="1" ref="J1350:N1350" ca="1">TRANSPOSE(ols(OFFSET($C$2:$C$10,I1350,0),OFFSET($D$2:$H$10,I1350,0)))</f>
        <v>111.19047619047387</v>
      </c>
      <c r="K1350" s="6">
        <f ca="1"/>
        <v>35.714285714286234</v>
      </c>
      <c r="L1350" s="6">
        <f ca="1"/>
        <v>-63.809523809522943</v>
      </c>
      <c r="M1350" s="6">
        <f ca="1"/>
        <v>11.904761904761926</v>
      </c>
      <c r="N1350" s="6">
        <f ca="1"/>
        <v>-0.19523809523809366</v>
      </c>
      <c r="O1350" s="6">
        <f t="shared" ca="1" si="200"/>
        <v>51.428571428570521</v>
      </c>
      <c r="P1350" t="str">
        <f t="shared" si="201"/>
        <v>NA</v>
      </c>
      <c r="Q1350" s="10">
        <f t="shared" ca="1" si="202"/>
        <v>-9.0476190476199179</v>
      </c>
      <c r="R1350" s="10">
        <f t="shared" ca="1" si="203"/>
        <v>158.80952380952203</v>
      </c>
      <c r="S1350" s="10">
        <f t="shared" ca="1" si="204"/>
        <v>-167.85714285714195</v>
      </c>
      <c r="T1350" s="10">
        <f t="shared" ca="1" si="205"/>
        <v>859.75609756097799</v>
      </c>
      <c r="U1350" s="10" t="str">
        <f t="shared" ca="1" si="206"/>
        <v>OR</v>
      </c>
      <c r="V1350">
        <f t="shared" si="207"/>
        <v>5</v>
      </c>
    </row>
    <row r="1351" spans="1:22" x14ac:dyDescent="0.25">
      <c r="A1351">
        <v>150</v>
      </c>
      <c r="B1351">
        <v>9</v>
      </c>
      <c r="C1351">
        <v>0</v>
      </c>
      <c r="D1351">
        <v>1</v>
      </c>
      <c r="E1351">
        <v>0</v>
      </c>
      <c r="F1351">
        <v>0</v>
      </c>
      <c r="G1351">
        <v>1</v>
      </c>
      <c r="H1351">
        <v>650</v>
      </c>
      <c r="I1351">
        <f t="shared" si="199"/>
        <v>1341</v>
      </c>
      <c r="J1351" s="6">
        <f t="array" aca="1" ref="J1351:N1351" ca="1">TRANSPOSE(ols(OFFSET($C$2:$C$10,I1351,0),OFFSET($D$2:$H$10,I1351,0)))</f>
        <v>111.19047619047387</v>
      </c>
      <c r="K1351" s="6">
        <f ca="1"/>
        <v>35.714285714286234</v>
      </c>
      <c r="L1351" s="6">
        <f ca="1"/>
        <v>-63.809523809522943</v>
      </c>
      <c r="M1351" s="6">
        <f ca="1"/>
        <v>11.904761904761926</v>
      </c>
      <c r="N1351" s="6">
        <f ca="1"/>
        <v>-0.19523809523809366</v>
      </c>
      <c r="O1351" s="6">
        <f t="shared" ca="1" si="200"/>
        <v>-3.809523809525075</v>
      </c>
      <c r="P1351" t="str">
        <f t="shared" si="201"/>
        <v>NA</v>
      </c>
      <c r="Q1351" s="10">
        <f t="shared" ca="1" si="202"/>
        <v>-9.0476190476199179</v>
      </c>
      <c r="R1351" s="10">
        <f t="shared" ca="1" si="203"/>
        <v>123.0952380952358</v>
      </c>
      <c r="S1351" s="10">
        <f t="shared" ca="1" si="204"/>
        <v>-132.14285714285572</v>
      </c>
      <c r="T1351" s="10">
        <f t="shared" ca="1" si="205"/>
        <v>676.82926829268115</v>
      </c>
      <c r="U1351" s="10" t="str">
        <f t="shared" ca="1" si="206"/>
        <v>OR</v>
      </c>
      <c r="V1351">
        <f t="shared" si="207"/>
        <v>4</v>
      </c>
    </row>
    <row r="1352" spans="1:22" x14ac:dyDescent="0.25">
      <c r="A1352">
        <v>151</v>
      </c>
      <c r="B1352">
        <v>1</v>
      </c>
      <c r="C1352">
        <v>45</v>
      </c>
      <c r="D1352">
        <v>1</v>
      </c>
      <c r="E1352">
        <v>0</v>
      </c>
      <c r="F1352">
        <v>1</v>
      </c>
      <c r="G1352">
        <v>0</v>
      </c>
      <c r="H1352">
        <v>250</v>
      </c>
      <c r="I1352">
        <f t="shared" si="199"/>
        <v>1350</v>
      </c>
      <c r="J1352" s="6">
        <f t="array" aca="1" ref="J1352:N1352" ca="1">TRANSPOSE(ols(OFFSET($C$2:$C$10,I1352,0),OFFSET($D$2:$H$10,I1352,0)))</f>
        <v>99.273809523808268</v>
      </c>
      <c r="K1352" s="6">
        <f ca="1"/>
        <v>-14.785714285714221</v>
      </c>
      <c r="L1352" s="6">
        <f ca="1"/>
        <v>-38.476190476190823</v>
      </c>
      <c r="M1352" s="6">
        <f ca="1"/>
        <v>15.738095238095639</v>
      </c>
      <c r="N1352" s="6">
        <f ca="1"/>
        <v>-8.6904761904765593E-2</v>
      </c>
      <c r="O1352" s="6">
        <f t="shared" ca="1" si="200"/>
        <v>39.071428571426047</v>
      </c>
      <c r="P1352" t="str">
        <f t="shared" si="201"/>
        <v>NA</v>
      </c>
      <c r="Q1352" s="10">
        <f t="shared" ca="1" si="202"/>
        <v>46.119047619045126</v>
      </c>
      <c r="R1352" s="10">
        <f t="shared" ca="1" si="203"/>
        <v>60.797619047617445</v>
      </c>
      <c r="S1352" s="10">
        <f t="shared" ca="1" si="204"/>
        <v>-14.678571428572319</v>
      </c>
      <c r="T1352" s="10">
        <f t="shared" ca="1" si="205"/>
        <v>168.90410958904417</v>
      </c>
      <c r="U1352" s="10" t="str">
        <f t="shared" ca="1" si="206"/>
        <v>OR</v>
      </c>
      <c r="V1352">
        <f t="shared" si="207"/>
        <v>3</v>
      </c>
    </row>
    <row r="1353" spans="1:22" x14ac:dyDescent="0.25">
      <c r="A1353">
        <v>151</v>
      </c>
      <c r="B1353">
        <v>2</v>
      </c>
      <c r="C1353">
        <v>55</v>
      </c>
      <c r="D1353">
        <v>1</v>
      </c>
      <c r="E1353">
        <v>1</v>
      </c>
      <c r="F1353">
        <v>0</v>
      </c>
      <c r="G1353">
        <v>0</v>
      </c>
      <c r="H1353">
        <v>350</v>
      </c>
      <c r="I1353">
        <f t="shared" si="199"/>
        <v>1350</v>
      </c>
      <c r="J1353" s="6">
        <f t="array" aca="1" ref="J1353:N1353" ca="1">TRANSPOSE(ols(OFFSET($C$2:$C$10,I1353,0),OFFSET($D$2:$H$10,I1353,0)))</f>
        <v>99.273809523808268</v>
      </c>
      <c r="K1353" s="6">
        <f ca="1"/>
        <v>-14.785714285714221</v>
      </c>
      <c r="L1353" s="6">
        <f ca="1"/>
        <v>-38.476190476190823</v>
      </c>
      <c r="M1353" s="6">
        <f ca="1"/>
        <v>15.738095238095639</v>
      </c>
      <c r="N1353" s="6">
        <f ca="1"/>
        <v>-8.6904761904765593E-2</v>
      </c>
      <c r="O1353" s="6">
        <f t="shared" ca="1" si="200"/>
        <v>54.07142857142609</v>
      </c>
      <c r="P1353" t="str">
        <f t="shared" si="201"/>
        <v>NA</v>
      </c>
      <c r="Q1353" s="10">
        <f t="shared" ca="1" si="202"/>
        <v>46.119047619045126</v>
      </c>
      <c r="R1353" s="10">
        <f t="shared" ca="1" si="203"/>
        <v>84.488095238094047</v>
      </c>
      <c r="S1353" s="10">
        <f t="shared" ca="1" si="204"/>
        <v>-38.369047619048921</v>
      </c>
      <c r="T1353" s="10">
        <f t="shared" ca="1" si="205"/>
        <v>441.50684931506476</v>
      </c>
      <c r="U1353" s="10">
        <f t="shared" ca="1" si="206"/>
        <v>441.50684931506476</v>
      </c>
      <c r="V1353">
        <f t="shared" si="207"/>
        <v>2</v>
      </c>
    </row>
    <row r="1354" spans="1:22" x14ac:dyDescent="0.25">
      <c r="A1354">
        <v>151</v>
      </c>
      <c r="B1354">
        <v>3</v>
      </c>
      <c r="C1354">
        <v>35</v>
      </c>
      <c r="D1354">
        <v>1</v>
      </c>
      <c r="E1354">
        <v>1</v>
      </c>
      <c r="F1354">
        <v>0</v>
      </c>
      <c r="G1354">
        <v>0</v>
      </c>
      <c r="H1354">
        <v>450</v>
      </c>
      <c r="I1354">
        <f t="shared" si="199"/>
        <v>1350</v>
      </c>
      <c r="J1354" s="6">
        <f t="array" aca="1" ref="J1354:N1354" ca="1">TRANSPOSE(ols(OFFSET($C$2:$C$10,I1354,0),OFFSET($D$2:$H$10,I1354,0)))</f>
        <v>99.273809523808268</v>
      </c>
      <c r="K1354" s="6">
        <f ca="1"/>
        <v>-14.785714285714221</v>
      </c>
      <c r="L1354" s="6">
        <f ca="1"/>
        <v>-38.476190476190823</v>
      </c>
      <c r="M1354" s="6">
        <f ca="1"/>
        <v>15.738095238095639</v>
      </c>
      <c r="N1354" s="6">
        <f ca="1"/>
        <v>-8.6904761904765593E-2</v>
      </c>
      <c r="O1354" s="6">
        <f t="shared" ca="1" si="200"/>
        <v>45.38095238094953</v>
      </c>
      <c r="P1354" t="str">
        <f t="shared" si="201"/>
        <v>NA</v>
      </c>
      <c r="Q1354" s="10">
        <f t="shared" ca="1" si="202"/>
        <v>46.119047619045126</v>
      </c>
      <c r="R1354" s="10">
        <f t="shared" ca="1" si="203"/>
        <v>84.488095238094047</v>
      </c>
      <c r="S1354" s="10">
        <f t="shared" ca="1" si="204"/>
        <v>-38.369047619048921</v>
      </c>
      <c r="T1354" s="10">
        <f t="shared" ca="1" si="205"/>
        <v>441.50684931506476</v>
      </c>
      <c r="U1354" s="10">
        <f t="shared" ca="1" si="206"/>
        <v>441.50684931506476</v>
      </c>
      <c r="V1354">
        <f t="shared" si="207"/>
        <v>2</v>
      </c>
    </row>
    <row r="1355" spans="1:22" x14ac:dyDescent="0.25">
      <c r="A1355">
        <v>151</v>
      </c>
      <c r="B1355">
        <v>4</v>
      </c>
      <c r="C1355">
        <v>55</v>
      </c>
      <c r="D1355">
        <v>1</v>
      </c>
      <c r="E1355">
        <v>0</v>
      </c>
      <c r="F1355">
        <v>0</v>
      </c>
      <c r="G1355">
        <v>0</v>
      </c>
      <c r="H1355">
        <v>550</v>
      </c>
      <c r="I1355">
        <f t="shared" si="199"/>
        <v>1350</v>
      </c>
      <c r="J1355" s="6">
        <f t="array" aca="1" ref="J1355:N1355" ca="1">TRANSPOSE(ols(OFFSET($C$2:$C$10,I1355,0),OFFSET($D$2:$H$10,I1355,0)))</f>
        <v>99.273809523808268</v>
      </c>
      <c r="K1355" s="6">
        <f ca="1"/>
        <v>-14.785714285714221</v>
      </c>
      <c r="L1355" s="6">
        <f ca="1"/>
        <v>-38.476190476190823</v>
      </c>
      <c r="M1355" s="6">
        <f ca="1"/>
        <v>15.738095238095639</v>
      </c>
      <c r="N1355" s="6">
        <f ca="1"/>
        <v>-8.6904761904765593E-2</v>
      </c>
      <c r="O1355" s="6">
        <f t="shared" ca="1" si="200"/>
        <v>51.476190476187192</v>
      </c>
      <c r="P1355" t="str">
        <f t="shared" si="201"/>
        <v>NA</v>
      </c>
      <c r="Q1355" s="10">
        <f t="shared" ca="1" si="202"/>
        <v>46.119047619045126</v>
      </c>
      <c r="R1355" s="10">
        <f t="shared" ca="1" si="203"/>
        <v>99.273809523808268</v>
      </c>
      <c r="S1355" s="10">
        <f t="shared" ca="1" si="204"/>
        <v>-53.154761904763141</v>
      </c>
      <c r="T1355" s="10">
        <f t="shared" ca="1" si="205"/>
        <v>611.6438356164266</v>
      </c>
      <c r="U1355" s="10">
        <f t="shared" ca="1" si="206"/>
        <v>611.6438356164266</v>
      </c>
      <c r="V1355">
        <f t="shared" si="207"/>
        <v>1</v>
      </c>
    </row>
    <row r="1356" spans="1:22" x14ac:dyDescent="0.25">
      <c r="A1356">
        <v>151</v>
      </c>
      <c r="B1356">
        <v>5</v>
      </c>
      <c r="C1356">
        <v>50</v>
      </c>
      <c r="D1356">
        <v>1</v>
      </c>
      <c r="E1356">
        <v>0</v>
      </c>
      <c r="F1356">
        <v>1</v>
      </c>
      <c r="G1356">
        <v>1</v>
      </c>
      <c r="H1356">
        <v>250</v>
      </c>
      <c r="I1356">
        <f t="shared" ref="I1356:I1419" si="208">IF(A1356&gt;A1355,I1355+9,I1355)</f>
        <v>1350</v>
      </c>
      <c r="J1356" s="6">
        <f t="array" aca="1" ref="J1356:N1356" ca="1">TRANSPOSE(ols(OFFSET($C$2:$C$10,I1356,0),OFFSET($D$2:$H$10,I1356,0)))</f>
        <v>99.273809523808268</v>
      </c>
      <c r="K1356" s="6">
        <f ca="1"/>
        <v>-14.785714285714221</v>
      </c>
      <c r="L1356" s="6">
        <f ca="1"/>
        <v>-38.476190476190823</v>
      </c>
      <c r="M1356" s="6">
        <f ca="1"/>
        <v>15.738095238095639</v>
      </c>
      <c r="N1356" s="6">
        <f ca="1"/>
        <v>-8.6904761904765593E-2</v>
      </c>
      <c r="O1356" s="6">
        <f t="shared" ca="1" si="200"/>
        <v>54.809523809521686</v>
      </c>
      <c r="P1356" t="str">
        <f t="shared" si="201"/>
        <v>NA</v>
      </c>
      <c r="Q1356" s="10">
        <f t="shared" ca="1" si="202"/>
        <v>46.119047619045126</v>
      </c>
      <c r="R1356" s="10">
        <f t="shared" ca="1" si="203"/>
        <v>76.535714285713084</v>
      </c>
      <c r="S1356" s="10">
        <f t="shared" ca="1" si="204"/>
        <v>-30.416666666667957</v>
      </c>
      <c r="T1356" s="10">
        <f t="shared" ca="1" si="205"/>
        <v>350</v>
      </c>
      <c r="U1356" s="10">
        <f t="shared" ca="1" si="206"/>
        <v>350</v>
      </c>
      <c r="V1356">
        <f t="shared" si="207"/>
        <v>6</v>
      </c>
    </row>
    <row r="1357" spans="1:22" x14ac:dyDescent="0.25">
      <c r="A1357">
        <v>151</v>
      </c>
      <c r="B1357">
        <v>6</v>
      </c>
      <c r="C1357">
        <v>45</v>
      </c>
      <c r="D1357">
        <v>1</v>
      </c>
      <c r="E1357">
        <v>0</v>
      </c>
      <c r="F1357">
        <v>1</v>
      </c>
      <c r="G1357">
        <v>1</v>
      </c>
      <c r="H1357">
        <v>350</v>
      </c>
      <c r="I1357">
        <f t="shared" si="208"/>
        <v>1350</v>
      </c>
      <c r="J1357" s="6">
        <f t="array" aca="1" ref="J1357:N1357" ca="1">TRANSPOSE(ols(OFFSET($C$2:$C$10,I1357,0),OFFSET($D$2:$H$10,I1357,0)))</f>
        <v>99.273809523808268</v>
      </c>
      <c r="K1357" s="6">
        <f ca="1"/>
        <v>-14.785714285714221</v>
      </c>
      <c r="L1357" s="6">
        <f ca="1"/>
        <v>-38.476190476190823</v>
      </c>
      <c r="M1357" s="6">
        <f ca="1"/>
        <v>15.738095238095639</v>
      </c>
      <c r="N1357" s="6">
        <f ca="1"/>
        <v>-8.6904761904765593E-2</v>
      </c>
      <c r="O1357" s="6">
        <f t="shared" ca="1" si="200"/>
        <v>46.119047619045126</v>
      </c>
      <c r="P1357">
        <f t="shared" ca="1" si="201"/>
        <v>46.119047619045126</v>
      </c>
      <c r="Q1357" s="10">
        <f t="shared" ca="1" si="202"/>
        <v>46.119047619045126</v>
      </c>
      <c r="R1357" s="10">
        <f t="shared" ca="1" si="203"/>
        <v>76.535714285713084</v>
      </c>
      <c r="S1357" s="10">
        <f t="shared" ca="1" si="204"/>
        <v>-30.416666666667957</v>
      </c>
      <c r="T1357" s="10">
        <f t="shared" ca="1" si="205"/>
        <v>350</v>
      </c>
      <c r="U1357" s="10">
        <f t="shared" ca="1" si="206"/>
        <v>350</v>
      </c>
      <c r="V1357">
        <f t="shared" si="207"/>
        <v>6</v>
      </c>
    </row>
    <row r="1358" spans="1:22" x14ac:dyDescent="0.25">
      <c r="A1358">
        <v>151</v>
      </c>
      <c r="B1358">
        <v>7</v>
      </c>
      <c r="C1358">
        <v>65</v>
      </c>
      <c r="D1358">
        <v>1</v>
      </c>
      <c r="E1358">
        <v>1</v>
      </c>
      <c r="F1358">
        <v>0</v>
      </c>
      <c r="G1358">
        <v>1</v>
      </c>
      <c r="H1358">
        <v>450</v>
      </c>
      <c r="I1358">
        <f t="shared" si="208"/>
        <v>1350</v>
      </c>
      <c r="J1358" s="6">
        <f t="array" aca="1" ref="J1358:N1358" ca="1">TRANSPOSE(ols(OFFSET($C$2:$C$10,I1358,0),OFFSET($D$2:$H$10,I1358,0)))</f>
        <v>99.273809523808268</v>
      </c>
      <c r="K1358" s="6">
        <f ca="1"/>
        <v>-14.785714285714221</v>
      </c>
      <c r="L1358" s="6">
        <f ca="1"/>
        <v>-38.476190476190823</v>
      </c>
      <c r="M1358" s="6">
        <f ca="1"/>
        <v>15.738095238095639</v>
      </c>
      <c r="N1358" s="6">
        <f ca="1"/>
        <v>-8.6904761904765593E-2</v>
      </c>
      <c r="O1358" s="6">
        <f t="shared" ca="1" si="200"/>
        <v>61.119047619045169</v>
      </c>
      <c r="P1358" t="str">
        <f t="shared" si="201"/>
        <v>NA</v>
      </c>
      <c r="Q1358" s="10">
        <f t="shared" ca="1" si="202"/>
        <v>46.119047619045126</v>
      </c>
      <c r="R1358" s="10">
        <f t="shared" ca="1" si="203"/>
        <v>100.22619047618969</v>
      </c>
      <c r="S1358" s="10">
        <f t="shared" ca="1" si="204"/>
        <v>-54.107142857144559</v>
      </c>
      <c r="T1358" s="10">
        <f t="shared" ca="1" si="205"/>
        <v>622.60273972602056</v>
      </c>
      <c r="U1358" s="10">
        <f t="shared" ca="1" si="206"/>
        <v>622.60273972602056</v>
      </c>
      <c r="V1358">
        <f t="shared" si="207"/>
        <v>5</v>
      </c>
    </row>
    <row r="1359" spans="1:22" x14ac:dyDescent="0.25">
      <c r="A1359">
        <v>151</v>
      </c>
      <c r="B1359">
        <v>8</v>
      </c>
      <c r="C1359">
        <v>58</v>
      </c>
      <c r="D1359">
        <v>1</v>
      </c>
      <c r="E1359">
        <v>1</v>
      </c>
      <c r="F1359">
        <v>0</v>
      </c>
      <c r="G1359">
        <v>1</v>
      </c>
      <c r="H1359">
        <v>550</v>
      </c>
      <c r="I1359">
        <f t="shared" si="208"/>
        <v>1350</v>
      </c>
      <c r="J1359" s="6">
        <f t="array" aca="1" ref="J1359:N1359" ca="1">TRANSPOSE(ols(OFFSET($C$2:$C$10,I1359,0),OFFSET($D$2:$H$10,I1359,0)))</f>
        <v>99.273809523808268</v>
      </c>
      <c r="K1359" s="6">
        <f ca="1"/>
        <v>-14.785714285714221</v>
      </c>
      <c r="L1359" s="6">
        <f ca="1"/>
        <v>-38.476190476190823</v>
      </c>
      <c r="M1359" s="6">
        <f ca="1"/>
        <v>15.738095238095639</v>
      </c>
      <c r="N1359" s="6">
        <f ca="1"/>
        <v>-8.6904761904765593E-2</v>
      </c>
      <c r="O1359" s="6">
        <f t="shared" ca="1" si="200"/>
        <v>52.42857142856861</v>
      </c>
      <c r="P1359" t="str">
        <f t="shared" si="201"/>
        <v>NA</v>
      </c>
      <c r="Q1359" s="10">
        <f t="shared" ca="1" si="202"/>
        <v>46.119047619045126</v>
      </c>
      <c r="R1359" s="10">
        <f t="shared" ca="1" si="203"/>
        <v>100.22619047618969</v>
      </c>
      <c r="S1359" s="10">
        <f t="shared" ca="1" si="204"/>
        <v>-54.107142857144559</v>
      </c>
      <c r="T1359" s="10">
        <f t="shared" ca="1" si="205"/>
        <v>622.60273972602056</v>
      </c>
      <c r="U1359" s="10">
        <f t="shared" ca="1" si="206"/>
        <v>622.60273972602056</v>
      </c>
      <c r="V1359">
        <f t="shared" si="207"/>
        <v>5</v>
      </c>
    </row>
    <row r="1360" spans="1:22" x14ac:dyDescent="0.25">
      <c r="A1360">
        <v>151</v>
      </c>
      <c r="B1360">
        <v>9</v>
      </c>
      <c r="C1360">
        <v>55</v>
      </c>
      <c r="D1360">
        <v>1</v>
      </c>
      <c r="E1360">
        <v>0</v>
      </c>
      <c r="F1360">
        <v>0</v>
      </c>
      <c r="G1360">
        <v>1</v>
      </c>
      <c r="H1360">
        <v>650</v>
      </c>
      <c r="I1360">
        <f t="shared" si="208"/>
        <v>1350</v>
      </c>
      <c r="J1360" s="6">
        <f t="array" aca="1" ref="J1360:N1360" ca="1">TRANSPOSE(ols(OFFSET($C$2:$C$10,I1360,0),OFFSET($D$2:$H$10,I1360,0)))</f>
        <v>99.273809523808268</v>
      </c>
      <c r="K1360" s="6">
        <f ca="1"/>
        <v>-14.785714285714221</v>
      </c>
      <c r="L1360" s="6">
        <f ca="1"/>
        <v>-38.476190476190823</v>
      </c>
      <c r="M1360" s="6">
        <f ca="1"/>
        <v>15.738095238095639</v>
      </c>
      <c r="N1360" s="6">
        <f ca="1"/>
        <v>-8.6904761904765593E-2</v>
      </c>
      <c r="O1360" s="6">
        <f t="shared" ca="1" si="200"/>
        <v>58.523809523806271</v>
      </c>
      <c r="P1360" t="str">
        <f t="shared" si="201"/>
        <v>NA</v>
      </c>
      <c r="Q1360" s="10">
        <f t="shared" ca="1" si="202"/>
        <v>46.119047619045126</v>
      </c>
      <c r="R1360" s="10">
        <f t="shared" ca="1" si="203"/>
        <v>115.01190476190391</v>
      </c>
      <c r="S1360" s="10">
        <f t="shared" ca="1" si="204"/>
        <v>-68.892857142858787</v>
      </c>
      <c r="T1360" s="10">
        <f t="shared" ca="1" si="205"/>
        <v>792.73972602738252</v>
      </c>
      <c r="U1360" s="10" t="str">
        <f t="shared" ca="1" si="206"/>
        <v>OR</v>
      </c>
      <c r="V1360">
        <f t="shared" si="207"/>
        <v>4</v>
      </c>
    </row>
    <row r="1361" spans="1:22" x14ac:dyDescent="0.25">
      <c r="A1361">
        <v>152</v>
      </c>
      <c r="B1361">
        <v>1</v>
      </c>
      <c r="C1361">
        <v>70</v>
      </c>
      <c r="D1361">
        <v>1</v>
      </c>
      <c r="E1361">
        <v>0</v>
      </c>
      <c r="F1361">
        <v>1</v>
      </c>
      <c r="G1361">
        <v>0</v>
      </c>
      <c r="H1361">
        <v>250</v>
      </c>
      <c r="I1361">
        <f t="shared" si="208"/>
        <v>1359</v>
      </c>
      <c r="J1361" s="6">
        <f t="array" aca="1" ref="J1361:N1361" ca="1">TRANSPOSE(ols(OFFSET($C$2:$C$10,I1361,0),OFFSET($D$2:$H$10,I1361,0)))</f>
        <v>83.333333333331211</v>
      </c>
      <c r="K1361" s="6">
        <f ca="1"/>
        <v>2.5000000000002274</v>
      </c>
      <c r="L1361" s="6">
        <f ca="1"/>
        <v>3.3333333333330302</v>
      </c>
      <c r="M1361" s="6">
        <f ca="1"/>
        <v>-1.6666666666662877</v>
      </c>
      <c r="N1361" s="6">
        <f ca="1"/>
        <v>-6.6666666666668206E-2</v>
      </c>
      <c r="O1361" s="6">
        <f t="shared" ca="1" si="200"/>
        <v>69.999999999997186</v>
      </c>
      <c r="P1361" t="str">
        <f t="shared" si="201"/>
        <v>NA</v>
      </c>
      <c r="Q1361" s="10">
        <f t="shared" ca="1" si="202"/>
        <v>61.666666666664085</v>
      </c>
      <c r="R1361" s="10">
        <f t="shared" ca="1" si="203"/>
        <v>86.666666666664241</v>
      </c>
      <c r="S1361" s="10">
        <f t="shared" ca="1" si="204"/>
        <v>-25.000000000000156</v>
      </c>
      <c r="T1361" s="10">
        <f t="shared" ca="1" si="205"/>
        <v>374.99999999999369</v>
      </c>
      <c r="U1361" s="10">
        <f t="shared" ca="1" si="206"/>
        <v>374.99999999999369</v>
      </c>
      <c r="V1361">
        <f t="shared" si="207"/>
        <v>3</v>
      </c>
    </row>
    <row r="1362" spans="1:22" x14ac:dyDescent="0.25">
      <c r="A1362">
        <v>152</v>
      </c>
      <c r="B1362">
        <v>2</v>
      </c>
      <c r="C1362">
        <v>60</v>
      </c>
      <c r="D1362">
        <v>1</v>
      </c>
      <c r="E1362">
        <v>1</v>
      </c>
      <c r="F1362">
        <v>0</v>
      </c>
      <c r="G1362">
        <v>0</v>
      </c>
      <c r="H1362">
        <v>350</v>
      </c>
      <c r="I1362">
        <f t="shared" si="208"/>
        <v>1359</v>
      </c>
      <c r="J1362" s="6">
        <f t="array" aca="1" ref="J1362:N1362" ca="1">TRANSPOSE(ols(OFFSET($C$2:$C$10,I1362,0),OFFSET($D$2:$H$10,I1362,0)))</f>
        <v>83.333333333331211</v>
      </c>
      <c r="K1362" s="6">
        <f ca="1"/>
        <v>2.5000000000002274</v>
      </c>
      <c r="L1362" s="6">
        <f ca="1"/>
        <v>3.3333333333330302</v>
      </c>
      <c r="M1362" s="6">
        <f ca="1"/>
        <v>-1.6666666666662877</v>
      </c>
      <c r="N1362" s="6">
        <f ca="1"/>
        <v>-6.6666666666668206E-2</v>
      </c>
      <c r="O1362" s="6">
        <f t="shared" ca="1" si="200"/>
        <v>62.49999999999757</v>
      </c>
      <c r="P1362" t="str">
        <f t="shared" si="201"/>
        <v>NA</v>
      </c>
      <c r="Q1362" s="10">
        <f t="shared" ca="1" si="202"/>
        <v>61.666666666664085</v>
      </c>
      <c r="R1362" s="10">
        <f t="shared" ca="1" si="203"/>
        <v>85.833333333331439</v>
      </c>
      <c r="S1362" s="10">
        <f t="shared" ca="1" si="204"/>
        <v>-24.166666666667354</v>
      </c>
      <c r="T1362" s="10">
        <f t="shared" ca="1" si="205"/>
        <v>362.50000000000193</v>
      </c>
      <c r="U1362" s="10">
        <f t="shared" ca="1" si="206"/>
        <v>362.50000000000193</v>
      </c>
      <c r="V1362">
        <f t="shared" si="207"/>
        <v>2</v>
      </c>
    </row>
    <row r="1363" spans="1:22" x14ac:dyDescent="0.25">
      <c r="A1363">
        <v>152</v>
      </c>
      <c r="B1363">
        <v>3</v>
      </c>
      <c r="C1363">
        <v>55</v>
      </c>
      <c r="D1363">
        <v>1</v>
      </c>
      <c r="E1363">
        <v>1</v>
      </c>
      <c r="F1363">
        <v>0</v>
      </c>
      <c r="G1363">
        <v>0</v>
      </c>
      <c r="H1363">
        <v>450</v>
      </c>
      <c r="I1363">
        <f t="shared" si="208"/>
        <v>1359</v>
      </c>
      <c r="J1363" s="6">
        <f t="array" aca="1" ref="J1363:N1363" ca="1">TRANSPOSE(ols(OFFSET($C$2:$C$10,I1363,0),OFFSET($D$2:$H$10,I1363,0)))</f>
        <v>83.333333333331211</v>
      </c>
      <c r="K1363" s="6">
        <f ca="1"/>
        <v>2.5000000000002274</v>
      </c>
      <c r="L1363" s="6">
        <f ca="1"/>
        <v>3.3333333333330302</v>
      </c>
      <c r="M1363" s="6">
        <f ca="1"/>
        <v>-1.6666666666662877</v>
      </c>
      <c r="N1363" s="6">
        <f ca="1"/>
        <v>-6.6666666666668206E-2</v>
      </c>
      <c r="O1363" s="6">
        <f t="shared" ca="1" si="200"/>
        <v>55.833333333330742</v>
      </c>
      <c r="P1363" t="str">
        <f t="shared" si="201"/>
        <v>NA</v>
      </c>
      <c r="Q1363" s="10">
        <f t="shared" ca="1" si="202"/>
        <v>61.666666666664085</v>
      </c>
      <c r="R1363" s="10">
        <f t="shared" ca="1" si="203"/>
        <v>85.833333333331439</v>
      </c>
      <c r="S1363" s="10">
        <f t="shared" ca="1" si="204"/>
        <v>-24.166666666667354</v>
      </c>
      <c r="T1363" s="10">
        <f t="shared" ca="1" si="205"/>
        <v>362.50000000000193</v>
      </c>
      <c r="U1363" s="10">
        <f t="shared" ca="1" si="206"/>
        <v>362.50000000000193</v>
      </c>
      <c r="V1363">
        <f t="shared" si="207"/>
        <v>2</v>
      </c>
    </row>
    <row r="1364" spans="1:22" x14ac:dyDescent="0.25">
      <c r="A1364">
        <v>152</v>
      </c>
      <c r="B1364">
        <v>4</v>
      </c>
      <c r="C1364">
        <v>50</v>
      </c>
      <c r="D1364">
        <v>1</v>
      </c>
      <c r="E1364">
        <v>0</v>
      </c>
      <c r="F1364">
        <v>0</v>
      </c>
      <c r="G1364">
        <v>0</v>
      </c>
      <c r="H1364">
        <v>550</v>
      </c>
      <c r="I1364">
        <f t="shared" si="208"/>
        <v>1359</v>
      </c>
      <c r="J1364" s="6">
        <f t="array" aca="1" ref="J1364:N1364" ca="1">TRANSPOSE(ols(OFFSET($C$2:$C$10,I1364,0),OFFSET($D$2:$H$10,I1364,0)))</f>
        <v>83.333333333331211</v>
      </c>
      <c r="K1364" s="6">
        <f ca="1"/>
        <v>2.5000000000002274</v>
      </c>
      <c r="L1364" s="6">
        <f ca="1"/>
        <v>3.3333333333330302</v>
      </c>
      <c r="M1364" s="6">
        <f ca="1"/>
        <v>-1.6666666666662877</v>
      </c>
      <c r="N1364" s="6">
        <f ca="1"/>
        <v>-6.6666666666668206E-2</v>
      </c>
      <c r="O1364" s="6">
        <f t="shared" ca="1" si="200"/>
        <v>46.666666666663701</v>
      </c>
      <c r="P1364" t="str">
        <f t="shared" si="201"/>
        <v>NA</v>
      </c>
      <c r="Q1364" s="10">
        <f t="shared" ca="1" si="202"/>
        <v>61.666666666664085</v>
      </c>
      <c r="R1364" s="10">
        <f t="shared" ca="1" si="203"/>
        <v>83.333333333331211</v>
      </c>
      <c r="S1364" s="10">
        <f t="shared" ca="1" si="204"/>
        <v>-21.666666666667126</v>
      </c>
      <c r="T1364" s="10">
        <f t="shared" ca="1" si="205"/>
        <v>324.99999999999937</v>
      </c>
      <c r="U1364" s="10">
        <f t="shared" ca="1" si="206"/>
        <v>324.99999999999937</v>
      </c>
      <c r="V1364">
        <f t="shared" si="207"/>
        <v>1</v>
      </c>
    </row>
    <row r="1365" spans="1:22" x14ac:dyDescent="0.25">
      <c r="A1365">
        <v>152</v>
      </c>
      <c r="B1365">
        <v>5</v>
      </c>
      <c r="C1365">
        <v>70</v>
      </c>
      <c r="D1365">
        <v>1</v>
      </c>
      <c r="E1365">
        <v>0</v>
      </c>
      <c r="F1365">
        <v>1</v>
      </c>
      <c r="G1365">
        <v>1</v>
      </c>
      <c r="H1365">
        <v>250</v>
      </c>
      <c r="I1365">
        <f t="shared" si="208"/>
        <v>1359</v>
      </c>
      <c r="J1365" s="6">
        <f t="array" aca="1" ref="J1365:N1365" ca="1">TRANSPOSE(ols(OFFSET($C$2:$C$10,I1365,0),OFFSET($D$2:$H$10,I1365,0)))</f>
        <v>83.333333333331211</v>
      </c>
      <c r="K1365" s="6">
        <f ca="1"/>
        <v>2.5000000000002274</v>
      </c>
      <c r="L1365" s="6">
        <f ca="1"/>
        <v>3.3333333333330302</v>
      </c>
      <c r="M1365" s="6">
        <f ca="1"/>
        <v>-1.6666666666662877</v>
      </c>
      <c r="N1365" s="6">
        <f ca="1"/>
        <v>-6.6666666666668206E-2</v>
      </c>
      <c r="O1365" s="6">
        <f t="shared" ca="1" si="200"/>
        <v>68.333333333330899</v>
      </c>
      <c r="P1365" t="str">
        <f t="shared" si="201"/>
        <v>NA</v>
      </c>
      <c r="Q1365" s="10">
        <f t="shared" ca="1" si="202"/>
        <v>61.666666666664085</v>
      </c>
      <c r="R1365" s="10">
        <f t="shared" ca="1" si="203"/>
        <v>84.999999999997954</v>
      </c>
      <c r="S1365" s="10">
        <f t="shared" ca="1" si="204"/>
        <v>-23.333333333333869</v>
      </c>
      <c r="T1365" s="10">
        <f t="shared" ca="1" si="205"/>
        <v>349.99999999999994</v>
      </c>
      <c r="U1365" s="10">
        <f t="shared" ca="1" si="206"/>
        <v>349.99999999999994</v>
      </c>
      <c r="V1365">
        <f t="shared" si="207"/>
        <v>6</v>
      </c>
    </row>
    <row r="1366" spans="1:22" x14ac:dyDescent="0.25">
      <c r="A1366">
        <v>152</v>
      </c>
      <c r="B1366">
        <v>6</v>
      </c>
      <c r="C1366">
        <v>60</v>
      </c>
      <c r="D1366">
        <v>1</v>
      </c>
      <c r="E1366">
        <v>0</v>
      </c>
      <c r="F1366">
        <v>1</v>
      </c>
      <c r="G1366">
        <v>1</v>
      </c>
      <c r="H1366">
        <v>350</v>
      </c>
      <c r="I1366">
        <f t="shared" si="208"/>
        <v>1359</v>
      </c>
      <c r="J1366" s="6">
        <f t="array" aca="1" ref="J1366:N1366" ca="1">TRANSPOSE(ols(OFFSET($C$2:$C$10,I1366,0),OFFSET($D$2:$H$10,I1366,0)))</f>
        <v>83.333333333331211</v>
      </c>
      <c r="K1366" s="6">
        <f ca="1"/>
        <v>2.5000000000002274</v>
      </c>
      <c r="L1366" s="6">
        <f ca="1"/>
        <v>3.3333333333330302</v>
      </c>
      <c r="M1366" s="6">
        <f ca="1"/>
        <v>-1.6666666666662877</v>
      </c>
      <c r="N1366" s="6">
        <f ca="1"/>
        <v>-6.6666666666668206E-2</v>
      </c>
      <c r="O1366" s="6">
        <f t="shared" ca="1" si="200"/>
        <v>61.666666666664085</v>
      </c>
      <c r="P1366">
        <f t="shared" ca="1" si="201"/>
        <v>61.666666666664085</v>
      </c>
      <c r="Q1366" s="10">
        <f t="shared" ca="1" si="202"/>
        <v>61.666666666664085</v>
      </c>
      <c r="R1366" s="10">
        <f t="shared" ca="1" si="203"/>
        <v>84.999999999997954</v>
      </c>
      <c r="S1366" s="10">
        <f t="shared" ca="1" si="204"/>
        <v>-23.333333333333869</v>
      </c>
      <c r="T1366" s="10">
        <f t="shared" ca="1" si="205"/>
        <v>349.99999999999994</v>
      </c>
      <c r="U1366" s="10">
        <f t="shared" ca="1" si="206"/>
        <v>349.99999999999994</v>
      </c>
      <c r="V1366">
        <f t="shared" si="207"/>
        <v>6</v>
      </c>
    </row>
    <row r="1367" spans="1:22" x14ac:dyDescent="0.25">
      <c r="A1367">
        <v>152</v>
      </c>
      <c r="B1367">
        <v>7</v>
      </c>
      <c r="C1367">
        <v>55</v>
      </c>
      <c r="D1367">
        <v>1</v>
      </c>
      <c r="E1367">
        <v>1</v>
      </c>
      <c r="F1367">
        <v>0</v>
      </c>
      <c r="G1367">
        <v>1</v>
      </c>
      <c r="H1367">
        <v>450</v>
      </c>
      <c r="I1367">
        <f t="shared" si="208"/>
        <v>1359</v>
      </c>
      <c r="J1367" s="6">
        <f t="array" aca="1" ref="J1367:N1367" ca="1">TRANSPOSE(ols(OFFSET($C$2:$C$10,I1367,0),OFFSET($D$2:$H$10,I1367,0)))</f>
        <v>83.333333333331211</v>
      </c>
      <c r="K1367" s="6">
        <f ca="1"/>
        <v>2.5000000000002274</v>
      </c>
      <c r="L1367" s="6">
        <f ca="1"/>
        <v>3.3333333333330302</v>
      </c>
      <c r="M1367" s="6">
        <f ca="1"/>
        <v>-1.6666666666662877</v>
      </c>
      <c r="N1367" s="6">
        <f ca="1"/>
        <v>-6.6666666666668206E-2</v>
      </c>
      <c r="O1367" s="6">
        <f t="shared" ca="1" si="200"/>
        <v>54.166666666664455</v>
      </c>
      <c r="P1367" t="str">
        <f t="shared" si="201"/>
        <v>NA</v>
      </c>
      <c r="Q1367" s="10">
        <f t="shared" ca="1" si="202"/>
        <v>61.666666666664085</v>
      </c>
      <c r="R1367" s="10">
        <f t="shared" ca="1" si="203"/>
        <v>84.166666666665151</v>
      </c>
      <c r="S1367" s="10">
        <f t="shared" ca="1" si="204"/>
        <v>-22.500000000001066</v>
      </c>
      <c r="T1367" s="10">
        <f t="shared" ca="1" si="205"/>
        <v>337.50000000000819</v>
      </c>
      <c r="U1367" s="10">
        <f t="shared" ca="1" si="206"/>
        <v>337.50000000000819</v>
      </c>
      <c r="V1367">
        <f t="shared" si="207"/>
        <v>5</v>
      </c>
    </row>
    <row r="1368" spans="1:22" x14ac:dyDescent="0.25">
      <c r="A1368">
        <v>152</v>
      </c>
      <c r="B1368">
        <v>8</v>
      </c>
      <c r="C1368">
        <v>50</v>
      </c>
      <c r="D1368">
        <v>1</v>
      </c>
      <c r="E1368">
        <v>1</v>
      </c>
      <c r="F1368">
        <v>0</v>
      </c>
      <c r="G1368">
        <v>1</v>
      </c>
      <c r="H1368">
        <v>550</v>
      </c>
      <c r="I1368">
        <f t="shared" si="208"/>
        <v>1359</v>
      </c>
      <c r="J1368" s="6">
        <f t="array" aca="1" ref="J1368:N1368" ca="1">TRANSPOSE(ols(OFFSET($C$2:$C$10,I1368,0),OFFSET($D$2:$H$10,I1368,0)))</f>
        <v>83.333333333331211</v>
      </c>
      <c r="K1368" s="6">
        <f ca="1"/>
        <v>2.5000000000002274</v>
      </c>
      <c r="L1368" s="6">
        <f ca="1"/>
        <v>3.3333333333330302</v>
      </c>
      <c r="M1368" s="6">
        <f ca="1"/>
        <v>-1.6666666666662877</v>
      </c>
      <c r="N1368" s="6">
        <f ca="1"/>
        <v>-6.6666666666668206E-2</v>
      </c>
      <c r="O1368" s="6">
        <f t="shared" ca="1" si="200"/>
        <v>47.499999999997641</v>
      </c>
      <c r="P1368" t="str">
        <f t="shared" si="201"/>
        <v>NA</v>
      </c>
      <c r="Q1368" s="10">
        <f t="shared" ca="1" si="202"/>
        <v>61.666666666664085</v>
      </c>
      <c r="R1368" s="10">
        <f t="shared" ca="1" si="203"/>
        <v>84.166666666665151</v>
      </c>
      <c r="S1368" s="10">
        <f t="shared" ca="1" si="204"/>
        <v>-22.500000000001066</v>
      </c>
      <c r="T1368" s="10">
        <f t="shared" ca="1" si="205"/>
        <v>337.50000000000819</v>
      </c>
      <c r="U1368" s="10">
        <f t="shared" ca="1" si="206"/>
        <v>337.50000000000819</v>
      </c>
      <c r="V1368">
        <f t="shared" si="207"/>
        <v>5</v>
      </c>
    </row>
    <row r="1369" spans="1:22" x14ac:dyDescent="0.25">
      <c r="A1369">
        <v>152</v>
      </c>
      <c r="B1369">
        <v>9</v>
      </c>
      <c r="C1369">
        <v>35</v>
      </c>
      <c r="D1369">
        <v>1</v>
      </c>
      <c r="E1369">
        <v>0</v>
      </c>
      <c r="F1369">
        <v>0</v>
      </c>
      <c r="G1369">
        <v>1</v>
      </c>
      <c r="H1369">
        <v>650</v>
      </c>
      <c r="I1369">
        <f t="shared" si="208"/>
        <v>1359</v>
      </c>
      <c r="J1369" s="6">
        <f t="array" aca="1" ref="J1369:N1369" ca="1">TRANSPOSE(ols(OFFSET($C$2:$C$10,I1369,0),OFFSET($D$2:$H$10,I1369,0)))</f>
        <v>83.333333333331211</v>
      </c>
      <c r="K1369" s="6">
        <f ca="1"/>
        <v>2.5000000000002274</v>
      </c>
      <c r="L1369" s="6">
        <f ca="1"/>
        <v>3.3333333333330302</v>
      </c>
      <c r="M1369" s="6">
        <f ca="1"/>
        <v>-1.6666666666662877</v>
      </c>
      <c r="N1369" s="6">
        <f ca="1"/>
        <v>-6.6666666666668206E-2</v>
      </c>
      <c r="O1369" s="6">
        <f t="shared" ca="1" si="200"/>
        <v>38.333333333330586</v>
      </c>
      <c r="P1369" t="str">
        <f t="shared" si="201"/>
        <v>NA</v>
      </c>
      <c r="Q1369" s="10">
        <f t="shared" ca="1" si="202"/>
        <v>61.666666666664085</v>
      </c>
      <c r="R1369" s="10">
        <f t="shared" ca="1" si="203"/>
        <v>81.666666666664923</v>
      </c>
      <c r="S1369" s="10">
        <f t="shared" ca="1" si="204"/>
        <v>-20.000000000000838</v>
      </c>
      <c r="T1369" s="10">
        <f t="shared" ca="1" si="205"/>
        <v>300.00000000000563</v>
      </c>
      <c r="U1369" s="10">
        <f t="shared" ca="1" si="206"/>
        <v>300.00000000000563</v>
      </c>
      <c r="V1369">
        <f t="shared" si="207"/>
        <v>4</v>
      </c>
    </row>
    <row r="1370" spans="1:22" x14ac:dyDescent="0.25">
      <c r="A1370">
        <v>153</v>
      </c>
      <c r="B1370">
        <v>1</v>
      </c>
      <c r="C1370">
        <v>5</v>
      </c>
      <c r="D1370">
        <v>1</v>
      </c>
      <c r="E1370">
        <v>0</v>
      </c>
      <c r="F1370">
        <v>1</v>
      </c>
      <c r="G1370">
        <v>0</v>
      </c>
      <c r="H1370">
        <v>250</v>
      </c>
      <c r="I1370">
        <f t="shared" si="208"/>
        <v>1368</v>
      </c>
      <c r="J1370" s="6">
        <f t="array" aca="1" ref="J1370:N1370" ca="1">TRANSPOSE(ols(OFFSET($C$2:$C$10,I1370,0),OFFSET($D$2:$H$10,I1370,0)))</f>
        <v>10.535714285714135</v>
      </c>
      <c r="K1370" s="6">
        <f ca="1"/>
        <v>-1.4285714285714022</v>
      </c>
      <c r="L1370" s="6">
        <f ca="1"/>
        <v>-0.71428571428566556</v>
      </c>
      <c r="M1370" s="6">
        <f ca="1"/>
        <v>0.35714285714285054</v>
      </c>
      <c r="N1370" s="6">
        <f ca="1"/>
        <v>-1.7857142857142738E-2</v>
      </c>
      <c r="O1370" s="6">
        <f t="shared" ca="1" si="200"/>
        <v>5.3571428571427857</v>
      </c>
      <c r="P1370" t="str">
        <f t="shared" si="201"/>
        <v>NA</v>
      </c>
      <c r="Q1370" s="10">
        <f t="shared" ca="1" si="202"/>
        <v>3.9285714285713622</v>
      </c>
      <c r="R1370" s="10">
        <f t="shared" ca="1" si="203"/>
        <v>9.8214285714284699</v>
      </c>
      <c r="S1370" s="10">
        <f t="shared" ca="1" si="204"/>
        <v>-5.8928571428571077</v>
      </c>
      <c r="T1370" s="10">
        <f t="shared" ca="1" si="205"/>
        <v>330.00000000000023</v>
      </c>
      <c r="U1370" s="10">
        <f t="shared" ca="1" si="206"/>
        <v>330.00000000000023</v>
      </c>
      <c r="V1370">
        <f t="shared" si="207"/>
        <v>3</v>
      </c>
    </row>
    <row r="1371" spans="1:22" x14ac:dyDescent="0.25">
      <c r="A1371">
        <v>153</v>
      </c>
      <c r="B1371">
        <v>2</v>
      </c>
      <c r="C1371">
        <v>5</v>
      </c>
      <c r="D1371">
        <v>1</v>
      </c>
      <c r="E1371">
        <v>1</v>
      </c>
      <c r="F1371">
        <v>0</v>
      </c>
      <c r="G1371">
        <v>0</v>
      </c>
      <c r="H1371">
        <v>350</v>
      </c>
      <c r="I1371">
        <f t="shared" si="208"/>
        <v>1368</v>
      </c>
      <c r="J1371" s="6">
        <f t="array" aca="1" ref="J1371:N1371" ca="1">TRANSPOSE(ols(OFFSET($C$2:$C$10,I1371,0),OFFSET($D$2:$H$10,I1371,0)))</f>
        <v>10.535714285714135</v>
      </c>
      <c r="K1371" s="6">
        <f ca="1"/>
        <v>-1.4285714285714022</v>
      </c>
      <c r="L1371" s="6">
        <f ca="1"/>
        <v>-0.71428571428566556</v>
      </c>
      <c r="M1371" s="6">
        <f ca="1"/>
        <v>0.35714285714285054</v>
      </c>
      <c r="N1371" s="6">
        <f ca="1"/>
        <v>-1.7857142857142738E-2</v>
      </c>
      <c r="O1371" s="6">
        <f t="shared" ca="1" si="200"/>
        <v>2.857142857142775</v>
      </c>
      <c r="P1371" t="str">
        <f t="shared" si="201"/>
        <v>NA</v>
      </c>
      <c r="Q1371" s="10">
        <f t="shared" ca="1" si="202"/>
        <v>3.9285714285713622</v>
      </c>
      <c r="R1371" s="10">
        <f t="shared" ca="1" si="203"/>
        <v>9.1071428571427333</v>
      </c>
      <c r="S1371" s="10">
        <f t="shared" ca="1" si="204"/>
        <v>-5.1785714285713711</v>
      </c>
      <c r="T1371" s="10">
        <f t="shared" ca="1" si="205"/>
        <v>289.99999999999869</v>
      </c>
      <c r="U1371" s="10">
        <f t="shared" ca="1" si="206"/>
        <v>289.99999999999869</v>
      </c>
      <c r="V1371">
        <f t="shared" si="207"/>
        <v>2</v>
      </c>
    </row>
    <row r="1372" spans="1:22" x14ac:dyDescent="0.25">
      <c r="A1372">
        <v>153</v>
      </c>
      <c r="B1372">
        <v>3</v>
      </c>
      <c r="C1372">
        <v>0</v>
      </c>
      <c r="D1372">
        <v>1</v>
      </c>
      <c r="E1372">
        <v>1</v>
      </c>
      <c r="F1372">
        <v>0</v>
      </c>
      <c r="G1372">
        <v>0</v>
      </c>
      <c r="H1372">
        <v>450</v>
      </c>
      <c r="I1372">
        <f t="shared" si="208"/>
        <v>1368</v>
      </c>
      <c r="J1372" s="6">
        <f t="array" aca="1" ref="J1372:N1372" ca="1">TRANSPOSE(ols(OFFSET($C$2:$C$10,I1372,0),OFFSET($D$2:$H$10,I1372,0)))</f>
        <v>10.535714285714135</v>
      </c>
      <c r="K1372" s="6">
        <f ca="1"/>
        <v>-1.4285714285714022</v>
      </c>
      <c r="L1372" s="6">
        <f ca="1"/>
        <v>-0.71428571428566556</v>
      </c>
      <c r="M1372" s="6">
        <f ca="1"/>
        <v>0.35714285714285054</v>
      </c>
      <c r="N1372" s="6">
        <f ca="1"/>
        <v>-1.7857142857142738E-2</v>
      </c>
      <c r="O1372" s="6">
        <f t="shared" ca="1" si="200"/>
        <v>1.0714285714285019</v>
      </c>
      <c r="P1372" t="str">
        <f t="shared" si="201"/>
        <v>NA</v>
      </c>
      <c r="Q1372" s="10">
        <f t="shared" ca="1" si="202"/>
        <v>3.9285714285713622</v>
      </c>
      <c r="R1372" s="10">
        <f t="shared" ca="1" si="203"/>
        <v>9.1071428571427333</v>
      </c>
      <c r="S1372" s="10">
        <f t="shared" ca="1" si="204"/>
        <v>-5.1785714285713711</v>
      </c>
      <c r="T1372" s="10">
        <f t="shared" ca="1" si="205"/>
        <v>289.99999999999869</v>
      </c>
      <c r="U1372" s="10">
        <f t="shared" ca="1" si="206"/>
        <v>289.99999999999869</v>
      </c>
      <c r="V1372">
        <f t="shared" si="207"/>
        <v>2</v>
      </c>
    </row>
    <row r="1373" spans="1:22" x14ac:dyDescent="0.25">
      <c r="A1373">
        <v>153</v>
      </c>
      <c r="B1373">
        <v>4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550</v>
      </c>
      <c r="I1373">
        <f t="shared" si="208"/>
        <v>1368</v>
      </c>
      <c r="J1373" s="6">
        <f t="array" aca="1" ref="J1373:N1373" ca="1">TRANSPOSE(ols(OFFSET($C$2:$C$10,I1373,0),OFFSET($D$2:$H$10,I1373,0)))</f>
        <v>10.535714285714135</v>
      </c>
      <c r="K1373" s="6">
        <f ca="1"/>
        <v>-1.4285714285714022</v>
      </c>
      <c r="L1373" s="6">
        <f ca="1"/>
        <v>-0.71428571428566556</v>
      </c>
      <c r="M1373" s="6">
        <f ca="1"/>
        <v>0.35714285714285054</v>
      </c>
      <c r="N1373" s="6">
        <f ca="1"/>
        <v>-1.7857142857142738E-2</v>
      </c>
      <c r="O1373" s="6">
        <f t="shared" ca="1" si="200"/>
        <v>0.71428571428563004</v>
      </c>
      <c r="P1373" t="str">
        <f t="shared" si="201"/>
        <v>NA</v>
      </c>
      <c r="Q1373" s="10">
        <f t="shared" ca="1" si="202"/>
        <v>3.9285714285713622</v>
      </c>
      <c r="R1373" s="10">
        <f t="shared" ca="1" si="203"/>
        <v>10.535714285714135</v>
      </c>
      <c r="S1373" s="10">
        <f t="shared" ca="1" si="204"/>
        <v>-6.6071428571427733</v>
      </c>
      <c r="T1373" s="10">
        <f t="shared" ca="1" si="205"/>
        <v>369.99999999999778</v>
      </c>
      <c r="U1373" s="10">
        <f t="shared" ca="1" si="206"/>
        <v>369.99999999999778</v>
      </c>
      <c r="V1373">
        <f t="shared" si="207"/>
        <v>1</v>
      </c>
    </row>
    <row r="1374" spans="1:22" x14ac:dyDescent="0.25">
      <c r="A1374">
        <v>153</v>
      </c>
      <c r="B1374">
        <v>5</v>
      </c>
      <c r="C1374">
        <v>5</v>
      </c>
      <c r="D1374">
        <v>1</v>
      </c>
      <c r="E1374">
        <v>0</v>
      </c>
      <c r="F1374">
        <v>1</v>
      </c>
      <c r="G1374">
        <v>1</v>
      </c>
      <c r="H1374">
        <v>250</v>
      </c>
      <c r="I1374">
        <f t="shared" si="208"/>
        <v>1368</v>
      </c>
      <c r="J1374" s="6">
        <f t="array" aca="1" ref="J1374:N1374" ca="1">TRANSPOSE(ols(OFFSET($C$2:$C$10,I1374,0),OFFSET($D$2:$H$10,I1374,0)))</f>
        <v>10.535714285714135</v>
      </c>
      <c r="K1374" s="6">
        <f ca="1"/>
        <v>-1.4285714285714022</v>
      </c>
      <c r="L1374" s="6">
        <f ca="1"/>
        <v>-0.71428571428566556</v>
      </c>
      <c r="M1374" s="6">
        <f ca="1"/>
        <v>0.35714285714285054</v>
      </c>
      <c r="N1374" s="6">
        <f ca="1"/>
        <v>-1.7857142857142738E-2</v>
      </c>
      <c r="O1374" s="6">
        <f t="shared" ca="1" si="200"/>
        <v>5.7142857142856363</v>
      </c>
      <c r="P1374" t="str">
        <f t="shared" si="201"/>
        <v>NA</v>
      </c>
      <c r="Q1374" s="10">
        <f t="shared" ca="1" si="202"/>
        <v>3.9285714285713622</v>
      </c>
      <c r="R1374" s="10">
        <f t="shared" ca="1" si="203"/>
        <v>10.17857142857132</v>
      </c>
      <c r="S1374" s="10">
        <f t="shared" ca="1" si="204"/>
        <v>-6.2499999999999583</v>
      </c>
      <c r="T1374" s="10">
        <f t="shared" ca="1" si="205"/>
        <v>350</v>
      </c>
      <c r="U1374" s="10">
        <f t="shared" ca="1" si="206"/>
        <v>350</v>
      </c>
      <c r="V1374">
        <f t="shared" si="207"/>
        <v>6</v>
      </c>
    </row>
    <row r="1375" spans="1:22" x14ac:dyDescent="0.25">
      <c r="A1375">
        <v>153</v>
      </c>
      <c r="B1375">
        <v>6</v>
      </c>
      <c r="C1375">
        <v>5</v>
      </c>
      <c r="D1375">
        <v>1</v>
      </c>
      <c r="E1375">
        <v>0</v>
      </c>
      <c r="F1375">
        <v>1</v>
      </c>
      <c r="G1375">
        <v>1</v>
      </c>
      <c r="H1375">
        <v>350</v>
      </c>
      <c r="I1375">
        <f t="shared" si="208"/>
        <v>1368</v>
      </c>
      <c r="J1375" s="6">
        <f t="array" aca="1" ref="J1375:N1375" ca="1">TRANSPOSE(ols(OFFSET($C$2:$C$10,I1375,0),OFFSET($D$2:$H$10,I1375,0)))</f>
        <v>10.535714285714135</v>
      </c>
      <c r="K1375" s="6">
        <f ca="1"/>
        <v>-1.4285714285714022</v>
      </c>
      <c r="L1375" s="6">
        <f ca="1"/>
        <v>-0.71428571428566556</v>
      </c>
      <c r="M1375" s="6">
        <f ca="1"/>
        <v>0.35714285714285054</v>
      </c>
      <c r="N1375" s="6">
        <f ca="1"/>
        <v>-1.7857142857142738E-2</v>
      </c>
      <c r="O1375" s="6">
        <f t="shared" ca="1" si="200"/>
        <v>3.9285714285713622</v>
      </c>
      <c r="P1375">
        <f t="shared" ca="1" si="201"/>
        <v>3.9285714285713622</v>
      </c>
      <c r="Q1375" s="10">
        <f t="shared" ca="1" si="202"/>
        <v>3.9285714285713622</v>
      </c>
      <c r="R1375" s="10">
        <f t="shared" ca="1" si="203"/>
        <v>10.17857142857132</v>
      </c>
      <c r="S1375" s="10">
        <f t="shared" ca="1" si="204"/>
        <v>-6.2499999999999583</v>
      </c>
      <c r="T1375" s="10">
        <f t="shared" ca="1" si="205"/>
        <v>350</v>
      </c>
      <c r="U1375" s="10">
        <f t="shared" ca="1" si="206"/>
        <v>350</v>
      </c>
      <c r="V1375">
        <f t="shared" si="207"/>
        <v>6</v>
      </c>
    </row>
    <row r="1376" spans="1:22" x14ac:dyDescent="0.25">
      <c r="A1376">
        <v>153</v>
      </c>
      <c r="B1376">
        <v>7</v>
      </c>
      <c r="C1376">
        <v>0</v>
      </c>
      <c r="D1376">
        <v>1</v>
      </c>
      <c r="E1376">
        <v>1</v>
      </c>
      <c r="F1376">
        <v>0</v>
      </c>
      <c r="G1376">
        <v>1</v>
      </c>
      <c r="H1376">
        <v>450</v>
      </c>
      <c r="I1376">
        <f t="shared" si="208"/>
        <v>1368</v>
      </c>
      <c r="J1376" s="6">
        <f t="array" aca="1" ref="J1376:N1376" ca="1">TRANSPOSE(ols(OFFSET($C$2:$C$10,I1376,0),OFFSET($D$2:$H$10,I1376,0)))</f>
        <v>10.535714285714135</v>
      </c>
      <c r="K1376" s="6">
        <f ca="1"/>
        <v>-1.4285714285714022</v>
      </c>
      <c r="L1376" s="6">
        <f ca="1"/>
        <v>-0.71428571428566556</v>
      </c>
      <c r="M1376" s="6">
        <f ca="1"/>
        <v>0.35714285714285054</v>
      </c>
      <c r="N1376" s="6">
        <f ca="1"/>
        <v>-1.7857142857142738E-2</v>
      </c>
      <c r="O1376" s="6">
        <f t="shared" ca="1" si="200"/>
        <v>1.4285714285713524</v>
      </c>
      <c r="P1376" t="str">
        <f t="shared" si="201"/>
        <v>NA</v>
      </c>
      <c r="Q1376" s="10">
        <f t="shared" ca="1" si="202"/>
        <v>3.9285714285713622</v>
      </c>
      <c r="R1376" s="10">
        <f t="shared" ca="1" si="203"/>
        <v>9.4642857142855839</v>
      </c>
      <c r="S1376" s="10">
        <f t="shared" ca="1" si="204"/>
        <v>-5.5357142857142216</v>
      </c>
      <c r="T1376" s="10">
        <f t="shared" ca="1" si="205"/>
        <v>309.99999999999847</v>
      </c>
      <c r="U1376" s="10">
        <f t="shared" ca="1" si="206"/>
        <v>309.99999999999847</v>
      </c>
      <c r="V1376">
        <f t="shared" si="207"/>
        <v>5</v>
      </c>
    </row>
    <row r="1377" spans="1:22" x14ac:dyDescent="0.25">
      <c r="A1377">
        <v>153</v>
      </c>
      <c r="B1377">
        <v>8</v>
      </c>
      <c r="C1377">
        <v>0</v>
      </c>
      <c r="D1377">
        <v>1</v>
      </c>
      <c r="E1377">
        <v>1</v>
      </c>
      <c r="F1377">
        <v>0</v>
      </c>
      <c r="G1377">
        <v>1</v>
      </c>
      <c r="H1377">
        <v>550</v>
      </c>
      <c r="I1377">
        <f t="shared" si="208"/>
        <v>1368</v>
      </c>
      <c r="J1377" s="6">
        <f t="array" aca="1" ref="J1377:N1377" ca="1">TRANSPOSE(ols(OFFSET($C$2:$C$10,I1377,0),OFFSET($D$2:$H$10,I1377,0)))</f>
        <v>10.535714285714135</v>
      </c>
      <c r="K1377" s="6">
        <f ca="1"/>
        <v>-1.4285714285714022</v>
      </c>
      <c r="L1377" s="6">
        <f ca="1"/>
        <v>-0.71428571428566556</v>
      </c>
      <c r="M1377" s="6">
        <f ca="1"/>
        <v>0.35714285714285054</v>
      </c>
      <c r="N1377" s="6">
        <f ca="1"/>
        <v>-1.7857142857142738E-2</v>
      </c>
      <c r="O1377" s="6">
        <f t="shared" ca="1" si="200"/>
        <v>-0.3571428571429216</v>
      </c>
      <c r="P1377" t="str">
        <f t="shared" si="201"/>
        <v>NA</v>
      </c>
      <c r="Q1377" s="10">
        <f t="shared" ca="1" si="202"/>
        <v>3.9285714285713622</v>
      </c>
      <c r="R1377" s="10">
        <f t="shared" ca="1" si="203"/>
        <v>9.4642857142855839</v>
      </c>
      <c r="S1377" s="10">
        <f t="shared" ca="1" si="204"/>
        <v>-5.5357142857142216</v>
      </c>
      <c r="T1377" s="10">
        <f t="shared" ca="1" si="205"/>
        <v>309.99999999999847</v>
      </c>
      <c r="U1377" s="10">
        <f t="shared" ca="1" si="206"/>
        <v>309.99999999999847</v>
      </c>
      <c r="V1377">
        <f t="shared" si="207"/>
        <v>5</v>
      </c>
    </row>
    <row r="1378" spans="1:22" x14ac:dyDescent="0.25">
      <c r="A1378">
        <v>153</v>
      </c>
      <c r="B1378">
        <v>9</v>
      </c>
      <c r="C1378">
        <v>0</v>
      </c>
      <c r="D1378">
        <v>1</v>
      </c>
      <c r="E1378">
        <v>0</v>
      </c>
      <c r="F1378">
        <v>0</v>
      </c>
      <c r="G1378">
        <v>1</v>
      </c>
      <c r="H1378">
        <v>650</v>
      </c>
      <c r="I1378">
        <f t="shared" si="208"/>
        <v>1368</v>
      </c>
      <c r="J1378" s="6">
        <f t="array" aca="1" ref="J1378:N1378" ca="1">TRANSPOSE(ols(OFFSET($C$2:$C$10,I1378,0),OFFSET($D$2:$H$10,I1378,0)))</f>
        <v>10.535714285714135</v>
      </c>
      <c r="K1378" s="6">
        <f ca="1"/>
        <v>-1.4285714285714022</v>
      </c>
      <c r="L1378" s="6">
        <f ca="1"/>
        <v>-0.71428571428566556</v>
      </c>
      <c r="M1378" s="6">
        <f ca="1"/>
        <v>0.35714285714285054</v>
      </c>
      <c r="N1378" s="6">
        <f ca="1"/>
        <v>-1.7857142857142738E-2</v>
      </c>
      <c r="O1378" s="6">
        <f t="shared" ca="1" si="200"/>
        <v>-0.71428571428579346</v>
      </c>
      <c r="P1378" t="str">
        <f t="shared" si="201"/>
        <v>NA</v>
      </c>
      <c r="Q1378" s="10">
        <f t="shared" ca="1" si="202"/>
        <v>3.9285714285713622</v>
      </c>
      <c r="R1378" s="10">
        <f t="shared" ca="1" si="203"/>
        <v>10.892857142856986</v>
      </c>
      <c r="S1378" s="10">
        <f t="shared" ca="1" si="204"/>
        <v>-6.9642857142856238</v>
      </c>
      <c r="T1378" s="10">
        <f t="shared" ca="1" si="205"/>
        <v>389.99999999999756</v>
      </c>
      <c r="U1378" s="10">
        <f t="shared" ca="1" si="206"/>
        <v>389.99999999999756</v>
      </c>
      <c r="V1378">
        <f t="shared" si="207"/>
        <v>4</v>
      </c>
    </row>
    <row r="1379" spans="1:22" x14ac:dyDescent="0.25">
      <c r="A1379">
        <v>154</v>
      </c>
      <c r="B1379">
        <v>1</v>
      </c>
      <c r="C1379">
        <v>5</v>
      </c>
      <c r="D1379">
        <v>1</v>
      </c>
      <c r="E1379">
        <v>0</v>
      </c>
      <c r="F1379">
        <v>1</v>
      </c>
      <c r="G1379">
        <v>0</v>
      </c>
      <c r="H1379">
        <v>250</v>
      </c>
      <c r="I1379">
        <f t="shared" si="208"/>
        <v>1377</v>
      </c>
      <c r="J1379" s="6">
        <f t="array" aca="1" ref="J1379:N1379" ca="1">TRANSPOSE(ols(OFFSET($C$2:$C$10,I1379,0),OFFSET($D$2:$H$10,I1379,0)))</f>
        <v>9.8333333333332575</v>
      </c>
      <c r="K1379" s="6">
        <f ca="1"/>
        <v>-1.4999999999999645</v>
      </c>
      <c r="L1379" s="6">
        <f ca="1"/>
        <v>-0.66666666666660035</v>
      </c>
      <c r="M1379" s="6">
        <f ca="1"/>
        <v>0.3333333333333357</v>
      </c>
      <c r="N1379" s="6">
        <f ca="1"/>
        <v>-1.6666666666666496E-2</v>
      </c>
      <c r="O1379" s="6">
        <f t="shared" ca="1" si="200"/>
        <v>5.0000000000000329</v>
      </c>
      <c r="P1379" t="str">
        <f t="shared" si="201"/>
        <v>NA</v>
      </c>
      <c r="Q1379" s="10">
        <f t="shared" ca="1" si="202"/>
        <v>3.6666666666667194</v>
      </c>
      <c r="R1379" s="10">
        <f t="shared" ca="1" si="203"/>
        <v>9.1666666666666572</v>
      </c>
      <c r="S1379" s="10">
        <f t="shared" ca="1" si="204"/>
        <v>-5.4999999999999378</v>
      </c>
      <c r="T1379" s="10">
        <f t="shared" ca="1" si="205"/>
        <v>329.99999999999966</v>
      </c>
      <c r="U1379" s="10">
        <f t="shared" ca="1" si="206"/>
        <v>329.99999999999966</v>
      </c>
      <c r="V1379">
        <f t="shared" si="207"/>
        <v>3</v>
      </c>
    </row>
    <row r="1380" spans="1:22" x14ac:dyDescent="0.25">
      <c r="A1380">
        <v>154</v>
      </c>
      <c r="B1380">
        <v>2</v>
      </c>
      <c r="C1380">
        <v>4</v>
      </c>
      <c r="D1380">
        <v>1</v>
      </c>
      <c r="E1380">
        <v>1</v>
      </c>
      <c r="F1380">
        <v>0</v>
      </c>
      <c r="G1380">
        <v>0</v>
      </c>
      <c r="H1380">
        <v>350</v>
      </c>
      <c r="I1380">
        <f t="shared" si="208"/>
        <v>1377</v>
      </c>
      <c r="J1380" s="6">
        <f t="array" aca="1" ref="J1380:N1380" ca="1">TRANSPOSE(ols(OFFSET($C$2:$C$10,I1380,0),OFFSET($D$2:$H$10,I1380,0)))</f>
        <v>9.8333333333332575</v>
      </c>
      <c r="K1380" s="6">
        <f ca="1"/>
        <v>-1.4999999999999645</v>
      </c>
      <c r="L1380" s="6">
        <f ca="1"/>
        <v>-0.66666666666660035</v>
      </c>
      <c r="M1380" s="6">
        <f ca="1"/>
        <v>0.3333333333333357</v>
      </c>
      <c r="N1380" s="6">
        <f ca="1"/>
        <v>-1.6666666666666496E-2</v>
      </c>
      <c r="O1380" s="6">
        <f t="shared" ca="1" si="200"/>
        <v>2.5000000000000195</v>
      </c>
      <c r="P1380" t="str">
        <f t="shared" si="201"/>
        <v>NA</v>
      </c>
      <c r="Q1380" s="10">
        <f t="shared" ca="1" si="202"/>
        <v>3.6666666666667194</v>
      </c>
      <c r="R1380" s="10">
        <f t="shared" ca="1" si="203"/>
        <v>8.3333333333332931</v>
      </c>
      <c r="S1380" s="10">
        <f t="shared" ca="1" si="204"/>
        <v>-4.6666666666665737</v>
      </c>
      <c r="T1380" s="10">
        <f t="shared" ca="1" si="205"/>
        <v>279.99999999999727</v>
      </c>
      <c r="U1380" s="10">
        <f t="shared" ca="1" si="206"/>
        <v>279.99999999999727</v>
      </c>
      <c r="V1380">
        <f t="shared" si="207"/>
        <v>2</v>
      </c>
    </row>
    <row r="1381" spans="1:22" x14ac:dyDescent="0.25">
      <c r="A1381">
        <v>154</v>
      </c>
      <c r="B1381">
        <v>3</v>
      </c>
      <c r="C1381">
        <v>0</v>
      </c>
      <c r="D1381">
        <v>1</v>
      </c>
      <c r="E1381">
        <v>1</v>
      </c>
      <c r="F1381">
        <v>0</v>
      </c>
      <c r="G1381">
        <v>0</v>
      </c>
      <c r="H1381">
        <v>450</v>
      </c>
      <c r="I1381">
        <f t="shared" si="208"/>
        <v>1377</v>
      </c>
      <c r="J1381" s="6">
        <f t="array" aca="1" ref="J1381:N1381" ca="1">TRANSPOSE(ols(OFFSET($C$2:$C$10,I1381,0),OFFSET($D$2:$H$10,I1381,0)))</f>
        <v>9.8333333333332575</v>
      </c>
      <c r="K1381" s="6">
        <f ca="1"/>
        <v>-1.4999999999999645</v>
      </c>
      <c r="L1381" s="6">
        <f ca="1"/>
        <v>-0.66666666666660035</v>
      </c>
      <c r="M1381" s="6">
        <f ca="1"/>
        <v>0.3333333333333357</v>
      </c>
      <c r="N1381" s="6">
        <f ca="1"/>
        <v>-1.6666666666666496E-2</v>
      </c>
      <c r="O1381" s="6">
        <f t="shared" ca="1" si="200"/>
        <v>0.83333333333336945</v>
      </c>
      <c r="P1381" t="str">
        <f t="shared" si="201"/>
        <v>NA</v>
      </c>
      <c r="Q1381" s="10">
        <f t="shared" ca="1" si="202"/>
        <v>3.6666666666667194</v>
      </c>
      <c r="R1381" s="10">
        <f t="shared" ca="1" si="203"/>
        <v>8.3333333333332931</v>
      </c>
      <c r="S1381" s="10">
        <f t="shared" ca="1" si="204"/>
        <v>-4.6666666666665737</v>
      </c>
      <c r="T1381" s="10">
        <f t="shared" ca="1" si="205"/>
        <v>279.99999999999727</v>
      </c>
      <c r="U1381" s="10">
        <f t="shared" ca="1" si="206"/>
        <v>279.99999999999727</v>
      </c>
      <c r="V1381">
        <f t="shared" si="207"/>
        <v>2</v>
      </c>
    </row>
    <row r="1382" spans="1:22" x14ac:dyDescent="0.25">
      <c r="A1382">
        <v>154</v>
      </c>
      <c r="B1382">
        <v>4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550</v>
      </c>
      <c r="I1382">
        <f t="shared" si="208"/>
        <v>1377</v>
      </c>
      <c r="J1382" s="6">
        <f t="array" aca="1" ref="J1382:N1382" ca="1">TRANSPOSE(ols(OFFSET($C$2:$C$10,I1382,0),OFFSET($D$2:$H$10,I1382,0)))</f>
        <v>9.8333333333332575</v>
      </c>
      <c r="K1382" s="6">
        <f ca="1"/>
        <v>-1.4999999999999645</v>
      </c>
      <c r="L1382" s="6">
        <f ca="1"/>
        <v>-0.66666666666660035</v>
      </c>
      <c r="M1382" s="6">
        <f ca="1"/>
        <v>0.3333333333333357</v>
      </c>
      <c r="N1382" s="6">
        <f ca="1"/>
        <v>-1.6666666666666496E-2</v>
      </c>
      <c r="O1382" s="6">
        <f t="shared" ca="1" si="200"/>
        <v>0.66666666666668384</v>
      </c>
      <c r="P1382" t="str">
        <f t="shared" si="201"/>
        <v>NA</v>
      </c>
      <c r="Q1382" s="10">
        <f t="shared" ca="1" si="202"/>
        <v>3.6666666666667194</v>
      </c>
      <c r="R1382" s="10">
        <f t="shared" ca="1" si="203"/>
        <v>9.8333333333332575</v>
      </c>
      <c r="S1382" s="10">
        <f t="shared" ca="1" si="204"/>
        <v>-6.1666666666665382</v>
      </c>
      <c r="T1382" s="10">
        <f t="shared" ca="1" si="205"/>
        <v>369.99999999999608</v>
      </c>
      <c r="U1382" s="10">
        <f t="shared" ca="1" si="206"/>
        <v>369.99999999999608</v>
      </c>
      <c r="V1382">
        <f t="shared" si="207"/>
        <v>1</v>
      </c>
    </row>
    <row r="1383" spans="1:22" x14ac:dyDescent="0.25">
      <c r="A1383">
        <v>154</v>
      </c>
      <c r="B1383">
        <v>5</v>
      </c>
      <c r="C1383">
        <v>5</v>
      </c>
      <c r="D1383">
        <v>1</v>
      </c>
      <c r="E1383">
        <v>0</v>
      </c>
      <c r="F1383">
        <v>1</v>
      </c>
      <c r="G1383">
        <v>1</v>
      </c>
      <c r="H1383">
        <v>250</v>
      </c>
      <c r="I1383">
        <f t="shared" si="208"/>
        <v>1377</v>
      </c>
      <c r="J1383" s="6">
        <f t="array" aca="1" ref="J1383:N1383" ca="1">TRANSPOSE(ols(OFFSET($C$2:$C$10,I1383,0),OFFSET($D$2:$H$10,I1383,0)))</f>
        <v>9.8333333333332575</v>
      </c>
      <c r="K1383" s="6">
        <f ca="1"/>
        <v>-1.4999999999999645</v>
      </c>
      <c r="L1383" s="6">
        <f ca="1"/>
        <v>-0.66666666666660035</v>
      </c>
      <c r="M1383" s="6">
        <f ca="1"/>
        <v>0.3333333333333357</v>
      </c>
      <c r="N1383" s="6">
        <f ca="1"/>
        <v>-1.6666666666666496E-2</v>
      </c>
      <c r="O1383" s="6">
        <f t="shared" ca="1" si="200"/>
        <v>5.3333333333333686</v>
      </c>
      <c r="P1383" t="str">
        <f t="shared" si="201"/>
        <v>NA</v>
      </c>
      <c r="Q1383" s="10">
        <f t="shared" ca="1" si="202"/>
        <v>3.6666666666667194</v>
      </c>
      <c r="R1383" s="10">
        <f t="shared" ca="1" si="203"/>
        <v>9.4999999999999929</v>
      </c>
      <c r="S1383" s="10">
        <f t="shared" ca="1" si="204"/>
        <v>-5.8333333333332735</v>
      </c>
      <c r="T1383" s="10">
        <f t="shared" ca="1" si="205"/>
        <v>350</v>
      </c>
      <c r="U1383" s="10">
        <f t="shared" ca="1" si="206"/>
        <v>350</v>
      </c>
      <c r="V1383">
        <f t="shared" si="207"/>
        <v>6</v>
      </c>
    </row>
    <row r="1384" spans="1:22" x14ac:dyDescent="0.25">
      <c r="A1384">
        <v>154</v>
      </c>
      <c r="B1384">
        <v>6</v>
      </c>
      <c r="C1384">
        <v>4</v>
      </c>
      <c r="D1384">
        <v>1</v>
      </c>
      <c r="E1384">
        <v>0</v>
      </c>
      <c r="F1384">
        <v>1</v>
      </c>
      <c r="G1384">
        <v>1</v>
      </c>
      <c r="H1384">
        <v>350</v>
      </c>
      <c r="I1384">
        <f t="shared" si="208"/>
        <v>1377</v>
      </c>
      <c r="J1384" s="6">
        <f t="array" aca="1" ref="J1384:N1384" ca="1">TRANSPOSE(ols(OFFSET($C$2:$C$10,I1384,0),OFFSET($D$2:$H$10,I1384,0)))</f>
        <v>9.8333333333332575</v>
      </c>
      <c r="K1384" s="6">
        <f ca="1"/>
        <v>-1.4999999999999645</v>
      </c>
      <c r="L1384" s="6">
        <f ca="1"/>
        <v>-0.66666666666660035</v>
      </c>
      <c r="M1384" s="6">
        <f ca="1"/>
        <v>0.3333333333333357</v>
      </c>
      <c r="N1384" s="6">
        <f ca="1"/>
        <v>-1.6666666666666496E-2</v>
      </c>
      <c r="O1384" s="6">
        <f t="shared" ca="1" si="200"/>
        <v>3.6666666666667194</v>
      </c>
      <c r="P1384">
        <f t="shared" ca="1" si="201"/>
        <v>3.6666666666667194</v>
      </c>
      <c r="Q1384" s="10">
        <f t="shared" ca="1" si="202"/>
        <v>3.6666666666667194</v>
      </c>
      <c r="R1384" s="10">
        <f t="shared" ca="1" si="203"/>
        <v>9.4999999999999929</v>
      </c>
      <c r="S1384" s="10">
        <f t="shared" ca="1" si="204"/>
        <v>-5.8333333333332735</v>
      </c>
      <c r="T1384" s="10">
        <f t="shared" ca="1" si="205"/>
        <v>350</v>
      </c>
      <c r="U1384" s="10">
        <f t="shared" ca="1" si="206"/>
        <v>350</v>
      </c>
      <c r="V1384">
        <f t="shared" si="207"/>
        <v>6</v>
      </c>
    </row>
    <row r="1385" spans="1:22" x14ac:dyDescent="0.25">
      <c r="A1385">
        <v>154</v>
      </c>
      <c r="B1385">
        <v>7</v>
      </c>
      <c r="C1385">
        <v>0</v>
      </c>
      <c r="D1385">
        <v>1</v>
      </c>
      <c r="E1385">
        <v>1</v>
      </c>
      <c r="F1385">
        <v>0</v>
      </c>
      <c r="G1385">
        <v>1</v>
      </c>
      <c r="H1385">
        <v>450</v>
      </c>
      <c r="I1385">
        <f t="shared" si="208"/>
        <v>1377</v>
      </c>
      <c r="J1385" s="6">
        <f t="array" aca="1" ref="J1385:N1385" ca="1">TRANSPOSE(ols(OFFSET($C$2:$C$10,I1385,0),OFFSET($D$2:$H$10,I1385,0)))</f>
        <v>9.8333333333332575</v>
      </c>
      <c r="K1385" s="6">
        <f ca="1"/>
        <v>-1.4999999999999645</v>
      </c>
      <c r="L1385" s="6">
        <f ca="1"/>
        <v>-0.66666666666660035</v>
      </c>
      <c r="M1385" s="6">
        <f ca="1"/>
        <v>0.3333333333333357</v>
      </c>
      <c r="N1385" s="6">
        <f ca="1"/>
        <v>-1.6666666666666496E-2</v>
      </c>
      <c r="O1385" s="6">
        <f t="shared" ca="1" si="200"/>
        <v>1.1666666666667052</v>
      </c>
      <c r="P1385" t="str">
        <f t="shared" si="201"/>
        <v>NA</v>
      </c>
      <c r="Q1385" s="10">
        <f t="shared" ca="1" si="202"/>
        <v>3.6666666666667194</v>
      </c>
      <c r="R1385" s="10">
        <f t="shared" ca="1" si="203"/>
        <v>8.6666666666666288</v>
      </c>
      <c r="S1385" s="10">
        <f t="shared" ca="1" si="204"/>
        <v>-4.9999999999999094</v>
      </c>
      <c r="T1385" s="10">
        <f t="shared" ca="1" si="205"/>
        <v>299.99999999999761</v>
      </c>
      <c r="U1385" s="10">
        <f t="shared" ca="1" si="206"/>
        <v>299.99999999999761</v>
      </c>
      <c r="V1385">
        <f t="shared" si="207"/>
        <v>5</v>
      </c>
    </row>
    <row r="1386" spans="1:22" x14ac:dyDescent="0.25">
      <c r="A1386">
        <v>154</v>
      </c>
      <c r="B1386">
        <v>8</v>
      </c>
      <c r="C1386">
        <v>0</v>
      </c>
      <c r="D1386">
        <v>1</v>
      </c>
      <c r="E1386">
        <v>1</v>
      </c>
      <c r="F1386">
        <v>0</v>
      </c>
      <c r="G1386">
        <v>1</v>
      </c>
      <c r="H1386">
        <v>550</v>
      </c>
      <c r="I1386">
        <f t="shared" si="208"/>
        <v>1377</v>
      </c>
      <c r="J1386" s="6">
        <f t="array" aca="1" ref="J1386:N1386" ca="1">TRANSPOSE(ols(OFFSET($C$2:$C$10,I1386,0),OFFSET($D$2:$H$10,I1386,0)))</f>
        <v>9.8333333333332575</v>
      </c>
      <c r="K1386" s="6">
        <f ca="1"/>
        <v>-1.4999999999999645</v>
      </c>
      <c r="L1386" s="6">
        <f ca="1"/>
        <v>-0.66666666666660035</v>
      </c>
      <c r="M1386" s="6">
        <f ca="1"/>
        <v>0.3333333333333357</v>
      </c>
      <c r="N1386" s="6">
        <f ca="1"/>
        <v>-1.6666666666666496E-2</v>
      </c>
      <c r="O1386" s="6">
        <f t="shared" ca="1" si="200"/>
        <v>-0.49999999999994493</v>
      </c>
      <c r="P1386" t="str">
        <f t="shared" si="201"/>
        <v>NA</v>
      </c>
      <c r="Q1386" s="10">
        <f t="shared" ca="1" si="202"/>
        <v>3.6666666666667194</v>
      </c>
      <c r="R1386" s="10">
        <f t="shared" ca="1" si="203"/>
        <v>8.6666666666666288</v>
      </c>
      <c r="S1386" s="10">
        <f t="shared" ca="1" si="204"/>
        <v>-4.9999999999999094</v>
      </c>
      <c r="T1386" s="10">
        <f t="shared" ca="1" si="205"/>
        <v>299.99999999999761</v>
      </c>
      <c r="U1386" s="10">
        <f t="shared" ca="1" si="206"/>
        <v>299.99999999999761</v>
      </c>
      <c r="V1386">
        <f t="shared" si="207"/>
        <v>5</v>
      </c>
    </row>
    <row r="1387" spans="1:22" x14ac:dyDescent="0.25">
      <c r="A1387">
        <v>154</v>
      </c>
      <c r="B1387">
        <v>9</v>
      </c>
      <c r="C1387">
        <v>0</v>
      </c>
      <c r="D1387">
        <v>1</v>
      </c>
      <c r="E1387">
        <v>0</v>
      </c>
      <c r="F1387">
        <v>0</v>
      </c>
      <c r="G1387">
        <v>1</v>
      </c>
      <c r="H1387">
        <v>650</v>
      </c>
      <c r="I1387">
        <f t="shared" si="208"/>
        <v>1377</v>
      </c>
      <c r="J1387" s="6">
        <f t="array" aca="1" ref="J1387:N1387" ca="1">TRANSPOSE(ols(OFFSET($C$2:$C$10,I1387,0),OFFSET($D$2:$H$10,I1387,0)))</f>
        <v>9.8333333333332575</v>
      </c>
      <c r="K1387" s="6">
        <f ca="1"/>
        <v>-1.4999999999999645</v>
      </c>
      <c r="L1387" s="6">
        <f ca="1"/>
        <v>-0.66666666666660035</v>
      </c>
      <c r="M1387" s="6">
        <f ca="1"/>
        <v>0.3333333333333357</v>
      </c>
      <c r="N1387" s="6">
        <f ca="1"/>
        <v>-1.6666666666666496E-2</v>
      </c>
      <c r="O1387" s="6">
        <f t="shared" ca="1" si="200"/>
        <v>-0.66666666666662877</v>
      </c>
      <c r="P1387" t="str">
        <f t="shared" si="201"/>
        <v>NA</v>
      </c>
      <c r="Q1387" s="10">
        <f t="shared" ca="1" si="202"/>
        <v>3.6666666666667194</v>
      </c>
      <c r="R1387" s="10">
        <f t="shared" ca="1" si="203"/>
        <v>10.166666666666593</v>
      </c>
      <c r="S1387" s="10">
        <f t="shared" ca="1" si="204"/>
        <v>-6.4999999999998739</v>
      </c>
      <c r="T1387" s="10">
        <f t="shared" ca="1" si="205"/>
        <v>389.99999999999642</v>
      </c>
      <c r="U1387" s="10">
        <f t="shared" ca="1" si="206"/>
        <v>389.99999999999642</v>
      </c>
      <c r="V1387">
        <f t="shared" si="207"/>
        <v>4</v>
      </c>
    </row>
    <row r="1388" spans="1:22" x14ac:dyDescent="0.25">
      <c r="A1388">
        <v>155</v>
      </c>
      <c r="B1388">
        <v>1</v>
      </c>
      <c r="C1388">
        <v>45</v>
      </c>
      <c r="D1388">
        <v>1</v>
      </c>
      <c r="E1388">
        <v>0</v>
      </c>
      <c r="F1388">
        <v>1</v>
      </c>
      <c r="G1388">
        <v>0</v>
      </c>
      <c r="H1388">
        <v>250</v>
      </c>
      <c r="I1388">
        <f t="shared" si="208"/>
        <v>1386</v>
      </c>
      <c r="J1388" s="6">
        <f t="array" aca="1" ref="J1388:N1388" ca="1">TRANSPOSE(ols(OFFSET($C$2:$C$10,I1388,0),OFFSET($D$2:$H$10,I1388,0)))</f>
        <v>57.380952380951385</v>
      </c>
      <c r="K1388" s="6">
        <f ca="1"/>
        <v>3.9285714285715585</v>
      </c>
      <c r="L1388" s="6">
        <f ca="1"/>
        <v>7.3809523809527491</v>
      </c>
      <c r="M1388" s="6">
        <f ca="1"/>
        <v>13.809523809523967</v>
      </c>
      <c r="N1388" s="6">
        <f ca="1"/>
        <v>-9.0476190476189267E-2</v>
      </c>
      <c r="O1388" s="6">
        <f t="shared" ca="1" si="200"/>
        <v>42.142857142856819</v>
      </c>
      <c r="P1388" t="str">
        <f t="shared" si="201"/>
        <v>NA</v>
      </c>
      <c r="Q1388" s="10">
        <f t="shared" ca="1" si="202"/>
        <v>46.904761904761855</v>
      </c>
      <c r="R1388" s="10">
        <f t="shared" ca="1" si="203"/>
        <v>64.761904761904134</v>
      </c>
      <c r="S1388" s="10">
        <f t="shared" ca="1" si="204"/>
        <v>-17.857142857142279</v>
      </c>
      <c r="T1388" s="10">
        <f t="shared" ca="1" si="205"/>
        <v>197.36842105262781</v>
      </c>
      <c r="U1388" s="10" t="str">
        <f t="shared" ca="1" si="206"/>
        <v>OR</v>
      </c>
      <c r="V1388">
        <f t="shared" si="207"/>
        <v>3</v>
      </c>
    </row>
    <row r="1389" spans="1:22" x14ac:dyDescent="0.25">
      <c r="A1389">
        <v>155</v>
      </c>
      <c r="B1389">
        <v>2</v>
      </c>
      <c r="C1389">
        <v>30</v>
      </c>
      <c r="D1389">
        <v>1</v>
      </c>
      <c r="E1389">
        <v>1</v>
      </c>
      <c r="F1389">
        <v>0</v>
      </c>
      <c r="G1389">
        <v>0</v>
      </c>
      <c r="H1389">
        <v>350</v>
      </c>
      <c r="I1389">
        <f t="shared" si="208"/>
        <v>1386</v>
      </c>
      <c r="J1389" s="6">
        <f t="array" aca="1" ref="J1389:N1389" ca="1">TRANSPOSE(ols(OFFSET($C$2:$C$10,I1389,0),OFFSET($D$2:$H$10,I1389,0)))</f>
        <v>57.380952380951385</v>
      </c>
      <c r="K1389" s="6">
        <f ca="1"/>
        <v>3.9285714285715585</v>
      </c>
      <c r="L1389" s="6">
        <f ca="1"/>
        <v>7.3809523809527491</v>
      </c>
      <c r="M1389" s="6">
        <f ca="1"/>
        <v>13.809523809523967</v>
      </c>
      <c r="N1389" s="6">
        <f ca="1"/>
        <v>-9.0476190476189267E-2</v>
      </c>
      <c r="O1389" s="6">
        <f t="shared" ca="1" si="200"/>
        <v>29.642857142856698</v>
      </c>
      <c r="P1389" t="str">
        <f t="shared" si="201"/>
        <v>NA</v>
      </c>
      <c r="Q1389" s="10">
        <f t="shared" ca="1" si="202"/>
        <v>46.904761904761855</v>
      </c>
      <c r="R1389" s="10">
        <f t="shared" ca="1" si="203"/>
        <v>61.309523809522943</v>
      </c>
      <c r="S1389" s="10">
        <f t="shared" ca="1" si="204"/>
        <v>-14.404761904761088</v>
      </c>
      <c r="T1389" s="10">
        <f t="shared" ca="1" si="205"/>
        <v>159.21052631578257</v>
      </c>
      <c r="U1389" s="10" t="str">
        <f t="shared" ca="1" si="206"/>
        <v>OR</v>
      </c>
      <c r="V1389">
        <f t="shared" si="207"/>
        <v>2</v>
      </c>
    </row>
    <row r="1390" spans="1:22" x14ac:dyDescent="0.25">
      <c r="A1390">
        <v>155</v>
      </c>
      <c r="B1390">
        <v>3</v>
      </c>
      <c r="C1390">
        <v>20</v>
      </c>
      <c r="D1390">
        <v>1</v>
      </c>
      <c r="E1390">
        <v>1</v>
      </c>
      <c r="F1390">
        <v>0</v>
      </c>
      <c r="G1390">
        <v>0</v>
      </c>
      <c r="H1390">
        <v>450</v>
      </c>
      <c r="I1390">
        <f t="shared" si="208"/>
        <v>1386</v>
      </c>
      <c r="J1390" s="6">
        <f t="array" aca="1" ref="J1390:N1390" ca="1">TRANSPOSE(ols(OFFSET($C$2:$C$10,I1390,0),OFFSET($D$2:$H$10,I1390,0)))</f>
        <v>57.380952380951385</v>
      </c>
      <c r="K1390" s="6">
        <f ca="1"/>
        <v>3.9285714285715585</v>
      </c>
      <c r="L1390" s="6">
        <f ca="1"/>
        <v>7.3809523809527491</v>
      </c>
      <c r="M1390" s="6">
        <f ca="1"/>
        <v>13.809523809523967</v>
      </c>
      <c r="N1390" s="6">
        <f ca="1"/>
        <v>-9.0476190476189267E-2</v>
      </c>
      <c r="O1390" s="6">
        <f t="shared" ca="1" si="200"/>
        <v>20.595238095237775</v>
      </c>
      <c r="P1390" t="str">
        <f t="shared" si="201"/>
        <v>NA</v>
      </c>
      <c r="Q1390" s="10">
        <f t="shared" ca="1" si="202"/>
        <v>46.904761904761855</v>
      </c>
      <c r="R1390" s="10">
        <f t="shared" ca="1" si="203"/>
        <v>61.309523809522943</v>
      </c>
      <c r="S1390" s="10">
        <f t="shared" ca="1" si="204"/>
        <v>-14.404761904761088</v>
      </c>
      <c r="T1390" s="10">
        <f t="shared" ca="1" si="205"/>
        <v>159.21052631578257</v>
      </c>
      <c r="U1390" s="10" t="str">
        <f t="shared" ca="1" si="206"/>
        <v>OR</v>
      </c>
      <c r="V1390">
        <f t="shared" si="207"/>
        <v>2</v>
      </c>
    </row>
    <row r="1391" spans="1:22" x14ac:dyDescent="0.25">
      <c r="A1391">
        <v>155</v>
      </c>
      <c r="B1391">
        <v>4</v>
      </c>
      <c r="C1391">
        <v>5</v>
      </c>
      <c r="D1391">
        <v>1</v>
      </c>
      <c r="E1391">
        <v>0</v>
      </c>
      <c r="F1391">
        <v>0</v>
      </c>
      <c r="G1391">
        <v>0</v>
      </c>
      <c r="H1391">
        <v>550</v>
      </c>
      <c r="I1391">
        <f t="shared" si="208"/>
        <v>1386</v>
      </c>
      <c r="J1391" s="6">
        <f t="array" aca="1" ref="J1391:N1391" ca="1">TRANSPOSE(ols(OFFSET($C$2:$C$10,I1391,0),OFFSET($D$2:$H$10,I1391,0)))</f>
        <v>57.380952380951385</v>
      </c>
      <c r="K1391" s="6">
        <f ca="1"/>
        <v>3.9285714285715585</v>
      </c>
      <c r="L1391" s="6">
        <f ca="1"/>
        <v>7.3809523809527491</v>
      </c>
      <c r="M1391" s="6">
        <f ca="1"/>
        <v>13.809523809523967</v>
      </c>
      <c r="N1391" s="6">
        <f ca="1"/>
        <v>-9.0476190476189267E-2</v>
      </c>
      <c r="O1391" s="6">
        <f t="shared" ca="1" si="200"/>
        <v>7.6190476190472864</v>
      </c>
      <c r="P1391" t="str">
        <f t="shared" si="201"/>
        <v>NA</v>
      </c>
      <c r="Q1391" s="10">
        <f t="shared" ca="1" si="202"/>
        <v>46.904761904761855</v>
      </c>
      <c r="R1391" s="10">
        <f t="shared" ca="1" si="203"/>
        <v>57.380952380951385</v>
      </c>
      <c r="S1391" s="10">
        <f t="shared" ca="1" si="204"/>
        <v>-10.476190476189529</v>
      </c>
      <c r="T1391" s="10">
        <f t="shared" ca="1" si="205"/>
        <v>115.78947368420161</v>
      </c>
      <c r="U1391" s="10" t="str">
        <f t="shared" ca="1" si="206"/>
        <v>OR</v>
      </c>
      <c r="V1391">
        <f t="shared" si="207"/>
        <v>1</v>
      </c>
    </row>
    <row r="1392" spans="1:22" x14ac:dyDescent="0.25">
      <c r="A1392">
        <v>155</v>
      </c>
      <c r="B1392">
        <v>5</v>
      </c>
      <c r="C1392">
        <v>55</v>
      </c>
      <c r="D1392">
        <v>1</v>
      </c>
      <c r="E1392">
        <v>0</v>
      </c>
      <c r="F1392">
        <v>1</v>
      </c>
      <c r="G1392">
        <v>1</v>
      </c>
      <c r="H1392">
        <v>250</v>
      </c>
      <c r="I1392">
        <f t="shared" si="208"/>
        <v>1386</v>
      </c>
      <c r="J1392" s="6">
        <f t="array" aca="1" ref="J1392:N1392" ca="1">TRANSPOSE(ols(OFFSET($C$2:$C$10,I1392,0),OFFSET($D$2:$H$10,I1392,0)))</f>
        <v>57.380952380951385</v>
      </c>
      <c r="K1392" s="6">
        <f ca="1"/>
        <v>3.9285714285715585</v>
      </c>
      <c r="L1392" s="6">
        <f ca="1"/>
        <v>7.3809523809527491</v>
      </c>
      <c r="M1392" s="6">
        <f ca="1"/>
        <v>13.809523809523967</v>
      </c>
      <c r="N1392" s="6">
        <f ca="1"/>
        <v>-9.0476190476189267E-2</v>
      </c>
      <c r="O1392" s="6">
        <f t="shared" ca="1" si="200"/>
        <v>55.952380952380786</v>
      </c>
      <c r="P1392" t="str">
        <f t="shared" si="201"/>
        <v>NA</v>
      </c>
      <c r="Q1392" s="10">
        <f t="shared" ca="1" si="202"/>
        <v>46.904761904761855</v>
      </c>
      <c r="R1392" s="10">
        <f t="shared" ca="1" si="203"/>
        <v>78.5714285714281</v>
      </c>
      <c r="S1392" s="10">
        <f t="shared" ca="1" si="204"/>
        <v>-31.666666666666245</v>
      </c>
      <c r="T1392" s="10">
        <f t="shared" ca="1" si="205"/>
        <v>350</v>
      </c>
      <c r="U1392" s="10">
        <f t="shared" ca="1" si="206"/>
        <v>350</v>
      </c>
      <c r="V1392">
        <f t="shared" si="207"/>
        <v>6</v>
      </c>
    </row>
    <row r="1393" spans="1:22" x14ac:dyDescent="0.25">
      <c r="A1393">
        <v>155</v>
      </c>
      <c r="B1393">
        <v>6</v>
      </c>
      <c r="C1393">
        <v>45</v>
      </c>
      <c r="D1393">
        <v>1</v>
      </c>
      <c r="E1393">
        <v>0</v>
      </c>
      <c r="F1393">
        <v>1</v>
      </c>
      <c r="G1393">
        <v>1</v>
      </c>
      <c r="H1393">
        <v>350</v>
      </c>
      <c r="I1393">
        <f t="shared" si="208"/>
        <v>1386</v>
      </c>
      <c r="J1393" s="6">
        <f t="array" aca="1" ref="J1393:N1393" ca="1">TRANSPOSE(ols(OFFSET($C$2:$C$10,I1393,0),OFFSET($D$2:$H$10,I1393,0)))</f>
        <v>57.380952380951385</v>
      </c>
      <c r="K1393" s="6">
        <f ca="1"/>
        <v>3.9285714285715585</v>
      </c>
      <c r="L1393" s="6">
        <f ca="1"/>
        <v>7.3809523809527491</v>
      </c>
      <c r="M1393" s="6">
        <f ca="1"/>
        <v>13.809523809523967</v>
      </c>
      <c r="N1393" s="6">
        <f ca="1"/>
        <v>-9.0476190476189267E-2</v>
      </c>
      <c r="O1393" s="6">
        <f t="shared" ca="1" si="200"/>
        <v>46.904761904761855</v>
      </c>
      <c r="P1393">
        <f t="shared" ca="1" si="201"/>
        <v>46.904761904761855</v>
      </c>
      <c r="Q1393" s="10">
        <f t="shared" ca="1" si="202"/>
        <v>46.904761904761855</v>
      </c>
      <c r="R1393" s="10">
        <f t="shared" ca="1" si="203"/>
        <v>78.5714285714281</v>
      </c>
      <c r="S1393" s="10">
        <f t="shared" ca="1" si="204"/>
        <v>-31.666666666666245</v>
      </c>
      <c r="T1393" s="10">
        <f t="shared" ca="1" si="205"/>
        <v>350</v>
      </c>
      <c r="U1393" s="10">
        <f t="shared" ca="1" si="206"/>
        <v>350</v>
      </c>
      <c r="V1393">
        <f t="shared" si="207"/>
        <v>6</v>
      </c>
    </row>
    <row r="1394" spans="1:22" x14ac:dyDescent="0.25">
      <c r="A1394">
        <v>155</v>
      </c>
      <c r="B1394">
        <v>7</v>
      </c>
      <c r="C1394">
        <v>35</v>
      </c>
      <c r="D1394">
        <v>1</v>
      </c>
      <c r="E1394">
        <v>1</v>
      </c>
      <c r="F1394">
        <v>0</v>
      </c>
      <c r="G1394">
        <v>1</v>
      </c>
      <c r="H1394">
        <v>450</v>
      </c>
      <c r="I1394">
        <f t="shared" si="208"/>
        <v>1386</v>
      </c>
      <c r="J1394" s="6">
        <f t="array" aca="1" ref="J1394:N1394" ca="1">TRANSPOSE(ols(OFFSET($C$2:$C$10,I1394,0),OFFSET($D$2:$H$10,I1394,0)))</f>
        <v>57.380952380951385</v>
      </c>
      <c r="K1394" s="6">
        <f ca="1"/>
        <v>3.9285714285715585</v>
      </c>
      <c r="L1394" s="6">
        <f ca="1"/>
        <v>7.3809523809527491</v>
      </c>
      <c r="M1394" s="6">
        <f ca="1"/>
        <v>13.809523809523967</v>
      </c>
      <c r="N1394" s="6">
        <f ca="1"/>
        <v>-9.0476190476189267E-2</v>
      </c>
      <c r="O1394" s="6">
        <f t="shared" ca="1" si="200"/>
        <v>34.404761904761742</v>
      </c>
      <c r="P1394" t="str">
        <f t="shared" si="201"/>
        <v>NA</v>
      </c>
      <c r="Q1394" s="10">
        <f t="shared" ca="1" si="202"/>
        <v>46.904761904761855</v>
      </c>
      <c r="R1394" s="10">
        <f t="shared" ca="1" si="203"/>
        <v>75.11904761904691</v>
      </c>
      <c r="S1394" s="10">
        <f t="shared" ca="1" si="204"/>
        <v>-28.214285714285054</v>
      </c>
      <c r="T1394" s="10">
        <f t="shared" ca="1" si="205"/>
        <v>311.84210526315479</v>
      </c>
      <c r="U1394" s="10">
        <f t="shared" ca="1" si="206"/>
        <v>311.84210526315479</v>
      </c>
      <c r="V1394">
        <f t="shared" si="207"/>
        <v>5</v>
      </c>
    </row>
    <row r="1395" spans="1:22" x14ac:dyDescent="0.25">
      <c r="A1395">
        <v>155</v>
      </c>
      <c r="B1395">
        <v>8</v>
      </c>
      <c r="C1395">
        <v>25</v>
      </c>
      <c r="D1395">
        <v>1</v>
      </c>
      <c r="E1395">
        <v>1</v>
      </c>
      <c r="F1395">
        <v>0</v>
      </c>
      <c r="G1395">
        <v>1</v>
      </c>
      <c r="H1395">
        <v>550</v>
      </c>
      <c r="I1395">
        <f t="shared" si="208"/>
        <v>1386</v>
      </c>
      <c r="J1395" s="6">
        <f t="array" aca="1" ref="J1395:N1395" ca="1">TRANSPOSE(ols(OFFSET($C$2:$C$10,I1395,0),OFFSET($D$2:$H$10,I1395,0)))</f>
        <v>57.380952380951385</v>
      </c>
      <c r="K1395" s="6">
        <f ca="1"/>
        <v>3.9285714285715585</v>
      </c>
      <c r="L1395" s="6">
        <f ca="1"/>
        <v>7.3809523809527491</v>
      </c>
      <c r="M1395" s="6">
        <f ca="1"/>
        <v>13.809523809523967</v>
      </c>
      <c r="N1395" s="6">
        <f ca="1"/>
        <v>-9.0476190476189267E-2</v>
      </c>
      <c r="O1395" s="6">
        <f t="shared" ca="1" si="200"/>
        <v>25.357142857142811</v>
      </c>
      <c r="P1395" t="str">
        <f t="shared" si="201"/>
        <v>NA</v>
      </c>
      <c r="Q1395" s="10">
        <f t="shared" ca="1" si="202"/>
        <v>46.904761904761855</v>
      </c>
      <c r="R1395" s="10">
        <f t="shared" ca="1" si="203"/>
        <v>75.11904761904691</v>
      </c>
      <c r="S1395" s="10">
        <f t="shared" ca="1" si="204"/>
        <v>-28.214285714285054</v>
      </c>
      <c r="T1395" s="10">
        <f t="shared" ca="1" si="205"/>
        <v>311.84210526315479</v>
      </c>
      <c r="U1395" s="10">
        <f t="shared" ca="1" si="206"/>
        <v>311.84210526315479</v>
      </c>
      <c r="V1395">
        <f t="shared" si="207"/>
        <v>5</v>
      </c>
    </row>
    <row r="1396" spans="1:22" x14ac:dyDescent="0.25">
      <c r="A1396">
        <v>155</v>
      </c>
      <c r="B1396">
        <v>9</v>
      </c>
      <c r="C1396">
        <v>15</v>
      </c>
      <c r="D1396">
        <v>1</v>
      </c>
      <c r="E1396">
        <v>0</v>
      </c>
      <c r="F1396">
        <v>0</v>
      </c>
      <c r="G1396">
        <v>1</v>
      </c>
      <c r="H1396">
        <v>650</v>
      </c>
      <c r="I1396">
        <f t="shared" si="208"/>
        <v>1386</v>
      </c>
      <c r="J1396" s="6">
        <f t="array" aca="1" ref="J1396:N1396" ca="1">TRANSPOSE(ols(OFFSET($C$2:$C$10,I1396,0),OFFSET($D$2:$H$10,I1396,0)))</f>
        <v>57.380952380951385</v>
      </c>
      <c r="K1396" s="6">
        <f ca="1"/>
        <v>3.9285714285715585</v>
      </c>
      <c r="L1396" s="6">
        <f ca="1"/>
        <v>7.3809523809527491</v>
      </c>
      <c r="M1396" s="6">
        <f ca="1"/>
        <v>13.809523809523967</v>
      </c>
      <c r="N1396" s="6">
        <f ca="1"/>
        <v>-9.0476190476189267E-2</v>
      </c>
      <c r="O1396" s="6">
        <f t="shared" ca="1" si="200"/>
        <v>12.38095238095233</v>
      </c>
      <c r="P1396" t="str">
        <f t="shared" si="201"/>
        <v>NA</v>
      </c>
      <c r="Q1396" s="10">
        <f t="shared" ca="1" si="202"/>
        <v>46.904761904761855</v>
      </c>
      <c r="R1396" s="10">
        <f t="shared" ca="1" si="203"/>
        <v>71.190476190475351</v>
      </c>
      <c r="S1396" s="10">
        <f t="shared" ca="1" si="204"/>
        <v>-24.285714285713496</v>
      </c>
      <c r="T1396" s="10">
        <f t="shared" ca="1" si="205"/>
        <v>268.42105263157379</v>
      </c>
      <c r="U1396" s="10">
        <f t="shared" ca="1" si="206"/>
        <v>268.42105263157379</v>
      </c>
      <c r="V1396">
        <f t="shared" si="207"/>
        <v>4</v>
      </c>
    </row>
    <row r="1397" spans="1:22" x14ac:dyDescent="0.25">
      <c r="A1397">
        <v>156</v>
      </c>
      <c r="B1397">
        <v>1</v>
      </c>
      <c r="C1397">
        <v>65</v>
      </c>
      <c r="D1397">
        <v>1</v>
      </c>
      <c r="E1397">
        <v>0</v>
      </c>
      <c r="F1397">
        <v>1</v>
      </c>
      <c r="G1397">
        <v>0</v>
      </c>
      <c r="H1397">
        <v>250</v>
      </c>
      <c r="I1397">
        <f t="shared" si="208"/>
        <v>1395</v>
      </c>
      <c r="J1397" s="6">
        <f t="array" aca="1" ref="J1397:N1397" ca="1">TRANSPOSE(ols(OFFSET($C$2:$C$10,I1397,0),OFFSET($D$2:$H$10,I1397,0)))</f>
        <v>131.19047619047433</v>
      </c>
      <c r="K1397" s="6">
        <f ca="1"/>
        <v>-44.285714285714675</v>
      </c>
      <c r="L1397" s="6">
        <f ca="1"/>
        <v>-43.809523809523853</v>
      </c>
      <c r="M1397" s="6">
        <f ca="1"/>
        <v>1.9047619047621538</v>
      </c>
      <c r="N1397" s="6">
        <f ca="1"/>
        <v>-9.5238095238100229E-2</v>
      </c>
      <c r="O1397" s="6">
        <f t="shared" ca="1" si="200"/>
        <v>63.571428571425415</v>
      </c>
      <c r="P1397" t="str">
        <f t="shared" si="201"/>
        <v>NA</v>
      </c>
      <c r="Q1397" s="10">
        <f t="shared" ca="1" si="202"/>
        <v>55.952380952377553</v>
      </c>
      <c r="R1397" s="10">
        <f t="shared" ca="1" si="203"/>
        <v>87.380952380950475</v>
      </c>
      <c r="S1397" s="10">
        <f t="shared" ca="1" si="204"/>
        <v>-31.428571428572923</v>
      </c>
      <c r="T1397" s="10">
        <f t="shared" ca="1" si="205"/>
        <v>329.99999999999841</v>
      </c>
      <c r="U1397" s="10">
        <f t="shared" ca="1" si="206"/>
        <v>329.99999999999841</v>
      </c>
      <c r="V1397">
        <f t="shared" si="207"/>
        <v>3</v>
      </c>
    </row>
    <row r="1398" spans="1:22" x14ac:dyDescent="0.25">
      <c r="A1398">
        <v>156</v>
      </c>
      <c r="B1398">
        <v>2</v>
      </c>
      <c r="C1398">
        <v>55</v>
      </c>
      <c r="D1398">
        <v>1</v>
      </c>
      <c r="E1398">
        <v>1</v>
      </c>
      <c r="F1398">
        <v>0</v>
      </c>
      <c r="G1398">
        <v>0</v>
      </c>
      <c r="H1398">
        <v>350</v>
      </c>
      <c r="I1398">
        <f t="shared" si="208"/>
        <v>1395</v>
      </c>
      <c r="J1398" s="6">
        <f t="array" aca="1" ref="J1398:N1398" ca="1">TRANSPOSE(ols(OFFSET($C$2:$C$10,I1398,0),OFFSET($D$2:$H$10,I1398,0)))</f>
        <v>131.19047619047433</v>
      </c>
      <c r="K1398" s="6">
        <f ca="1"/>
        <v>-44.285714285714675</v>
      </c>
      <c r="L1398" s="6">
        <f ca="1"/>
        <v>-43.809523809523853</v>
      </c>
      <c r="M1398" s="6">
        <f ca="1"/>
        <v>1.9047619047621538</v>
      </c>
      <c r="N1398" s="6">
        <f ca="1"/>
        <v>-9.5238095238100229E-2</v>
      </c>
      <c r="O1398" s="6">
        <f t="shared" ca="1" si="200"/>
        <v>53.571428571424576</v>
      </c>
      <c r="P1398" t="str">
        <f t="shared" si="201"/>
        <v>NA</v>
      </c>
      <c r="Q1398" s="10">
        <f t="shared" ca="1" si="202"/>
        <v>55.952380952377553</v>
      </c>
      <c r="R1398" s="10">
        <f t="shared" ca="1" si="203"/>
        <v>86.904761904759653</v>
      </c>
      <c r="S1398" s="10">
        <f t="shared" ca="1" si="204"/>
        <v>-30.9523809523821</v>
      </c>
      <c r="T1398" s="10">
        <f t="shared" ca="1" si="205"/>
        <v>324.999999999995</v>
      </c>
      <c r="U1398" s="10">
        <f t="shared" ca="1" si="206"/>
        <v>324.999999999995</v>
      </c>
      <c r="V1398">
        <f t="shared" si="207"/>
        <v>2</v>
      </c>
    </row>
    <row r="1399" spans="1:22" x14ac:dyDescent="0.25">
      <c r="A1399">
        <v>156</v>
      </c>
      <c r="B1399">
        <v>3</v>
      </c>
      <c r="C1399">
        <v>45</v>
      </c>
      <c r="D1399">
        <v>1</v>
      </c>
      <c r="E1399">
        <v>1</v>
      </c>
      <c r="F1399">
        <v>0</v>
      </c>
      <c r="G1399">
        <v>0</v>
      </c>
      <c r="H1399">
        <v>450</v>
      </c>
      <c r="I1399">
        <f t="shared" si="208"/>
        <v>1395</v>
      </c>
      <c r="J1399" s="6">
        <f t="array" aca="1" ref="J1399:N1399" ca="1">TRANSPOSE(ols(OFFSET($C$2:$C$10,I1399,0),OFFSET($D$2:$H$10,I1399,0)))</f>
        <v>131.19047619047433</v>
      </c>
      <c r="K1399" s="6">
        <f ca="1"/>
        <v>-44.285714285714675</v>
      </c>
      <c r="L1399" s="6">
        <f ca="1"/>
        <v>-43.809523809523853</v>
      </c>
      <c r="M1399" s="6">
        <f ca="1"/>
        <v>1.9047619047621538</v>
      </c>
      <c r="N1399" s="6">
        <f ca="1"/>
        <v>-9.5238095238100229E-2</v>
      </c>
      <c r="O1399" s="6">
        <f t="shared" ca="1" si="200"/>
        <v>44.047619047614546</v>
      </c>
      <c r="P1399" t="str">
        <f t="shared" si="201"/>
        <v>NA</v>
      </c>
      <c r="Q1399" s="10">
        <f t="shared" ca="1" si="202"/>
        <v>55.952380952377553</v>
      </c>
      <c r="R1399" s="10">
        <f t="shared" ca="1" si="203"/>
        <v>86.904761904759653</v>
      </c>
      <c r="S1399" s="10">
        <f t="shared" ca="1" si="204"/>
        <v>-30.9523809523821</v>
      </c>
      <c r="T1399" s="10">
        <f t="shared" ca="1" si="205"/>
        <v>324.999999999995</v>
      </c>
      <c r="U1399" s="10">
        <f t="shared" ca="1" si="206"/>
        <v>324.999999999995</v>
      </c>
      <c r="V1399">
        <f t="shared" si="207"/>
        <v>2</v>
      </c>
    </row>
    <row r="1400" spans="1:22" x14ac:dyDescent="0.25">
      <c r="A1400">
        <v>156</v>
      </c>
      <c r="B1400">
        <v>4</v>
      </c>
      <c r="C1400">
        <v>75</v>
      </c>
      <c r="D1400">
        <v>1</v>
      </c>
      <c r="E1400">
        <v>0</v>
      </c>
      <c r="F1400">
        <v>0</v>
      </c>
      <c r="G1400">
        <v>0</v>
      </c>
      <c r="H1400">
        <v>550</v>
      </c>
      <c r="I1400">
        <f t="shared" si="208"/>
        <v>1395</v>
      </c>
      <c r="J1400" s="6">
        <f t="array" aca="1" ref="J1400:N1400" ca="1">TRANSPOSE(ols(OFFSET($C$2:$C$10,I1400,0),OFFSET($D$2:$H$10,I1400,0)))</f>
        <v>131.19047619047433</v>
      </c>
      <c r="K1400" s="6">
        <f ca="1"/>
        <v>-44.285714285714675</v>
      </c>
      <c r="L1400" s="6">
        <f ca="1"/>
        <v>-43.809523809523853</v>
      </c>
      <c r="M1400" s="6">
        <f ca="1"/>
        <v>1.9047619047621538</v>
      </c>
      <c r="N1400" s="6">
        <f ca="1"/>
        <v>-9.5238095238100229E-2</v>
      </c>
      <c r="O1400" s="6">
        <f t="shared" ca="1" si="200"/>
        <v>78.809523809519206</v>
      </c>
      <c r="P1400" t="str">
        <f t="shared" si="201"/>
        <v>NA</v>
      </c>
      <c r="Q1400" s="10">
        <f t="shared" ca="1" si="202"/>
        <v>55.952380952377553</v>
      </c>
      <c r="R1400" s="10">
        <f t="shared" ca="1" si="203"/>
        <v>131.19047619047433</v>
      </c>
      <c r="S1400" s="10">
        <f t="shared" ca="1" si="204"/>
        <v>-75.238095238096776</v>
      </c>
      <c r="T1400" s="10">
        <f t="shared" ca="1" si="205"/>
        <v>789.99999999997476</v>
      </c>
      <c r="U1400" s="10" t="str">
        <f t="shared" ca="1" si="206"/>
        <v>OR</v>
      </c>
      <c r="V1400">
        <f t="shared" si="207"/>
        <v>1</v>
      </c>
    </row>
    <row r="1401" spans="1:22" x14ac:dyDescent="0.25">
      <c r="A1401">
        <v>156</v>
      </c>
      <c r="B1401">
        <v>5</v>
      </c>
      <c r="C1401">
        <v>65</v>
      </c>
      <c r="D1401">
        <v>1</v>
      </c>
      <c r="E1401">
        <v>0</v>
      </c>
      <c r="F1401">
        <v>1</v>
      </c>
      <c r="G1401">
        <v>1</v>
      </c>
      <c r="H1401">
        <v>250</v>
      </c>
      <c r="I1401">
        <f t="shared" si="208"/>
        <v>1395</v>
      </c>
      <c r="J1401" s="6">
        <f t="array" aca="1" ref="J1401:N1401" ca="1">TRANSPOSE(ols(OFFSET($C$2:$C$10,I1401,0),OFFSET($D$2:$H$10,I1401,0)))</f>
        <v>131.19047619047433</v>
      </c>
      <c r="K1401" s="6">
        <f ca="1"/>
        <v>-44.285714285714675</v>
      </c>
      <c r="L1401" s="6">
        <f ca="1"/>
        <v>-43.809523809523853</v>
      </c>
      <c r="M1401" s="6">
        <f ca="1"/>
        <v>1.9047619047621538</v>
      </c>
      <c r="N1401" s="6">
        <f ca="1"/>
        <v>-9.5238095238100229E-2</v>
      </c>
      <c r="O1401" s="6">
        <f t="shared" ca="1" si="200"/>
        <v>65.476190476187568</v>
      </c>
      <c r="P1401" t="str">
        <f t="shared" si="201"/>
        <v>NA</v>
      </c>
      <c r="Q1401" s="10">
        <f t="shared" ca="1" si="202"/>
        <v>55.952380952377553</v>
      </c>
      <c r="R1401" s="10">
        <f t="shared" ca="1" si="203"/>
        <v>89.285714285712629</v>
      </c>
      <c r="S1401" s="10">
        <f t="shared" ca="1" si="204"/>
        <v>-33.333333333335077</v>
      </c>
      <c r="T1401" s="10">
        <f t="shared" ca="1" si="205"/>
        <v>349.99999999999994</v>
      </c>
      <c r="U1401" s="10">
        <f t="shared" ca="1" si="206"/>
        <v>349.99999999999994</v>
      </c>
      <c r="V1401">
        <f t="shared" si="207"/>
        <v>6</v>
      </c>
    </row>
    <row r="1402" spans="1:22" x14ac:dyDescent="0.25">
      <c r="A1402">
        <v>156</v>
      </c>
      <c r="B1402">
        <v>6</v>
      </c>
      <c r="C1402">
        <v>55</v>
      </c>
      <c r="D1402">
        <v>1</v>
      </c>
      <c r="E1402">
        <v>0</v>
      </c>
      <c r="F1402">
        <v>1</v>
      </c>
      <c r="G1402">
        <v>1</v>
      </c>
      <c r="H1402">
        <v>350</v>
      </c>
      <c r="I1402">
        <f t="shared" si="208"/>
        <v>1395</v>
      </c>
      <c r="J1402" s="6">
        <f t="array" aca="1" ref="J1402:N1402" ca="1">TRANSPOSE(ols(OFFSET($C$2:$C$10,I1402,0),OFFSET($D$2:$H$10,I1402,0)))</f>
        <v>131.19047619047433</v>
      </c>
      <c r="K1402" s="6">
        <f ca="1"/>
        <v>-44.285714285714675</v>
      </c>
      <c r="L1402" s="6">
        <f ca="1"/>
        <v>-43.809523809523853</v>
      </c>
      <c r="M1402" s="6">
        <f ca="1"/>
        <v>1.9047619047621538</v>
      </c>
      <c r="N1402" s="6">
        <f ca="1"/>
        <v>-9.5238095238100229E-2</v>
      </c>
      <c r="O1402" s="6">
        <f t="shared" ca="1" si="200"/>
        <v>55.952380952377553</v>
      </c>
      <c r="P1402">
        <f t="shared" ca="1" si="201"/>
        <v>55.952380952377553</v>
      </c>
      <c r="Q1402" s="10">
        <f t="shared" ca="1" si="202"/>
        <v>55.952380952377553</v>
      </c>
      <c r="R1402" s="10">
        <f t="shared" ca="1" si="203"/>
        <v>89.285714285712629</v>
      </c>
      <c r="S1402" s="10">
        <f t="shared" ca="1" si="204"/>
        <v>-33.333333333335077</v>
      </c>
      <c r="T1402" s="10">
        <f t="shared" ca="1" si="205"/>
        <v>349.99999999999994</v>
      </c>
      <c r="U1402" s="10">
        <f t="shared" ca="1" si="206"/>
        <v>349.99999999999994</v>
      </c>
      <c r="V1402">
        <f t="shared" si="207"/>
        <v>6</v>
      </c>
    </row>
    <row r="1403" spans="1:22" x14ac:dyDescent="0.25">
      <c r="A1403">
        <v>156</v>
      </c>
      <c r="B1403">
        <v>7</v>
      </c>
      <c r="C1403">
        <v>45</v>
      </c>
      <c r="D1403">
        <v>1</v>
      </c>
      <c r="E1403">
        <v>1</v>
      </c>
      <c r="F1403">
        <v>0</v>
      </c>
      <c r="G1403">
        <v>1</v>
      </c>
      <c r="H1403">
        <v>450</v>
      </c>
      <c r="I1403">
        <f t="shared" si="208"/>
        <v>1395</v>
      </c>
      <c r="J1403" s="6">
        <f t="array" aca="1" ref="J1403:N1403" ca="1">TRANSPOSE(ols(OFFSET($C$2:$C$10,I1403,0),OFFSET($D$2:$H$10,I1403,0)))</f>
        <v>131.19047619047433</v>
      </c>
      <c r="K1403" s="6">
        <f ca="1"/>
        <v>-44.285714285714675</v>
      </c>
      <c r="L1403" s="6">
        <f ca="1"/>
        <v>-43.809523809523853</v>
      </c>
      <c r="M1403" s="6">
        <f ca="1"/>
        <v>1.9047619047621538</v>
      </c>
      <c r="N1403" s="6">
        <f ca="1"/>
        <v>-9.5238095238100229E-2</v>
      </c>
      <c r="O1403" s="6">
        <f t="shared" ca="1" si="200"/>
        <v>45.9523809523767</v>
      </c>
      <c r="P1403" t="str">
        <f t="shared" si="201"/>
        <v>NA</v>
      </c>
      <c r="Q1403" s="10">
        <f t="shared" ca="1" si="202"/>
        <v>55.952380952377553</v>
      </c>
      <c r="R1403" s="10">
        <f t="shared" ca="1" si="203"/>
        <v>88.809523809521806</v>
      </c>
      <c r="S1403" s="10">
        <f t="shared" ca="1" si="204"/>
        <v>-32.857142857144254</v>
      </c>
      <c r="T1403" s="10">
        <f t="shared" ca="1" si="205"/>
        <v>344.99999999999659</v>
      </c>
      <c r="U1403" s="10">
        <f t="shared" ca="1" si="206"/>
        <v>344.99999999999659</v>
      </c>
      <c r="V1403">
        <f t="shared" si="207"/>
        <v>5</v>
      </c>
    </row>
    <row r="1404" spans="1:22" x14ac:dyDescent="0.25">
      <c r="A1404">
        <v>156</v>
      </c>
      <c r="B1404">
        <v>8</v>
      </c>
      <c r="C1404">
        <v>35</v>
      </c>
      <c r="D1404">
        <v>1</v>
      </c>
      <c r="E1404">
        <v>1</v>
      </c>
      <c r="F1404">
        <v>0</v>
      </c>
      <c r="G1404">
        <v>1</v>
      </c>
      <c r="H1404">
        <v>550</v>
      </c>
      <c r="I1404">
        <f t="shared" si="208"/>
        <v>1395</v>
      </c>
      <c r="J1404" s="6">
        <f t="array" aca="1" ref="J1404:N1404" ca="1">TRANSPOSE(ols(OFFSET($C$2:$C$10,I1404,0),OFFSET($D$2:$H$10,I1404,0)))</f>
        <v>131.19047619047433</v>
      </c>
      <c r="K1404" s="6">
        <f ca="1"/>
        <v>-44.285714285714675</v>
      </c>
      <c r="L1404" s="6">
        <f ca="1"/>
        <v>-43.809523809523853</v>
      </c>
      <c r="M1404" s="6">
        <f ca="1"/>
        <v>1.9047619047621538</v>
      </c>
      <c r="N1404" s="6">
        <f ca="1"/>
        <v>-9.5238095238100229E-2</v>
      </c>
      <c r="O1404" s="6">
        <f t="shared" ca="1" si="200"/>
        <v>36.428571428566684</v>
      </c>
      <c r="P1404" t="str">
        <f t="shared" si="201"/>
        <v>NA</v>
      </c>
      <c r="Q1404" s="10">
        <f t="shared" ca="1" si="202"/>
        <v>55.952380952377553</v>
      </c>
      <c r="R1404" s="10">
        <f t="shared" ca="1" si="203"/>
        <v>88.809523809521806</v>
      </c>
      <c r="S1404" s="10">
        <f t="shared" ca="1" si="204"/>
        <v>-32.857142857144254</v>
      </c>
      <c r="T1404" s="10">
        <f t="shared" ca="1" si="205"/>
        <v>344.99999999999659</v>
      </c>
      <c r="U1404" s="10">
        <f t="shared" ca="1" si="206"/>
        <v>344.99999999999659</v>
      </c>
      <c r="V1404">
        <f t="shared" si="207"/>
        <v>5</v>
      </c>
    </row>
    <row r="1405" spans="1:22" x14ac:dyDescent="0.25">
      <c r="A1405">
        <v>156</v>
      </c>
      <c r="B1405">
        <v>9</v>
      </c>
      <c r="C1405">
        <v>75</v>
      </c>
      <c r="D1405">
        <v>1</v>
      </c>
      <c r="E1405">
        <v>0</v>
      </c>
      <c r="F1405">
        <v>0</v>
      </c>
      <c r="G1405">
        <v>1</v>
      </c>
      <c r="H1405">
        <v>650</v>
      </c>
      <c r="I1405">
        <f t="shared" si="208"/>
        <v>1395</v>
      </c>
      <c r="J1405" s="6">
        <f t="array" aca="1" ref="J1405:N1405" ca="1">TRANSPOSE(ols(OFFSET($C$2:$C$10,I1405,0),OFFSET($D$2:$H$10,I1405,0)))</f>
        <v>131.19047619047433</v>
      </c>
      <c r="K1405" s="6">
        <f ca="1"/>
        <v>-44.285714285714675</v>
      </c>
      <c r="L1405" s="6">
        <f ca="1"/>
        <v>-43.809523809523853</v>
      </c>
      <c r="M1405" s="6">
        <f ca="1"/>
        <v>1.9047619047621538</v>
      </c>
      <c r="N1405" s="6">
        <f ca="1"/>
        <v>-9.5238095238100229E-2</v>
      </c>
      <c r="O1405" s="6">
        <f t="shared" ca="1" si="200"/>
        <v>71.19047619047133</v>
      </c>
      <c r="P1405" t="str">
        <f t="shared" si="201"/>
        <v>NA</v>
      </c>
      <c r="Q1405" s="10">
        <f t="shared" ca="1" si="202"/>
        <v>55.952380952377553</v>
      </c>
      <c r="R1405" s="10">
        <f t="shared" ca="1" si="203"/>
        <v>133.09523809523648</v>
      </c>
      <c r="S1405" s="10">
        <f t="shared" ca="1" si="204"/>
        <v>-77.142857142858929</v>
      </c>
      <c r="T1405" s="10">
        <f t="shared" ca="1" si="205"/>
        <v>809.99999999997635</v>
      </c>
      <c r="U1405" s="10" t="str">
        <f t="shared" ca="1" si="206"/>
        <v>OR</v>
      </c>
      <c r="V1405">
        <f t="shared" si="207"/>
        <v>4</v>
      </c>
    </row>
    <row r="1406" spans="1:22" x14ac:dyDescent="0.25">
      <c r="A1406">
        <v>157</v>
      </c>
      <c r="B1406">
        <v>1</v>
      </c>
      <c r="C1406">
        <v>100</v>
      </c>
      <c r="D1406">
        <v>1</v>
      </c>
      <c r="E1406">
        <v>0</v>
      </c>
      <c r="F1406">
        <v>1</v>
      </c>
      <c r="G1406">
        <v>0</v>
      </c>
      <c r="H1406">
        <v>250</v>
      </c>
      <c r="I1406">
        <f t="shared" si="208"/>
        <v>1404</v>
      </c>
      <c r="J1406" s="6">
        <f t="array" aca="1" ref="J1406:N1406" ca="1">TRANSPOSE(ols(OFFSET($C$2:$C$10,I1406,0),OFFSET($D$2:$H$10,I1406,0)))</f>
        <v>95.83333333333394</v>
      </c>
      <c r="K1406" s="6">
        <f ca="1"/>
        <v>14.999999999999545</v>
      </c>
      <c r="L1406" s="6">
        <f ca="1"/>
        <v>13.333333333331211</v>
      </c>
      <c r="M1406" s="6">
        <f ca="1"/>
        <v>-6.6666666666660603</v>
      </c>
      <c r="N1406" s="6">
        <f ca="1"/>
        <v>-1.6666666666669272E-2</v>
      </c>
      <c r="O1406" s="6">
        <f t="shared" ca="1" si="200"/>
        <v>104.99999999999784</v>
      </c>
      <c r="P1406" t="str">
        <f t="shared" si="201"/>
        <v>NA</v>
      </c>
      <c r="Q1406" s="10">
        <f t="shared" ca="1" si="202"/>
        <v>96.666666666664838</v>
      </c>
      <c r="R1406" s="10">
        <f t="shared" ca="1" si="203"/>
        <v>109.16666666666515</v>
      </c>
      <c r="S1406" s="10">
        <f t="shared" ca="1" si="204"/>
        <v>-12.500000000000313</v>
      </c>
      <c r="T1406" s="10">
        <f t="shared" ca="1" si="205"/>
        <v>749.99999999990155</v>
      </c>
      <c r="U1406" s="10" t="str">
        <f t="shared" ca="1" si="206"/>
        <v>OR</v>
      </c>
      <c r="V1406">
        <f t="shared" si="207"/>
        <v>3</v>
      </c>
    </row>
    <row r="1407" spans="1:22" x14ac:dyDescent="0.25">
      <c r="A1407">
        <v>157</v>
      </c>
      <c r="B1407">
        <v>2</v>
      </c>
      <c r="C1407">
        <v>100</v>
      </c>
      <c r="D1407">
        <v>1</v>
      </c>
      <c r="E1407">
        <v>1</v>
      </c>
      <c r="F1407">
        <v>0</v>
      </c>
      <c r="G1407">
        <v>0</v>
      </c>
      <c r="H1407">
        <v>350</v>
      </c>
      <c r="I1407">
        <f t="shared" si="208"/>
        <v>1404</v>
      </c>
      <c r="J1407" s="6">
        <f t="array" aca="1" ref="J1407:N1407" ca="1">TRANSPOSE(ols(OFFSET($C$2:$C$10,I1407,0),OFFSET($D$2:$H$10,I1407,0)))</f>
        <v>95.83333333333394</v>
      </c>
      <c r="K1407" s="6">
        <f ca="1"/>
        <v>14.999999999999545</v>
      </c>
      <c r="L1407" s="6">
        <f ca="1"/>
        <v>13.333333333331211</v>
      </c>
      <c r="M1407" s="6">
        <f ca="1"/>
        <v>-6.6666666666660603</v>
      </c>
      <c r="N1407" s="6">
        <f ca="1"/>
        <v>-1.6666666666669272E-2</v>
      </c>
      <c r="O1407" s="6">
        <f t="shared" ca="1" si="200"/>
        <v>104.99999999999923</v>
      </c>
      <c r="P1407" t="str">
        <f t="shared" si="201"/>
        <v>NA</v>
      </c>
      <c r="Q1407" s="10">
        <f t="shared" ca="1" si="202"/>
        <v>96.666666666664838</v>
      </c>
      <c r="R1407" s="10">
        <f t="shared" ca="1" si="203"/>
        <v>110.83333333333348</v>
      </c>
      <c r="S1407" s="10">
        <f t="shared" ca="1" si="204"/>
        <v>-14.166666666668647</v>
      </c>
      <c r="T1407" s="10">
        <f t="shared" ca="1" si="205"/>
        <v>849.9999999999859</v>
      </c>
      <c r="U1407" s="10" t="str">
        <f t="shared" ca="1" si="206"/>
        <v>OR</v>
      </c>
      <c r="V1407">
        <f t="shared" si="207"/>
        <v>2</v>
      </c>
    </row>
    <row r="1408" spans="1:22" x14ac:dyDescent="0.25">
      <c r="A1408">
        <v>157</v>
      </c>
      <c r="B1408">
        <v>3</v>
      </c>
      <c r="C1408">
        <v>100</v>
      </c>
      <c r="D1408">
        <v>1</v>
      </c>
      <c r="E1408">
        <v>1</v>
      </c>
      <c r="F1408">
        <v>0</v>
      </c>
      <c r="G1408">
        <v>0</v>
      </c>
      <c r="H1408">
        <v>450</v>
      </c>
      <c r="I1408">
        <f t="shared" si="208"/>
        <v>1404</v>
      </c>
      <c r="J1408" s="6">
        <f t="array" aca="1" ref="J1408:N1408" ca="1">TRANSPOSE(ols(OFFSET($C$2:$C$10,I1408,0),OFFSET($D$2:$H$10,I1408,0)))</f>
        <v>95.83333333333394</v>
      </c>
      <c r="K1408" s="6">
        <f ca="1"/>
        <v>14.999999999999545</v>
      </c>
      <c r="L1408" s="6">
        <f ca="1"/>
        <v>13.333333333331211</v>
      </c>
      <c r="M1408" s="6">
        <f ca="1"/>
        <v>-6.6666666666660603</v>
      </c>
      <c r="N1408" s="6">
        <f ca="1"/>
        <v>-1.6666666666669272E-2</v>
      </c>
      <c r="O1408" s="6">
        <f t="shared" ca="1" si="200"/>
        <v>103.33333333333232</v>
      </c>
      <c r="P1408" t="str">
        <f t="shared" si="201"/>
        <v>NA</v>
      </c>
      <c r="Q1408" s="10">
        <f t="shared" ca="1" si="202"/>
        <v>96.666666666664838</v>
      </c>
      <c r="R1408" s="10">
        <f t="shared" ca="1" si="203"/>
        <v>110.83333333333348</v>
      </c>
      <c r="S1408" s="10">
        <f t="shared" ca="1" si="204"/>
        <v>-14.166666666668647</v>
      </c>
      <c r="T1408" s="10">
        <f t="shared" ca="1" si="205"/>
        <v>849.9999999999859</v>
      </c>
      <c r="U1408" s="10" t="str">
        <f t="shared" ca="1" si="206"/>
        <v>OR</v>
      </c>
      <c r="V1408">
        <f t="shared" si="207"/>
        <v>2</v>
      </c>
    </row>
    <row r="1409" spans="1:22" x14ac:dyDescent="0.25">
      <c r="A1409">
        <v>157</v>
      </c>
      <c r="B1409">
        <v>4</v>
      </c>
      <c r="C1409">
        <v>100</v>
      </c>
      <c r="D1409">
        <v>1</v>
      </c>
      <c r="E1409">
        <v>0</v>
      </c>
      <c r="F1409">
        <v>0</v>
      </c>
      <c r="G1409">
        <v>0</v>
      </c>
      <c r="H1409">
        <v>550</v>
      </c>
      <c r="I1409">
        <f t="shared" si="208"/>
        <v>1404</v>
      </c>
      <c r="J1409" s="6">
        <f t="array" aca="1" ref="J1409:N1409" ca="1">TRANSPOSE(ols(OFFSET($C$2:$C$10,I1409,0),OFFSET($D$2:$H$10,I1409,0)))</f>
        <v>95.83333333333394</v>
      </c>
      <c r="K1409" s="6">
        <f ca="1"/>
        <v>14.999999999999545</v>
      </c>
      <c r="L1409" s="6">
        <f ca="1"/>
        <v>13.333333333331211</v>
      </c>
      <c r="M1409" s="6">
        <f ca="1"/>
        <v>-6.6666666666660603</v>
      </c>
      <c r="N1409" s="6">
        <f ca="1"/>
        <v>-1.6666666666669272E-2</v>
      </c>
      <c r="O1409" s="6">
        <f t="shared" ca="1" si="200"/>
        <v>86.666666666665833</v>
      </c>
      <c r="P1409" t="str">
        <f t="shared" si="201"/>
        <v>NA</v>
      </c>
      <c r="Q1409" s="10">
        <f t="shared" ca="1" si="202"/>
        <v>96.666666666664838</v>
      </c>
      <c r="R1409" s="10">
        <f t="shared" ca="1" si="203"/>
        <v>95.83333333333394</v>
      </c>
      <c r="S1409" s="10">
        <f t="shared" ca="1" si="204"/>
        <v>0.83333333333089854</v>
      </c>
      <c r="T1409" s="10">
        <f t="shared" ca="1" si="205"/>
        <v>-49.999999999846096</v>
      </c>
      <c r="U1409" s="10" t="str">
        <f t="shared" ca="1" si="206"/>
        <v>OR</v>
      </c>
      <c r="V1409">
        <f t="shared" si="207"/>
        <v>1</v>
      </c>
    </row>
    <row r="1410" spans="1:22" x14ac:dyDescent="0.25">
      <c r="A1410">
        <v>157</v>
      </c>
      <c r="B1410">
        <v>5</v>
      </c>
      <c r="C1410">
        <v>100</v>
      </c>
      <c r="D1410">
        <v>1</v>
      </c>
      <c r="E1410">
        <v>0</v>
      </c>
      <c r="F1410">
        <v>1</v>
      </c>
      <c r="G1410">
        <v>1</v>
      </c>
      <c r="H1410">
        <v>250</v>
      </c>
      <c r="I1410">
        <f t="shared" si="208"/>
        <v>1404</v>
      </c>
      <c r="J1410" s="6">
        <f t="array" aca="1" ref="J1410:N1410" ca="1">TRANSPOSE(ols(OFFSET($C$2:$C$10,I1410,0),OFFSET($D$2:$H$10,I1410,0)))</f>
        <v>95.83333333333394</v>
      </c>
      <c r="K1410" s="6">
        <f ca="1"/>
        <v>14.999999999999545</v>
      </c>
      <c r="L1410" s="6">
        <f ca="1"/>
        <v>13.333333333331211</v>
      </c>
      <c r="M1410" s="6">
        <f ca="1"/>
        <v>-6.6666666666660603</v>
      </c>
      <c r="N1410" s="6">
        <f ca="1"/>
        <v>-1.6666666666669272E-2</v>
      </c>
      <c r="O1410" s="6">
        <f t="shared" ca="1" si="200"/>
        <v>98.33333333333178</v>
      </c>
      <c r="P1410" t="str">
        <f t="shared" si="201"/>
        <v>NA</v>
      </c>
      <c r="Q1410" s="10">
        <f t="shared" ca="1" si="202"/>
        <v>96.666666666664838</v>
      </c>
      <c r="R1410" s="10">
        <f t="shared" ca="1" si="203"/>
        <v>102.49999999999909</v>
      </c>
      <c r="S1410" s="10">
        <f t="shared" ca="1" si="204"/>
        <v>-5.8333333333342523</v>
      </c>
      <c r="T1410" s="10">
        <f t="shared" ca="1" si="205"/>
        <v>350.00000000000045</v>
      </c>
      <c r="U1410" s="10">
        <f t="shared" ca="1" si="206"/>
        <v>350.00000000000045</v>
      </c>
      <c r="V1410">
        <f t="shared" si="207"/>
        <v>6</v>
      </c>
    </row>
    <row r="1411" spans="1:22" x14ac:dyDescent="0.25">
      <c r="A1411">
        <v>157</v>
      </c>
      <c r="B1411">
        <v>6</v>
      </c>
      <c r="C1411">
        <v>100</v>
      </c>
      <c r="D1411">
        <v>1</v>
      </c>
      <c r="E1411">
        <v>0</v>
      </c>
      <c r="F1411">
        <v>1</v>
      </c>
      <c r="G1411">
        <v>1</v>
      </c>
      <c r="H1411">
        <v>350</v>
      </c>
      <c r="I1411">
        <f t="shared" si="208"/>
        <v>1404</v>
      </c>
      <c r="J1411" s="6">
        <f t="array" aca="1" ref="J1411:N1411" ca="1">TRANSPOSE(ols(OFFSET($C$2:$C$10,I1411,0),OFFSET($D$2:$H$10,I1411,0)))</f>
        <v>95.83333333333394</v>
      </c>
      <c r="K1411" s="6">
        <f ca="1"/>
        <v>14.999999999999545</v>
      </c>
      <c r="L1411" s="6">
        <f ca="1"/>
        <v>13.333333333331211</v>
      </c>
      <c r="M1411" s="6">
        <f ca="1"/>
        <v>-6.6666666666660603</v>
      </c>
      <c r="N1411" s="6">
        <f ca="1"/>
        <v>-1.6666666666669272E-2</v>
      </c>
      <c r="O1411" s="6">
        <f t="shared" ref="O1411:O1474" ca="1" si="209">SUMPRODUCT(J1411:N1411,D1411:H1411)</f>
        <v>96.666666666664838</v>
      </c>
      <c r="P1411">
        <f t="shared" ref="P1411:P1474" ca="1" si="210">IF(AND(F1411=1,G1411=1,H1411=350),O1411,"NA")</f>
        <v>96.666666666664838</v>
      </c>
      <c r="Q1411" s="10">
        <f t="shared" ref="Q1411:Q1474" ca="1" si="211">AVERAGEIF($A$2:$A$5383,A1411,$P$2:$P$5383)</f>
        <v>96.666666666664838</v>
      </c>
      <c r="R1411" s="10">
        <f t="shared" ref="R1411:R1474" ca="1" si="212">O1411-N1411*H1411</f>
        <v>102.49999999999909</v>
      </c>
      <c r="S1411" s="10">
        <f t="shared" ref="S1411:S1474" ca="1" si="213">Q1411-R1411</f>
        <v>-5.8333333333342523</v>
      </c>
      <c r="T1411" s="10">
        <f t="shared" ref="T1411:T1474" ca="1" si="214">S1411/N1411</f>
        <v>350.00000000000045</v>
      </c>
      <c r="U1411" s="10">
        <f t="shared" ref="U1411:U1474" ca="1" si="215">IF(OR(T1411&lt;250,T1411&gt;650),"OR",T1411)</f>
        <v>350.00000000000045</v>
      </c>
      <c r="V1411">
        <f t="shared" ref="V1411:V1474" si="216">IF(AND(E1411=1,G1411=0),2,IF(AND(F1411=1,G1411=0),3,IF(AND(E1411=1,G1411=1),5,IF(AND(F1411=1,G1411=1),6,IF(G1411=0,1,IF(G1411=1,4))))))</f>
        <v>6</v>
      </c>
    </row>
    <row r="1412" spans="1:22" x14ac:dyDescent="0.25">
      <c r="A1412">
        <v>157</v>
      </c>
      <c r="B1412">
        <v>7</v>
      </c>
      <c r="C1412">
        <v>100</v>
      </c>
      <c r="D1412">
        <v>1</v>
      </c>
      <c r="E1412">
        <v>1</v>
      </c>
      <c r="F1412">
        <v>0</v>
      </c>
      <c r="G1412">
        <v>1</v>
      </c>
      <c r="H1412">
        <v>450</v>
      </c>
      <c r="I1412">
        <f t="shared" si="208"/>
        <v>1404</v>
      </c>
      <c r="J1412" s="6">
        <f t="array" aca="1" ref="J1412:N1412" ca="1">TRANSPOSE(ols(OFFSET($C$2:$C$10,I1412,0),OFFSET($D$2:$H$10,I1412,0)))</f>
        <v>95.83333333333394</v>
      </c>
      <c r="K1412" s="6">
        <f ca="1"/>
        <v>14.999999999999545</v>
      </c>
      <c r="L1412" s="6">
        <f ca="1"/>
        <v>13.333333333331211</v>
      </c>
      <c r="M1412" s="6">
        <f ca="1"/>
        <v>-6.6666666666660603</v>
      </c>
      <c r="N1412" s="6">
        <f ca="1"/>
        <v>-1.6666666666669272E-2</v>
      </c>
      <c r="O1412" s="6">
        <f t="shared" ca="1" si="209"/>
        <v>96.666666666666259</v>
      </c>
      <c r="P1412" t="str">
        <f t="shared" si="210"/>
        <v>NA</v>
      </c>
      <c r="Q1412" s="10">
        <f t="shared" ca="1" si="211"/>
        <v>96.666666666664838</v>
      </c>
      <c r="R1412" s="10">
        <f t="shared" ca="1" si="212"/>
        <v>104.16666666666742</v>
      </c>
      <c r="S1412" s="10">
        <f t="shared" ca="1" si="213"/>
        <v>-7.5000000000025864</v>
      </c>
      <c r="T1412" s="10">
        <f t="shared" ca="1" si="214"/>
        <v>450.00000000008481</v>
      </c>
      <c r="U1412" s="10">
        <f t="shared" ca="1" si="215"/>
        <v>450.00000000008481</v>
      </c>
      <c r="V1412">
        <f t="shared" si="216"/>
        <v>5</v>
      </c>
    </row>
    <row r="1413" spans="1:22" x14ac:dyDescent="0.25">
      <c r="A1413">
        <v>157</v>
      </c>
      <c r="B1413">
        <v>8</v>
      </c>
      <c r="C1413">
        <v>100</v>
      </c>
      <c r="D1413">
        <v>1</v>
      </c>
      <c r="E1413">
        <v>1</v>
      </c>
      <c r="F1413">
        <v>0</v>
      </c>
      <c r="G1413">
        <v>1</v>
      </c>
      <c r="H1413">
        <v>550</v>
      </c>
      <c r="I1413">
        <f t="shared" si="208"/>
        <v>1404</v>
      </c>
      <c r="J1413" s="6">
        <f t="array" aca="1" ref="J1413:N1413" ca="1">TRANSPOSE(ols(OFFSET($C$2:$C$10,I1413,0),OFFSET($D$2:$H$10,I1413,0)))</f>
        <v>95.83333333333394</v>
      </c>
      <c r="K1413" s="6">
        <f ca="1"/>
        <v>14.999999999999545</v>
      </c>
      <c r="L1413" s="6">
        <f ca="1"/>
        <v>13.333333333331211</v>
      </c>
      <c r="M1413" s="6">
        <f ca="1"/>
        <v>-6.6666666666660603</v>
      </c>
      <c r="N1413" s="6">
        <f ca="1"/>
        <v>-1.6666666666669272E-2</v>
      </c>
      <c r="O1413" s="6">
        <f t="shared" ca="1" si="209"/>
        <v>94.999999999999318</v>
      </c>
      <c r="P1413" t="str">
        <f t="shared" si="210"/>
        <v>NA</v>
      </c>
      <c r="Q1413" s="10">
        <f t="shared" ca="1" si="211"/>
        <v>96.666666666664838</v>
      </c>
      <c r="R1413" s="10">
        <f t="shared" ca="1" si="212"/>
        <v>104.16666666666742</v>
      </c>
      <c r="S1413" s="10">
        <f t="shared" ca="1" si="213"/>
        <v>-7.5000000000025864</v>
      </c>
      <c r="T1413" s="10">
        <f t="shared" ca="1" si="214"/>
        <v>450.00000000008481</v>
      </c>
      <c r="U1413" s="10">
        <f t="shared" ca="1" si="215"/>
        <v>450.00000000008481</v>
      </c>
      <c r="V1413">
        <f t="shared" si="216"/>
        <v>5</v>
      </c>
    </row>
    <row r="1414" spans="1:22" x14ac:dyDescent="0.25">
      <c r="A1414">
        <v>157</v>
      </c>
      <c r="B1414">
        <v>9</v>
      </c>
      <c r="C1414">
        <v>65</v>
      </c>
      <c r="D1414">
        <v>1</v>
      </c>
      <c r="E1414">
        <v>0</v>
      </c>
      <c r="F1414">
        <v>0</v>
      </c>
      <c r="G1414">
        <v>1</v>
      </c>
      <c r="H1414">
        <v>650</v>
      </c>
      <c r="I1414">
        <f t="shared" si="208"/>
        <v>1404</v>
      </c>
      <c r="J1414" s="6">
        <f t="array" aca="1" ref="J1414:N1414" ca="1">TRANSPOSE(ols(OFFSET($C$2:$C$10,I1414,0),OFFSET($D$2:$H$10,I1414,0)))</f>
        <v>95.83333333333394</v>
      </c>
      <c r="K1414" s="6">
        <f ca="1"/>
        <v>14.999999999999545</v>
      </c>
      <c r="L1414" s="6">
        <f ca="1"/>
        <v>13.333333333331211</v>
      </c>
      <c r="M1414" s="6">
        <f ca="1"/>
        <v>-6.6666666666660603</v>
      </c>
      <c r="N1414" s="6">
        <f ca="1"/>
        <v>-1.6666666666669272E-2</v>
      </c>
      <c r="O1414" s="6">
        <f t="shared" ca="1" si="209"/>
        <v>78.33333333333286</v>
      </c>
      <c r="P1414" t="str">
        <f t="shared" si="210"/>
        <v>NA</v>
      </c>
      <c r="Q1414" s="10">
        <f t="shared" ca="1" si="211"/>
        <v>96.666666666664838</v>
      </c>
      <c r="R1414" s="10">
        <f t="shared" ca="1" si="212"/>
        <v>89.166666666667879</v>
      </c>
      <c r="S1414" s="10">
        <f t="shared" ca="1" si="213"/>
        <v>7.4999999999969589</v>
      </c>
      <c r="T1414" s="10">
        <f t="shared" ca="1" si="214"/>
        <v>-449.99999999974716</v>
      </c>
      <c r="U1414" s="10" t="str">
        <f t="shared" ca="1" si="215"/>
        <v>OR</v>
      </c>
      <c r="V1414">
        <f t="shared" si="216"/>
        <v>4</v>
      </c>
    </row>
    <row r="1415" spans="1:22" x14ac:dyDescent="0.25">
      <c r="A1415">
        <v>158</v>
      </c>
      <c r="B1415">
        <v>1</v>
      </c>
      <c r="C1415">
        <v>90</v>
      </c>
      <c r="D1415">
        <v>1</v>
      </c>
      <c r="E1415">
        <v>0</v>
      </c>
      <c r="F1415">
        <v>1</v>
      </c>
      <c r="G1415">
        <v>0</v>
      </c>
      <c r="H1415">
        <v>250</v>
      </c>
      <c r="I1415">
        <f t="shared" si="208"/>
        <v>1413</v>
      </c>
      <c r="J1415" s="6">
        <f t="array" aca="1" ref="J1415:N1415" ca="1">TRANSPOSE(ols(OFFSET($C$2:$C$10,I1415,0),OFFSET($D$2:$H$10,I1415,0)))</f>
        <v>103.86904761904771</v>
      </c>
      <c r="K1415" s="6">
        <f ca="1"/>
        <v>8.5714285714284415</v>
      </c>
      <c r="L1415" s="6">
        <f ca="1"/>
        <v>7.6190476190467962</v>
      </c>
      <c r="M1415" s="6">
        <f ca="1"/>
        <v>-1.3095238095233981</v>
      </c>
      <c r="N1415" s="6">
        <f ca="1"/>
        <v>-8.4523809523812332E-2</v>
      </c>
      <c r="O1415" s="6">
        <f t="shared" ca="1" si="209"/>
        <v>90.357142857141412</v>
      </c>
      <c r="P1415" t="str">
        <f t="shared" si="210"/>
        <v>NA</v>
      </c>
      <c r="Q1415" s="10">
        <f t="shared" ca="1" si="211"/>
        <v>80.595238095236795</v>
      </c>
      <c r="R1415" s="10">
        <f t="shared" ca="1" si="212"/>
        <v>111.4880952380945</v>
      </c>
      <c r="S1415" s="10">
        <f t="shared" ca="1" si="213"/>
        <v>-30.892857142857707</v>
      </c>
      <c r="T1415" s="10">
        <f t="shared" ca="1" si="214"/>
        <v>365.49295774647339</v>
      </c>
      <c r="U1415" s="10">
        <f t="shared" ca="1" si="215"/>
        <v>365.49295774647339</v>
      </c>
      <c r="V1415">
        <f t="shared" si="216"/>
        <v>3</v>
      </c>
    </row>
    <row r="1416" spans="1:22" x14ac:dyDescent="0.25">
      <c r="A1416">
        <v>158</v>
      </c>
      <c r="B1416">
        <v>2</v>
      </c>
      <c r="C1416">
        <v>80</v>
      </c>
      <c r="D1416">
        <v>1</v>
      </c>
      <c r="E1416">
        <v>1</v>
      </c>
      <c r="F1416">
        <v>0</v>
      </c>
      <c r="G1416">
        <v>0</v>
      </c>
      <c r="H1416">
        <v>350</v>
      </c>
      <c r="I1416">
        <f t="shared" si="208"/>
        <v>1413</v>
      </c>
      <c r="J1416" s="6">
        <f t="array" aca="1" ref="J1416:N1416" ca="1">TRANSPOSE(ols(OFFSET($C$2:$C$10,I1416,0),OFFSET($D$2:$H$10,I1416,0)))</f>
        <v>103.86904761904771</v>
      </c>
      <c r="K1416" s="6">
        <f ca="1"/>
        <v>8.5714285714284415</v>
      </c>
      <c r="L1416" s="6">
        <f ca="1"/>
        <v>7.6190476190467962</v>
      </c>
      <c r="M1416" s="6">
        <f ca="1"/>
        <v>-1.3095238095233981</v>
      </c>
      <c r="N1416" s="6">
        <f ca="1"/>
        <v>-8.4523809523812332E-2</v>
      </c>
      <c r="O1416" s="6">
        <f t="shared" ca="1" si="209"/>
        <v>82.857142857141838</v>
      </c>
      <c r="P1416" t="str">
        <f t="shared" si="210"/>
        <v>NA</v>
      </c>
      <c r="Q1416" s="10">
        <f t="shared" ca="1" si="211"/>
        <v>80.595238095236795</v>
      </c>
      <c r="R1416" s="10">
        <f t="shared" ca="1" si="212"/>
        <v>112.44047619047615</v>
      </c>
      <c r="S1416" s="10">
        <f t="shared" ca="1" si="213"/>
        <v>-31.845238095239353</v>
      </c>
      <c r="T1416" s="10">
        <f t="shared" ca="1" si="214"/>
        <v>376.76056338028405</v>
      </c>
      <c r="U1416" s="10">
        <f t="shared" ca="1" si="215"/>
        <v>376.76056338028405</v>
      </c>
      <c r="V1416">
        <f t="shared" si="216"/>
        <v>2</v>
      </c>
    </row>
    <row r="1417" spans="1:22" x14ac:dyDescent="0.25">
      <c r="A1417">
        <v>158</v>
      </c>
      <c r="B1417">
        <v>3</v>
      </c>
      <c r="C1417">
        <v>75</v>
      </c>
      <c r="D1417">
        <v>1</v>
      </c>
      <c r="E1417">
        <v>1</v>
      </c>
      <c r="F1417">
        <v>0</v>
      </c>
      <c r="G1417">
        <v>0</v>
      </c>
      <c r="H1417">
        <v>450</v>
      </c>
      <c r="I1417">
        <f t="shared" si="208"/>
        <v>1413</v>
      </c>
      <c r="J1417" s="6">
        <f t="array" aca="1" ref="J1417:N1417" ca="1">TRANSPOSE(ols(OFFSET($C$2:$C$10,I1417,0),OFFSET($D$2:$H$10,I1417,0)))</f>
        <v>103.86904761904771</v>
      </c>
      <c r="K1417" s="6">
        <f ca="1"/>
        <v>8.5714285714284415</v>
      </c>
      <c r="L1417" s="6">
        <f ca="1"/>
        <v>7.6190476190467962</v>
      </c>
      <c r="M1417" s="6">
        <f ca="1"/>
        <v>-1.3095238095233981</v>
      </c>
      <c r="N1417" s="6">
        <f ca="1"/>
        <v>-8.4523809523812332E-2</v>
      </c>
      <c r="O1417" s="6">
        <f t="shared" ca="1" si="209"/>
        <v>74.404761904760591</v>
      </c>
      <c r="P1417" t="str">
        <f t="shared" si="210"/>
        <v>NA</v>
      </c>
      <c r="Q1417" s="10">
        <f t="shared" ca="1" si="211"/>
        <v>80.595238095236795</v>
      </c>
      <c r="R1417" s="10">
        <f t="shared" ca="1" si="212"/>
        <v>112.44047619047615</v>
      </c>
      <c r="S1417" s="10">
        <f t="shared" ca="1" si="213"/>
        <v>-31.845238095239353</v>
      </c>
      <c r="T1417" s="10">
        <f t="shared" ca="1" si="214"/>
        <v>376.76056338028405</v>
      </c>
      <c r="U1417" s="10">
        <f t="shared" ca="1" si="215"/>
        <v>376.76056338028405</v>
      </c>
      <c r="V1417">
        <f t="shared" si="216"/>
        <v>2</v>
      </c>
    </row>
    <row r="1418" spans="1:22" x14ac:dyDescent="0.25">
      <c r="A1418">
        <v>158</v>
      </c>
      <c r="B1418">
        <v>4</v>
      </c>
      <c r="C1418">
        <v>60</v>
      </c>
      <c r="D1418">
        <v>1</v>
      </c>
      <c r="E1418">
        <v>0</v>
      </c>
      <c r="F1418">
        <v>0</v>
      </c>
      <c r="G1418">
        <v>0</v>
      </c>
      <c r="H1418">
        <v>550</v>
      </c>
      <c r="I1418">
        <f t="shared" si="208"/>
        <v>1413</v>
      </c>
      <c r="J1418" s="6">
        <f t="array" aca="1" ref="J1418:N1418" ca="1">TRANSPOSE(ols(OFFSET($C$2:$C$10,I1418,0),OFFSET($D$2:$H$10,I1418,0)))</f>
        <v>103.86904761904771</v>
      </c>
      <c r="K1418" s="6">
        <f ca="1"/>
        <v>8.5714285714284415</v>
      </c>
      <c r="L1418" s="6">
        <f ca="1"/>
        <v>7.6190476190467962</v>
      </c>
      <c r="M1418" s="6">
        <f ca="1"/>
        <v>-1.3095238095233981</v>
      </c>
      <c r="N1418" s="6">
        <f ca="1"/>
        <v>-8.4523809523812332E-2</v>
      </c>
      <c r="O1418" s="6">
        <f t="shared" ca="1" si="209"/>
        <v>57.380952380950923</v>
      </c>
      <c r="P1418" t="str">
        <f t="shared" si="210"/>
        <v>NA</v>
      </c>
      <c r="Q1418" s="10">
        <f t="shared" ca="1" si="211"/>
        <v>80.595238095236795</v>
      </c>
      <c r="R1418" s="10">
        <f t="shared" ca="1" si="212"/>
        <v>103.86904761904771</v>
      </c>
      <c r="S1418" s="10">
        <f t="shared" ca="1" si="213"/>
        <v>-23.273809523810911</v>
      </c>
      <c r="T1418" s="10">
        <f t="shared" ca="1" si="214"/>
        <v>275.3521126760636</v>
      </c>
      <c r="U1418" s="10">
        <f t="shared" ca="1" si="215"/>
        <v>275.3521126760636</v>
      </c>
      <c r="V1418">
        <f t="shared" si="216"/>
        <v>1</v>
      </c>
    </row>
    <row r="1419" spans="1:22" x14ac:dyDescent="0.25">
      <c r="A1419">
        <v>158</v>
      </c>
      <c r="B1419">
        <v>5</v>
      </c>
      <c r="C1419">
        <v>90</v>
      </c>
      <c r="D1419">
        <v>1</v>
      </c>
      <c r="E1419">
        <v>0</v>
      </c>
      <c r="F1419">
        <v>1</v>
      </c>
      <c r="G1419">
        <v>1</v>
      </c>
      <c r="H1419">
        <v>250</v>
      </c>
      <c r="I1419">
        <f t="shared" si="208"/>
        <v>1413</v>
      </c>
      <c r="J1419" s="6">
        <f t="array" aca="1" ref="J1419:N1419" ca="1">TRANSPOSE(ols(OFFSET($C$2:$C$10,I1419,0),OFFSET($D$2:$H$10,I1419,0)))</f>
        <v>103.86904761904771</v>
      </c>
      <c r="K1419" s="6">
        <f ca="1"/>
        <v>8.5714285714284415</v>
      </c>
      <c r="L1419" s="6">
        <f ca="1"/>
        <v>7.6190476190467962</v>
      </c>
      <c r="M1419" s="6">
        <f ca="1"/>
        <v>-1.3095238095233981</v>
      </c>
      <c r="N1419" s="6">
        <f ca="1"/>
        <v>-8.4523809523812332E-2</v>
      </c>
      <c r="O1419" s="6">
        <f t="shared" ca="1" si="209"/>
        <v>89.047619047618014</v>
      </c>
      <c r="P1419" t="str">
        <f t="shared" si="210"/>
        <v>NA</v>
      </c>
      <c r="Q1419" s="10">
        <f t="shared" ca="1" si="211"/>
        <v>80.595238095236795</v>
      </c>
      <c r="R1419" s="10">
        <f t="shared" ca="1" si="212"/>
        <v>110.1785714285711</v>
      </c>
      <c r="S1419" s="10">
        <f t="shared" ca="1" si="213"/>
        <v>-29.583333333334309</v>
      </c>
      <c r="T1419" s="10">
        <f t="shared" ca="1" si="214"/>
        <v>349.99999999999994</v>
      </c>
      <c r="U1419" s="10">
        <f t="shared" ca="1" si="215"/>
        <v>349.99999999999994</v>
      </c>
      <c r="V1419">
        <f t="shared" si="216"/>
        <v>6</v>
      </c>
    </row>
    <row r="1420" spans="1:22" x14ac:dyDescent="0.25">
      <c r="A1420">
        <v>158</v>
      </c>
      <c r="B1420">
        <v>6</v>
      </c>
      <c r="C1420">
        <v>80</v>
      </c>
      <c r="D1420">
        <v>1</v>
      </c>
      <c r="E1420">
        <v>0</v>
      </c>
      <c r="F1420">
        <v>1</v>
      </c>
      <c r="G1420">
        <v>1</v>
      </c>
      <c r="H1420">
        <v>350</v>
      </c>
      <c r="I1420">
        <f t="shared" ref="I1420:I1483" si="217">IF(A1420&gt;A1419,I1419+9,I1419)</f>
        <v>1413</v>
      </c>
      <c r="J1420" s="6">
        <f t="array" aca="1" ref="J1420:N1420" ca="1">TRANSPOSE(ols(OFFSET($C$2:$C$10,I1420,0),OFFSET($D$2:$H$10,I1420,0)))</f>
        <v>103.86904761904771</v>
      </c>
      <c r="K1420" s="6">
        <f ca="1"/>
        <v>8.5714285714284415</v>
      </c>
      <c r="L1420" s="6">
        <f ca="1"/>
        <v>7.6190476190467962</v>
      </c>
      <c r="M1420" s="6">
        <f ca="1"/>
        <v>-1.3095238095233981</v>
      </c>
      <c r="N1420" s="6">
        <f ca="1"/>
        <v>-8.4523809523812332E-2</v>
      </c>
      <c r="O1420" s="6">
        <f t="shared" ca="1" si="209"/>
        <v>80.595238095236795</v>
      </c>
      <c r="P1420">
        <f t="shared" ca="1" si="210"/>
        <v>80.595238095236795</v>
      </c>
      <c r="Q1420" s="10">
        <f t="shared" ca="1" si="211"/>
        <v>80.595238095236795</v>
      </c>
      <c r="R1420" s="10">
        <f t="shared" ca="1" si="212"/>
        <v>110.1785714285711</v>
      </c>
      <c r="S1420" s="10">
        <f t="shared" ca="1" si="213"/>
        <v>-29.583333333334309</v>
      </c>
      <c r="T1420" s="10">
        <f t="shared" ca="1" si="214"/>
        <v>349.99999999999994</v>
      </c>
      <c r="U1420" s="10">
        <f t="shared" ca="1" si="215"/>
        <v>349.99999999999994</v>
      </c>
      <c r="V1420">
        <f t="shared" si="216"/>
        <v>6</v>
      </c>
    </row>
    <row r="1421" spans="1:22" x14ac:dyDescent="0.25">
      <c r="A1421">
        <v>158</v>
      </c>
      <c r="B1421">
        <v>7</v>
      </c>
      <c r="C1421">
        <v>75</v>
      </c>
      <c r="D1421">
        <v>1</v>
      </c>
      <c r="E1421">
        <v>1</v>
      </c>
      <c r="F1421">
        <v>0</v>
      </c>
      <c r="G1421">
        <v>1</v>
      </c>
      <c r="H1421">
        <v>450</v>
      </c>
      <c r="I1421">
        <f t="shared" si="217"/>
        <v>1413</v>
      </c>
      <c r="J1421" s="6">
        <f t="array" aca="1" ref="J1421:N1421" ca="1">TRANSPOSE(ols(OFFSET($C$2:$C$10,I1421,0),OFFSET($D$2:$H$10,I1421,0)))</f>
        <v>103.86904761904771</v>
      </c>
      <c r="K1421" s="6">
        <f ca="1"/>
        <v>8.5714285714284415</v>
      </c>
      <c r="L1421" s="6">
        <f ca="1"/>
        <v>7.6190476190467962</v>
      </c>
      <c r="M1421" s="6">
        <f ca="1"/>
        <v>-1.3095238095233981</v>
      </c>
      <c r="N1421" s="6">
        <f ca="1"/>
        <v>-8.4523809523812332E-2</v>
      </c>
      <c r="O1421" s="6">
        <f t="shared" ca="1" si="209"/>
        <v>73.095238095237193</v>
      </c>
      <c r="P1421" t="str">
        <f t="shared" si="210"/>
        <v>NA</v>
      </c>
      <c r="Q1421" s="10">
        <f t="shared" ca="1" si="211"/>
        <v>80.595238095236795</v>
      </c>
      <c r="R1421" s="10">
        <f t="shared" ca="1" si="212"/>
        <v>111.13095238095275</v>
      </c>
      <c r="S1421" s="10">
        <f t="shared" ca="1" si="213"/>
        <v>-30.535714285715954</v>
      </c>
      <c r="T1421" s="10">
        <f t="shared" ca="1" si="214"/>
        <v>361.26760563381055</v>
      </c>
      <c r="U1421" s="10">
        <f t="shared" ca="1" si="215"/>
        <v>361.26760563381055</v>
      </c>
      <c r="V1421">
        <f t="shared" si="216"/>
        <v>5</v>
      </c>
    </row>
    <row r="1422" spans="1:22" x14ac:dyDescent="0.25">
      <c r="A1422">
        <v>158</v>
      </c>
      <c r="B1422">
        <v>8</v>
      </c>
      <c r="C1422">
        <v>65</v>
      </c>
      <c r="D1422">
        <v>1</v>
      </c>
      <c r="E1422">
        <v>1</v>
      </c>
      <c r="F1422">
        <v>0</v>
      </c>
      <c r="G1422">
        <v>1</v>
      </c>
      <c r="H1422">
        <v>550</v>
      </c>
      <c r="I1422">
        <f t="shared" si="217"/>
        <v>1413</v>
      </c>
      <c r="J1422" s="6">
        <f t="array" aca="1" ref="J1422:N1422" ca="1">TRANSPOSE(ols(OFFSET($C$2:$C$10,I1422,0),OFFSET($D$2:$H$10,I1422,0)))</f>
        <v>103.86904761904771</v>
      </c>
      <c r="K1422" s="6">
        <f ca="1"/>
        <v>8.5714285714284415</v>
      </c>
      <c r="L1422" s="6">
        <f ca="1"/>
        <v>7.6190476190467962</v>
      </c>
      <c r="M1422" s="6">
        <f ca="1"/>
        <v>-1.3095238095233981</v>
      </c>
      <c r="N1422" s="6">
        <f ca="1"/>
        <v>-8.4523809523812332E-2</v>
      </c>
      <c r="O1422" s="6">
        <f t="shared" ca="1" si="209"/>
        <v>64.642857142855974</v>
      </c>
      <c r="P1422" t="str">
        <f t="shared" si="210"/>
        <v>NA</v>
      </c>
      <c r="Q1422" s="10">
        <f t="shared" ca="1" si="211"/>
        <v>80.595238095236795</v>
      </c>
      <c r="R1422" s="10">
        <f t="shared" ca="1" si="212"/>
        <v>111.13095238095275</v>
      </c>
      <c r="S1422" s="10">
        <f t="shared" ca="1" si="213"/>
        <v>-30.535714285715954</v>
      </c>
      <c r="T1422" s="10">
        <f t="shared" ca="1" si="214"/>
        <v>361.26760563381055</v>
      </c>
      <c r="U1422" s="10">
        <f t="shared" ca="1" si="215"/>
        <v>361.26760563381055</v>
      </c>
      <c r="V1422">
        <f t="shared" si="216"/>
        <v>5</v>
      </c>
    </row>
    <row r="1423" spans="1:22" x14ac:dyDescent="0.25">
      <c r="A1423">
        <v>158</v>
      </c>
      <c r="B1423">
        <v>9</v>
      </c>
      <c r="C1423">
        <v>45</v>
      </c>
      <c r="D1423">
        <v>1</v>
      </c>
      <c r="E1423">
        <v>0</v>
      </c>
      <c r="F1423">
        <v>0</v>
      </c>
      <c r="G1423">
        <v>1</v>
      </c>
      <c r="H1423">
        <v>650</v>
      </c>
      <c r="I1423">
        <f t="shared" si="217"/>
        <v>1413</v>
      </c>
      <c r="J1423" s="6">
        <f t="array" aca="1" ref="J1423:N1423" ca="1">TRANSPOSE(ols(OFFSET($C$2:$C$10,I1423,0),OFFSET($D$2:$H$10,I1423,0)))</f>
        <v>103.86904761904771</v>
      </c>
      <c r="K1423" s="6">
        <f ca="1"/>
        <v>8.5714285714284415</v>
      </c>
      <c r="L1423" s="6">
        <f ca="1"/>
        <v>7.6190476190467962</v>
      </c>
      <c r="M1423" s="6">
        <f ca="1"/>
        <v>-1.3095238095233981</v>
      </c>
      <c r="N1423" s="6">
        <f ca="1"/>
        <v>-8.4523809523812332E-2</v>
      </c>
      <c r="O1423" s="6">
        <f t="shared" ca="1" si="209"/>
        <v>47.619047619046292</v>
      </c>
      <c r="P1423" t="str">
        <f t="shared" si="210"/>
        <v>NA</v>
      </c>
      <c r="Q1423" s="10">
        <f t="shared" ca="1" si="211"/>
        <v>80.595238095236795</v>
      </c>
      <c r="R1423" s="10">
        <f t="shared" ca="1" si="212"/>
        <v>102.55952380952431</v>
      </c>
      <c r="S1423" s="10">
        <f t="shared" ca="1" si="213"/>
        <v>-21.964285714287513</v>
      </c>
      <c r="T1423" s="10">
        <f t="shared" ca="1" si="214"/>
        <v>259.85915492959009</v>
      </c>
      <c r="U1423" s="10">
        <f t="shared" ca="1" si="215"/>
        <v>259.85915492959009</v>
      </c>
      <c r="V1423">
        <f t="shared" si="216"/>
        <v>4</v>
      </c>
    </row>
    <row r="1424" spans="1:22" x14ac:dyDescent="0.25">
      <c r="A1424">
        <v>159</v>
      </c>
      <c r="B1424">
        <v>1</v>
      </c>
      <c r="C1424">
        <v>0</v>
      </c>
      <c r="D1424">
        <v>1</v>
      </c>
      <c r="E1424">
        <v>0</v>
      </c>
      <c r="F1424">
        <v>1</v>
      </c>
      <c r="G1424">
        <v>0</v>
      </c>
      <c r="H1424">
        <v>250</v>
      </c>
      <c r="I1424">
        <f t="shared" si="217"/>
        <v>1422</v>
      </c>
      <c r="J1424" s="6">
        <f t="array" aca="1" ref="J1424:N1424" ca="1">TRANSPOSE(ols(OFFSET($C$2:$C$10,I1424,0),OFFSET($D$2:$H$10,I1424,0)))</f>
        <v>10.803571428571104</v>
      </c>
      <c r="K1424" s="6">
        <f ca="1"/>
        <v>0.35714285714291805</v>
      </c>
      <c r="L1424" s="6">
        <f ca="1"/>
        <v>-1.0714285714285552</v>
      </c>
      <c r="M1424" s="6">
        <f ca="1"/>
        <v>10.535714285714292</v>
      </c>
      <c r="N1424" s="6">
        <f ca="1"/>
        <v>-2.6785714285714191E-2</v>
      </c>
      <c r="O1424" s="6">
        <f t="shared" ca="1" si="209"/>
        <v>3.0357142857140005</v>
      </c>
      <c r="P1424" t="str">
        <f t="shared" si="210"/>
        <v>NA</v>
      </c>
      <c r="Q1424" s="10">
        <f t="shared" ca="1" si="211"/>
        <v>10.892857142856874</v>
      </c>
      <c r="R1424" s="10">
        <f t="shared" ca="1" si="212"/>
        <v>9.7321428571425486</v>
      </c>
      <c r="S1424" s="10">
        <f t="shared" ca="1" si="213"/>
        <v>1.1607142857143256</v>
      </c>
      <c r="T1424" s="10">
        <f t="shared" ca="1" si="214"/>
        <v>-43.333333333334977</v>
      </c>
      <c r="U1424" s="10" t="str">
        <f t="shared" ca="1" si="215"/>
        <v>OR</v>
      </c>
      <c r="V1424">
        <f t="shared" si="216"/>
        <v>3</v>
      </c>
    </row>
    <row r="1425" spans="1:22" x14ac:dyDescent="0.25">
      <c r="A1425">
        <v>159</v>
      </c>
      <c r="B1425">
        <v>2</v>
      </c>
      <c r="C1425">
        <v>0</v>
      </c>
      <c r="D1425">
        <v>1</v>
      </c>
      <c r="E1425">
        <v>1</v>
      </c>
      <c r="F1425">
        <v>0</v>
      </c>
      <c r="G1425">
        <v>0</v>
      </c>
      <c r="H1425">
        <v>350</v>
      </c>
      <c r="I1425">
        <f t="shared" si="217"/>
        <v>1422</v>
      </c>
      <c r="J1425" s="6">
        <f t="array" aca="1" ref="J1425:N1425" ca="1">TRANSPOSE(ols(OFFSET($C$2:$C$10,I1425,0),OFFSET($D$2:$H$10,I1425,0)))</f>
        <v>10.803571428571104</v>
      </c>
      <c r="K1425" s="6">
        <f ca="1"/>
        <v>0.35714285714291805</v>
      </c>
      <c r="L1425" s="6">
        <f ca="1"/>
        <v>-1.0714285714285552</v>
      </c>
      <c r="M1425" s="6">
        <f ca="1"/>
        <v>10.535714285714292</v>
      </c>
      <c r="N1425" s="6">
        <f ca="1"/>
        <v>-2.6785714285714191E-2</v>
      </c>
      <c r="O1425" s="6">
        <f t="shared" ca="1" si="209"/>
        <v>1.7857142857140555</v>
      </c>
      <c r="P1425" t="str">
        <f t="shared" si="210"/>
        <v>NA</v>
      </c>
      <c r="Q1425" s="10">
        <f t="shared" ca="1" si="211"/>
        <v>10.892857142856874</v>
      </c>
      <c r="R1425" s="10">
        <f t="shared" ca="1" si="212"/>
        <v>11.160714285714022</v>
      </c>
      <c r="S1425" s="10">
        <f t="shared" ca="1" si="213"/>
        <v>-0.26785714285714768</v>
      </c>
      <c r="T1425" s="10">
        <f t="shared" ca="1" si="214"/>
        <v>10.000000000000215</v>
      </c>
      <c r="U1425" s="10" t="str">
        <f t="shared" ca="1" si="215"/>
        <v>OR</v>
      </c>
      <c r="V1425">
        <f t="shared" si="216"/>
        <v>2</v>
      </c>
    </row>
    <row r="1426" spans="1:22" x14ac:dyDescent="0.25">
      <c r="A1426">
        <v>159</v>
      </c>
      <c r="B1426">
        <v>3</v>
      </c>
      <c r="C1426">
        <v>0</v>
      </c>
      <c r="D1426">
        <v>1</v>
      </c>
      <c r="E1426">
        <v>1</v>
      </c>
      <c r="F1426">
        <v>0</v>
      </c>
      <c r="G1426">
        <v>0</v>
      </c>
      <c r="H1426">
        <v>450</v>
      </c>
      <c r="I1426">
        <f t="shared" si="217"/>
        <v>1422</v>
      </c>
      <c r="J1426" s="6">
        <f t="array" aca="1" ref="J1426:N1426" ca="1">TRANSPOSE(ols(OFFSET($C$2:$C$10,I1426,0),OFFSET($D$2:$H$10,I1426,0)))</f>
        <v>10.803571428571104</v>
      </c>
      <c r="K1426" s="6">
        <f ca="1"/>
        <v>0.35714285714291805</v>
      </c>
      <c r="L1426" s="6">
        <f ca="1"/>
        <v>-1.0714285714285552</v>
      </c>
      <c r="M1426" s="6">
        <f ca="1"/>
        <v>10.535714285714292</v>
      </c>
      <c r="N1426" s="6">
        <f ca="1"/>
        <v>-2.6785714285714191E-2</v>
      </c>
      <c r="O1426" s="6">
        <f t="shared" ca="1" si="209"/>
        <v>-0.89285714285736439</v>
      </c>
      <c r="P1426" t="str">
        <f t="shared" si="210"/>
        <v>NA</v>
      </c>
      <c r="Q1426" s="10">
        <f t="shared" ca="1" si="211"/>
        <v>10.892857142856874</v>
      </c>
      <c r="R1426" s="10">
        <f t="shared" ca="1" si="212"/>
        <v>11.160714285714022</v>
      </c>
      <c r="S1426" s="10">
        <f t="shared" ca="1" si="213"/>
        <v>-0.26785714285714768</v>
      </c>
      <c r="T1426" s="10">
        <f t="shared" ca="1" si="214"/>
        <v>10.000000000000215</v>
      </c>
      <c r="U1426" s="10" t="str">
        <f t="shared" ca="1" si="215"/>
        <v>OR</v>
      </c>
      <c r="V1426">
        <f t="shared" si="216"/>
        <v>2</v>
      </c>
    </row>
    <row r="1427" spans="1:22" x14ac:dyDescent="0.25">
      <c r="A1427">
        <v>159</v>
      </c>
      <c r="B1427">
        <v>4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550</v>
      </c>
      <c r="I1427">
        <f t="shared" si="217"/>
        <v>1422</v>
      </c>
      <c r="J1427" s="6">
        <f t="array" aca="1" ref="J1427:N1427" ca="1">TRANSPOSE(ols(OFFSET($C$2:$C$10,I1427,0),OFFSET($D$2:$H$10,I1427,0)))</f>
        <v>10.803571428571104</v>
      </c>
      <c r="K1427" s="6">
        <f ca="1"/>
        <v>0.35714285714291805</v>
      </c>
      <c r="L1427" s="6">
        <f ca="1"/>
        <v>-1.0714285714285552</v>
      </c>
      <c r="M1427" s="6">
        <f ca="1"/>
        <v>10.535714285714292</v>
      </c>
      <c r="N1427" s="6">
        <f ca="1"/>
        <v>-2.6785714285714191E-2</v>
      </c>
      <c r="O1427" s="6">
        <f t="shared" ca="1" si="209"/>
        <v>-3.9285714285717006</v>
      </c>
      <c r="P1427" t="str">
        <f t="shared" si="210"/>
        <v>NA</v>
      </c>
      <c r="Q1427" s="10">
        <f t="shared" ca="1" si="211"/>
        <v>10.892857142856874</v>
      </c>
      <c r="R1427" s="10">
        <f t="shared" ca="1" si="212"/>
        <v>10.803571428571104</v>
      </c>
      <c r="S1427" s="10">
        <f t="shared" ca="1" si="213"/>
        <v>8.9285714285770368E-2</v>
      </c>
      <c r="T1427" s="10">
        <f t="shared" ca="1" si="214"/>
        <v>-3.3333333333354389</v>
      </c>
      <c r="U1427" s="10" t="str">
        <f t="shared" ca="1" si="215"/>
        <v>OR</v>
      </c>
      <c r="V1427">
        <f t="shared" si="216"/>
        <v>1</v>
      </c>
    </row>
    <row r="1428" spans="1:22" x14ac:dyDescent="0.25">
      <c r="A1428">
        <v>159</v>
      </c>
      <c r="B1428">
        <v>5</v>
      </c>
      <c r="C1428">
        <v>15</v>
      </c>
      <c r="D1428">
        <v>1</v>
      </c>
      <c r="E1428">
        <v>0</v>
      </c>
      <c r="F1428">
        <v>1</v>
      </c>
      <c r="G1428">
        <v>1</v>
      </c>
      <c r="H1428">
        <v>250</v>
      </c>
      <c r="I1428">
        <f t="shared" si="217"/>
        <v>1422</v>
      </c>
      <c r="J1428" s="6">
        <f t="array" aca="1" ref="J1428:N1428" ca="1">TRANSPOSE(ols(OFFSET($C$2:$C$10,I1428,0),OFFSET($D$2:$H$10,I1428,0)))</f>
        <v>10.803571428571104</v>
      </c>
      <c r="K1428" s="6">
        <f ca="1"/>
        <v>0.35714285714291805</v>
      </c>
      <c r="L1428" s="6">
        <f ca="1"/>
        <v>-1.0714285714285552</v>
      </c>
      <c r="M1428" s="6">
        <f ca="1"/>
        <v>10.535714285714292</v>
      </c>
      <c r="N1428" s="6">
        <f ca="1"/>
        <v>-2.6785714285714191E-2</v>
      </c>
      <c r="O1428" s="6">
        <f t="shared" ca="1" si="209"/>
        <v>13.571428571428292</v>
      </c>
      <c r="P1428" t="str">
        <f t="shared" si="210"/>
        <v>NA</v>
      </c>
      <c r="Q1428" s="10">
        <f t="shared" ca="1" si="211"/>
        <v>10.892857142856874</v>
      </c>
      <c r="R1428" s="10">
        <f t="shared" ca="1" si="212"/>
        <v>20.26785714285684</v>
      </c>
      <c r="S1428" s="10">
        <f t="shared" ca="1" si="213"/>
        <v>-9.3749999999999662</v>
      </c>
      <c r="T1428" s="10">
        <f t="shared" ca="1" si="214"/>
        <v>350</v>
      </c>
      <c r="U1428" s="10">
        <f t="shared" ca="1" si="215"/>
        <v>350</v>
      </c>
      <c r="V1428">
        <f t="shared" si="216"/>
        <v>6</v>
      </c>
    </row>
    <row r="1429" spans="1:22" x14ac:dyDescent="0.25">
      <c r="A1429">
        <v>159</v>
      </c>
      <c r="B1429">
        <v>6</v>
      </c>
      <c r="C1429">
        <v>12.5</v>
      </c>
      <c r="D1429">
        <v>1</v>
      </c>
      <c r="E1429">
        <v>0</v>
      </c>
      <c r="F1429">
        <v>1</v>
      </c>
      <c r="G1429">
        <v>1</v>
      </c>
      <c r="H1429">
        <v>350</v>
      </c>
      <c r="I1429">
        <f t="shared" si="217"/>
        <v>1422</v>
      </c>
      <c r="J1429" s="6">
        <f t="array" aca="1" ref="J1429:N1429" ca="1">TRANSPOSE(ols(OFFSET($C$2:$C$10,I1429,0),OFFSET($D$2:$H$10,I1429,0)))</f>
        <v>10.803571428571104</v>
      </c>
      <c r="K1429" s="6">
        <f ca="1"/>
        <v>0.35714285714291805</v>
      </c>
      <c r="L1429" s="6">
        <f ca="1"/>
        <v>-1.0714285714285552</v>
      </c>
      <c r="M1429" s="6">
        <f ca="1"/>
        <v>10.535714285714292</v>
      </c>
      <c r="N1429" s="6">
        <f ca="1"/>
        <v>-2.6785714285714191E-2</v>
      </c>
      <c r="O1429" s="6">
        <f t="shared" ca="1" si="209"/>
        <v>10.892857142856874</v>
      </c>
      <c r="P1429">
        <f t="shared" ca="1" si="210"/>
        <v>10.892857142856874</v>
      </c>
      <c r="Q1429" s="10">
        <f t="shared" ca="1" si="211"/>
        <v>10.892857142856874</v>
      </c>
      <c r="R1429" s="10">
        <f t="shared" ca="1" si="212"/>
        <v>20.26785714285684</v>
      </c>
      <c r="S1429" s="10">
        <f t="shared" ca="1" si="213"/>
        <v>-9.3749999999999662</v>
      </c>
      <c r="T1429" s="10">
        <f t="shared" ca="1" si="214"/>
        <v>350</v>
      </c>
      <c r="U1429" s="10">
        <f t="shared" ca="1" si="215"/>
        <v>350</v>
      </c>
      <c r="V1429">
        <f t="shared" si="216"/>
        <v>6</v>
      </c>
    </row>
    <row r="1430" spans="1:22" x14ac:dyDescent="0.25">
      <c r="A1430">
        <v>159</v>
      </c>
      <c r="B1430">
        <v>7</v>
      </c>
      <c r="C1430">
        <v>10</v>
      </c>
      <c r="D1430">
        <v>1</v>
      </c>
      <c r="E1430">
        <v>1</v>
      </c>
      <c r="F1430">
        <v>0</v>
      </c>
      <c r="G1430">
        <v>1</v>
      </c>
      <c r="H1430">
        <v>450</v>
      </c>
      <c r="I1430">
        <f t="shared" si="217"/>
        <v>1422</v>
      </c>
      <c r="J1430" s="6">
        <f t="array" aca="1" ref="J1430:N1430" ca="1">TRANSPOSE(ols(OFFSET($C$2:$C$10,I1430,0),OFFSET($D$2:$H$10,I1430,0)))</f>
        <v>10.803571428571104</v>
      </c>
      <c r="K1430" s="6">
        <f ca="1"/>
        <v>0.35714285714291805</v>
      </c>
      <c r="L1430" s="6">
        <f ca="1"/>
        <v>-1.0714285714285552</v>
      </c>
      <c r="M1430" s="6">
        <f ca="1"/>
        <v>10.535714285714292</v>
      </c>
      <c r="N1430" s="6">
        <f ca="1"/>
        <v>-2.6785714285714191E-2</v>
      </c>
      <c r="O1430" s="6">
        <f t="shared" ca="1" si="209"/>
        <v>9.6428571428569274</v>
      </c>
      <c r="P1430" t="str">
        <f t="shared" si="210"/>
        <v>NA</v>
      </c>
      <c r="Q1430" s="10">
        <f t="shared" ca="1" si="211"/>
        <v>10.892857142856874</v>
      </c>
      <c r="R1430" s="10">
        <f t="shared" ca="1" si="212"/>
        <v>21.696428571428314</v>
      </c>
      <c r="S1430" s="10">
        <f t="shared" ca="1" si="213"/>
        <v>-10.803571428571439</v>
      </c>
      <c r="T1430" s="10">
        <f t="shared" ca="1" si="214"/>
        <v>403.33333333333519</v>
      </c>
      <c r="U1430" s="10">
        <f t="shared" ca="1" si="215"/>
        <v>403.33333333333519</v>
      </c>
      <c r="V1430">
        <f t="shared" si="216"/>
        <v>5</v>
      </c>
    </row>
    <row r="1431" spans="1:22" x14ac:dyDescent="0.25">
      <c r="A1431">
        <v>159</v>
      </c>
      <c r="B1431">
        <v>8</v>
      </c>
      <c r="C1431">
        <v>7.5</v>
      </c>
      <c r="D1431">
        <v>1</v>
      </c>
      <c r="E1431">
        <v>1</v>
      </c>
      <c r="F1431">
        <v>0</v>
      </c>
      <c r="G1431">
        <v>1</v>
      </c>
      <c r="H1431">
        <v>550</v>
      </c>
      <c r="I1431">
        <f t="shared" si="217"/>
        <v>1422</v>
      </c>
      <c r="J1431" s="6">
        <f t="array" aca="1" ref="J1431:N1431" ca="1">TRANSPOSE(ols(OFFSET($C$2:$C$10,I1431,0),OFFSET($D$2:$H$10,I1431,0)))</f>
        <v>10.803571428571104</v>
      </c>
      <c r="K1431" s="6">
        <f ca="1"/>
        <v>0.35714285714291805</v>
      </c>
      <c r="L1431" s="6">
        <f ca="1"/>
        <v>-1.0714285714285552</v>
      </c>
      <c r="M1431" s="6">
        <f ca="1"/>
        <v>10.535714285714292</v>
      </c>
      <c r="N1431" s="6">
        <f ca="1"/>
        <v>-2.6785714285714191E-2</v>
      </c>
      <c r="O1431" s="6">
        <f t="shared" ca="1" si="209"/>
        <v>6.9642857142855092</v>
      </c>
      <c r="P1431" t="str">
        <f t="shared" si="210"/>
        <v>NA</v>
      </c>
      <c r="Q1431" s="10">
        <f t="shared" ca="1" si="211"/>
        <v>10.892857142856874</v>
      </c>
      <c r="R1431" s="10">
        <f t="shared" ca="1" si="212"/>
        <v>21.696428571428314</v>
      </c>
      <c r="S1431" s="10">
        <f t="shared" ca="1" si="213"/>
        <v>-10.803571428571439</v>
      </c>
      <c r="T1431" s="10">
        <f t="shared" ca="1" si="214"/>
        <v>403.33333333333519</v>
      </c>
      <c r="U1431" s="10">
        <f t="shared" ca="1" si="215"/>
        <v>403.33333333333519</v>
      </c>
      <c r="V1431">
        <f t="shared" si="216"/>
        <v>5</v>
      </c>
    </row>
    <row r="1432" spans="1:22" x14ac:dyDescent="0.25">
      <c r="A1432">
        <v>159</v>
      </c>
      <c r="B1432">
        <v>9</v>
      </c>
      <c r="C1432">
        <v>0</v>
      </c>
      <c r="D1432">
        <v>1</v>
      </c>
      <c r="E1432">
        <v>0</v>
      </c>
      <c r="F1432">
        <v>0</v>
      </c>
      <c r="G1432">
        <v>1</v>
      </c>
      <c r="H1432">
        <v>650</v>
      </c>
      <c r="I1432">
        <f t="shared" si="217"/>
        <v>1422</v>
      </c>
      <c r="J1432" s="6">
        <f t="array" aca="1" ref="J1432:N1432" ca="1">TRANSPOSE(ols(OFFSET($C$2:$C$10,I1432,0),OFFSET($D$2:$H$10,I1432,0)))</f>
        <v>10.803571428571104</v>
      </c>
      <c r="K1432" s="6">
        <f ca="1"/>
        <v>0.35714285714291805</v>
      </c>
      <c r="L1432" s="6">
        <f ca="1"/>
        <v>-1.0714285714285552</v>
      </c>
      <c r="M1432" s="6">
        <f ca="1"/>
        <v>10.535714285714292</v>
      </c>
      <c r="N1432" s="6">
        <f ca="1"/>
        <v>-2.6785714285714191E-2</v>
      </c>
      <c r="O1432" s="6">
        <f t="shared" ca="1" si="209"/>
        <v>3.9285714285711713</v>
      </c>
      <c r="P1432" t="str">
        <f t="shared" si="210"/>
        <v>NA</v>
      </c>
      <c r="Q1432" s="10">
        <f t="shared" ca="1" si="211"/>
        <v>10.892857142856874</v>
      </c>
      <c r="R1432" s="10">
        <f t="shared" ca="1" si="212"/>
        <v>21.339285714285396</v>
      </c>
      <c r="S1432" s="10">
        <f t="shared" ca="1" si="213"/>
        <v>-10.446428571428521</v>
      </c>
      <c r="T1432" s="10">
        <f t="shared" ca="1" si="214"/>
        <v>389.99999999999955</v>
      </c>
      <c r="U1432" s="10">
        <f t="shared" ca="1" si="215"/>
        <v>389.99999999999955</v>
      </c>
      <c r="V1432">
        <f t="shared" si="216"/>
        <v>4</v>
      </c>
    </row>
    <row r="1433" spans="1:22" x14ac:dyDescent="0.25">
      <c r="A1433">
        <v>160</v>
      </c>
      <c r="B1433">
        <v>1</v>
      </c>
      <c r="C1433">
        <v>100</v>
      </c>
      <c r="D1433">
        <v>1</v>
      </c>
      <c r="E1433">
        <v>0</v>
      </c>
      <c r="F1433">
        <v>1</v>
      </c>
      <c r="G1433">
        <v>0</v>
      </c>
      <c r="H1433">
        <v>250</v>
      </c>
      <c r="I1433">
        <f t="shared" si="217"/>
        <v>1431</v>
      </c>
      <c r="J1433" s="6">
        <f t="array" aca="1" ref="J1433:N1433" ca="1">TRANSPOSE(ols(OFFSET($C$2:$C$10,I1433,0),OFFSET($D$2:$H$10,I1433,0)))</f>
        <v>130.53571428571377</v>
      </c>
      <c r="K1433" s="6">
        <f ca="1"/>
        <v>1.0714285714284415</v>
      </c>
      <c r="L1433" s="6">
        <f ca="1"/>
        <v>-0.714285714286234</v>
      </c>
      <c r="M1433" s="6">
        <f ca="1"/>
        <v>0.35714285714357175</v>
      </c>
      <c r="N1433" s="6">
        <f ca="1"/>
        <v>-0.11785714285714377</v>
      </c>
      <c r="O1433" s="6">
        <f t="shared" ca="1" si="209"/>
        <v>100.35714285714158</v>
      </c>
      <c r="P1433" t="str">
        <f t="shared" si="210"/>
        <v>NA</v>
      </c>
      <c r="Q1433" s="10">
        <f t="shared" ca="1" si="211"/>
        <v>88.928571428570791</v>
      </c>
      <c r="R1433" s="10">
        <f t="shared" ca="1" si="212"/>
        <v>129.82142857142753</v>
      </c>
      <c r="S1433" s="10">
        <f t="shared" ca="1" si="213"/>
        <v>-40.892857142856741</v>
      </c>
      <c r="T1433" s="10">
        <f t="shared" ca="1" si="214"/>
        <v>346.96969696969086</v>
      </c>
      <c r="U1433" s="10">
        <f t="shared" ca="1" si="215"/>
        <v>346.96969696969086</v>
      </c>
      <c r="V1433">
        <f t="shared" si="216"/>
        <v>3</v>
      </c>
    </row>
    <row r="1434" spans="1:22" x14ac:dyDescent="0.25">
      <c r="A1434">
        <v>160</v>
      </c>
      <c r="B1434">
        <v>2</v>
      </c>
      <c r="C1434">
        <v>90</v>
      </c>
      <c r="D1434">
        <v>1</v>
      </c>
      <c r="E1434">
        <v>1</v>
      </c>
      <c r="F1434">
        <v>0</v>
      </c>
      <c r="G1434">
        <v>0</v>
      </c>
      <c r="H1434">
        <v>350</v>
      </c>
      <c r="I1434">
        <f t="shared" si="217"/>
        <v>1431</v>
      </c>
      <c r="J1434" s="6">
        <f t="array" aca="1" ref="J1434:N1434" ca="1">TRANSPOSE(ols(OFFSET($C$2:$C$10,I1434,0),OFFSET($D$2:$H$10,I1434,0)))</f>
        <v>130.53571428571377</v>
      </c>
      <c r="K1434" s="6">
        <f ca="1"/>
        <v>1.0714285714284415</v>
      </c>
      <c r="L1434" s="6">
        <f ca="1"/>
        <v>-0.714285714286234</v>
      </c>
      <c r="M1434" s="6">
        <f ca="1"/>
        <v>0.35714285714357175</v>
      </c>
      <c r="N1434" s="6">
        <f ca="1"/>
        <v>-0.11785714285714377</v>
      </c>
      <c r="O1434" s="6">
        <f t="shared" ca="1" si="209"/>
        <v>90.357142857141895</v>
      </c>
      <c r="P1434" t="str">
        <f t="shared" si="210"/>
        <v>NA</v>
      </c>
      <c r="Q1434" s="10">
        <f t="shared" ca="1" si="211"/>
        <v>88.928571428570791</v>
      </c>
      <c r="R1434" s="10">
        <f t="shared" ca="1" si="212"/>
        <v>131.60714285714221</v>
      </c>
      <c r="S1434" s="10">
        <f t="shared" ca="1" si="213"/>
        <v>-42.678571428571416</v>
      </c>
      <c r="T1434" s="10">
        <f t="shared" ca="1" si="214"/>
        <v>362.12121212120923</v>
      </c>
      <c r="U1434" s="10">
        <f t="shared" ca="1" si="215"/>
        <v>362.12121212120923</v>
      </c>
      <c r="V1434">
        <f t="shared" si="216"/>
        <v>2</v>
      </c>
    </row>
    <row r="1435" spans="1:22" x14ac:dyDescent="0.25">
      <c r="A1435">
        <v>160</v>
      </c>
      <c r="B1435">
        <v>3</v>
      </c>
      <c r="C1435">
        <v>80</v>
      </c>
      <c r="D1435">
        <v>1</v>
      </c>
      <c r="E1435">
        <v>1</v>
      </c>
      <c r="F1435">
        <v>0</v>
      </c>
      <c r="G1435">
        <v>0</v>
      </c>
      <c r="H1435">
        <v>450</v>
      </c>
      <c r="I1435">
        <f t="shared" si="217"/>
        <v>1431</v>
      </c>
      <c r="J1435" s="6">
        <f t="array" aca="1" ref="J1435:N1435" ca="1">TRANSPOSE(ols(OFFSET($C$2:$C$10,I1435,0),OFFSET($D$2:$H$10,I1435,0)))</f>
        <v>130.53571428571377</v>
      </c>
      <c r="K1435" s="6">
        <f ca="1"/>
        <v>1.0714285714284415</v>
      </c>
      <c r="L1435" s="6">
        <f ca="1"/>
        <v>-0.714285714286234</v>
      </c>
      <c r="M1435" s="6">
        <f ca="1"/>
        <v>0.35714285714357175</v>
      </c>
      <c r="N1435" s="6">
        <f ca="1"/>
        <v>-0.11785714285714377</v>
      </c>
      <c r="O1435" s="6">
        <f t="shared" ca="1" si="209"/>
        <v>78.571428571427504</v>
      </c>
      <c r="P1435" t="str">
        <f t="shared" si="210"/>
        <v>NA</v>
      </c>
      <c r="Q1435" s="10">
        <f t="shared" ca="1" si="211"/>
        <v>88.928571428570791</v>
      </c>
      <c r="R1435" s="10">
        <f t="shared" ca="1" si="212"/>
        <v>131.60714285714221</v>
      </c>
      <c r="S1435" s="10">
        <f t="shared" ca="1" si="213"/>
        <v>-42.678571428571416</v>
      </c>
      <c r="T1435" s="10">
        <f t="shared" ca="1" si="214"/>
        <v>362.12121212120923</v>
      </c>
      <c r="U1435" s="10">
        <f t="shared" ca="1" si="215"/>
        <v>362.12121212120923</v>
      </c>
      <c r="V1435">
        <f t="shared" si="216"/>
        <v>2</v>
      </c>
    </row>
    <row r="1436" spans="1:22" x14ac:dyDescent="0.25">
      <c r="A1436">
        <v>160</v>
      </c>
      <c r="B1436">
        <v>4</v>
      </c>
      <c r="C1436">
        <v>65</v>
      </c>
      <c r="D1436">
        <v>1</v>
      </c>
      <c r="E1436">
        <v>0</v>
      </c>
      <c r="F1436">
        <v>0</v>
      </c>
      <c r="G1436">
        <v>0</v>
      </c>
      <c r="H1436">
        <v>550</v>
      </c>
      <c r="I1436">
        <f t="shared" si="217"/>
        <v>1431</v>
      </c>
      <c r="J1436" s="6">
        <f t="array" aca="1" ref="J1436:N1436" ca="1">TRANSPOSE(ols(OFFSET($C$2:$C$10,I1436,0),OFFSET($D$2:$H$10,I1436,0)))</f>
        <v>130.53571428571377</v>
      </c>
      <c r="K1436" s="6">
        <f ca="1"/>
        <v>1.0714285714284415</v>
      </c>
      <c r="L1436" s="6">
        <f ca="1"/>
        <v>-0.714285714286234</v>
      </c>
      <c r="M1436" s="6">
        <f ca="1"/>
        <v>0.35714285714357175</v>
      </c>
      <c r="N1436" s="6">
        <f ca="1"/>
        <v>-0.11785714285714377</v>
      </c>
      <c r="O1436" s="6">
        <f t="shared" ca="1" si="209"/>
        <v>65.714285714284699</v>
      </c>
      <c r="P1436" t="str">
        <f t="shared" si="210"/>
        <v>NA</v>
      </c>
      <c r="Q1436" s="10">
        <f t="shared" ca="1" si="211"/>
        <v>88.928571428570791</v>
      </c>
      <c r="R1436" s="10">
        <f t="shared" ca="1" si="212"/>
        <v>130.53571428571377</v>
      </c>
      <c r="S1436" s="10">
        <f t="shared" ca="1" si="213"/>
        <v>-41.607142857142975</v>
      </c>
      <c r="T1436" s="10">
        <f t="shared" ca="1" si="214"/>
        <v>353.0303030303013</v>
      </c>
      <c r="U1436" s="10">
        <f t="shared" ca="1" si="215"/>
        <v>353.0303030303013</v>
      </c>
      <c r="V1436">
        <f t="shared" si="216"/>
        <v>1</v>
      </c>
    </row>
    <row r="1437" spans="1:22" x14ac:dyDescent="0.25">
      <c r="A1437">
        <v>160</v>
      </c>
      <c r="B1437">
        <v>5</v>
      </c>
      <c r="C1437">
        <v>100</v>
      </c>
      <c r="D1437">
        <v>1</v>
      </c>
      <c r="E1437">
        <v>0</v>
      </c>
      <c r="F1437">
        <v>1</v>
      </c>
      <c r="G1437">
        <v>1</v>
      </c>
      <c r="H1437">
        <v>250</v>
      </c>
      <c r="I1437">
        <f t="shared" si="217"/>
        <v>1431</v>
      </c>
      <c r="J1437" s="6">
        <f t="array" aca="1" ref="J1437:N1437" ca="1">TRANSPOSE(ols(OFFSET($C$2:$C$10,I1437,0),OFFSET($D$2:$H$10,I1437,0)))</f>
        <v>130.53571428571377</v>
      </c>
      <c r="K1437" s="6">
        <f ca="1"/>
        <v>1.0714285714284415</v>
      </c>
      <c r="L1437" s="6">
        <f ca="1"/>
        <v>-0.714285714286234</v>
      </c>
      <c r="M1437" s="6">
        <f ca="1"/>
        <v>0.35714285714357175</v>
      </c>
      <c r="N1437" s="6">
        <f ca="1"/>
        <v>-0.11785714285714377</v>
      </c>
      <c r="O1437" s="6">
        <f t="shared" ca="1" si="209"/>
        <v>100.71428571428515</v>
      </c>
      <c r="P1437" t="str">
        <f t="shared" si="210"/>
        <v>NA</v>
      </c>
      <c r="Q1437" s="10">
        <f t="shared" ca="1" si="211"/>
        <v>88.928571428570791</v>
      </c>
      <c r="R1437" s="10">
        <f t="shared" ca="1" si="212"/>
        <v>130.1785714285711</v>
      </c>
      <c r="S1437" s="10">
        <f t="shared" ca="1" si="213"/>
        <v>-41.250000000000313</v>
      </c>
      <c r="T1437" s="10">
        <f t="shared" ca="1" si="214"/>
        <v>349.99999999999994</v>
      </c>
      <c r="U1437" s="10">
        <f t="shared" ca="1" si="215"/>
        <v>349.99999999999994</v>
      </c>
      <c r="V1437">
        <f t="shared" si="216"/>
        <v>6</v>
      </c>
    </row>
    <row r="1438" spans="1:22" x14ac:dyDescent="0.25">
      <c r="A1438">
        <v>160</v>
      </c>
      <c r="B1438">
        <v>6</v>
      </c>
      <c r="C1438">
        <v>90</v>
      </c>
      <c r="D1438">
        <v>1</v>
      </c>
      <c r="E1438">
        <v>0</v>
      </c>
      <c r="F1438">
        <v>1</v>
      </c>
      <c r="G1438">
        <v>1</v>
      </c>
      <c r="H1438">
        <v>350</v>
      </c>
      <c r="I1438">
        <f t="shared" si="217"/>
        <v>1431</v>
      </c>
      <c r="J1438" s="6">
        <f t="array" aca="1" ref="J1438:N1438" ca="1">TRANSPOSE(ols(OFFSET($C$2:$C$10,I1438,0),OFFSET($D$2:$H$10,I1438,0)))</f>
        <v>130.53571428571377</v>
      </c>
      <c r="K1438" s="6">
        <f ca="1"/>
        <v>1.0714285714284415</v>
      </c>
      <c r="L1438" s="6">
        <f ca="1"/>
        <v>-0.714285714286234</v>
      </c>
      <c r="M1438" s="6">
        <f ca="1"/>
        <v>0.35714285714357175</v>
      </c>
      <c r="N1438" s="6">
        <f ca="1"/>
        <v>-0.11785714285714377</v>
      </c>
      <c r="O1438" s="6">
        <f t="shared" ca="1" si="209"/>
        <v>88.928571428570791</v>
      </c>
      <c r="P1438">
        <f t="shared" ca="1" si="210"/>
        <v>88.928571428570791</v>
      </c>
      <c r="Q1438" s="10">
        <f t="shared" ca="1" si="211"/>
        <v>88.928571428570791</v>
      </c>
      <c r="R1438" s="10">
        <f t="shared" ca="1" si="212"/>
        <v>130.1785714285711</v>
      </c>
      <c r="S1438" s="10">
        <f t="shared" ca="1" si="213"/>
        <v>-41.250000000000313</v>
      </c>
      <c r="T1438" s="10">
        <f t="shared" ca="1" si="214"/>
        <v>349.99999999999994</v>
      </c>
      <c r="U1438" s="10">
        <f t="shared" ca="1" si="215"/>
        <v>349.99999999999994</v>
      </c>
      <c r="V1438">
        <f t="shared" si="216"/>
        <v>6</v>
      </c>
    </row>
    <row r="1439" spans="1:22" x14ac:dyDescent="0.25">
      <c r="A1439">
        <v>160</v>
      </c>
      <c r="B1439">
        <v>7</v>
      </c>
      <c r="C1439">
        <v>80</v>
      </c>
      <c r="D1439">
        <v>1</v>
      </c>
      <c r="E1439">
        <v>1</v>
      </c>
      <c r="F1439">
        <v>0</v>
      </c>
      <c r="G1439">
        <v>1</v>
      </c>
      <c r="H1439">
        <v>450</v>
      </c>
      <c r="I1439">
        <f t="shared" si="217"/>
        <v>1431</v>
      </c>
      <c r="J1439" s="6">
        <f t="array" aca="1" ref="J1439:N1439" ca="1">TRANSPOSE(ols(OFFSET($C$2:$C$10,I1439,0),OFFSET($D$2:$H$10,I1439,0)))</f>
        <v>130.53571428571377</v>
      </c>
      <c r="K1439" s="6">
        <f ca="1"/>
        <v>1.0714285714284415</v>
      </c>
      <c r="L1439" s="6">
        <f ca="1"/>
        <v>-0.714285714286234</v>
      </c>
      <c r="M1439" s="6">
        <f ca="1"/>
        <v>0.35714285714357175</v>
      </c>
      <c r="N1439" s="6">
        <f ca="1"/>
        <v>-0.11785714285714377</v>
      </c>
      <c r="O1439" s="6">
        <f t="shared" ca="1" si="209"/>
        <v>78.928571428571075</v>
      </c>
      <c r="P1439" t="str">
        <f t="shared" si="210"/>
        <v>NA</v>
      </c>
      <c r="Q1439" s="10">
        <f t="shared" ca="1" si="211"/>
        <v>88.928571428570791</v>
      </c>
      <c r="R1439" s="10">
        <f t="shared" ca="1" si="212"/>
        <v>131.96428571428578</v>
      </c>
      <c r="S1439" s="10">
        <f t="shared" ca="1" si="213"/>
        <v>-43.035714285714988</v>
      </c>
      <c r="T1439" s="10">
        <f t="shared" ca="1" si="214"/>
        <v>365.15151515151825</v>
      </c>
      <c r="U1439" s="10">
        <f t="shared" ca="1" si="215"/>
        <v>365.15151515151825</v>
      </c>
      <c r="V1439">
        <f t="shared" si="216"/>
        <v>5</v>
      </c>
    </row>
    <row r="1440" spans="1:22" x14ac:dyDescent="0.25">
      <c r="A1440">
        <v>160</v>
      </c>
      <c r="B1440">
        <v>8</v>
      </c>
      <c r="C1440">
        <v>65</v>
      </c>
      <c r="D1440">
        <v>1</v>
      </c>
      <c r="E1440">
        <v>1</v>
      </c>
      <c r="F1440">
        <v>0</v>
      </c>
      <c r="G1440">
        <v>1</v>
      </c>
      <c r="H1440">
        <v>550</v>
      </c>
      <c r="I1440">
        <f t="shared" si="217"/>
        <v>1431</v>
      </c>
      <c r="J1440" s="6">
        <f t="array" aca="1" ref="J1440:N1440" ca="1">TRANSPOSE(ols(OFFSET($C$2:$C$10,I1440,0),OFFSET($D$2:$H$10,I1440,0)))</f>
        <v>130.53571428571377</v>
      </c>
      <c r="K1440" s="6">
        <f ca="1"/>
        <v>1.0714285714284415</v>
      </c>
      <c r="L1440" s="6">
        <f ca="1"/>
        <v>-0.714285714286234</v>
      </c>
      <c r="M1440" s="6">
        <f ca="1"/>
        <v>0.35714285714357175</v>
      </c>
      <c r="N1440" s="6">
        <f ca="1"/>
        <v>-0.11785714285714377</v>
      </c>
      <c r="O1440" s="6">
        <f t="shared" ca="1" si="209"/>
        <v>67.142857142856712</v>
      </c>
      <c r="P1440" t="str">
        <f t="shared" si="210"/>
        <v>NA</v>
      </c>
      <c r="Q1440" s="10">
        <f t="shared" ca="1" si="211"/>
        <v>88.928571428570791</v>
      </c>
      <c r="R1440" s="10">
        <f t="shared" ca="1" si="212"/>
        <v>131.96428571428578</v>
      </c>
      <c r="S1440" s="10">
        <f t="shared" ca="1" si="213"/>
        <v>-43.035714285714988</v>
      </c>
      <c r="T1440" s="10">
        <f t="shared" ca="1" si="214"/>
        <v>365.15151515151825</v>
      </c>
      <c r="U1440" s="10">
        <f t="shared" ca="1" si="215"/>
        <v>365.15151515151825</v>
      </c>
      <c r="V1440">
        <f t="shared" si="216"/>
        <v>5</v>
      </c>
    </row>
    <row r="1441" spans="1:22" x14ac:dyDescent="0.25">
      <c r="A1441">
        <v>160</v>
      </c>
      <c r="B1441">
        <v>9</v>
      </c>
      <c r="C1441">
        <v>55</v>
      </c>
      <c r="D1441">
        <v>1</v>
      </c>
      <c r="E1441">
        <v>0</v>
      </c>
      <c r="F1441">
        <v>0</v>
      </c>
      <c r="G1441">
        <v>1</v>
      </c>
      <c r="H1441">
        <v>650</v>
      </c>
      <c r="I1441">
        <f t="shared" si="217"/>
        <v>1431</v>
      </c>
      <c r="J1441" s="6">
        <f t="array" aca="1" ref="J1441:N1441" ca="1">TRANSPOSE(ols(OFFSET($C$2:$C$10,I1441,0),OFFSET($D$2:$H$10,I1441,0)))</f>
        <v>130.53571428571377</v>
      </c>
      <c r="K1441" s="6">
        <f ca="1"/>
        <v>1.0714285714284415</v>
      </c>
      <c r="L1441" s="6">
        <f ca="1"/>
        <v>-0.714285714286234</v>
      </c>
      <c r="M1441" s="6">
        <f ca="1"/>
        <v>0.35714285714357175</v>
      </c>
      <c r="N1441" s="6">
        <f ca="1"/>
        <v>-0.11785714285714377</v>
      </c>
      <c r="O1441" s="6">
        <f t="shared" ca="1" si="209"/>
        <v>54.28571428571388</v>
      </c>
      <c r="P1441" t="str">
        <f t="shared" si="210"/>
        <v>NA</v>
      </c>
      <c r="Q1441" s="10">
        <f t="shared" ca="1" si="211"/>
        <v>88.928571428570791</v>
      </c>
      <c r="R1441" s="10">
        <f t="shared" ca="1" si="212"/>
        <v>130.89285714285734</v>
      </c>
      <c r="S1441" s="10">
        <f t="shared" ca="1" si="213"/>
        <v>-41.964285714286547</v>
      </c>
      <c r="T1441" s="10">
        <f t="shared" ca="1" si="214"/>
        <v>356.06060606061038</v>
      </c>
      <c r="U1441" s="10">
        <f t="shared" ca="1" si="215"/>
        <v>356.06060606061038</v>
      </c>
      <c r="V1441">
        <f t="shared" si="216"/>
        <v>4</v>
      </c>
    </row>
    <row r="1442" spans="1:22" x14ac:dyDescent="0.25">
      <c r="A1442">
        <v>161</v>
      </c>
      <c r="B1442">
        <v>1</v>
      </c>
      <c r="C1442">
        <v>60</v>
      </c>
      <c r="D1442">
        <v>1</v>
      </c>
      <c r="E1442">
        <v>0</v>
      </c>
      <c r="F1442">
        <v>1</v>
      </c>
      <c r="G1442">
        <v>0</v>
      </c>
      <c r="H1442">
        <v>250</v>
      </c>
      <c r="I1442">
        <f t="shared" si="217"/>
        <v>1440</v>
      </c>
      <c r="J1442" s="6">
        <f t="array" aca="1" ref="J1442:N1442" ca="1">TRANSPOSE(ols(OFFSET($C$2:$C$10,I1442,0),OFFSET($D$2:$H$10,I1442,0)))</f>
        <v>96.190476190476147</v>
      </c>
      <c r="K1442" s="6">
        <f ca="1"/>
        <v>-1.7857142857144481</v>
      </c>
      <c r="L1442" s="6">
        <f ca="1"/>
        <v>-8.8095238095238528</v>
      </c>
      <c r="M1442" s="6">
        <f ca="1"/>
        <v>-3.0952380952377325</v>
      </c>
      <c r="N1442" s="6">
        <f ca="1"/>
        <v>-9.5238095238096676E-2</v>
      </c>
      <c r="O1442" s="6">
        <f t="shared" ca="1" si="209"/>
        <v>63.571428571428129</v>
      </c>
      <c r="P1442" t="str">
        <f t="shared" si="210"/>
        <v>NA</v>
      </c>
      <c r="Q1442" s="10">
        <f t="shared" ca="1" si="211"/>
        <v>50.952380952380722</v>
      </c>
      <c r="R1442" s="10">
        <f t="shared" ca="1" si="212"/>
        <v>87.380952380952294</v>
      </c>
      <c r="S1442" s="10">
        <f t="shared" ca="1" si="213"/>
        <v>-36.428571428571573</v>
      </c>
      <c r="T1442" s="10">
        <f t="shared" ca="1" si="214"/>
        <v>382.49999999999574</v>
      </c>
      <c r="U1442" s="10">
        <f t="shared" ca="1" si="215"/>
        <v>382.49999999999574</v>
      </c>
      <c r="V1442">
        <f t="shared" si="216"/>
        <v>3</v>
      </c>
    </row>
    <row r="1443" spans="1:22" x14ac:dyDescent="0.25">
      <c r="A1443">
        <v>161</v>
      </c>
      <c r="B1443">
        <v>2</v>
      </c>
      <c r="C1443">
        <v>55</v>
      </c>
      <c r="D1443">
        <v>1</v>
      </c>
      <c r="E1443">
        <v>1</v>
      </c>
      <c r="F1443">
        <v>0</v>
      </c>
      <c r="G1443">
        <v>0</v>
      </c>
      <c r="H1443">
        <v>350</v>
      </c>
      <c r="I1443">
        <f t="shared" si="217"/>
        <v>1440</v>
      </c>
      <c r="J1443" s="6">
        <f t="array" aca="1" ref="J1443:N1443" ca="1">TRANSPOSE(ols(OFFSET($C$2:$C$10,I1443,0),OFFSET($D$2:$H$10,I1443,0)))</f>
        <v>96.190476190476147</v>
      </c>
      <c r="K1443" s="6">
        <f ca="1"/>
        <v>-1.7857142857144481</v>
      </c>
      <c r="L1443" s="6">
        <f ca="1"/>
        <v>-8.8095238095238528</v>
      </c>
      <c r="M1443" s="6">
        <f ca="1"/>
        <v>-3.0952380952377325</v>
      </c>
      <c r="N1443" s="6">
        <f ca="1"/>
        <v>-9.5238095238096676E-2</v>
      </c>
      <c r="O1443" s="6">
        <f t="shared" ca="1" si="209"/>
        <v>61.071428571427859</v>
      </c>
      <c r="P1443" t="str">
        <f t="shared" si="210"/>
        <v>NA</v>
      </c>
      <c r="Q1443" s="10">
        <f t="shared" ca="1" si="211"/>
        <v>50.952380952380722</v>
      </c>
      <c r="R1443" s="10">
        <f t="shared" ca="1" si="212"/>
        <v>94.404761904761699</v>
      </c>
      <c r="S1443" s="10">
        <f t="shared" ca="1" si="213"/>
        <v>-43.452380952380977</v>
      </c>
      <c r="T1443" s="10">
        <f t="shared" ca="1" si="214"/>
        <v>456.24999999999335</v>
      </c>
      <c r="U1443" s="10">
        <f t="shared" ca="1" si="215"/>
        <v>456.24999999999335</v>
      </c>
      <c r="V1443">
        <f t="shared" si="216"/>
        <v>2</v>
      </c>
    </row>
    <row r="1444" spans="1:22" x14ac:dyDescent="0.25">
      <c r="A1444">
        <v>161</v>
      </c>
      <c r="B1444">
        <v>3</v>
      </c>
      <c r="C1444">
        <v>55</v>
      </c>
      <c r="D1444">
        <v>1</v>
      </c>
      <c r="E1444">
        <v>1</v>
      </c>
      <c r="F1444">
        <v>0</v>
      </c>
      <c r="G1444">
        <v>0</v>
      </c>
      <c r="H1444">
        <v>450</v>
      </c>
      <c r="I1444">
        <f t="shared" si="217"/>
        <v>1440</v>
      </c>
      <c r="J1444" s="6">
        <f t="array" aca="1" ref="J1444:N1444" ca="1">TRANSPOSE(ols(OFFSET($C$2:$C$10,I1444,0),OFFSET($D$2:$H$10,I1444,0)))</f>
        <v>96.190476190476147</v>
      </c>
      <c r="K1444" s="6">
        <f ca="1"/>
        <v>-1.7857142857144481</v>
      </c>
      <c r="L1444" s="6">
        <f ca="1"/>
        <v>-8.8095238095238528</v>
      </c>
      <c r="M1444" s="6">
        <f ca="1"/>
        <v>-3.0952380952377325</v>
      </c>
      <c r="N1444" s="6">
        <f ca="1"/>
        <v>-9.5238095238096676E-2</v>
      </c>
      <c r="O1444" s="6">
        <f t="shared" ca="1" si="209"/>
        <v>51.547619047618198</v>
      </c>
      <c r="P1444" t="str">
        <f t="shared" si="210"/>
        <v>NA</v>
      </c>
      <c r="Q1444" s="10">
        <f t="shared" ca="1" si="211"/>
        <v>50.952380952380722</v>
      </c>
      <c r="R1444" s="10">
        <f t="shared" ca="1" si="212"/>
        <v>94.404761904761699</v>
      </c>
      <c r="S1444" s="10">
        <f t="shared" ca="1" si="213"/>
        <v>-43.452380952380977</v>
      </c>
      <c r="T1444" s="10">
        <f t="shared" ca="1" si="214"/>
        <v>456.24999999999335</v>
      </c>
      <c r="U1444" s="10">
        <f t="shared" ca="1" si="215"/>
        <v>456.24999999999335</v>
      </c>
      <c r="V1444">
        <f t="shared" si="216"/>
        <v>2</v>
      </c>
    </row>
    <row r="1445" spans="1:22" x14ac:dyDescent="0.25">
      <c r="A1445">
        <v>161</v>
      </c>
      <c r="B1445">
        <v>4</v>
      </c>
      <c r="C1445">
        <v>50</v>
      </c>
      <c r="D1445">
        <v>1</v>
      </c>
      <c r="E1445">
        <v>0</v>
      </c>
      <c r="F1445">
        <v>0</v>
      </c>
      <c r="G1445">
        <v>0</v>
      </c>
      <c r="H1445">
        <v>550</v>
      </c>
      <c r="I1445">
        <f t="shared" si="217"/>
        <v>1440</v>
      </c>
      <c r="J1445" s="6">
        <f t="array" aca="1" ref="J1445:N1445" ca="1">TRANSPOSE(ols(OFFSET($C$2:$C$10,I1445,0),OFFSET($D$2:$H$10,I1445,0)))</f>
        <v>96.190476190476147</v>
      </c>
      <c r="K1445" s="6">
        <f ca="1"/>
        <v>-1.7857142857144481</v>
      </c>
      <c r="L1445" s="6">
        <f ca="1"/>
        <v>-8.8095238095238528</v>
      </c>
      <c r="M1445" s="6">
        <f ca="1"/>
        <v>-3.0952380952377325</v>
      </c>
      <c r="N1445" s="6">
        <f ca="1"/>
        <v>-9.5238095238096676E-2</v>
      </c>
      <c r="O1445" s="6">
        <f t="shared" ca="1" si="209"/>
        <v>43.809523809522972</v>
      </c>
      <c r="P1445" t="str">
        <f t="shared" si="210"/>
        <v>NA</v>
      </c>
      <c r="Q1445" s="10">
        <f t="shared" ca="1" si="211"/>
        <v>50.952380952380722</v>
      </c>
      <c r="R1445" s="10">
        <f t="shared" ca="1" si="212"/>
        <v>96.190476190476147</v>
      </c>
      <c r="S1445" s="10">
        <f t="shared" ca="1" si="213"/>
        <v>-45.238095238095426</v>
      </c>
      <c r="T1445" s="10">
        <f t="shared" ca="1" si="214"/>
        <v>474.99999999999477</v>
      </c>
      <c r="U1445" s="10">
        <f t="shared" ca="1" si="215"/>
        <v>474.99999999999477</v>
      </c>
      <c r="V1445">
        <f t="shared" si="216"/>
        <v>1</v>
      </c>
    </row>
    <row r="1446" spans="1:22" x14ac:dyDescent="0.25">
      <c r="A1446">
        <v>161</v>
      </c>
      <c r="B1446">
        <v>5</v>
      </c>
      <c r="C1446">
        <v>60</v>
      </c>
      <c r="D1446">
        <v>1</v>
      </c>
      <c r="E1446">
        <v>0</v>
      </c>
      <c r="F1446">
        <v>1</v>
      </c>
      <c r="G1446">
        <v>1</v>
      </c>
      <c r="H1446">
        <v>250</v>
      </c>
      <c r="I1446">
        <f t="shared" si="217"/>
        <v>1440</v>
      </c>
      <c r="J1446" s="6">
        <f t="array" aca="1" ref="J1446:N1446" ca="1">TRANSPOSE(ols(OFFSET($C$2:$C$10,I1446,0),OFFSET($D$2:$H$10,I1446,0)))</f>
        <v>96.190476190476147</v>
      </c>
      <c r="K1446" s="6">
        <f ca="1"/>
        <v>-1.7857142857144481</v>
      </c>
      <c r="L1446" s="6">
        <f ca="1"/>
        <v>-8.8095238095238528</v>
      </c>
      <c r="M1446" s="6">
        <f ca="1"/>
        <v>-3.0952380952377325</v>
      </c>
      <c r="N1446" s="6">
        <f ca="1"/>
        <v>-9.5238095238096676E-2</v>
      </c>
      <c r="O1446" s="6">
        <f t="shared" ca="1" si="209"/>
        <v>60.476190476190396</v>
      </c>
      <c r="P1446" t="str">
        <f t="shared" si="210"/>
        <v>NA</v>
      </c>
      <c r="Q1446" s="10">
        <f t="shared" ca="1" si="211"/>
        <v>50.952380952380722</v>
      </c>
      <c r="R1446" s="10">
        <f t="shared" ca="1" si="212"/>
        <v>84.285714285714562</v>
      </c>
      <c r="S1446" s="10">
        <f t="shared" ca="1" si="213"/>
        <v>-33.33333333333384</v>
      </c>
      <c r="T1446" s="10">
        <f t="shared" ca="1" si="214"/>
        <v>350.00000000000006</v>
      </c>
      <c r="U1446" s="10">
        <f t="shared" ca="1" si="215"/>
        <v>350.00000000000006</v>
      </c>
      <c r="V1446">
        <f t="shared" si="216"/>
        <v>6</v>
      </c>
    </row>
    <row r="1447" spans="1:22" x14ac:dyDescent="0.25">
      <c r="A1447">
        <v>161</v>
      </c>
      <c r="B1447">
        <v>6</v>
      </c>
      <c r="C1447">
        <v>55</v>
      </c>
      <c r="D1447">
        <v>1</v>
      </c>
      <c r="E1447">
        <v>0</v>
      </c>
      <c r="F1447">
        <v>1</v>
      </c>
      <c r="G1447">
        <v>1</v>
      </c>
      <c r="H1447">
        <v>350</v>
      </c>
      <c r="I1447">
        <f t="shared" si="217"/>
        <v>1440</v>
      </c>
      <c r="J1447" s="6">
        <f t="array" aca="1" ref="J1447:N1447" ca="1">TRANSPOSE(ols(OFFSET($C$2:$C$10,I1447,0),OFFSET($D$2:$H$10,I1447,0)))</f>
        <v>96.190476190476147</v>
      </c>
      <c r="K1447" s="6">
        <f ca="1"/>
        <v>-1.7857142857144481</v>
      </c>
      <c r="L1447" s="6">
        <f ca="1"/>
        <v>-8.8095238095238528</v>
      </c>
      <c r="M1447" s="6">
        <f ca="1"/>
        <v>-3.0952380952377325</v>
      </c>
      <c r="N1447" s="6">
        <f ca="1"/>
        <v>-9.5238095238096676E-2</v>
      </c>
      <c r="O1447" s="6">
        <f t="shared" ca="1" si="209"/>
        <v>50.952380952380722</v>
      </c>
      <c r="P1447">
        <f t="shared" ca="1" si="210"/>
        <v>50.952380952380722</v>
      </c>
      <c r="Q1447" s="10">
        <f t="shared" ca="1" si="211"/>
        <v>50.952380952380722</v>
      </c>
      <c r="R1447" s="10">
        <f t="shared" ca="1" si="212"/>
        <v>84.285714285714562</v>
      </c>
      <c r="S1447" s="10">
        <f t="shared" ca="1" si="213"/>
        <v>-33.33333333333384</v>
      </c>
      <c r="T1447" s="10">
        <f t="shared" ca="1" si="214"/>
        <v>350.00000000000006</v>
      </c>
      <c r="U1447" s="10">
        <f t="shared" ca="1" si="215"/>
        <v>350.00000000000006</v>
      </c>
      <c r="V1447">
        <f t="shared" si="216"/>
        <v>6</v>
      </c>
    </row>
    <row r="1448" spans="1:22" x14ac:dyDescent="0.25">
      <c r="A1448">
        <v>161</v>
      </c>
      <c r="B1448">
        <v>7</v>
      </c>
      <c r="C1448">
        <v>55</v>
      </c>
      <c r="D1448">
        <v>1</v>
      </c>
      <c r="E1448">
        <v>1</v>
      </c>
      <c r="F1448">
        <v>0</v>
      </c>
      <c r="G1448">
        <v>1</v>
      </c>
      <c r="H1448">
        <v>450</v>
      </c>
      <c r="I1448">
        <f t="shared" si="217"/>
        <v>1440</v>
      </c>
      <c r="J1448" s="6">
        <f t="array" aca="1" ref="J1448:N1448" ca="1">TRANSPOSE(ols(OFFSET($C$2:$C$10,I1448,0),OFFSET($D$2:$H$10,I1448,0)))</f>
        <v>96.190476190476147</v>
      </c>
      <c r="K1448" s="6">
        <f ca="1"/>
        <v>-1.7857142857144481</v>
      </c>
      <c r="L1448" s="6">
        <f ca="1"/>
        <v>-8.8095238095238528</v>
      </c>
      <c r="M1448" s="6">
        <f ca="1"/>
        <v>-3.0952380952377325</v>
      </c>
      <c r="N1448" s="6">
        <f ca="1"/>
        <v>-9.5238095238096676E-2</v>
      </c>
      <c r="O1448" s="6">
        <f t="shared" ca="1" si="209"/>
        <v>48.452380952380466</v>
      </c>
      <c r="P1448" t="str">
        <f t="shared" si="210"/>
        <v>NA</v>
      </c>
      <c r="Q1448" s="10">
        <f t="shared" ca="1" si="211"/>
        <v>50.952380952380722</v>
      </c>
      <c r="R1448" s="10">
        <f t="shared" ca="1" si="212"/>
        <v>91.309523809523967</v>
      </c>
      <c r="S1448" s="10">
        <f t="shared" ca="1" si="213"/>
        <v>-40.357142857143245</v>
      </c>
      <c r="T1448" s="10">
        <f t="shared" ca="1" si="214"/>
        <v>423.74999999999767</v>
      </c>
      <c r="U1448" s="10">
        <f t="shared" ca="1" si="215"/>
        <v>423.74999999999767</v>
      </c>
      <c r="V1448">
        <f t="shared" si="216"/>
        <v>5</v>
      </c>
    </row>
    <row r="1449" spans="1:22" x14ac:dyDescent="0.25">
      <c r="A1449">
        <v>161</v>
      </c>
      <c r="B1449">
        <v>8</v>
      </c>
      <c r="C1449">
        <v>35</v>
      </c>
      <c r="D1449">
        <v>1</v>
      </c>
      <c r="E1449">
        <v>1</v>
      </c>
      <c r="F1449">
        <v>0</v>
      </c>
      <c r="G1449">
        <v>1</v>
      </c>
      <c r="H1449">
        <v>550</v>
      </c>
      <c r="I1449">
        <f t="shared" si="217"/>
        <v>1440</v>
      </c>
      <c r="J1449" s="6">
        <f t="array" aca="1" ref="J1449:N1449" ca="1">TRANSPOSE(ols(OFFSET($C$2:$C$10,I1449,0),OFFSET($D$2:$H$10,I1449,0)))</f>
        <v>96.190476190476147</v>
      </c>
      <c r="K1449" s="6">
        <f ca="1"/>
        <v>-1.7857142857144481</v>
      </c>
      <c r="L1449" s="6">
        <f ca="1"/>
        <v>-8.8095238095238528</v>
      </c>
      <c r="M1449" s="6">
        <f ca="1"/>
        <v>-3.0952380952377325</v>
      </c>
      <c r="N1449" s="6">
        <f ca="1"/>
        <v>-9.5238095238096676E-2</v>
      </c>
      <c r="O1449" s="6">
        <f t="shared" ca="1" si="209"/>
        <v>38.928571428570791</v>
      </c>
      <c r="P1449" t="str">
        <f t="shared" si="210"/>
        <v>NA</v>
      </c>
      <c r="Q1449" s="10">
        <f t="shared" ca="1" si="211"/>
        <v>50.952380952380722</v>
      </c>
      <c r="R1449" s="10">
        <f t="shared" ca="1" si="212"/>
        <v>91.309523809523967</v>
      </c>
      <c r="S1449" s="10">
        <f t="shared" ca="1" si="213"/>
        <v>-40.357142857143245</v>
      </c>
      <c r="T1449" s="10">
        <f t="shared" ca="1" si="214"/>
        <v>423.74999999999767</v>
      </c>
      <c r="U1449" s="10">
        <f t="shared" ca="1" si="215"/>
        <v>423.74999999999767</v>
      </c>
      <c r="V1449">
        <f t="shared" si="216"/>
        <v>5</v>
      </c>
    </row>
    <row r="1450" spans="1:22" x14ac:dyDescent="0.25">
      <c r="A1450">
        <v>161</v>
      </c>
      <c r="B1450">
        <v>9</v>
      </c>
      <c r="C1450">
        <v>25</v>
      </c>
      <c r="D1450">
        <v>1</v>
      </c>
      <c r="E1450">
        <v>0</v>
      </c>
      <c r="F1450">
        <v>0</v>
      </c>
      <c r="G1450">
        <v>1</v>
      </c>
      <c r="H1450">
        <v>650</v>
      </c>
      <c r="I1450">
        <f t="shared" si="217"/>
        <v>1440</v>
      </c>
      <c r="J1450" s="6">
        <f t="array" aca="1" ref="J1450:N1450" ca="1">TRANSPOSE(ols(OFFSET($C$2:$C$10,I1450,0),OFFSET($D$2:$H$10,I1450,0)))</f>
        <v>96.190476190476147</v>
      </c>
      <c r="K1450" s="6">
        <f ca="1"/>
        <v>-1.7857142857144481</v>
      </c>
      <c r="L1450" s="6">
        <f ca="1"/>
        <v>-8.8095238095238528</v>
      </c>
      <c r="M1450" s="6">
        <f ca="1"/>
        <v>-3.0952380952377325</v>
      </c>
      <c r="N1450" s="6">
        <f ca="1"/>
        <v>-9.5238095238096676E-2</v>
      </c>
      <c r="O1450" s="6">
        <f t="shared" ca="1" si="209"/>
        <v>31.190476190475579</v>
      </c>
      <c r="P1450" t="str">
        <f t="shared" si="210"/>
        <v>NA</v>
      </c>
      <c r="Q1450" s="10">
        <f t="shared" ca="1" si="211"/>
        <v>50.952380952380722</v>
      </c>
      <c r="R1450" s="10">
        <f t="shared" ca="1" si="212"/>
        <v>93.095238095238415</v>
      </c>
      <c r="S1450" s="10">
        <f t="shared" ca="1" si="213"/>
        <v>-42.142857142857693</v>
      </c>
      <c r="T1450" s="10">
        <f t="shared" ca="1" si="214"/>
        <v>442.49999999999909</v>
      </c>
      <c r="U1450" s="10">
        <f t="shared" ca="1" si="215"/>
        <v>442.49999999999909</v>
      </c>
      <c r="V1450">
        <f t="shared" si="216"/>
        <v>4</v>
      </c>
    </row>
    <row r="1451" spans="1:22" x14ac:dyDescent="0.25">
      <c r="A1451">
        <v>162</v>
      </c>
      <c r="B1451">
        <v>1</v>
      </c>
      <c r="C1451">
        <v>100</v>
      </c>
      <c r="D1451">
        <v>1</v>
      </c>
      <c r="E1451">
        <v>0</v>
      </c>
      <c r="F1451">
        <v>1</v>
      </c>
      <c r="G1451">
        <v>0</v>
      </c>
      <c r="H1451">
        <v>250</v>
      </c>
      <c r="I1451">
        <f t="shared" si="217"/>
        <v>1449</v>
      </c>
      <c r="J1451" s="6">
        <f t="array" aca="1" ref="J1451:N1451" ca="1">TRANSPOSE(ols(OFFSET($C$2:$C$10,I1451,0),OFFSET($D$2:$H$10,I1451,0)))</f>
        <v>161.07142857142753</v>
      </c>
      <c r="K1451" s="6">
        <f ca="1"/>
        <v>-15.357142857143117</v>
      </c>
      <c r="L1451" s="6">
        <f ca="1"/>
        <v>3.571428571427532</v>
      </c>
      <c r="M1451" s="6">
        <f ca="1"/>
        <v>-39.285714285714221</v>
      </c>
      <c r="N1451" s="6">
        <f ca="1"/>
        <v>-0.13571428571428612</v>
      </c>
      <c r="O1451" s="6">
        <f t="shared" ca="1" si="209"/>
        <v>130.71428571428353</v>
      </c>
      <c r="P1451" t="str">
        <f t="shared" si="210"/>
        <v>NA</v>
      </c>
      <c r="Q1451" s="10">
        <f t="shared" ca="1" si="211"/>
        <v>77.857142857140701</v>
      </c>
      <c r="R1451" s="10">
        <f t="shared" ca="1" si="212"/>
        <v>164.64285714285506</v>
      </c>
      <c r="S1451" s="10">
        <f t="shared" ca="1" si="213"/>
        <v>-86.785714285714363</v>
      </c>
      <c r="T1451" s="10">
        <f t="shared" ca="1" si="214"/>
        <v>639.47368421052499</v>
      </c>
      <c r="U1451" s="10">
        <f t="shared" ca="1" si="215"/>
        <v>639.47368421052499</v>
      </c>
      <c r="V1451">
        <f t="shared" si="216"/>
        <v>3</v>
      </c>
    </row>
    <row r="1452" spans="1:22" x14ac:dyDescent="0.25">
      <c r="A1452">
        <v>162</v>
      </c>
      <c r="B1452">
        <v>2</v>
      </c>
      <c r="C1452">
        <v>100</v>
      </c>
      <c r="D1452">
        <v>1</v>
      </c>
      <c r="E1452">
        <v>1</v>
      </c>
      <c r="F1452">
        <v>0</v>
      </c>
      <c r="G1452">
        <v>0</v>
      </c>
      <c r="H1452">
        <v>350</v>
      </c>
      <c r="I1452">
        <f t="shared" si="217"/>
        <v>1449</v>
      </c>
      <c r="J1452" s="6">
        <f t="array" aca="1" ref="J1452:N1452" ca="1">TRANSPOSE(ols(OFFSET($C$2:$C$10,I1452,0),OFFSET($D$2:$H$10,I1452,0)))</f>
        <v>161.07142857142753</v>
      </c>
      <c r="K1452" s="6">
        <f ca="1"/>
        <v>-15.357142857143117</v>
      </c>
      <c r="L1452" s="6">
        <f ca="1"/>
        <v>3.571428571427532</v>
      </c>
      <c r="M1452" s="6">
        <f ca="1"/>
        <v>-39.285714285714221</v>
      </c>
      <c r="N1452" s="6">
        <f ca="1"/>
        <v>-0.13571428571428612</v>
      </c>
      <c r="O1452" s="6">
        <f t="shared" ca="1" si="209"/>
        <v>98.214285714284273</v>
      </c>
      <c r="P1452" t="str">
        <f t="shared" si="210"/>
        <v>NA</v>
      </c>
      <c r="Q1452" s="10">
        <f t="shared" ca="1" si="211"/>
        <v>77.857142857140701</v>
      </c>
      <c r="R1452" s="10">
        <f t="shared" ca="1" si="212"/>
        <v>145.71428571428442</v>
      </c>
      <c r="S1452" s="10">
        <f t="shared" ca="1" si="213"/>
        <v>-67.857142857143714</v>
      </c>
      <c r="T1452" s="10">
        <f t="shared" ca="1" si="214"/>
        <v>500.00000000000483</v>
      </c>
      <c r="U1452" s="10">
        <f t="shared" ca="1" si="215"/>
        <v>500.00000000000483</v>
      </c>
      <c r="V1452">
        <f t="shared" si="216"/>
        <v>2</v>
      </c>
    </row>
    <row r="1453" spans="1:22" x14ac:dyDescent="0.25">
      <c r="A1453">
        <v>162</v>
      </c>
      <c r="B1453">
        <v>3</v>
      </c>
      <c r="C1453">
        <v>100</v>
      </c>
      <c r="D1453">
        <v>1</v>
      </c>
      <c r="E1453">
        <v>1</v>
      </c>
      <c r="F1453">
        <v>0</v>
      </c>
      <c r="G1453">
        <v>0</v>
      </c>
      <c r="H1453">
        <v>450</v>
      </c>
      <c r="I1453">
        <f t="shared" si="217"/>
        <v>1449</v>
      </c>
      <c r="J1453" s="6">
        <f t="array" aca="1" ref="J1453:N1453" ca="1">TRANSPOSE(ols(OFFSET($C$2:$C$10,I1453,0),OFFSET($D$2:$H$10,I1453,0)))</f>
        <v>161.07142857142753</v>
      </c>
      <c r="K1453" s="6">
        <f ca="1"/>
        <v>-15.357142857143117</v>
      </c>
      <c r="L1453" s="6">
        <f ca="1"/>
        <v>3.571428571427532</v>
      </c>
      <c r="M1453" s="6">
        <f ca="1"/>
        <v>-39.285714285714221</v>
      </c>
      <c r="N1453" s="6">
        <f ca="1"/>
        <v>-0.13571428571428612</v>
      </c>
      <c r="O1453" s="6">
        <f t="shared" ca="1" si="209"/>
        <v>84.642857142855661</v>
      </c>
      <c r="P1453" t="str">
        <f t="shared" si="210"/>
        <v>NA</v>
      </c>
      <c r="Q1453" s="10">
        <f t="shared" ca="1" si="211"/>
        <v>77.857142857140701</v>
      </c>
      <c r="R1453" s="10">
        <f t="shared" ca="1" si="212"/>
        <v>145.71428571428442</v>
      </c>
      <c r="S1453" s="10">
        <f t="shared" ca="1" si="213"/>
        <v>-67.857142857143714</v>
      </c>
      <c r="T1453" s="10">
        <f t="shared" ca="1" si="214"/>
        <v>500.00000000000483</v>
      </c>
      <c r="U1453" s="10">
        <f t="shared" ca="1" si="215"/>
        <v>500.00000000000483</v>
      </c>
      <c r="V1453">
        <f t="shared" si="216"/>
        <v>2</v>
      </c>
    </row>
    <row r="1454" spans="1:22" x14ac:dyDescent="0.25">
      <c r="A1454">
        <v>162</v>
      </c>
      <c r="B1454">
        <v>4</v>
      </c>
      <c r="C1454">
        <v>100</v>
      </c>
      <c r="D1454">
        <v>1</v>
      </c>
      <c r="E1454">
        <v>0</v>
      </c>
      <c r="F1454">
        <v>0</v>
      </c>
      <c r="G1454">
        <v>0</v>
      </c>
      <c r="H1454">
        <v>550</v>
      </c>
      <c r="I1454">
        <f t="shared" si="217"/>
        <v>1449</v>
      </c>
      <c r="J1454" s="6">
        <f t="array" aca="1" ref="J1454:N1454" ca="1">TRANSPOSE(ols(OFFSET($C$2:$C$10,I1454,0),OFFSET($D$2:$H$10,I1454,0)))</f>
        <v>161.07142857142753</v>
      </c>
      <c r="K1454" s="6">
        <f ca="1"/>
        <v>-15.357142857143117</v>
      </c>
      <c r="L1454" s="6">
        <f ca="1"/>
        <v>3.571428571427532</v>
      </c>
      <c r="M1454" s="6">
        <f ca="1"/>
        <v>-39.285714285714221</v>
      </c>
      <c r="N1454" s="6">
        <f ca="1"/>
        <v>-0.13571428571428612</v>
      </c>
      <c r="O1454" s="6">
        <f t="shared" ca="1" si="209"/>
        <v>86.428571428570166</v>
      </c>
      <c r="P1454" t="str">
        <f t="shared" si="210"/>
        <v>NA</v>
      </c>
      <c r="Q1454" s="10">
        <f t="shared" ca="1" si="211"/>
        <v>77.857142857140701</v>
      </c>
      <c r="R1454" s="10">
        <f t="shared" ca="1" si="212"/>
        <v>161.07142857142753</v>
      </c>
      <c r="S1454" s="10">
        <f t="shared" ca="1" si="213"/>
        <v>-83.214285714286831</v>
      </c>
      <c r="T1454" s="10">
        <f t="shared" ca="1" si="214"/>
        <v>613.15789473684845</v>
      </c>
      <c r="U1454" s="10">
        <f t="shared" ca="1" si="215"/>
        <v>613.15789473684845</v>
      </c>
      <c r="V1454">
        <f t="shared" si="216"/>
        <v>1</v>
      </c>
    </row>
    <row r="1455" spans="1:22" x14ac:dyDescent="0.25">
      <c r="A1455">
        <v>162</v>
      </c>
      <c r="B1455">
        <v>5</v>
      </c>
      <c r="C1455">
        <v>100</v>
      </c>
      <c r="D1455">
        <v>1</v>
      </c>
      <c r="E1455">
        <v>0</v>
      </c>
      <c r="F1455">
        <v>1</v>
      </c>
      <c r="G1455">
        <v>1</v>
      </c>
      <c r="H1455">
        <v>250</v>
      </c>
      <c r="I1455">
        <f t="shared" si="217"/>
        <v>1449</v>
      </c>
      <c r="J1455" s="6">
        <f t="array" aca="1" ref="J1455:N1455" ca="1">TRANSPOSE(ols(OFFSET($C$2:$C$10,I1455,0),OFFSET($D$2:$H$10,I1455,0)))</f>
        <v>161.07142857142753</v>
      </c>
      <c r="K1455" s="6">
        <f ca="1"/>
        <v>-15.357142857143117</v>
      </c>
      <c r="L1455" s="6">
        <f ca="1"/>
        <v>3.571428571427532</v>
      </c>
      <c r="M1455" s="6">
        <f ca="1"/>
        <v>-39.285714285714221</v>
      </c>
      <c r="N1455" s="6">
        <f ca="1"/>
        <v>-0.13571428571428612</v>
      </c>
      <c r="O1455" s="6">
        <f t="shared" ca="1" si="209"/>
        <v>91.428571428569313</v>
      </c>
      <c r="P1455" t="str">
        <f t="shared" si="210"/>
        <v>NA</v>
      </c>
      <c r="Q1455" s="10">
        <f t="shared" ca="1" si="211"/>
        <v>77.857142857140701</v>
      </c>
      <c r="R1455" s="10">
        <f t="shared" ca="1" si="212"/>
        <v>125.35714285714084</v>
      </c>
      <c r="S1455" s="10">
        <f t="shared" ca="1" si="213"/>
        <v>-47.500000000000142</v>
      </c>
      <c r="T1455" s="10">
        <f t="shared" ca="1" si="214"/>
        <v>350</v>
      </c>
      <c r="U1455" s="10">
        <f t="shared" ca="1" si="215"/>
        <v>350</v>
      </c>
      <c r="V1455">
        <f t="shared" si="216"/>
        <v>6</v>
      </c>
    </row>
    <row r="1456" spans="1:22" x14ac:dyDescent="0.25">
      <c r="A1456">
        <v>162</v>
      </c>
      <c r="B1456">
        <v>6</v>
      </c>
      <c r="C1456">
        <v>100</v>
      </c>
      <c r="D1456">
        <v>1</v>
      </c>
      <c r="E1456">
        <v>0</v>
      </c>
      <c r="F1456">
        <v>1</v>
      </c>
      <c r="G1456">
        <v>1</v>
      </c>
      <c r="H1456">
        <v>350</v>
      </c>
      <c r="I1456">
        <f t="shared" si="217"/>
        <v>1449</v>
      </c>
      <c r="J1456" s="6">
        <f t="array" aca="1" ref="J1456:N1456" ca="1">TRANSPOSE(ols(OFFSET($C$2:$C$10,I1456,0),OFFSET($D$2:$H$10,I1456,0)))</f>
        <v>161.07142857142753</v>
      </c>
      <c r="K1456" s="6">
        <f ca="1"/>
        <v>-15.357142857143117</v>
      </c>
      <c r="L1456" s="6">
        <f ca="1"/>
        <v>3.571428571427532</v>
      </c>
      <c r="M1456" s="6">
        <f ca="1"/>
        <v>-39.285714285714221</v>
      </c>
      <c r="N1456" s="6">
        <f ca="1"/>
        <v>-0.13571428571428612</v>
      </c>
      <c r="O1456" s="6">
        <f t="shared" ca="1" si="209"/>
        <v>77.857142857140701</v>
      </c>
      <c r="P1456">
        <f t="shared" ca="1" si="210"/>
        <v>77.857142857140701</v>
      </c>
      <c r="Q1456" s="10">
        <f t="shared" ca="1" si="211"/>
        <v>77.857142857140701</v>
      </c>
      <c r="R1456" s="10">
        <f t="shared" ca="1" si="212"/>
        <v>125.35714285714084</v>
      </c>
      <c r="S1456" s="10">
        <f t="shared" ca="1" si="213"/>
        <v>-47.500000000000142</v>
      </c>
      <c r="T1456" s="10">
        <f t="shared" ca="1" si="214"/>
        <v>350</v>
      </c>
      <c r="U1456" s="10">
        <f t="shared" ca="1" si="215"/>
        <v>350</v>
      </c>
      <c r="V1456">
        <f t="shared" si="216"/>
        <v>6</v>
      </c>
    </row>
    <row r="1457" spans="1:22" x14ac:dyDescent="0.25">
      <c r="A1457">
        <v>162</v>
      </c>
      <c r="B1457">
        <v>7</v>
      </c>
      <c r="C1457">
        <v>35</v>
      </c>
      <c r="D1457">
        <v>1</v>
      </c>
      <c r="E1457">
        <v>1</v>
      </c>
      <c r="F1457">
        <v>0</v>
      </c>
      <c r="G1457">
        <v>1</v>
      </c>
      <c r="H1457">
        <v>450</v>
      </c>
      <c r="I1457">
        <f t="shared" si="217"/>
        <v>1449</v>
      </c>
      <c r="J1457" s="6">
        <f t="array" aca="1" ref="J1457:N1457" ca="1">TRANSPOSE(ols(OFFSET($C$2:$C$10,I1457,0),OFFSET($D$2:$H$10,I1457,0)))</f>
        <v>161.07142857142753</v>
      </c>
      <c r="K1457" s="6">
        <f ca="1"/>
        <v>-15.357142857143117</v>
      </c>
      <c r="L1457" s="6">
        <f ca="1"/>
        <v>3.571428571427532</v>
      </c>
      <c r="M1457" s="6">
        <f ca="1"/>
        <v>-39.285714285714221</v>
      </c>
      <c r="N1457" s="6">
        <f ca="1"/>
        <v>-0.13571428571428612</v>
      </c>
      <c r="O1457" s="6">
        <f t="shared" ca="1" si="209"/>
        <v>45.35714285714144</v>
      </c>
      <c r="P1457" t="str">
        <f t="shared" si="210"/>
        <v>NA</v>
      </c>
      <c r="Q1457" s="10">
        <f t="shared" ca="1" si="211"/>
        <v>77.857142857140701</v>
      </c>
      <c r="R1457" s="10">
        <f t="shared" ca="1" si="212"/>
        <v>106.42857142857019</v>
      </c>
      <c r="S1457" s="10">
        <f t="shared" ca="1" si="213"/>
        <v>-28.571428571429493</v>
      </c>
      <c r="T1457" s="10">
        <f t="shared" ca="1" si="214"/>
        <v>210.52631578947984</v>
      </c>
      <c r="U1457" s="10" t="str">
        <f t="shared" ca="1" si="215"/>
        <v>OR</v>
      </c>
      <c r="V1457">
        <f t="shared" si="216"/>
        <v>5</v>
      </c>
    </row>
    <row r="1458" spans="1:22" x14ac:dyDescent="0.25">
      <c r="A1458">
        <v>162</v>
      </c>
      <c r="B1458">
        <v>8</v>
      </c>
      <c r="C1458">
        <v>25</v>
      </c>
      <c r="D1458">
        <v>1</v>
      </c>
      <c r="E1458">
        <v>1</v>
      </c>
      <c r="F1458">
        <v>0</v>
      </c>
      <c r="G1458">
        <v>1</v>
      </c>
      <c r="H1458">
        <v>550</v>
      </c>
      <c r="I1458">
        <f t="shared" si="217"/>
        <v>1449</v>
      </c>
      <c r="J1458" s="6">
        <f t="array" aca="1" ref="J1458:N1458" ca="1">TRANSPOSE(ols(OFFSET($C$2:$C$10,I1458,0),OFFSET($D$2:$H$10,I1458,0)))</f>
        <v>161.07142857142753</v>
      </c>
      <c r="K1458" s="6">
        <f ca="1"/>
        <v>-15.357142857143117</v>
      </c>
      <c r="L1458" s="6">
        <f ca="1"/>
        <v>3.571428571427532</v>
      </c>
      <c r="M1458" s="6">
        <f ca="1"/>
        <v>-39.285714285714221</v>
      </c>
      <c r="N1458" s="6">
        <f ca="1"/>
        <v>-0.13571428571428612</v>
      </c>
      <c r="O1458" s="6">
        <f t="shared" ca="1" si="209"/>
        <v>31.785714285712828</v>
      </c>
      <c r="P1458" t="str">
        <f t="shared" si="210"/>
        <v>NA</v>
      </c>
      <c r="Q1458" s="10">
        <f t="shared" ca="1" si="211"/>
        <v>77.857142857140701</v>
      </c>
      <c r="R1458" s="10">
        <f t="shared" ca="1" si="212"/>
        <v>106.42857142857019</v>
      </c>
      <c r="S1458" s="10">
        <f t="shared" ca="1" si="213"/>
        <v>-28.571428571429493</v>
      </c>
      <c r="T1458" s="10">
        <f t="shared" ca="1" si="214"/>
        <v>210.52631578947984</v>
      </c>
      <c r="U1458" s="10" t="str">
        <f t="shared" ca="1" si="215"/>
        <v>OR</v>
      </c>
      <c r="V1458">
        <f t="shared" si="216"/>
        <v>5</v>
      </c>
    </row>
    <row r="1459" spans="1:22" x14ac:dyDescent="0.25">
      <c r="A1459">
        <v>162</v>
      </c>
      <c r="B1459">
        <v>9</v>
      </c>
      <c r="C1459">
        <v>20</v>
      </c>
      <c r="D1459">
        <v>1</v>
      </c>
      <c r="E1459">
        <v>0</v>
      </c>
      <c r="F1459">
        <v>0</v>
      </c>
      <c r="G1459">
        <v>1</v>
      </c>
      <c r="H1459">
        <v>650</v>
      </c>
      <c r="I1459">
        <f t="shared" si="217"/>
        <v>1449</v>
      </c>
      <c r="J1459" s="6">
        <f t="array" aca="1" ref="J1459:N1459" ca="1">TRANSPOSE(ols(OFFSET($C$2:$C$10,I1459,0),OFFSET($D$2:$H$10,I1459,0)))</f>
        <v>161.07142857142753</v>
      </c>
      <c r="K1459" s="6">
        <f ca="1"/>
        <v>-15.357142857143117</v>
      </c>
      <c r="L1459" s="6">
        <f ca="1"/>
        <v>3.571428571427532</v>
      </c>
      <c r="M1459" s="6">
        <f ca="1"/>
        <v>-39.285714285714221</v>
      </c>
      <c r="N1459" s="6">
        <f ca="1"/>
        <v>-0.13571428571428612</v>
      </c>
      <c r="O1459" s="6">
        <f t="shared" ca="1" si="209"/>
        <v>33.571428571427333</v>
      </c>
      <c r="P1459" t="str">
        <f t="shared" si="210"/>
        <v>NA</v>
      </c>
      <c r="Q1459" s="10">
        <f t="shared" ca="1" si="211"/>
        <v>77.857142857140701</v>
      </c>
      <c r="R1459" s="10">
        <f t="shared" ca="1" si="212"/>
        <v>121.78571428571331</v>
      </c>
      <c r="S1459" s="10">
        <f t="shared" ca="1" si="213"/>
        <v>-43.92857142857261</v>
      </c>
      <c r="T1459" s="10">
        <f t="shared" ca="1" si="214"/>
        <v>323.68421052632351</v>
      </c>
      <c r="U1459" s="10">
        <f t="shared" ca="1" si="215"/>
        <v>323.68421052632351</v>
      </c>
      <c r="V1459">
        <f t="shared" si="216"/>
        <v>4</v>
      </c>
    </row>
    <row r="1460" spans="1:22" x14ac:dyDescent="0.25">
      <c r="A1460">
        <v>163</v>
      </c>
      <c r="B1460">
        <v>1</v>
      </c>
      <c r="C1460">
        <v>100</v>
      </c>
      <c r="D1460">
        <v>1</v>
      </c>
      <c r="E1460">
        <v>0</v>
      </c>
      <c r="F1460">
        <v>1</v>
      </c>
      <c r="G1460">
        <v>0</v>
      </c>
      <c r="H1460">
        <v>250</v>
      </c>
      <c r="I1460">
        <f t="shared" si="217"/>
        <v>1458</v>
      </c>
      <c r="J1460" s="6">
        <f t="array" aca="1" ref="J1460:N1460" ca="1">TRANSPOSE(ols(OFFSET($C$2:$C$10,I1460,0),OFFSET($D$2:$H$10,I1460,0)))</f>
        <v>133.74999999999818</v>
      </c>
      <c r="K1460" s="6">
        <f ca="1"/>
        <v>21.250000000000455</v>
      </c>
      <c r="L1460" s="6">
        <f ca="1"/>
        <v>20.000000000000455</v>
      </c>
      <c r="M1460" s="6">
        <f ca="1"/>
        <v>2.5000000000002274</v>
      </c>
      <c r="N1460" s="6">
        <f ca="1"/>
        <v>-0.22499999999999787</v>
      </c>
      <c r="O1460" s="6">
        <f t="shared" ca="1" si="209"/>
        <v>97.499999999999176</v>
      </c>
      <c r="P1460" t="str">
        <f t="shared" si="210"/>
        <v>NA</v>
      </c>
      <c r="Q1460" s="10">
        <f t="shared" ca="1" si="211"/>
        <v>77.499999999999602</v>
      </c>
      <c r="R1460" s="10">
        <f t="shared" ca="1" si="212"/>
        <v>153.74999999999864</v>
      </c>
      <c r="S1460" s="10">
        <f t="shared" ca="1" si="213"/>
        <v>-76.249999999999034</v>
      </c>
      <c r="T1460" s="10">
        <f t="shared" ca="1" si="214"/>
        <v>338.88888888888778</v>
      </c>
      <c r="U1460" s="10">
        <f t="shared" ca="1" si="215"/>
        <v>338.88888888888778</v>
      </c>
      <c r="V1460">
        <f t="shared" si="216"/>
        <v>3</v>
      </c>
    </row>
    <row r="1461" spans="1:22" x14ac:dyDescent="0.25">
      <c r="A1461">
        <v>163</v>
      </c>
      <c r="B1461">
        <v>2</v>
      </c>
      <c r="C1461">
        <v>75</v>
      </c>
      <c r="D1461">
        <v>1</v>
      </c>
      <c r="E1461">
        <v>1</v>
      </c>
      <c r="F1461">
        <v>0</v>
      </c>
      <c r="G1461">
        <v>0</v>
      </c>
      <c r="H1461">
        <v>350</v>
      </c>
      <c r="I1461">
        <f t="shared" si="217"/>
        <v>1458</v>
      </c>
      <c r="J1461" s="6">
        <f t="array" aca="1" ref="J1461:N1461" ca="1">TRANSPOSE(ols(OFFSET($C$2:$C$10,I1461,0),OFFSET($D$2:$H$10,I1461,0)))</f>
        <v>133.74999999999818</v>
      </c>
      <c r="K1461" s="6">
        <f ca="1"/>
        <v>21.250000000000455</v>
      </c>
      <c r="L1461" s="6">
        <f ca="1"/>
        <v>20.000000000000455</v>
      </c>
      <c r="M1461" s="6">
        <f ca="1"/>
        <v>2.5000000000002274</v>
      </c>
      <c r="N1461" s="6">
        <f ca="1"/>
        <v>-0.22499999999999787</v>
      </c>
      <c r="O1461" s="6">
        <f t="shared" ca="1" si="209"/>
        <v>76.249999999999375</v>
      </c>
      <c r="P1461" t="str">
        <f t="shared" si="210"/>
        <v>NA</v>
      </c>
      <c r="Q1461" s="10">
        <f t="shared" ca="1" si="211"/>
        <v>77.499999999999602</v>
      </c>
      <c r="R1461" s="10">
        <f t="shared" ca="1" si="212"/>
        <v>154.99999999999864</v>
      </c>
      <c r="S1461" s="10">
        <f t="shared" ca="1" si="213"/>
        <v>-77.499999999999034</v>
      </c>
      <c r="T1461" s="10">
        <f t="shared" ca="1" si="214"/>
        <v>344.44444444444343</v>
      </c>
      <c r="U1461" s="10">
        <f t="shared" ca="1" si="215"/>
        <v>344.44444444444343</v>
      </c>
      <c r="V1461">
        <f t="shared" si="216"/>
        <v>2</v>
      </c>
    </row>
    <row r="1462" spans="1:22" x14ac:dyDescent="0.25">
      <c r="A1462">
        <v>163</v>
      </c>
      <c r="B1462">
        <v>3</v>
      </c>
      <c r="C1462">
        <v>62.5</v>
      </c>
      <c r="D1462">
        <v>1</v>
      </c>
      <c r="E1462">
        <v>1</v>
      </c>
      <c r="F1462">
        <v>0</v>
      </c>
      <c r="G1462">
        <v>0</v>
      </c>
      <c r="H1462">
        <v>450</v>
      </c>
      <c r="I1462">
        <f t="shared" si="217"/>
        <v>1458</v>
      </c>
      <c r="J1462" s="6">
        <f t="array" aca="1" ref="J1462:N1462" ca="1">TRANSPOSE(ols(OFFSET($C$2:$C$10,I1462,0),OFFSET($D$2:$H$10,I1462,0)))</f>
        <v>133.74999999999818</v>
      </c>
      <c r="K1462" s="6">
        <f ca="1"/>
        <v>21.250000000000455</v>
      </c>
      <c r="L1462" s="6">
        <f ca="1"/>
        <v>20.000000000000455</v>
      </c>
      <c r="M1462" s="6">
        <f ca="1"/>
        <v>2.5000000000002274</v>
      </c>
      <c r="N1462" s="6">
        <f ca="1"/>
        <v>-0.22499999999999787</v>
      </c>
      <c r="O1462" s="6">
        <f t="shared" ca="1" si="209"/>
        <v>53.749999999999602</v>
      </c>
      <c r="P1462" t="str">
        <f t="shared" si="210"/>
        <v>NA</v>
      </c>
      <c r="Q1462" s="10">
        <f t="shared" ca="1" si="211"/>
        <v>77.499999999999602</v>
      </c>
      <c r="R1462" s="10">
        <f t="shared" ca="1" si="212"/>
        <v>154.99999999999864</v>
      </c>
      <c r="S1462" s="10">
        <f t="shared" ca="1" si="213"/>
        <v>-77.499999999999034</v>
      </c>
      <c r="T1462" s="10">
        <f t="shared" ca="1" si="214"/>
        <v>344.44444444444343</v>
      </c>
      <c r="U1462" s="10">
        <f t="shared" ca="1" si="215"/>
        <v>344.44444444444343</v>
      </c>
      <c r="V1462">
        <f t="shared" si="216"/>
        <v>2</v>
      </c>
    </row>
    <row r="1463" spans="1:22" x14ac:dyDescent="0.25">
      <c r="A1463">
        <v>163</v>
      </c>
      <c r="B1463">
        <v>4</v>
      </c>
      <c r="C1463">
        <v>0</v>
      </c>
      <c r="D1463">
        <v>1</v>
      </c>
      <c r="E1463">
        <v>0</v>
      </c>
      <c r="F1463">
        <v>0</v>
      </c>
      <c r="G1463">
        <v>0</v>
      </c>
      <c r="H1463">
        <v>550</v>
      </c>
      <c r="I1463">
        <f t="shared" si="217"/>
        <v>1458</v>
      </c>
      <c r="J1463" s="6">
        <f t="array" aca="1" ref="J1463:N1463" ca="1">TRANSPOSE(ols(OFFSET($C$2:$C$10,I1463,0),OFFSET($D$2:$H$10,I1463,0)))</f>
        <v>133.74999999999818</v>
      </c>
      <c r="K1463" s="6">
        <f ca="1"/>
        <v>21.250000000000455</v>
      </c>
      <c r="L1463" s="6">
        <f ca="1"/>
        <v>20.000000000000455</v>
      </c>
      <c r="M1463" s="6">
        <f ca="1"/>
        <v>2.5000000000002274</v>
      </c>
      <c r="N1463" s="6">
        <f ca="1"/>
        <v>-0.22499999999999787</v>
      </c>
      <c r="O1463" s="6">
        <f t="shared" ca="1" si="209"/>
        <v>9.9999999999993463</v>
      </c>
      <c r="P1463" t="str">
        <f t="shared" si="210"/>
        <v>NA</v>
      </c>
      <c r="Q1463" s="10">
        <f t="shared" ca="1" si="211"/>
        <v>77.499999999999602</v>
      </c>
      <c r="R1463" s="10">
        <f t="shared" ca="1" si="212"/>
        <v>133.74999999999818</v>
      </c>
      <c r="S1463" s="10">
        <f t="shared" ca="1" si="213"/>
        <v>-56.249999999998579</v>
      </c>
      <c r="T1463" s="10">
        <f t="shared" ca="1" si="214"/>
        <v>249.99999999999605</v>
      </c>
      <c r="U1463" s="10" t="str">
        <f t="shared" ca="1" si="215"/>
        <v>OR</v>
      </c>
      <c r="V1463">
        <f t="shared" si="216"/>
        <v>1</v>
      </c>
    </row>
    <row r="1464" spans="1:22" x14ac:dyDescent="0.25">
      <c r="A1464">
        <v>163</v>
      </c>
      <c r="B1464">
        <v>5</v>
      </c>
      <c r="C1464">
        <v>100</v>
      </c>
      <c r="D1464">
        <v>1</v>
      </c>
      <c r="E1464">
        <v>0</v>
      </c>
      <c r="F1464">
        <v>1</v>
      </c>
      <c r="G1464">
        <v>1</v>
      </c>
      <c r="H1464">
        <v>250</v>
      </c>
      <c r="I1464">
        <f t="shared" si="217"/>
        <v>1458</v>
      </c>
      <c r="J1464" s="6">
        <f t="array" aca="1" ref="J1464:N1464" ca="1">TRANSPOSE(ols(OFFSET($C$2:$C$10,I1464,0),OFFSET($D$2:$H$10,I1464,0)))</f>
        <v>133.74999999999818</v>
      </c>
      <c r="K1464" s="6">
        <f ca="1"/>
        <v>21.250000000000455</v>
      </c>
      <c r="L1464" s="6">
        <f ca="1"/>
        <v>20.000000000000455</v>
      </c>
      <c r="M1464" s="6">
        <f ca="1"/>
        <v>2.5000000000002274</v>
      </c>
      <c r="N1464" s="6">
        <f ca="1"/>
        <v>-0.22499999999999787</v>
      </c>
      <c r="O1464" s="6">
        <f t="shared" ca="1" si="209"/>
        <v>99.999999999999403</v>
      </c>
      <c r="P1464" t="str">
        <f t="shared" si="210"/>
        <v>NA</v>
      </c>
      <c r="Q1464" s="10">
        <f t="shared" ca="1" si="211"/>
        <v>77.499999999999602</v>
      </c>
      <c r="R1464" s="10">
        <f t="shared" ca="1" si="212"/>
        <v>156.24999999999886</v>
      </c>
      <c r="S1464" s="10">
        <f t="shared" ca="1" si="213"/>
        <v>-78.749999999999261</v>
      </c>
      <c r="T1464" s="10">
        <f t="shared" ca="1" si="214"/>
        <v>350.00000000000006</v>
      </c>
      <c r="U1464" s="10">
        <f t="shared" ca="1" si="215"/>
        <v>350.00000000000006</v>
      </c>
      <c r="V1464">
        <f t="shared" si="216"/>
        <v>6</v>
      </c>
    </row>
    <row r="1465" spans="1:22" x14ac:dyDescent="0.25">
      <c r="A1465">
        <v>163</v>
      </c>
      <c r="B1465">
        <v>6</v>
      </c>
      <c r="C1465">
        <v>75</v>
      </c>
      <c r="D1465">
        <v>1</v>
      </c>
      <c r="E1465">
        <v>0</v>
      </c>
      <c r="F1465">
        <v>1</v>
      </c>
      <c r="G1465">
        <v>1</v>
      </c>
      <c r="H1465">
        <v>350</v>
      </c>
      <c r="I1465">
        <f t="shared" si="217"/>
        <v>1458</v>
      </c>
      <c r="J1465" s="6">
        <f t="array" aca="1" ref="J1465:N1465" ca="1">TRANSPOSE(ols(OFFSET($C$2:$C$10,I1465,0),OFFSET($D$2:$H$10,I1465,0)))</f>
        <v>133.74999999999818</v>
      </c>
      <c r="K1465" s="6">
        <f ca="1"/>
        <v>21.250000000000455</v>
      </c>
      <c r="L1465" s="6">
        <f ca="1"/>
        <v>20.000000000000455</v>
      </c>
      <c r="M1465" s="6">
        <f ca="1"/>
        <v>2.5000000000002274</v>
      </c>
      <c r="N1465" s="6">
        <f ca="1"/>
        <v>-0.22499999999999787</v>
      </c>
      <c r="O1465" s="6">
        <f t="shared" ca="1" si="209"/>
        <v>77.499999999999602</v>
      </c>
      <c r="P1465">
        <f t="shared" ca="1" si="210"/>
        <v>77.499999999999602</v>
      </c>
      <c r="Q1465" s="10">
        <f t="shared" ca="1" si="211"/>
        <v>77.499999999999602</v>
      </c>
      <c r="R1465" s="10">
        <f t="shared" ca="1" si="212"/>
        <v>156.24999999999886</v>
      </c>
      <c r="S1465" s="10">
        <f t="shared" ca="1" si="213"/>
        <v>-78.749999999999261</v>
      </c>
      <c r="T1465" s="10">
        <f t="shared" ca="1" si="214"/>
        <v>350.00000000000006</v>
      </c>
      <c r="U1465" s="10">
        <f t="shared" ca="1" si="215"/>
        <v>350.00000000000006</v>
      </c>
      <c r="V1465">
        <f t="shared" si="216"/>
        <v>6</v>
      </c>
    </row>
    <row r="1466" spans="1:22" x14ac:dyDescent="0.25">
      <c r="A1466">
        <v>163</v>
      </c>
      <c r="B1466">
        <v>7</v>
      </c>
      <c r="C1466">
        <v>57.5</v>
      </c>
      <c r="D1466">
        <v>1</v>
      </c>
      <c r="E1466">
        <v>1</v>
      </c>
      <c r="F1466">
        <v>0</v>
      </c>
      <c r="G1466">
        <v>1</v>
      </c>
      <c r="H1466">
        <v>450</v>
      </c>
      <c r="I1466">
        <f t="shared" si="217"/>
        <v>1458</v>
      </c>
      <c r="J1466" s="6">
        <f t="array" aca="1" ref="J1466:N1466" ca="1">TRANSPOSE(ols(OFFSET($C$2:$C$10,I1466,0),OFFSET($D$2:$H$10,I1466,0)))</f>
        <v>133.74999999999818</v>
      </c>
      <c r="K1466" s="6">
        <f ca="1"/>
        <v>21.250000000000455</v>
      </c>
      <c r="L1466" s="6">
        <f ca="1"/>
        <v>20.000000000000455</v>
      </c>
      <c r="M1466" s="6">
        <f ca="1"/>
        <v>2.5000000000002274</v>
      </c>
      <c r="N1466" s="6">
        <f ca="1"/>
        <v>-0.22499999999999787</v>
      </c>
      <c r="O1466" s="6">
        <f t="shared" ca="1" si="209"/>
        <v>56.249999999999829</v>
      </c>
      <c r="P1466" t="str">
        <f t="shared" si="210"/>
        <v>NA</v>
      </c>
      <c r="Q1466" s="10">
        <f t="shared" ca="1" si="211"/>
        <v>77.499999999999602</v>
      </c>
      <c r="R1466" s="10">
        <f t="shared" ca="1" si="212"/>
        <v>157.49999999999886</v>
      </c>
      <c r="S1466" s="10">
        <f t="shared" ca="1" si="213"/>
        <v>-79.999999999999261</v>
      </c>
      <c r="T1466" s="10">
        <f t="shared" ca="1" si="214"/>
        <v>355.55555555555566</v>
      </c>
      <c r="U1466" s="10">
        <f t="shared" ca="1" si="215"/>
        <v>355.55555555555566</v>
      </c>
      <c r="V1466">
        <f t="shared" si="216"/>
        <v>5</v>
      </c>
    </row>
    <row r="1467" spans="1:22" x14ac:dyDescent="0.25">
      <c r="A1467">
        <v>163</v>
      </c>
      <c r="B1467">
        <v>8</v>
      </c>
      <c r="C1467">
        <v>25</v>
      </c>
      <c r="D1467">
        <v>1</v>
      </c>
      <c r="E1467">
        <v>1</v>
      </c>
      <c r="F1467">
        <v>0</v>
      </c>
      <c r="G1467">
        <v>1</v>
      </c>
      <c r="H1467">
        <v>550</v>
      </c>
      <c r="I1467">
        <f t="shared" si="217"/>
        <v>1458</v>
      </c>
      <c r="J1467" s="6">
        <f t="array" aca="1" ref="J1467:N1467" ca="1">TRANSPOSE(ols(OFFSET($C$2:$C$10,I1467,0),OFFSET($D$2:$H$10,I1467,0)))</f>
        <v>133.74999999999818</v>
      </c>
      <c r="K1467" s="6">
        <f ca="1"/>
        <v>21.250000000000455</v>
      </c>
      <c r="L1467" s="6">
        <f ca="1"/>
        <v>20.000000000000455</v>
      </c>
      <c r="M1467" s="6">
        <f ca="1"/>
        <v>2.5000000000002274</v>
      </c>
      <c r="N1467" s="6">
        <f ca="1"/>
        <v>-0.22499999999999787</v>
      </c>
      <c r="O1467" s="6">
        <f t="shared" ca="1" si="209"/>
        <v>33.750000000000028</v>
      </c>
      <c r="P1467" t="str">
        <f t="shared" si="210"/>
        <v>NA</v>
      </c>
      <c r="Q1467" s="10">
        <f t="shared" ca="1" si="211"/>
        <v>77.499999999999602</v>
      </c>
      <c r="R1467" s="10">
        <f t="shared" ca="1" si="212"/>
        <v>157.49999999999886</v>
      </c>
      <c r="S1467" s="10">
        <f t="shared" ca="1" si="213"/>
        <v>-79.999999999999261</v>
      </c>
      <c r="T1467" s="10">
        <f t="shared" ca="1" si="214"/>
        <v>355.55555555555566</v>
      </c>
      <c r="U1467" s="10">
        <f t="shared" ca="1" si="215"/>
        <v>355.55555555555566</v>
      </c>
      <c r="V1467">
        <f t="shared" si="216"/>
        <v>5</v>
      </c>
    </row>
    <row r="1468" spans="1:22" x14ac:dyDescent="0.25">
      <c r="A1468">
        <v>163</v>
      </c>
      <c r="B1468">
        <v>9</v>
      </c>
      <c r="C1468">
        <v>0</v>
      </c>
      <c r="D1468">
        <v>1</v>
      </c>
      <c r="E1468">
        <v>0</v>
      </c>
      <c r="F1468">
        <v>0</v>
      </c>
      <c r="G1468">
        <v>1</v>
      </c>
      <c r="H1468">
        <v>650</v>
      </c>
      <c r="I1468">
        <f t="shared" si="217"/>
        <v>1458</v>
      </c>
      <c r="J1468" s="6">
        <f t="array" aca="1" ref="J1468:N1468" ca="1">TRANSPOSE(ols(OFFSET($C$2:$C$10,I1468,0),OFFSET($D$2:$H$10,I1468,0)))</f>
        <v>133.74999999999818</v>
      </c>
      <c r="K1468" s="6">
        <f ca="1"/>
        <v>21.250000000000455</v>
      </c>
      <c r="L1468" s="6">
        <f ca="1"/>
        <v>20.000000000000455</v>
      </c>
      <c r="M1468" s="6">
        <f ca="1"/>
        <v>2.5000000000002274</v>
      </c>
      <c r="N1468" s="6">
        <f ca="1"/>
        <v>-0.22499999999999787</v>
      </c>
      <c r="O1468" s="6">
        <f t="shared" ca="1" si="209"/>
        <v>-10.000000000000199</v>
      </c>
      <c r="P1468" t="str">
        <f t="shared" si="210"/>
        <v>NA</v>
      </c>
      <c r="Q1468" s="10">
        <f t="shared" ca="1" si="211"/>
        <v>77.499999999999602</v>
      </c>
      <c r="R1468" s="10">
        <f t="shared" ca="1" si="212"/>
        <v>136.24999999999841</v>
      </c>
      <c r="S1468" s="10">
        <f t="shared" ca="1" si="213"/>
        <v>-58.749999999998806</v>
      </c>
      <c r="T1468" s="10">
        <f t="shared" ca="1" si="214"/>
        <v>261.1111111111083</v>
      </c>
      <c r="U1468" s="10">
        <f t="shared" ca="1" si="215"/>
        <v>261.1111111111083</v>
      </c>
      <c r="V1468">
        <f t="shared" si="216"/>
        <v>4</v>
      </c>
    </row>
    <row r="1469" spans="1:22" x14ac:dyDescent="0.25">
      <c r="A1469">
        <v>164</v>
      </c>
      <c r="B1469">
        <v>1</v>
      </c>
      <c r="C1469">
        <v>100</v>
      </c>
      <c r="D1469">
        <v>1</v>
      </c>
      <c r="E1469">
        <v>0</v>
      </c>
      <c r="F1469">
        <v>1</v>
      </c>
      <c r="G1469">
        <v>0</v>
      </c>
      <c r="H1469">
        <v>250</v>
      </c>
      <c r="I1469">
        <f t="shared" si="217"/>
        <v>1467</v>
      </c>
      <c r="J1469" s="6">
        <f t="array" aca="1" ref="J1469:N1469" ca="1">TRANSPOSE(ols(OFFSET($C$2:$C$10,I1469,0),OFFSET($D$2:$H$10,I1469,0)))</f>
        <v>181.6071428571413</v>
      </c>
      <c r="K1469" s="6">
        <f ca="1"/>
        <v>-1.7857142857139934</v>
      </c>
      <c r="L1469" s="6">
        <f ca="1"/>
        <v>-12.142857142855974</v>
      </c>
      <c r="M1469" s="6">
        <f ca="1"/>
        <v>-3.9285714285711038</v>
      </c>
      <c r="N1469" s="6">
        <f ca="1"/>
        <v>-0.25357142857142634</v>
      </c>
      <c r="O1469" s="6">
        <f t="shared" ca="1" si="209"/>
        <v>106.07142857142874</v>
      </c>
      <c r="P1469" t="str">
        <f t="shared" si="210"/>
        <v>NA</v>
      </c>
      <c r="Q1469" s="10">
        <f t="shared" ca="1" si="211"/>
        <v>76.785714285715002</v>
      </c>
      <c r="R1469" s="10">
        <f t="shared" ca="1" si="212"/>
        <v>169.46428571428532</v>
      </c>
      <c r="S1469" s="10">
        <f t="shared" ca="1" si="213"/>
        <v>-92.678571428570322</v>
      </c>
      <c r="T1469" s="10">
        <f t="shared" ca="1" si="214"/>
        <v>365.49295774647771</v>
      </c>
      <c r="U1469" s="10">
        <f t="shared" ca="1" si="215"/>
        <v>365.49295774647771</v>
      </c>
      <c r="V1469">
        <f t="shared" si="216"/>
        <v>3</v>
      </c>
    </row>
    <row r="1470" spans="1:22" x14ac:dyDescent="0.25">
      <c r="A1470">
        <v>164</v>
      </c>
      <c r="B1470">
        <v>2</v>
      </c>
      <c r="C1470">
        <v>90</v>
      </c>
      <c r="D1470">
        <v>1</v>
      </c>
      <c r="E1470">
        <v>1</v>
      </c>
      <c r="F1470">
        <v>0</v>
      </c>
      <c r="G1470">
        <v>0</v>
      </c>
      <c r="H1470">
        <v>350</v>
      </c>
      <c r="I1470">
        <f t="shared" si="217"/>
        <v>1467</v>
      </c>
      <c r="J1470" s="6">
        <f t="array" aca="1" ref="J1470:N1470" ca="1">TRANSPOSE(ols(OFFSET($C$2:$C$10,I1470,0),OFFSET($D$2:$H$10,I1470,0)))</f>
        <v>181.6071428571413</v>
      </c>
      <c r="K1470" s="6">
        <f ca="1"/>
        <v>-1.7857142857139934</v>
      </c>
      <c r="L1470" s="6">
        <f ca="1"/>
        <v>-12.142857142855974</v>
      </c>
      <c r="M1470" s="6">
        <f ca="1"/>
        <v>-3.9285714285711038</v>
      </c>
      <c r="N1470" s="6">
        <f ca="1"/>
        <v>-0.25357142857142634</v>
      </c>
      <c r="O1470" s="6">
        <f t="shared" ca="1" si="209"/>
        <v>91.071428571428086</v>
      </c>
      <c r="P1470" t="str">
        <f t="shared" si="210"/>
        <v>NA</v>
      </c>
      <c r="Q1470" s="10">
        <f t="shared" ca="1" si="211"/>
        <v>76.785714285715002</v>
      </c>
      <c r="R1470" s="10">
        <f t="shared" ca="1" si="212"/>
        <v>179.8214285714273</v>
      </c>
      <c r="S1470" s="10">
        <f t="shared" ca="1" si="213"/>
        <v>-103.0357142857123</v>
      </c>
      <c r="T1470" s="10">
        <f t="shared" ca="1" si="214"/>
        <v>406.33802816900982</v>
      </c>
      <c r="U1470" s="10">
        <f t="shared" ca="1" si="215"/>
        <v>406.33802816900982</v>
      </c>
      <c r="V1470">
        <f t="shared" si="216"/>
        <v>2</v>
      </c>
    </row>
    <row r="1471" spans="1:22" x14ac:dyDescent="0.25">
      <c r="A1471">
        <v>164</v>
      </c>
      <c r="B1471">
        <v>3</v>
      </c>
      <c r="C1471">
        <v>70</v>
      </c>
      <c r="D1471">
        <v>1</v>
      </c>
      <c r="E1471">
        <v>1</v>
      </c>
      <c r="F1471">
        <v>0</v>
      </c>
      <c r="G1471">
        <v>0</v>
      </c>
      <c r="H1471">
        <v>450</v>
      </c>
      <c r="I1471">
        <f t="shared" si="217"/>
        <v>1467</v>
      </c>
      <c r="J1471" s="6">
        <f t="array" aca="1" ref="J1471:N1471" ca="1">TRANSPOSE(ols(OFFSET($C$2:$C$10,I1471,0),OFFSET($D$2:$H$10,I1471,0)))</f>
        <v>181.6071428571413</v>
      </c>
      <c r="K1471" s="6">
        <f ca="1"/>
        <v>-1.7857142857139934</v>
      </c>
      <c r="L1471" s="6">
        <f ca="1"/>
        <v>-12.142857142855974</v>
      </c>
      <c r="M1471" s="6">
        <f ca="1"/>
        <v>-3.9285714285711038</v>
      </c>
      <c r="N1471" s="6">
        <f ca="1"/>
        <v>-0.25357142857142634</v>
      </c>
      <c r="O1471" s="6">
        <f t="shared" ca="1" si="209"/>
        <v>65.714285714285452</v>
      </c>
      <c r="P1471" t="str">
        <f t="shared" si="210"/>
        <v>NA</v>
      </c>
      <c r="Q1471" s="10">
        <f t="shared" ca="1" si="211"/>
        <v>76.785714285715002</v>
      </c>
      <c r="R1471" s="10">
        <f t="shared" ca="1" si="212"/>
        <v>179.8214285714273</v>
      </c>
      <c r="S1471" s="10">
        <f t="shared" ca="1" si="213"/>
        <v>-103.0357142857123</v>
      </c>
      <c r="T1471" s="10">
        <f t="shared" ca="1" si="214"/>
        <v>406.33802816900982</v>
      </c>
      <c r="U1471" s="10">
        <f t="shared" ca="1" si="215"/>
        <v>406.33802816900982</v>
      </c>
      <c r="V1471">
        <f t="shared" si="216"/>
        <v>2</v>
      </c>
    </row>
    <row r="1472" spans="1:22" x14ac:dyDescent="0.25">
      <c r="A1472">
        <v>164</v>
      </c>
      <c r="B1472">
        <v>4</v>
      </c>
      <c r="C1472">
        <v>45</v>
      </c>
      <c r="D1472">
        <v>1</v>
      </c>
      <c r="E1472">
        <v>0</v>
      </c>
      <c r="F1472">
        <v>0</v>
      </c>
      <c r="G1472">
        <v>0</v>
      </c>
      <c r="H1472">
        <v>550</v>
      </c>
      <c r="I1472">
        <f t="shared" si="217"/>
        <v>1467</v>
      </c>
      <c r="J1472" s="6">
        <f t="array" aca="1" ref="J1472:N1472" ca="1">TRANSPOSE(ols(OFFSET($C$2:$C$10,I1472,0),OFFSET($D$2:$H$10,I1472,0)))</f>
        <v>181.6071428571413</v>
      </c>
      <c r="K1472" s="6">
        <f ca="1"/>
        <v>-1.7857142857139934</v>
      </c>
      <c r="L1472" s="6">
        <f ca="1"/>
        <v>-12.142857142855974</v>
      </c>
      <c r="M1472" s="6">
        <f ca="1"/>
        <v>-3.9285714285711038</v>
      </c>
      <c r="N1472" s="6">
        <f ca="1"/>
        <v>-0.25357142857142634</v>
      </c>
      <c r="O1472" s="6">
        <f t="shared" ca="1" si="209"/>
        <v>42.142857142856826</v>
      </c>
      <c r="P1472" t="str">
        <f t="shared" si="210"/>
        <v>NA</v>
      </c>
      <c r="Q1472" s="10">
        <f t="shared" ca="1" si="211"/>
        <v>76.785714285715002</v>
      </c>
      <c r="R1472" s="10">
        <f t="shared" ca="1" si="212"/>
        <v>181.6071428571413</v>
      </c>
      <c r="S1472" s="10">
        <f t="shared" ca="1" si="213"/>
        <v>-104.8214285714263</v>
      </c>
      <c r="T1472" s="10">
        <f t="shared" ca="1" si="214"/>
        <v>413.38028169013552</v>
      </c>
      <c r="U1472" s="10">
        <f t="shared" ca="1" si="215"/>
        <v>413.38028169013552</v>
      </c>
      <c r="V1472">
        <f t="shared" si="216"/>
        <v>1</v>
      </c>
    </row>
    <row r="1473" spans="1:22" x14ac:dyDescent="0.25">
      <c r="A1473">
        <v>164</v>
      </c>
      <c r="B1473">
        <v>5</v>
      </c>
      <c r="C1473">
        <v>100</v>
      </c>
      <c r="D1473">
        <v>1</v>
      </c>
      <c r="E1473">
        <v>0</v>
      </c>
      <c r="F1473">
        <v>1</v>
      </c>
      <c r="G1473">
        <v>1</v>
      </c>
      <c r="H1473">
        <v>250</v>
      </c>
      <c r="I1473">
        <f t="shared" si="217"/>
        <v>1467</v>
      </c>
      <c r="J1473" s="6">
        <f t="array" aca="1" ref="J1473:N1473" ca="1">TRANSPOSE(ols(OFFSET($C$2:$C$10,I1473,0),OFFSET($D$2:$H$10,I1473,0)))</f>
        <v>181.6071428571413</v>
      </c>
      <c r="K1473" s="6">
        <f ca="1"/>
        <v>-1.7857142857139934</v>
      </c>
      <c r="L1473" s="6">
        <f ca="1"/>
        <v>-12.142857142855974</v>
      </c>
      <c r="M1473" s="6">
        <f ca="1"/>
        <v>-3.9285714285711038</v>
      </c>
      <c r="N1473" s="6">
        <f ca="1"/>
        <v>-0.25357142857142634</v>
      </c>
      <c r="O1473" s="6">
        <f t="shared" ca="1" si="209"/>
        <v>102.14285714285764</v>
      </c>
      <c r="P1473" t="str">
        <f t="shared" si="210"/>
        <v>NA</v>
      </c>
      <c r="Q1473" s="10">
        <f t="shared" ca="1" si="211"/>
        <v>76.785714285715002</v>
      </c>
      <c r="R1473" s="10">
        <f t="shared" ca="1" si="212"/>
        <v>165.53571428571422</v>
      </c>
      <c r="S1473" s="10">
        <f t="shared" ca="1" si="213"/>
        <v>-88.749999999999218</v>
      </c>
      <c r="T1473" s="10">
        <f t="shared" ca="1" si="214"/>
        <v>350</v>
      </c>
      <c r="U1473" s="10">
        <f t="shared" ca="1" si="215"/>
        <v>350</v>
      </c>
      <c r="V1473">
        <f t="shared" si="216"/>
        <v>6</v>
      </c>
    </row>
    <row r="1474" spans="1:22" x14ac:dyDescent="0.25">
      <c r="A1474">
        <v>164</v>
      </c>
      <c r="B1474">
        <v>6</v>
      </c>
      <c r="C1474">
        <v>85</v>
      </c>
      <c r="D1474">
        <v>1</v>
      </c>
      <c r="E1474">
        <v>0</v>
      </c>
      <c r="F1474">
        <v>1</v>
      </c>
      <c r="G1474">
        <v>1</v>
      </c>
      <c r="H1474">
        <v>350</v>
      </c>
      <c r="I1474">
        <f t="shared" si="217"/>
        <v>1467</v>
      </c>
      <c r="J1474" s="6">
        <f t="array" aca="1" ref="J1474:N1474" ca="1">TRANSPOSE(ols(OFFSET($C$2:$C$10,I1474,0),OFFSET($D$2:$H$10,I1474,0)))</f>
        <v>181.6071428571413</v>
      </c>
      <c r="K1474" s="6">
        <f ca="1"/>
        <v>-1.7857142857139934</v>
      </c>
      <c r="L1474" s="6">
        <f ca="1"/>
        <v>-12.142857142855974</v>
      </c>
      <c r="M1474" s="6">
        <f ca="1"/>
        <v>-3.9285714285711038</v>
      </c>
      <c r="N1474" s="6">
        <f ca="1"/>
        <v>-0.25357142857142634</v>
      </c>
      <c r="O1474" s="6">
        <f t="shared" ca="1" si="209"/>
        <v>76.785714285715002</v>
      </c>
      <c r="P1474">
        <f t="shared" ca="1" si="210"/>
        <v>76.785714285715002</v>
      </c>
      <c r="Q1474" s="10">
        <f t="shared" ca="1" si="211"/>
        <v>76.785714285715002</v>
      </c>
      <c r="R1474" s="10">
        <f t="shared" ca="1" si="212"/>
        <v>165.53571428571422</v>
      </c>
      <c r="S1474" s="10">
        <f t="shared" ca="1" si="213"/>
        <v>-88.749999999999218</v>
      </c>
      <c r="T1474" s="10">
        <f t="shared" ca="1" si="214"/>
        <v>350</v>
      </c>
      <c r="U1474" s="10">
        <f t="shared" ca="1" si="215"/>
        <v>350</v>
      </c>
      <c r="V1474">
        <f t="shared" si="216"/>
        <v>6</v>
      </c>
    </row>
    <row r="1475" spans="1:22" x14ac:dyDescent="0.25">
      <c r="A1475">
        <v>164</v>
      </c>
      <c r="B1475">
        <v>7</v>
      </c>
      <c r="C1475">
        <v>65</v>
      </c>
      <c r="D1475">
        <v>1</v>
      </c>
      <c r="E1475">
        <v>1</v>
      </c>
      <c r="F1475">
        <v>0</v>
      </c>
      <c r="G1475">
        <v>1</v>
      </c>
      <c r="H1475">
        <v>450</v>
      </c>
      <c r="I1475">
        <f t="shared" si="217"/>
        <v>1467</v>
      </c>
      <c r="J1475" s="6">
        <f t="array" aca="1" ref="J1475:N1475" ca="1">TRANSPOSE(ols(OFFSET($C$2:$C$10,I1475,0),OFFSET($D$2:$H$10,I1475,0)))</f>
        <v>181.6071428571413</v>
      </c>
      <c r="K1475" s="6">
        <f ca="1"/>
        <v>-1.7857142857139934</v>
      </c>
      <c r="L1475" s="6">
        <f ca="1"/>
        <v>-12.142857142855974</v>
      </c>
      <c r="M1475" s="6">
        <f ca="1"/>
        <v>-3.9285714285711038</v>
      </c>
      <c r="N1475" s="6">
        <f ca="1"/>
        <v>-0.25357142857142634</v>
      </c>
      <c r="O1475" s="6">
        <f t="shared" ref="O1475:O1538" ca="1" si="218">SUMPRODUCT(J1475:N1475,D1475:H1475)</f>
        <v>61.785714285714349</v>
      </c>
      <c r="P1475" t="str">
        <f t="shared" ref="P1475:P1538" si="219">IF(AND(F1475=1,G1475=1,H1475=350),O1475,"NA")</f>
        <v>NA</v>
      </c>
      <c r="Q1475" s="10">
        <f t="shared" ref="Q1475:Q1538" ca="1" si="220">AVERAGEIF($A$2:$A$5383,A1475,$P$2:$P$5383)</f>
        <v>76.785714285715002</v>
      </c>
      <c r="R1475" s="10">
        <f t="shared" ref="R1475:R1538" ca="1" si="221">O1475-N1475*H1475</f>
        <v>175.8928571428562</v>
      </c>
      <c r="S1475" s="10">
        <f t="shared" ref="S1475:S1538" ca="1" si="222">Q1475-R1475</f>
        <v>-99.107142857141199</v>
      </c>
      <c r="T1475" s="10">
        <f t="shared" ref="T1475:T1538" ca="1" si="223">S1475/N1475</f>
        <v>390.8450704225321</v>
      </c>
      <c r="U1475" s="10">
        <f t="shared" ref="U1475:U1538" ca="1" si="224">IF(OR(T1475&lt;250,T1475&gt;650),"OR",T1475)</f>
        <v>390.8450704225321</v>
      </c>
      <c r="V1475">
        <f t="shared" ref="V1475:V1538" si="225">IF(AND(E1475=1,G1475=0),2,IF(AND(F1475=1,G1475=0),3,IF(AND(E1475=1,G1475=1),5,IF(AND(F1475=1,G1475=1),6,IF(G1475=0,1,IF(G1475=1,4))))))</f>
        <v>5</v>
      </c>
    </row>
    <row r="1476" spans="1:22" x14ac:dyDescent="0.25">
      <c r="A1476">
        <v>164</v>
      </c>
      <c r="B1476">
        <v>8</v>
      </c>
      <c r="C1476">
        <v>30</v>
      </c>
      <c r="D1476">
        <v>1</v>
      </c>
      <c r="E1476">
        <v>1</v>
      </c>
      <c r="F1476">
        <v>0</v>
      </c>
      <c r="G1476">
        <v>1</v>
      </c>
      <c r="H1476">
        <v>550</v>
      </c>
      <c r="I1476">
        <f t="shared" si="217"/>
        <v>1467</v>
      </c>
      <c r="J1476" s="6">
        <f t="array" aca="1" ref="J1476:N1476" ca="1">TRANSPOSE(ols(OFFSET($C$2:$C$10,I1476,0),OFFSET($D$2:$H$10,I1476,0)))</f>
        <v>181.6071428571413</v>
      </c>
      <c r="K1476" s="6">
        <f ca="1"/>
        <v>-1.7857142857139934</v>
      </c>
      <c r="L1476" s="6">
        <f ca="1"/>
        <v>-12.142857142855974</v>
      </c>
      <c r="M1476" s="6">
        <f ca="1"/>
        <v>-3.9285714285711038</v>
      </c>
      <c r="N1476" s="6">
        <f ca="1"/>
        <v>-0.25357142857142634</v>
      </c>
      <c r="O1476" s="6">
        <f t="shared" ca="1" si="218"/>
        <v>36.428571428571729</v>
      </c>
      <c r="P1476" t="str">
        <f t="shared" si="219"/>
        <v>NA</v>
      </c>
      <c r="Q1476" s="10">
        <f t="shared" ca="1" si="220"/>
        <v>76.785714285715002</v>
      </c>
      <c r="R1476" s="10">
        <f t="shared" ca="1" si="221"/>
        <v>175.8928571428562</v>
      </c>
      <c r="S1476" s="10">
        <f t="shared" ca="1" si="222"/>
        <v>-99.107142857141199</v>
      </c>
      <c r="T1476" s="10">
        <f t="shared" ca="1" si="223"/>
        <v>390.8450704225321</v>
      </c>
      <c r="U1476" s="10">
        <f t="shared" ca="1" si="224"/>
        <v>390.8450704225321</v>
      </c>
      <c r="V1476">
        <f t="shared" si="225"/>
        <v>5</v>
      </c>
    </row>
    <row r="1477" spans="1:22" x14ac:dyDescent="0.25">
      <c r="A1477">
        <v>164</v>
      </c>
      <c r="B1477">
        <v>9</v>
      </c>
      <c r="C1477">
        <v>10</v>
      </c>
      <c r="D1477">
        <v>1</v>
      </c>
      <c r="E1477">
        <v>0</v>
      </c>
      <c r="F1477">
        <v>0</v>
      </c>
      <c r="G1477">
        <v>1</v>
      </c>
      <c r="H1477">
        <v>650</v>
      </c>
      <c r="I1477">
        <f t="shared" si="217"/>
        <v>1467</v>
      </c>
      <c r="J1477" s="6">
        <f t="array" aca="1" ref="J1477:N1477" ca="1">TRANSPOSE(ols(OFFSET($C$2:$C$10,I1477,0),OFFSET($D$2:$H$10,I1477,0)))</f>
        <v>181.6071428571413</v>
      </c>
      <c r="K1477" s="6">
        <f ca="1"/>
        <v>-1.7857142857139934</v>
      </c>
      <c r="L1477" s="6">
        <f ca="1"/>
        <v>-12.142857142855974</v>
      </c>
      <c r="M1477" s="6">
        <f ca="1"/>
        <v>-3.9285714285711038</v>
      </c>
      <c r="N1477" s="6">
        <f ca="1"/>
        <v>-0.25357142857142634</v>
      </c>
      <c r="O1477" s="6">
        <f t="shared" ca="1" si="218"/>
        <v>12.85714285714306</v>
      </c>
      <c r="P1477" t="str">
        <f t="shared" si="219"/>
        <v>NA</v>
      </c>
      <c r="Q1477" s="10">
        <f t="shared" ca="1" si="220"/>
        <v>76.785714285715002</v>
      </c>
      <c r="R1477" s="10">
        <f t="shared" ca="1" si="221"/>
        <v>177.67857142857019</v>
      </c>
      <c r="S1477" s="10">
        <f t="shared" ca="1" si="222"/>
        <v>-100.89285714285519</v>
      </c>
      <c r="T1477" s="10">
        <f t="shared" ca="1" si="223"/>
        <v>397.8873239436578</v>
      </c>
      <c r="U1477" s="10">
        <f t="shared" ca="1" si="224"/>
        <v>397.8873239436578</v>
      </c>
      <c r="V1477">
        <f t="shared" si="225"/>
        <v>4</v>
      </c>
    </row>
    <row r="1478" spans="1:22" x14ac:dyDescent="0.25">
      <c r="A1478">
        <v>165</v>
      </c>
      <c r="B1478">
        <v>1</v>
      </c>
      <c r="C1478">
        <v>40</v>
      </c>
      <c r="D1478">
        <v>1</v>
      </c>
      <c r="E1478">
        <v>0</v>
      </c>
      <c r="F1478">
        <v>1</v>
      </c>
      <c r="G1478">
        <v>0</v>
      </c>
      <c r="H1478">
        <v>250</v>
      </c>
      <c r="I1478">
        <f t="shared" si="217"/>
        <v>1476</v>
      </c>
      <c r="J1478" s="6">
        <f t="array" aca="1" ref="J1478:N1478" ca="1">TRANSPOSE(ols(OFFSET($C$2:$C$10,I1478,0),OFFSET($D$2:$H$10,I1478,0)))</f>
        <v>59.642857142856883</v>
      </c>
      <c r="K1478" s="6">
        <f ca="1"/>
        <v>4.2857142857142208</v>
      </c>
      <c r="L1478" s="6">
        <f ca="1"/>
        <v>-12.857142857143117</v>
      </c>
      <c r="M1478" s="6">
        <f ca="1"/>
        <v>-8.5714285714283278</v>
      </c>
      <c r="N1478" s="6">
        <f ca="1"/>
        <v>-2.1428571428574017E-2</v>
      </c>
      <c r="O1478" s="6">
        <f t="shared" ca="1" si="218"/>
        <v>41.428571428570265</v>
      </c>
      <c r="P1478" t="str">
        <f t="shared" si="219"/>
        <v>NA</v>
      </c>
      <c r="Q1478" s="10">
        <f t="shared" ca="1" si="220"/>
        <v>30.714285714284532</v>
      </c>
      <c r="R1478" s="10">
        <f t="shared" ca="1" si="221"/>
        <v>46.785714285713766</v>
      </c>
      <c r="S1478" s="10">
        <f t="shared" ca="1" si="222"/>
        <v>-16.071428571429234</v>
      </c>
      <c r="T1478" s="10">
        <f t="shared" ca="1" si="223"/>
        <v>749.99999999994031</v>
      </c>
      <c r="U1478" s="10" t="str">
        <f t="shared" ca="1" si="224"/>
        <v>OR</v>
      </c>
      <c r="V1478">
        <f t="shared" si="225"/>
        <v>3</v>
      </c>
    </row>
    <row r="1479" spans="1:22" x14ac:dyDescent="0.25">
      <c r="A1479">
        <v>165</v>
      </c>
      <c r="B1479">
        <v>2</v>
      </c>
      <c r="C1479">
        <v>55</v>
      </c>
      <c r="D1479">
        <v>1</v>
      </c>
      <c r="E1479">
        <v>1</v>
      </c>
      <c r="F1479">
        <v>0</v>
      </c>
      <c r="G1479">
        <v>0</v>
      </c>
      <c r="H1479">
        <v>350</v>
      </c>
      <c r="I1479">
        <f t="shared" si="217"/>
        <v>1476</v>
      </c>
      <c r="J1479" s="6">
        <f t="array" aca="1" ref="J1479:N1479" ca="1">TRANSPOSE(ols(OFFSET($C$2:$C$10,I1479,0),OFFSET($D$2:$H$10,I1479,0)))</f>
        <v>59.642857142856883</v>
      </c>
      <c r="K1479" s="6">
        <f ca="1"/>
        <v>4.2857142857142208</v>
      </c>
      <c r="L1479" s="6">
        <f ca="1"/>
        <v>-12.857142857143117</v>
      </c>
      <c r="M1479" s="6">
        <f ca="1"/>
        <v>-8.5714285714283278</v>
      </c>
      <c r="N1479" s="6">
        <f ca="1"/>
        <v>-2.1428571428574017E-2</v>
      </c>
      <c r="O1479" s="6">
        <f t="shared" ca="1" si="218"/>
        <v>56.428571428570194</v>
      </c>
      <c r="P1479" t="str">
        <f t="shared" si="219"/>
        <v>NA</v>
      </c>
      <c r="Q1479" s="10">
        <f t="shared" ca="1" si="220"/>
        <v>30.714285714284532</v>
      </c>
      <c r="R1479" s="10">
        <f t="shared" ca="1" si="221"/>
        <v>63.928571428571104</v>
      </c>
      <c r="S1479" s="10">
        <f t="shared" ca="1" si="222"/>
        <v>-33.214285714286575</v>
      </c>
      <c r="T1479" s="10">
        <f t="shared" ca="1" si="223"/>
        <v>1549.9999999998529</v>
      </c>
      <c r="U1479" s="10" t="str">
        <f t="shared" ca="1" si="224"/>
        <v>OR</v>
      </c>
      <c r="V1479">
        <f t="shared" si="225"/>
        <v>2</v>
      </c>
    </row>
    <row r="1480" spans="1:22" x14ac:dyDescent="0.25">
      <c r="A1480">
        <v>165</v>
      </c>
      <c r="B1480">
        <v>3</v>
      </c>
      <c r="C1480">
        <v>55</v>
      </c>
      <c r="D1480">
        <v>1</v>
      </c>
      <c r="E1480">
        <v>1</v>
      </c>
      <c r="F1480">
        <v>0</v>
      </c>
      <c r="G1480">
        <v>0</v>
      </c>
      <c r="H1480">
        <v>450</v>
      </c>
      <c r="I1480">
        <f t="shared" si="217"/>
        <v>1476</v>
      </c>
      <c r="J1480" s="6">
        <f t="array" aca="1" ref="J1480:N1480" ca="1">TRANSPOSE(ols(OFFSET($C$2:$C$10,I1480,0),OFFSET($D$2:$H$10,I1480,0)))</f>
        <v>59.642857142856883</v>
      </c>
      <c r="K1480" s="6">
        <f ca="1"/>
        <v>4.2857142857142208</v>
      </c>
      <c r="L1480" s="6">
        <f ca="1"/>
        <v>-12.857142857143117</v>
      </c>
      <c r="M1480" s="6">
        <f ca="1"/>
        <v>-8.5714285714283278</v>
      </c>
      <c r="N1480" s="6">
        <f ca="1"/>
        <v>-2.1428571428574017E-2</v>
      </c>
      <c r="O1480" s="6">
        <f t="shared" ca="1" si="218"/>
        <v>54.2857142857128</v>
      </c>
      <c r="P1480" t="str">
        <f t="shared" si="219"/>
        <v>NA</v>
      </c>
      <c r="Q1480" s="10">
        <f t="shared" ca="1" si="220"/>
        <v>30.714285714284532</v>
      </c>
      <c r="R1480" s="10">
        <f t="shared" ca="1" si="221"/>
        <v>63.928571428571104</v>
      </c>
      <c r="S1480" s="10">
        <f t="shared" ca="1" si="222"/>
        <v>-33.214285714286575</v>
      </c>
      <c r="T1480" s="10">
        <f t="shared" ca="1" si="223"/>
        <v>1549.9999999998529</v>
      </c>
      <c r="U1480" s="10" t="str">
        <f t="shared" ca="1" si="224"/>
        <v>OR</v>
      </c>
      <c r="V1480">
        <f t="shared" si="225"/>
        <v>2</v>
      </c>
    </row>
    <row r="1481" spans="1:22" x14ac:dyDescent="0.25">
      <c r="A1481">
        <v>165</v>
      </c>
      <c r="B1481">
        <v>4</v>
      </c>
      <c r="C1481">
        <v>50</v>
      </c>
      <c r="D1481">
        <v>1</v>
      </c>
      <c r="E1481">
        <v>0</v>
      </c>
      <c r="F1481">
        <v>0</v>
      </c>
      <c r="G1481">
        <v>0</v>
      </c>
      <c r="H1481">
        <v>550</v>
      </c>
      <c r="I1481">
        <f t="shared" si="217"/>
        <v>1476</v>
      </c>
      <c r="J1481" s="6">
        <f t="array" aca="1" ref="J1481:N1481" ca="1">TRANSPOSE(ols(OFFSET($C$2:$C$10,I1481,0),OFFSET($D$2:$H$10,I1481,0)))</f>
        <v>59.642857142856883</v>
      </c>
      <c r="K1481" s="6">
        <f ca="1"/>
        <v>4.2857142857142208</v>
      </c>
      <c r="L1481" s="6">
        <f ca="1"/>
        <v>-12.857142857143117</v>
      </c>
      <c r="M1481" s="6">
        <f ca="1"/>
        <v>-8.5714285714283278</v>
      </c>
      <c r="N1481" s="6">
        <f ca="1"/>
        <v>-2.1428571428574017E-2</v>
      </c>
      <c r="O1481" s="6">
        <f t="shared" ca="1" si="218"/>
        <v>47.85714285714117</v>
      </c>
      <c r="P1481" t="str">
        <f t="shared" si="219"/>
        <v>NA</v>
      </c>
      <c r="Q1481" s="10">
        <f t="shared" ca="1" si="220"/>
        <v>30.714285714284532</v>
      </c>
      <c r="R1481" s="10">
        <f t="shared" ca="1" si="221"/>
        <v>59.642857142856883</v>
      </c>
      <c r="S1481" s="10">
        <f t="shared" ca="1" si="222"/>
        <v>-28.928571428572351</v>
      </c>
      <c r="T1481" s="10">
        <f t="shared" ca="1" si="223"/>
        <v>1349.9999999998799</v>
      </c>
      <c r="U1481" s="10" t="str">
        <f t="shared" ca="1" si="224"/>
        <v>OR</v>
      </c>
      <c r="V1481">
        <f t="shared" si="225"/>
        <v>1</v>
      </c>
    </row>
    <row r="1482" spans="1:22" x14ac:dyDescent="0.25">
      <c r="A1482">
        <v>165</v>
      </c>
      <c r="B1482">
        <v>5</v>
      </c>
      <c r="C1482">
        <v>30</v>
      </c>
      <c r="D1482">
        <v>1</v>
      </c>
      <c r="E1482">
        <v>0</v>
      </c>
      <c r="F1482">
        <v>1</v>
      </c>
      <c r="G1482">
        <v>1</v>
      </c>
      <c r="H1482">
        <v>250</v>
      </c>
      <c r="I1482">
        <f t="shared" si="217"/>
        <v>1476</v>
      </c>
      <c r="J1482" s="6">
        <f t="array" aca="1" ref="J1482:N1482" ca="1">TRANSPOSE(ols(OFFSET($C$2:$C$10,I1482,0),OFFSET($D$2:$H$10,I1482,0)))</f>
        <v>59.642857142856883</v>
      </c>
      <c r="K1482" s="6">
        <f ca="1"/>
        <v>4.2857142857142208</v>
      </c>
      <c r="L1482" s="6">
        <f ca="1"/>
        <v>-12.857142857143117</v>
      </c>
      <c r="M1482" s="6">
        <f ca="1"/>
        <v>-8.5714285714283278</v>
      </c>
      <c r="N1482" s="6">
        <f ca="1"/>
        <v>-2.1428571428574017E-2</v>
      </c>
      <c r="O1482" s="6">
        <f t="shared" ca="1" si="218"/>
        <v>32.857142857141937</v>
      </c>
      <c r="P1482" t="str">
        <f t="shared" si="219"/>
        <v>NA</v>
      </c>
      <c r="Q1482" s="10">
        <f t="shared" ca="1" si="220"/>
        <v>30.714285714284532</v>
      </c>
      <c r="R1482" s="10">
        <f t="shared" ca="1" si="221"/>
        <v>38.214285714285438</v>
      </c>
      <c r="S1482" s="10">
        <f t="shared" ca="1" si="222"/>
        <v>-7.5000000000009059</v>
      </c>
      <c r="T1482" s="10">
        <f t="shared" ca="1" si="223"/>
        <v>350</v>
      </c>
      <c r="U1482" s="10">
        <f t="shared" ca="1" si="224"/>
        <v>350</v>
      </c>
      <c r="V1482">
        <f t="shared" si="225"/>
        <v>6</v>
      </c>
    </row>
    <row r="1483" spans="1:22" x14ac:dyDescent="0.25">
      <c r="A1483">
        <v>165</v>
      </c>
      <c r="B1483">
        <v>6</v>
      </c>
      <c r="C1483">
        <v>35</v>
      </c>
      <c r="D1483">
        <v>1</v>
      </c>
      <c r="E1483">
        <v>0</v>
      </c>
      <c r="F1483">
        <v>1</v>
      </c>
      <c r="G1483">
        <v>1</v>
      </c>
      <c r="H1483">
        <v>350</v>
      </c>
      <c r="I1483">
        <f t="shared" si="217"/>
        <v>1476</v>
      </c>
      <c r="J1483" s="6">
        <f t="array" aca="1" ref="J1483:N1483" ca="1">TRANSPOSE(ols(OFFSET($C$2:$C$10,I1483,0),OFFSET($D$2:$H$10,I1483,0)))</f>
        <v>59.642857142856883</v>
      </c>
      <c r="K1483" s="6">
        <f ca="1"/>
        <v>4.2857142857142208</v>
      </c>
      <c r="L1483" s="6">
        <f ca="1"/>
        <v>-12.857142857143117</v>
      </c>
      <c r="M1483" s="6">
        <f ca="1"/>
        <v>-8.5714285714283278</v>
      </c>
      <c r="N1483" s="6">
        <f ca="1"/>
        <v>-2.1428571428574017E-2</v>
      </c>
      <c r="O1483" s="6">
        <f t="shared" ca="1" si="218"/>
        <v>30.714285714284532</v>
      </c>
      <c r="P1483">
        <f t="shared" ca="1" si="219"/>
        <v>30.714285714284532</v>
      </c>
      <c r="Q1483" s="10">
        <f t="shared" ca="1" si="220"/>
        <v>30.714285714284532</v>
      </c>
      <c r="R1483" s="10">
        <f t="shared" ca="1" si="221"/>
        <v>38.214285714285438</v>
      </c>
      <c r="S1483" s="10">
        <f t="shared" ca="1" si="222"/>
        <v>-7.5000000000009059</v>
      </c>
      <c r="T1483" s="10">
        <f t="shared" ca="1" si="223"/>
        <v>350</v>
      </c>
      <c r="U1483" s="10">
        <f t="shared" ca="1" si="224"/>
        <v>350</v>
      </c>
      <c r="V1483">
        <f t="shared" si="225"/>
        <v>6</v>
      </c>
    </row>
    <row r="1484" spans="1:22" x14ac:dyDescent="0.25">
      <c r="A1484">
        <v>165</v>
      </c>
      <c r="B1484">
        <v>7</v>
      </c>
      <c r="C1484">
        <v>50</v>
      </c>
      <c r="D1484">
        <v>1</v>
      </c>
      <c r="E1484">
        <v>1</v>
      </c>
      <c r="F1484">
        <v>0</v>
      </c>
      <c r="G1484">
        <v>1</v>
      </c>
      <c r="H1484">
        <v>450</v>
      </c>
      <c r="I1484">
        <f t="shared" ref="I1484:I1547" si="226">IF(A1484&gt;A1483,I1483+9,I1483)</f>
        <v>1476</v>
      </c>
      <c r="J1484" s="6">
        <f t="array" aca="1" ref="J1484:N1484" ca="1">TRANSPOSE(ols(OFFSET($C$2:$C$10,I1484,0),OFFSET($D$2:$H$10,I1484,0)))</f>
        <v>59.642857142856883</v>
      </c>
      <c r="K1484" s="6">
        <f ca="1"/>
        <v>4.2857142857142208</v>
      </c>
      <c r="L1484" s="6">
        <f ca="1"/>
        <v>-12.857142857143117</v>
      </c>
      <c r="M1484" s="6">
        <f ca="1"/>
        <v>-8.5714285714283278</v>
      </c>
      <c r="N1484" s="6">
        <f ca="1"/>
        <v>-2.1428571428574017E-2</v>
      </c>
      <c r="O1484" s="6">
        <f t="shared" ca="1" si="218"/>
        <v>45.714285714284472</v>
      </c>
      <c r="P1484" t="str">
        <f t="shared" si="219"/>
        <v>NA</v>
      </c>
      <c r="Q1484" s="10">
        <f t="shared" ca="1" si="220"/>
        <v>30.714285714284532</v>
      </c>
      <c r="R1484" s="10">
        <f t="shared" ca="1" si="221"/>
        <v>55.357142857142776</v>
      </c>
      <c r="S1484" s="10">
        <f t="shared" ca="1" si="222"/>
        <v>-24.642857142858244</v>
      </c>
      <c r="T1484" s="10">
        <f t="shared" ca="1" si="223"/>
        <v>1149.9999999999125</v>
      </c>
      <c r="U1484" s="10" t="str">
        <f t="shared" ca="1" si="224"/>
        <v>OR</v>
      </c>
      <c r="V1484">
        <f t="shared" si="225"/>
        <v>5</v>
      </c>
    </row>
    <row r="1485" spans="1:22" x14ac:dyDescent="0.25">
      <c r="A1485">
        <v>165</v>
      </c>
      <c r="B1485">
        <v>8</v>
      </c>
      <c r="C1485">
        <v>40</v>
      </c>
      <c r="D1485">
        <v>1</v>
      </c>
      <c r="E1485">
        <v>1</v>
      </c>
      <c r="F1485">
        <v>0</v>
      </c>
      <c r="G1485">
        <v>1</v>
      </c>
      <c r="H1485">
        <v>550</v>
      </c>
      <c r="I1485">
        <f t="shared" si="226"/>
        <v>1476</v>
      </c>
      <c r="J1485" s="6">
        <f t="array" aca="1" ref="J1485:N1485" ca="1">TRANSPOSE(ols(OFFSET($C$2:$C$10,I1485,0),OFFSET($D$2:$H$10,I1485,0)))</f>
        <v>59.642857142856883</v>
      </c>
      <c r="K1485" s="6">
        <f ca="1"/>
        <v>4.2857142857142208</v>
      </c>
      <c r="L1485" s="6">
        <f ca="1"/>
        <v>-12.857142857143117</v>
      </c>
      <c r="M1485" s="6">
        <f ca="1"/>
        <v>-8.5714285714283278</v>
      </c>
      <c r="N1485" s="6">
        <f ca="1"/>
        <v>-2.1428571428574017E-2</v>
      </c>
      <c r="O1485" s="6">
        <f t="shared" ca="1" si="218"/>
        <v>43.571428571427063</v>
      </c>
      <c r="P1485" t="str">
        <f t="shared" si="219"/>
        <v>NA</v>
      </c>
      <c r="Q1485" s="10">
        <f t="shared" ca="1" si="220"/>
        <v>30.714285714284532</v>
      </c>
      <c r="R1485" s="10">
        <f t="shared" ca="1" si="221"/>
        <v>55.357142857142776</v>
      </c>
      <c r="S1485" s="10">
        <f t="shared" ca="1" si="222"/>
        <v>-24.642857142858244</v>
      </c>
      <c r="T1485" s="10">
        <f t="shared" ca="1" si="223"/>
        <v>1149.9999999999125</v>
      </c>
      <c r="U1485" s="10" t="str">
        <f t="shared" ca="1" si="224"/>
        <v>OR</v>
      </c>
      <c r="V1485">
        <f t="shared" si="225"/>
        <v>5</v>
      </c>
    </row>
    <row r="1486" spans="1:22" x14ac:dyDescent="0.25">
      <c r="A1486">
        <v>165</v>
      </c>
      <c r="B1486">
        <v>9</v>
      </c>
      <c r="C1486">
        <v>35</v>
      </c>
      <c r="D1486">
        <v>1</v>
      </c>
      <c r="E1486">
        <v>0</v>
      </c>
      <c r="F1486">
        <v>0</v>
      </c>
      <c r="G1486">
        <v>1</v>
      </c>
      <c r="H1486">
        <v>650</v>
      </c>
      <c r="I1486">
        <f t="shared" si="226"/>
        <v>1476</v>
      </c>
      <c r="J1486" s="6">
        <f t="array" aca="1" ref="J1486:N1486" ca="1">TRANSPOSE(ols(OFFSET($C$2:$C$10,I1486,0),OFFSET($D$2:$H$10,I1486,0)))</f>
        <v>59.642857142856883</v>
      </c>
      <c r="K1486" s="6">
        <f ca="1"/>
        <v>4.2857142857142208</v>
      </c>
      <c r="L1486" s="6">
        <f ca="1"/>
        <v>-12.857142857143117</v>
      </c>
      <c r="M1486" s="6">
        <f ca="1"/>
        <v>-8.5714285714283278</v>
      </c>
      <c r="N1486" s="6">
        <f ca="1"/>
        <v>-2.1428571428574017E-2</v>
      </c>
      <c r="O1486" s="6">
        <f t="shared" ca="1" si="218"/>
        <v>37.142857142855448</v>
      </c>
      <c r="P1486" t="str">
        <f t="shared" si="219"/>
        <v>NA</v>
      </c>
      <c r="Q1486" s="10">
        <f t="shared" ca="1" si="220"/>
        <v>30.714285714284532</v>
      </c>
      <c r="R1486" s="10">
        <f t="shared" ca="1" si="221"/>
        <v>51.071428571428555</v>
      </c>
      <c r="S1486" s="10">
        <f t="shared" ca="1" si="222"/>
        <v>-20.357142857144023</v>
      </c>
      <c r="T1486" s="10">
        <f t="shared" ca="1" si="223"/>
        <v>949.99999999993963</v>
      </c>
      <c r="U1486" s="10" t="str">
        <f t="shared" ca="1" si="224"/>
        <v>OR</v>
      </c>
      <c r="V1486">
        <f t="shared" si="225"/>
        <v>4</v>
      </c>
    </row>
    <row r="1487" spans="1:22" x14ac:dyDescent="0.25">
      <c r="A1487">
        <v>166</v>
      </c>
      <c r="B1487">
        <v>1</v>
      </c>
      <c r="C1487">
        <v>50</v>
      </c>
      <c r="D1487">
        <v>1</v>
      </c>
      <c r="E1487">
        <v>0</v>
      </c>
      <c r="F1487">
        <v>1</v>
      </c>
      <c r="G1487">
        <v>0</v>
      </c>
      <c r="H1487">
        <v>250</v>
      </c>
      <c r="I1487">
        <f t="shared" si="226"/>
        <v>1485</v>
      </c>
      <c r="J1487" s="6">
        <f t="array" aca="1" ref="J1487:N1487" ca="1">TRANSPOSE(ols(OFFSET($C$2:$C$10,I1487,0),OFFSET($D$2:$H$10,I1487,0)))</f>
        <v>88.958333333332121</v>
      </c>
      <c r="K1487" s="6">
        <f ca="1"/>
        <v>11.25</v>
      </c>
      <c r="L1487" s="6">
        <f ca="1"/>
        <v>-11.66666666666606</v>
      </c>
      <c r="M1487" s="6">
        <f ca="1"/>
        <v>-15.416666666666629</v>
      </c>
      <c r="N1487" s="6">
        <f ca="1"/>
        <v>-0.10416666666666785</v>
      </c>
      <c r="O1487" s="6">
        <f t="shared" ca="1" si="218"/>
        <v>51.249999999999098</v>
      </c>
      <c r="P1487" t="str">
        <f t="shared" si="219"/>
        <v>NA</v>
      </c>
      <c r="Q1487" s="10">
        <f t="shared" ca="1" si="220"/>
        <v>25.416666666665684</v>
      </c>
      <c r="R1487" s="10">
        <f t="shared" ca="1" si="221"/>
        <v>77.29166666666606</v>
      </c>
      <c r="S1487" s="10">
        <f t="shared" ca="1" si="222"/>
        <v>-51.875000000000377</v>
      </c>
      <c r="T1487" s="10">
        <f t="shared" ca="1" si="223"/>
        <v>497.99999999999795</v>
      </c>
      <c r="U1487" s="10">
        <f t="shared" ca="1" si="224"/>
        <v>497.99999999999795</v>
      </c>
      <c r="V1487">
        <f t="shared" si="225"/>
        <v>3</v>
      </c>
    </row>
    <row r="1488" spans="1:22" x14ac:dyDescent="0.25">
      <c r="A1488">
        <v>166</v>
      </c>
      <c r="B1488">
        <v>2</v>
      </c>
      <c r="C1488">
        <v>62.5</v>
      </c>
      <c r="D1488">
        <v>1</v>
      </c>
      <c r="E1488">
        <v>1</v>
      </c>
      <c r="F1488">
        <v>0</v>
      </c>
      <c r="G1488">
        <v>0</v>
      </c>
      <c r="H1488">
        <v>350</v>
      </c>
      <c r="I1488">
        <f t="shared" si="226"/>
        <v>1485</v>
      </c>
      <c r="J1488" s="6">
        <f t="array" aca="1" ref="J1488:N1488" ca="1">TRANSPOSE(ols(OFFSET($C$2:$C$10,I1488,0),OFFSET($D$2:$H$10,I1488,0)))</f>
        <v>88.958333333332121</v>
      </c>
      <c r="K1488" s="6">
        <f ca="1"/>
        <v>11.25</v>
      </c>
      <c r="L1488" s="6">
        <f ca="1"/>
        <v>-11.66666666666606</v>
      </c>
      <c r="M1488" s="6">
        <f ca="1"/>
        <v>-15.416666666666629</v>
      </c>
      <c r="N1488" s="6">
        <f ca="1"/>
        <v>-0.10416666666666785</v>
      </c>
      <c r="O1488" s="6">
        <f t="shared" ca="1" si="218"/>
        <v>63.749999999998373</v>
      </c>
      <c r="P1488" t="str">
        <f t="shared" si="219"/>
        <v>NA</v>
      </c>
      <c r="Q1488" s="10">
        <f t="shared" ca="1" si="220"/>
        <v>25.416666666665684</v>
      </c>
      <c r="R1488" s="10">
        <f t="shared" ca="1" si="221"/>
        <v>100.20833333333212</v>
      </c>
      <c r="S1488" s="10">
        <f t="shared" ca="1" si="222"/>
        <v>-74.79166666666643</v>
      </c>
      <c r="T1488" s="10">
        <f t="shared" ca="1" si="223"/>
        <v>717.99999999998954</v>
      </c>
      <c r="U1488" s="10" t="str">
        <f t="shared" ca="1" si="224"/>
        <v>OR</v>
      </c>
      <c r="V1488">
        <f t="shared" si="225"/>
        <v>2</v>
      </c>
    </row>
    <row r="1489" spans="1:22" x14ac:dyDescent="0.25">
      <c r="A1489">
        <v>166</v>
      </c>
      <c r="B1489">
        <v>3</v>
      </c>
      <c r="C1489">
        <v>50</v>
      </c>
      <c r="D1489">
        <v>1</v>
      </c>
      <c r="E1489">
        <v>1</v>
      </c>
      <c r="F1489">
        <v>0</v>
      </c>
      <c r="G1489">
        <v>0</v>
      </c>
      <c r="H1489">
        <v>450</v>
      </c>
      <c r="I1489">
        <f t="shared" si="226"/>
        <v>1485</v>
      </c>
      <c r="J1489" s="6">
        <f t="array" aca="1" ref="J1489:N1489" ca="1">TRANSPOSE(ols(OFFSET($C$2:$C$10,I1489,0),OFFSET($D$2:$H$10,I1489,0)))</f>
        <v>88.958333333332121</v>
      </c>
      <c r="K1489" s="6">
        <f ca="1"/>
        <v>11.25</v>
      </c>
      <c r="L1489" s="6">
        <f ca="1"/>
        <v>-11.66666666666606</v>
      </c>
      <c r="M1489" s="6">
        <f ca="1"/>
        <v>-15.416666666666629</v>
      </c>
      <c r="N1489" s="6">
        <f ca="1"/>
        <v>-0.10416666666666785</v>
      </c>
      <c r="O1489" s="6">
        <f t="shared" ca="1" si="218"/>
        <v>53.333333333331588</v>
      </c>
      <c r="P1489" t="str">
        <f t="shared" si="219"/>
        <v>NA</v>
      </c>
      <c r="Q1489" s="10">
        <f t="shared" ca="1" si="220"/>
        <v>25.416666666665684</v>
      </c>
      <c r="R1489" s="10">
        <f t="shared" ca="1" si="221"/>
        <v>100.20833333333212</v>
      </c>
      <c r="S1489" s="10">
        <f t="shared" ca="1" si="222"/>
        <v>-74.79166666666643</v>
      </c>
      <c r="T1489" s="10">
        <f t="shared" ca="1" si="223"/>
        <v>717.99999999998954</v>
      </c>
      <c r="U1489" s="10" t="str">
        <f t="shared" ca="1" si="224"/>
        <v>OR</v>
      </c>
      <c r="V1489">
        <f t="shared" si="225"/>
        <v>2</v>
      </c>
    </row>
    <row r="1490" spans="1:22" x14ac:dyDescent="0.25">
      <c r="A1490">
        <v>166</v>
      </c>
      <c r="B1490">
        <v>4</v>
      </c>
      <c r="C1490">
        <v>37.5</v>
      </c>
      <c r="D1490">
        <v>1</v>
      </c>
      <c r="E1490">
        <v>0</v>
      </c>
      <c r="F1490">
        <v>0</v>
      </c>
      <c r="G1490">
        <v>0</v>
      </c>
      <c r="H1490">
        <v>550</v>
      </c>
      <c r="I1490">
        <f t="shared" si="226"/>
        <v>1485</v>
      </c>
      <c r="J1490" s="6">
        <f t="array" aca="1" ref="J1490:N1490" ca="1">TRANSPOSE(ols(OFFSET($C$2:$C$10,I1490,0),OFFSET($D$2:$H$10,I1490,0)))</f>
        <v>88.958333333332121</v>
      </c>
      <c r="K1490" s="6">
        <f ca="1"/>
        <v>11.25</v>
      </c>
      <c r="L1490" s="6">
        <f ca="1"/>
        <v>-11.66666666666606</v>
      </c>
      <c r="M1490" s="6">
        <f ca="1"/>
        <v>-15.416666666666629</v>
      </c>
      <c r="N1490" s="6">
        <f ca="1"/>
        <v>-0.10416666666666785</v>
      </c>
      <c r="O1490" s="6">
        <f t="shared" ca="1" si="218"/>
        <v>31.666666666664803</v>
      </c>
      <c r="P1490" t="str">
        <f t="shared" si="219"/>
        <v>NA</v>
      </c>
      <c r="Q1490" s="10">
        <f t="shared" ca="1" si="220"/>
        <v>25.416666666665684</v>
      </c>
      <c r="R1490" s="10">
        <f t="shared" ca="1" si="221"/>
        <v>88.958333333332121</v>
      </c>
      <c r="S1490" s="10">
        <f t="shared" ca="1" si="222"/>
        <v>-63.541666666666437</v>
      </c>
      <c r="T1490" s="10">
        <f t="shared" ca="1" si="223"/>
        <v>609.99999999999091</v>
      </c>
      <c r="U1490" s="10">
        <f t="shared" ca="1" si="224"/>
        <v>609.99999999999091</v>
      </c>
      <c r="V1490">
        <f t="shared" si="225"/>
        <v>1</v>
      </c>
    </row>
    <row r="1491" spans="1:22" x14ac:dyDescent="0.25">
      <c r="A1491">
        <v>166</v>
      </c>
      <c r="B1491">
        <v>5</v>
      </c>
      <c r="C1491">
        <v>25</v>
      </c>
      <c r="D1491">
        <v>1</v>
      </c>
      <c r="E1491">
        <v>0</v>
      </c>
      <c r="F1491">
        <v>1</v>
      </c>
      <c r="G1491">
        <v>1</v>
      </c>
      <c r="H1491">
        <v>250</v>
      </c>
      <c r="I1491">
        <f t="shared" si="226"/>
        <v>1485</v>
      </c>
      <c r="J1491" s="6">
        <f t="array" aca="1" ref="J1491:N1491" ca="1">TRANSPOSE(ols(OFFSET($C$2:$C$10,I1491,0),OFFSET($D$2:$H$10,I1491,0)))</f>
        <v>88.958333333332121</v>
      </c>
      <c r="K1491" s="6">
        <f ca="1"/>
        <v>11.25</v>
      </c>
      <c r="L1491" s="6">
        <f ca="1"/>
        <v>-11.66666666666606</v>
      </c>
      <c r="M1491" s="6">
        <f ca="1"/>
        <v>-15.416666666666629</v>
      </c>
      <c r="N1491" s="6">
        <f ca="1"/>
        <v>-0.10416666666666785</v>
      </c>
      <c r="O1491" s="6">
        <f t="shared" ca="1" si="218"/>
        <v>35.833333333332469</v>
      </c>
      <c r="P1491" t="str">
        <f t="shared" si="219"/>
        <v>NA</v>
      </c>
      <c r="Q1491" s="10">
        <f t="shared" ca="1" si="220"/>
        <v>25.416666666665684</v>
      </c>
      <c r="R1491" s="10">
        <f t="shared" ca="1" si="221"/>
        <v>61.874999999999432</v>
      </c>
      <c r="S1491" s="10">
        <f t="shared" ca="1" si="222"/>
        <v>-36.458333333333748</v>
      </c>
      <c r="T1491" s="10">
        <f t="shared" ca="1" si="223"/>
        <v>350</v>
      </c>
      <c r="U1491" s="10">
        <f t="shared" ca="1" si="224"/>
        <v>350</v>
      </c>
      <c r="V1491">
        <f t="shared" si="225"/>
        <v>6</v>
      </c>
    </row>
    <row r="1492" spans="1:22" x14ac:dyDescent="0.25">
      <c r="A1492">
        <v>166</v>
      </c>
      <c r="B1492">
        <v>6</v>
      </c>
      <c r="C1492">
        <v>37.5</v>
      </c>
      <c r="D1492">
        <v>1</v>
      </c>
      <c r="E1492">
        <v>0</v>
      </c>
      <c r="F1492">
        <v>1</v>
      </c>
      <c r="G1492">
        <v>1</v>
      </c>
      <c r="H1492">
        <v>350</v>
      </c>
      <c r="I1492">
        <f t="shared" si="226"/>
        <v>1485</v>
      </c>
      <c r="J1492" s="6">
        <f t="array" aca="1" ref="J1492:N1492" ca="1">TRANSPOSE(ols(OFFSET($C$2:$C$10,I1492,0),OFFSET($D$2:$H$10,I1492,0)))</f>
        <v>88.958333333332121</v>
      </c>
      <c r="K1492" s="6">
        <f ca="1"/>
        <v>11.25</v>
      </c>
      <c r="L1492" s="6">
        <f ca="1"/>
        <v>-11.66666666666606</v>
      </c>
      <c r="M1492" s="6">
        <f ca="1"/>
        <v>-15.416666666666629</v>
      </c>
      <c r="N1492" s="6">
        <f ca="1"/>
        <v>-0.10416666666666785</v>
      </c>
      <c r="O1492" s="6">
        <f t="shared" ca="1" si="218"/>
        <v>25.416666666665684</v>
      </c>
      <c r="P1492">
        <f t="shared" ca="1" si="219"/>
        <v>25.416666666665684</v>
      </c>
      <c r="Q1492" s="10">
        <f t="shared" ca="1" si="220"/>
        <v>25.416666666665684</v>
      </c>
      <c r="R1492" s="10">
        <f t="shared" ca="1" si="221"/>
        <v>61.874999999999432</v>
      </c>
      <c r="S1492" s="10">
        <f t="shared" ca="1" si="222"/>
        <v>-36.458333333333748</v>
      </c>
      <c r="T1492" s="10">
        <f t="shared" ca="1" si="223"/>
        <v>350</v>
      </c>
      <c r="U1492" s="10">
        <f t="shared" ca="1" si="224"/>
        <v>350</v>
      </c>
      <c r="V1492">
        <f t="shared" si="225"/>
        <v>6</v>
      </c>
    </row>
    <row r="1493" spans="1:22" x14ac:dyDescent="0.25">
      <c r="A1493">
        <v>166</v>
      </c>
      <c r="B1493">
        <v>7</v>
      </c>
      <c r="C1493">
        <v>50</v>
      </c>
      <c r="D1493">
        <v>1</v>
      </c>
      <c r="E1493">
        <v>1</v>
      </c>
      <c r="F1493">
        <v>0</v>
      </c>
      <c r="G1493">
        <v>1</v>
      </c>
      <c r="H1493">
        <v>450</v>
      </c>
      <c r="I1493">
        <f t="shared" si="226"/>
        <v>1485</v>
      </c>
      <c r="J1493" s="6">
        <f t="array" aca="1" ref="J1493:N1493" ca="1">TRANSPOSE(ols(OFFSET($C$2:$C$10,I1493,0),OFFSET($D$2:$H$10,I1493,0)))</f>
        <v>88.958333333332121</v>
      </c>
      <c r="K1493" s="6">
        <f ca="1"/>
        <v>11.25</v>
      </c>
      <c r="L1493" s="6">
        <f ca="1"/>
        <v>-11.66666666666606</v>
      </c>
      <c r="M1493" s="6">
        <f ca="1"/>
        <v>-15.416666666666629</v>
      </c>
      <c r="N1493" s="6">
        <f ca="1"/>
        <v>-0.10416666666666785</v>
      </c>
      <c r="O1493" s="6">
        <f t="shared" ca="1" si="218"/>
        <v>37.916666666664959</v>
      </c>
      <c r="P1493" t="str">
        <f t="shared" si="219"/>
        <v>NA</v>
      </c>
      <c r="Q1493" s="10">
        <f t="shared" ca="1" si="220"/>
        <v>25.416666666665684</v>
      </c>
      <c r="R1493" s="10">
        <f t="shared" ca="1" si="221"/>
        <v>84.791666666665492</v>
      </c>
      <c r="S1493" s="10">
        <f t="shared" ca="1" si="222"/>
        <v>-59.374999999999808</v>
      </c>
      <c r="T1493" s="10">
        <f t="shared" ca="1" si="223"/>
        <v>569.9999999999917</v>
      </c>
      <c r="U1493" s="10">
        <f t="shared" ca="1" si="224"/>
        <v>569.9999999999917</v>
      </c>
      <c r="V1493">
        <f t="shared" si="225"/>
        <v>5</v>
      </c>
    </row>
    <row r="1494" spans="1:22" x14ac:dyDescent="0.25">
      <c r="A1494">
        <v>166</v>
      </c>
      <c r="B1494">
        <v>8</v>
      </c>
      <c r="C1494">
        <v>20</v>
      </c>
      <c r="D1494">
        <v>1</v>
      </c>
      <c r="E1494">
        <v>1</v>
      </c>
      <c r="F1494">
        <v>0</v>
      </c>
      <c r="G1494">
        <v>1</v>
      </c>
      <c r="H1494">
        <v>550</v>
      </c>
      <c r="I1494">
        <f t="shared" si="226"/>
        <v>1485</v>
      </c>
      <c r="J1494" s="6">
        <f t="array" aca="1" ref="J1494:N1494" ca="1">TRANSPOSE(ols(OFFSET($C$2:$C$10,I1494,0),OFFSET($D$2:$H$10,I1494,0)))</f>
        <v>88.958333333332121</v>
      </c>
      <c r="K1494" s="6">
        <f ca="1"/>
        <v>11.25</v>
      </c>
      <c r="L1494" s="6">
        <f ca="1"/>
        <v>-11.66666666666606</v>
      </c>
      <c r="M1494" s="6">
        <f ca="1"/>
        <v>-15.416666666666629</v>
      </c>
      <c r="N1494" s="6">
        <f ca="1"/>
        <v>-0.10416666666666785</v>
      </c>
      <c r="O1494" s="6">
        <f t="shared" ca="1" si="218"/>
        <v>27.499999999998174</v>
      </c>
      <c r="P1494" t="str">
        <f t="shared" si="219"/>
        <v>NA</v>
      </c>
      <c r="Q1494" s="10">
        <f t="shared" ca="1" si="220"/>
        <v>25.416666666665684</v>
      </c>
      <c r="R1494" s="10">
        <f t="shared" ca="1" si="221"/>
        <v>84.791666666665492</v>
      </c>
      <c r="S1494" s="10">
        <f t="shared" ca="1" si="222"/>
        <v>-59.374999999999808</v>
      </c>
      <c r="T1494" s="10">
        <f t="shared" ca="1" si="223"/>
        <v>569.9999999999917</v>
      </c>
      <c r="U1494" s="10">
        <f t="shared" ca="1" si="224"/>
        <v>569.9999999999917</v>
      </c>
      <c r="V1494">
        <f t="shared" si="225"/>
        <v>5</v>
      </c>
    </row>
    <row r="1495" spans="1:22" x14ac:dyDescent="0.25">
      <c r="A1495">
        <v>166</v>
      </c>
      <c r="B1495">
        <v>9</v>
      </c>
      <c r="C1495">
        <v>0</v>
      </c>
      <c r="D1495">
        <v>1</v>
      </c>
      <c r="E1495">
        <v>0</v>
      </c>
      <c r="F1495">
        <v>0</v>
      </c>
      <c r="G1495">
        <v>1</v>
      </c>
      <c r="H1495">
        <v>650</v>
      </c>
      <c r="I1495">
        <f t="shared" si="226"/>
        <v>1485</v>
      </c>
      <c r="J1495" s="6">
        <f t="array" aca="1" ref="J1495:N1495" ca="1">TRANSPOSE(ols(OFFSET($C$2:$C$10,I1495,0),OFFSET($D$2:$H$10,I1495,0)))</f>
        <v>88.958333333332121</v>
      </c>
      <c r="K1495" s="6">
        <f ca="1"/>
        <v>11.25</v>
      </c>
      <c r="L1495" s="6">
        <f ca="1"/>
        <v>-11.66666666666606</v>
      </c>
      <c r="M1495" s="6">
        <f ca="1"/>
        <v>-15.416666666666629</v>
      </c>
      <c r="N1495" s="6">
        <f ca="1"/>
        <v>-0.10416666666666785</v>
      </c>
      <c r="O1495" s="6">
        <f t="shared" ca="1" si="218"/>
        <v>5.8333333333313817</v>
      </c>
      <c r="P1495" t="str">
        <f t="shared" si="219"/>
        <v>NA</v>
      </c>
      <c r="Q1495" s="10">
        <f t="shared" ca="1" si="220"/>
        <v>25.416666666665684</v>
      </c>
      <c r="R1495" s="10">
        <f t="shared" ca="1" si="221"/>
        <v>73.541666666665492</v>
      </c>
      <c r="S1495" s="10">
        <f t="shared" ca="1" si="222"/>
        <v>-48.124999999999808</v>
      </c>
      <c r="T1495" s="10">
        <f t="shared" ca="1" si="223"/>
        <v>461.99999999999289</v>
      </c>
      <c r="U1495" s="10">
        <f t="shared" ca="1" si="224"/>
        <v>461.99999999999289</v>
      </c>
      <c r="V1495">
        <f t="shared" si="225"/>
        <v>4</v>
      </c>
    </row>
    <row r="1496" spans="1:22" x14ac:dyDescent="0.25">
      <c r="A1496">
        <v>167</v>
      </c>
      <c r="B1496">
        <v>1</v>
      </c>
      <c r="C1496">
        <v>75</v>
      </c>
      <c r="D1496">
        <v>1</v>
      </c>
      <c r="E1496">
        <v>0</v>
      </c>
      <c r="F1496">
        <v>1</v>
      </c>
      <c r="G1496">
        <v>0</v>
      </c>
      <c r="H1496">
        <v>250</v>
      </c>
      <c r="I1496">
        <f t="shared" si="226"/>
        <v>1494</v>
      </c>
      <c r="J1496" s="6">
        <f t="array" aca="1" ref="J1496:N1496" ca="1">TRANSPOSE(ols(OFFSET($C$2:$C$10,I1496,0),OFFSET($D$2:$H$10,I1496,0)))</f>
        <v>77.738095238095411</v>
      </c>
      <c r="K1496" s="6">
        <f ca="1"/>
        <v>4.6428571428566556</v>
      </c>
      <c r="L1496" s="6">
        <f ca="1"/>
        <v>15.238095238094957</v>
      </c>
      <c r="M1496" s="6">
        <f ca="1"/>
        <v>-2.6190476190470235</v>
      </c>
      <c r="N1496" s="6">
        <f ca="1"/>
        <v>-6.9047619047621467E-2</v>
      </c>
      <c r="O1496" s="6">
        <f t="shared" ca="1" si="218"/>
        <v>75.714285714284998</v>
      </c>
      <c r="P1496" t="str">
        <f t="shared" si="219"/>
        <v>NA</v>
      </c>
      <c r="Q1496" s="10">
        <f t="shared" ca="1" si="220"/>
        <v>66.190476190475835</v>
      </c>
      <c r="R1496" s="10">
        <f t="shared" ca="1" si="221"/>
        <v>92.976190476190368</v>
      </c>
      <c r="S1496" s="10">
        <f t="shared" ca="1" si="222"/>
        <v>-26.785714285714533</v>
      </c>
      <c r="T1496" s="10">
        <f t="shared" ca="1" si="223"/>
        <v>387.9310344827486</v>
      </c>
      <c r="U1496" s="10">
        <f t="shared" ca="1" si="224"/>
        <v>387.9310344827486</v>
      </c>
      <c r="V1496">
        <f t="shared" si="225"/>
        <v>3</v>
      </c>
    </row>
    <row r="1497" spans="1:22" x14ac:dyDescent="0.25">
      <c r="A1497">
        <v>167</v>
      </c>
      <c r="B1497">
        <v>2</v>
      </c>
      <c r="C1497">
        <v>55</v>
      </c>
      <c r="D1497">
        <v>1</v>
      </c>
      <c r="E1497">
        <v>1</v>
      </c>
      <c r="F1497">
        <v>0</v>
      </c>
      <c r="G1497">
        <v>0</v>
      </c>
      <c r="H1497">
        <v>350</v>
      </c>
      <c r="I1497">
        <f t="shared" si="226"/>
        <v>1494</v>
      </c>
      <c r="J1497" s="6">
        <f t="array" aca="1" ref="J1497:N1497" ca="1">TRANSPOSE(ols(OFFSET($C$2:$C$10,I1497,0),OFFSET($D$2:$H$10,I1497,0)))</f>
        <v>77.738095238095411</v>
      </c>
      <c r="K1497" s="6">
        <f ca="1"/>
        <v>4.6428571428566556</v>
      </c>
      <c r="L1497" s="6">
        <f ca="1"/>
        <v>15.238095238094957</v>
      </c>
      <c r="M1497" s="6">
        <f ca="1"/>
        <v>-2.6190476190470235</v>
      </c>
      <c r="N1497" s="6">
        <f ca="1"/>
        <v>-6.9047619047621467E-2</v>
      </c>
      <c r="O1497" s="6">
        <f t="shared" ca="1" si="218"/>
        <v>58.214285714284557</v>
      </c>
      <c r="P1497" t="str">
        <f t="shared" si="219"/>
        <v>NA</v>
      </c>
      <c r="Q1497" s="10">
        <f t="shared" ca="1" si="220"/>
        <v>66.190476190475835</v>
      </c>
      <c r="R1497" s="10">
        <f t="shared" ca="1" si="221"/>
        <v>82.380952380952067</v>
      </c>
      <c r="S1497" s="10">
        <f t="shared" ca="1" si="222"/>
        <v>-16.190476190476232</v>
      </c>
      <c r="T1497" s="10">
        <f t="shared" ca="1" si="223"/>
        <v>234.48275862068203</v>
      </c>
      <c r="U1497" s="10" t="str">
        <f t="shared" ca="1" si="224"/>
        <v>OR</v>
      </c>
      <c r="V1497">
        <f t="shared" si="225"/>
        <v>2</v>
      </c>
    </row>
    <row r="1498" spans="1:22" x14ac:dyDescent="0.25">
      <c r="A1498">
        <v>167</v>
      </c>
      <c r="B1498">
        <v>3</v>
      </c>
      <c r="C1498">
        <v>50</v>
      </c>
      <c r="D1498">
        <v>1</v>
      </c>
      <c r="E1498">
        <v>1</v>
      </c>
      <c r="F1498">
        <v>0</v>
      </c>
      <c r="G1498">
        <v>0</v>
      </c>
      <c r="H1498">
        <v>450</v>
      </c>
      <c r="I1498">
        <f t="shared" si="226"/>
        <v>1494</v>
      </c>
      <c r="J1498" s="6">
        <f t="array" aca="1" ref="J1498:N1498" ca="1">TRANSPOSE(ols(OFFSET($C$2:$C$10,I1498,0),OFFSET($D$2:$H$10,I1498,0)))</f>
        <v>77.738095238095411</v>
      </c>
      <c r="K1498" s="6">
        <f ca="1"/>
        <v>4.6428571428566556</v>
      </c>
      <c r="L1498" s="6">
        <f ca="1"/>
        <v>15.238095238094957</v>
      </c>
      <c r="M1498" s="6">
        <f ca="1"/>
        <v>-2.6190476190470235</v>
      </c>
      <c r="N1498" s="6">
        <f ca="1"/>
        <v>-6.9047619047621467E-2</v>
      </c>
      <c r="O1498" s="6">
        <f t="shared" ca="1" si="218"/>
        <v>51.309523809522403</v>
      </c>
      <c r="P1498" t="str">
        <f t="shared" si="219"/>
        <v>NA</v>
      </c>
      <c r="Q1498" s="10">
        <f t="shared" ca="1" si="220"/>
        <v>66.190476190475835</v>
      </c>
      <c r="R1498" s="10">
        <f t="shared" ca="1" si="221"/>
        <v>82.380952380952067</v>
      </c>
      <c r="S1498" s="10">
        <f t="shared" ca="1" si="222"/>
        <v>-16.190476190476232</v>
      </c>
      <c r="T1498" s="10">
        <f t="shared" ca="1" si="223"/>
        <v>234.48275862068203</v>
      </c>
      <c r="U1498" s="10" t="str">
        <f t="shared" ca="1" si="224"/>
        <v>OR</v>
      </c>
      <c r="V1498">
        <f t="shared" si="225"/>
        <v>2</v>
      </c>
    </row>
    <row r="1499" spans="1:22" x14ac:dyDescent="0.25">
      <c r="A1499">
        <v>167</v>
      </c>
      <c r="B1499">
        <v>4</v>
      </c>
      <c r="C1499">
        <v>45</v>
      </c>
      <c r="D1499">
        <v>1</v>
      </c>
      <c r="E1499">
        <v>0</v>
      </c>
      <c r="F1499">
        <v>0</v>
      </c>
      <c r="G1499">
        <v>0</v>
      </c>
      <c r="H1499">
        <v>550</v>
      </c>
      <c r="I1499">
        <f t="shared" si="226"/>
        <v>1494</v>
      </c>
      <c r="J1499" s="6">
        <f t="array" aca="1" ref="J1499:N1499" ca="1">TRANSPOSE(ols(OFFSET($C$2:$C$10,I1499,0),OFFSET($D$2:$H$10,I1499,0)))</f>
        <v>77.738095238095411</v>
      </c>
      <c r="K1499" s="6">
        <f ca="1"/>
        <v>4.6428571428566556</v>
      </c>
      <c r="L1499" s="6">
        <f ca="1"/>
        <v>15.238095238094957</v>
      </c>
      <c r="M1499" s="6">
        <f ca="1"/>
        <v>-2.6190476190470235</v>
      </c>
      <c r="N1499" s="6">
        <f ca="1"/>
        <v>-6.9047619047621467E-2</v>
      </c>
      <c r="O1499" s="6">
        <f t="shared" ca="1" si="218"/>
        <v>39.761904761903608</v>
      </c>
      <c r="P1499" t="str">
        <f t="shared" si="219"/>
        <v>NA</v>
      </c>
      <c r="Q1499" s="10">
        <f t="shared" ca="1" si="220"/>
        <v>66.190476190475835</v>
      </c>
      <c r="R1499" s="10">
        <f t="shared" ca="1" si="221"/>
        <v>77.738095238095411</v>
      </c>
      <c r="S1499" s="10">
        <f t="shared" ca="1" si="222"/>
        <v>-11.547619047619577</v>
      </c>
      <c r="T1499" s="10">
        <f t="shared" ca="1" si="223"/>
        <v>167.24137931034664</v>
      </c>
      <c r="U1499" s="10" t="str">
        <f t="shared" ca="1" si="224"/>
        <v>OR</v>
      </c>
      <c r="V1499">
        <f t="shared" si="225"/>
        <v>1</v>
      </c>
    </row>
    <row r="1500" spans="1:22" x14ac:dyDescent="0.25">
      <c r="A1500">
        <v>167</v>
      </c>
      <c r="B1500">
        <v>5</v>
      </c>
      <c r="C1500">
        <v>75</v>
      </c>
      <c r="D1500">
        <v>1</v>
      </c>
      <c r="E1500">
        <v>0</v>
      </c>
      <c r="F1500">
        <v>1</v>
      </c>
      <c r="G1500">
        <v>1</v>
      </c>
      <c r="H1500">
        <v>250</v>
      </c>
      <c r="I1500">
        <f t="shared" si="226"/>
        <v>1494</v>
      </c>
      <c r="J1500" s="6">
        <f t="array" aca="1" ref="J1500:N1500" ca="1">TRANSPOSE(ols(OFFSET($C$2:$C$10,I1500,0),OFFSET($D$2:$H$10,I1500,0)))</f>
        <v>77.738095238095411</v>
      </c>
      <c r="K1500" s="6">
        <f ca="1"/>
        <v>4.6428571428566556</v>
      </c>
      <c r="L1500" s="6">
        <f ca="1"/>
        <v>15.238095238094957</v>
      </c>
      <c r="M1500" s="6">
        <f ca="1"/>
        <v>-2.6190476190470235</v>
      </c>
      <c r="N1500" s="6">
        <f ca="1"/>
        <v>-6.9047619047621467E-2</v>
      </c>
      <c r="O1500" s="6">
        <f t="shared" ca="1" si="218"/>
        <v>73.095238095237974</v>
      </c>
      <c r="P1500" t="str">
        <f t="shared" si="219"/>
        <v>NA</v>
      </c>
      <c r="Q1500" s="10">
        <f t="shared" ca="1" si="220"/>
        <v>66.190476190475835</v>
      </c>
      <c r="R1500" s="10">
        <f t="shared" ca="1" si="221"/>
        <v>90.357142857143344</v>
      </c>
      <c r="S1500" s="10">
        <f t="shared" ca="1" si="222"/>
        <v>-24.16666666666751</v>
      </c>
      <c r="T1500" s="10">
        <f t="shared" ca="1" si="223"/>
        <v>349.99999999999994</v>
      </c>
      <c r="U1500" s="10">
        <f t="shared" ca="1" si="224"/>
        <v>349.99999999999994</v>
      </c>
      <c r="V1500">
        <f t="shared" si="225"/>
        <v>6</v>
      </c>
    </row>
    <row r="1501" spans="1:22" x14ac:dyDescent="0.25">
      <c r="A1501">
        <v>167</v>
      </c>
      <c r="B1501">
        <v>6</v>
      </c>
      <c r="C1501">
        <v>65</v>
      </c>
      <c r="D1501">
        <v>1</v>
      </c>
      <c r="E1501">
        <v>0</v>
      </c>
      <c r="F1501">
        <v>1</v>
      </c>
      <c r="G1501">
        <v>1</v>
      </c>
      <c r="H1501">
        <v>350</v>
      </c>
      <c r="I1501">
        <f t="shared" si="226"/>
        <v>1494</v>
      </c>
      <c r="J1501" s="6">
        <f t="array" aca="1" ref="J1501:N1501" ca="1">TRANSPOSE(ols(OFFSET($C$2:$C$10,I1501,0),OFFSET($D$2:$H$10,I1501,0)))</f>
        <v>77.738095238095411</v>
      </c>
      <c r="K1501" s="6">
        <f ca="1"/>
        <v>4.6428571428566556</v>
      </c>
      <c r="L1501" s="6">
        <f ca="1"/>
        <v>15.238095238094957</v>
      </c>
      <c r="M1501" s="6">
        <f ca="1"/>
        <v>-2.6190476190470235</v>
      </c>
      <c r="N1501" s="6">
        <f ca="1"/>
        <v>-6.9047619047621467E-2</v>
      </c>
      <c r="O1501" s="6">
        <f t="shared" ca="1" si="218"/>
        <v>66.190476190475835</v>
      </c>
      <c r="P1501">
        <f t="shared" ca="1" si="219"/>
        <v>66.190476190475835</v>
      </c>
      <c r="Q1501" s="10">
        <f t="shared" ca="1" si="220"/>
        <v>66.190476190475835</v>
      </c>
      <c r="R1501" s="10">
        <f t="shared" ca="1" si="221"/>
        <v>90.357142857143344</v>
      </c>
      <c r="S1501" s="10">
        <f t="shared" ca="1" si="222"/>
        <v>-24.16666666666751</v>
      </c>
      <c r="T1501" s="10">
        <f t="shared" ca="1" si="223"/>
        <v>349.99999999999994</v>
      </c>
      <c r="U1501" s="10">
        <f t="shared" ca="1" si="224"/>
        <v>349.99999999999994</v>
      </c>
      <c r="V1501">
        <f t="shared" si="225"/>
        <v>6</v>
      </c>
    </row>
    <row r="1502" spans="1:22" x14ac:dyDescent="0.25">
      <c r="A1502">
        <v>167</v>
      </c>
      <c r="B1502">
        <v>7</v>
      </c>
      <c r="C1502">
        <v>50</v>
      </c>
      <c r="D1502">
        <v>1</v>
      </c>
      <c r="E1502">
        <v>1</v>
      </c>
      <c r="F1502">
        <v>0</v>
      </c>
      <c r="G1502">
        <v>1</v>
      </c>
      <c r="H1502">
        <v>450</v>
      </c>
      <c r="I1502">
        <f t="shared" si="226"/>
        <v>1494</v>
      </c>
      <c r="J1502" s="6">
        <f t="array" aca="1" ref="J1502:N1502" ca="1">TRANSPOSE(ols(OFFSET($C$2:$C$10,I1502,0),OFFSET($D$2:$H$10,I1502,0)))</f>
        <v>77.738095238095411</v>
      </c>
      <c r="K1502" s="6">
        <f ca="1"/>
        <v>4.6428571428566556</v>
      </c>
      <c r="L1502" s="6">
        <f ca="1"/>
        <v>15.238095238094957</v>
      </c>
      <c r="M1502" s="6">
        <f ca="1"/>
        <v>-2.6190476190470235</v>
      </c>
      <c r="N1502" s="6">
        <f ca="1"/>
        <v>-6.9047619047621467E-2</v>
      </c>
      <c r="O1502" s="6">
        <f t="shared" ca="1" si="218"/>
        <v>48.69047619047538</v>
      </c>
      <c r="P1502" t="str">
        <f t="shared" si="219"/>
        <v>NA</v>
      </c>
      <c r="Q1502" s="10">
        <f t="shared" ca="1" si="220"/>
        <v>66.190476190475835</v>
      </c>
      <c r="R1502" s="10">
        <f t="shared" ca="1" si="221"/>
        <v>79.761904761905043</v>
      </c>
      <c r="S1502" s="10">
        <f t="shared" ca="1" si="222"/>
        <v>-13.571428571429209</v>
      </c>
      <c r="T1502" s="10">
        <f t="shared" ca="1" si="223"/>
        <v>196.55172413793338</v>
      </c>
      <c r="U1502" s="10" t="str">
        <f t="shared" ca="1" si="224"/>
        <v>OR</v>
      </c>
      <c r="V1502">
        <f t="shared" si="225"/>
        <v>5</v>
      </c>
    </row>
    <row r="1503" spans="1:22" x14ac:dyDescent="0.25">
      <c r="A1503">
        <v>167</v>
      </c>
      <c r="B1503">
        <v>8</v>
      </c>
      <c r="C1503">
        <v>45</v>
      </c>
      <c r="D1503">
        <v>1</v>
      </c>
      <c r="E1503">
        <v>1</v>
      </c>
      <c r="F1503">
        <v>0</v>
      </c>
      <c r="G1503">
        <v>1</v>
      </c>
      <c r="H1503">
        <v>550</v>
      </c>
      <c r="I1503">
        <f t="shared" si="226"/>
        <v>1494</v>
      </c>
      <c r="J1503" s="6">
        <f t="array" aca="1" ref="J1503:N1503" ca="1">TRANSPOSE(ols(OFFSET($C$2:$C$10,I1503,0),OFFSET($D$2:$H$10,I1503,0)))</f>
        <v>77.738095238095411</v>
      </c>
      <c r="K1503" s="6">
        <f ca="1"/>
        <v>4.6428571428566556</v>
      </c>
      <c r="L1503" s="6">
        <f ca="1"/>
        <v>15.238095238094957</v>
      </c>
      <c r="M1503" s="6">
        <f ca="1"/>
        <v>-2.6190476190470235</v>
      </c>
      <c r="N1503" s="6">
        <f ca="1"/>
        <v>-6.9047619047621467E-2</v>
      </c>
      <c r="O1503" s="6">
        <f t="shared" ca="1" si="218"/>
        <v>41.78571428571324</v>
      </c>
      <c r="P1503" t="str">
        <f t="shared" si="219"/>
        <v>NA</v>
      </c>
      <c r="Q1503" s="10">
        <f t="shared" ca="1" si="220"/>
        <v>66.190476190475835</v>
      </c>
      <c r="R1503" s="10">
        <f t="shared" ca="1" si="221"/>
        <v>79.761904761905043</v>
      </c>
      <c r="S1503" s="10">
        <f t="shared" ca="1" si="222"/>
        <v>-13.571428571429209</v>
      </c>
      <c r="T1503" s="10">
        <f t="shared" ca="1" si="223"/>
        <v>196.55172413793338</v>
      </c>
      <c r="U1503" s="10" t="str">
        <f t="shared" ca="1" si="224"/>
        <v>OR</v>
      </c>
      <c r="V1503">
        <f t="shared" si="225"/>
        <v>5</v>
      </c>
    </row>
    <row r="1504" spans="1:22" x14ac:dyDescent="0.25">
      <c r="A1504">
        <v>167</v>
      </c>
      <c r="B1504">
        <v>9</v>
      </c>
      <c r="C1504">
        <v>25</v>
      </c>
      <c r="D1504">
        <v>1</v>
      </c>
      <c r="E1504">
        <v>0</v>
      </c>
      <c r="F1504">
        <v>0</v>
      </c>
      <c r="G1504">
        <v>1</v>
      </c>
      <c r="H1504">
        <v>650</v>
      </c>
      <c r="I1504">
        <f t="shared" si="226"/>
        <v>1494</v>
      </c>
      <c r="J1504" s="6">
        <f t="array" aca="1" ref="J1504:N1504" ca="1">TRANSPOSE(ols(OFFSET($C$2:$C$10,I1504,0),OFFSET($D$2:$H$10,I1504,0)))</f>
        <v>77.738095238095411</v>
      </c>
      <c r="K1504" s="6">
        <f ca="1"/>
        <v>4.6428571428566556</v>
      </c>
      <c r="L1504" s="6">
        <f ca="1"/>
        <v>15.238095238094957</v>
      </c>
      <c r="M1504" s="6">
        <f ca="1"/>
        <v>-2.6190476190470235</v>
      </c>
      <c r="N1504" s="6">
        <f ca="1"/>
        <v>-6.9047619047621467E-2</v>
      </c>
      <c r="O1504" s="6">
        <f t="shared" ca="1" si="218"/>
        <v>30.238095238094431</v>
      </c>
      <c r="P1504" t="str">
        <f t="shared" si="219"/>
        <v>NA</v>
      </c>
      <c r="Q1504" s="10">
        <f t="shared" ca="1" si="220"/>
        <v>66.190476190475835</v>
      </c>
      <c r="R1504" s="10">
        <f t="shared" ca="1" si="221"/>
        <v>75.119047619048388</v>
      </c>
      <c r="S1504" s="10">
        <f t="shared" ca="1" si="222"/>
        <v>-8.9285714285725533</v>
      </c>
      <c r="T1504" s="10">
        <f t="shared" ca="1" si="223"/>
        <v>129.31034482759796</v>
      </c>
      <c r="U1504" s="10" t="str">
        <f t="shared" ca="1" si="224"/>
        <v>OR</v>
      </c>
      <c r="V1504">
        <f t="shared" si="225"/>
        <v>4</v>
      </c>
    </row>
    <row r="1505" spans="1:22" x14ac:dyDescent="0.25">
      <c r="A1505">
        <v>168</v>
      </c>
      <c r="B1505">
        <v>1</v>
      </c>
      <c r="C1505">
        <v>60</v>
      </c>
      <c r="D1505">
        <v>1</v>
      </c>
      <c r="E1505">
        <v>0</v>
      </c>
      <c r="F1505">
        <v>1</v>
      </c>
      <c r="G1505">
        <v>0</v>
      </c>
      <c r="H1505">
        <v>250</v>
      </c>
      <c r="I1505">
        <f t="shared" si="226"/>
        <v>1503</v>
      </c>
      <c r="J1505" s="6">
        <f t="array" aca="1" ref="J1505:N1505" ca="1">TRANSPOSE(ols(OFFSET($C$2:$C$10,I1505,0),OFFSET($D$2:$H$10,I1505,0)))</f>
        <v>78.809523809522943</v>
      </c>
      <c r="K1505" s="6">
        <f ca="1"/>
        <v>4.285714285713766</v>
      </c>
      <c r="L1505" s="6">
        <f ca="1"/>
        <v>-16.190476190477057</v>
      </c>
      <c r="M1505" s="6">
        <f ca="1"/>
        <v>-1.904761904761699</v>
      </c>
      <c r="N1505" s="6">
        <f ca="1"/>
        <v>-4.7619047619100741E-3</v>
      </c>
      <c r="O1505" s="6">
        <f t="shared" ca="1" si="218"/>
        <v>61.428571428568368</v>
      </c>
      <c r="P1505" t="str">
        <f t="shared" si="219"/>
        <v>NA</v>
      </c>
      <c r="Q1505" s="10">
        <f t="shared" ca="1" si="220"/>
        <v>59.047619047615662</v>
      </c>
      <c r="R1505" s="10">
        <f t="shared" ca="1" si="221"/>
        <v>62.619047619045887</v>
      </c>
      <c r="S1505" s="10">
        <f t="shared" ca="1" si="222"/>
        <v>-3.571428571430225</v>
      </c>
      <c r="T1505" s="10">
        <f t="shared" ca="1" si="223"/>
        <v>749.99999999951058</v>
      </c>
      <c r="U1505" s="10" t="str">
        <f t="shared" ca="1" si="224"/>
        <v>OR</v>
      </c>
      <c r="V1505">
        <f t="shared" si="225"/>
        <v>3</v>
      </c>
    </row>
    <row r="1506" spans="1:22" x14ac:dyDescent="0.25">
      <c r="A1506">
        <v>168</v>
      </c>
      <c r="B1506">
        <v>2</v>
      </c>
      <c r="C1506">
        <v>80</v>
      </c>
      <c r="D1506">
        <v>1</v>
      </c>
      <c r="E1506">
        <v>1</v>
      </c>
      <c r="F1506">
        <v>0</v>
      </c>
      <c r="G1506">
        <v>0</v>
      </c>
      <c r="H1506">
        <v>350</v>
      </c>
      <c r="I1506">
        <f t="shared" si="226"/>
        <v>1503</v>
      </c>
      <c r="J1506" s="6">
        <f t="array" aca="1" ref="J1506:N1506" ca="1">TRANSPOSE(ols(OFFSET($C$2:$C$10,I1506,0),OFFSET($D$2:$H$10,I1506,0)))</f>
        <v>78.809523809522943</v>
      </c>
      <c r="K1506" s="6">
        <f ca="1"/>
        <v>4.285714285713766</v>
      </c>
      <c r="L1506" s="6">
        <f ca="1"/>
        <v>-16.190476190477057</v>
      </c>
      <c r="M1506" s="6">
        <f ca="1"/>
        <v>-1.904761904761699</v>
      </c>
      <c r="N1506" s="6">
        <f ca="1"/>
        <v>-4.7619047619100741E-3</v>
      </c>
      <c r="O1506" s="6">
        <f t="shared" ca="1" si="218"/>
        <v>81.428571428568176</v>
      </c>
      <c r="P1506" t="str">
        <f t="shared" si="219"/>
        <v>NA</v>
      </c>
      <c r="Q1506" s="10">
        <f t="shared" ca="1" si="220"/>
        <v>59.047619047615662</v>
      </c>
      <c r="R1506" s="10">
        <f t="shared" ca="1" si="221"/>
        <v>83.095238095236709</v>
      </c>
      <c r="S1506" s="10">
        <f t="shared" ca="1" si="222"/>
        <v>-24.047619047621048</v>
      </c>
      <c r="T1506" s="10">
        <f t="shared" ca="1" si="223"/>
        <v>5049.9999999947868</v>
      </c>
      <c r="U1506" s="10" t="str">
        <f t="shared" ca="1" si="224"/>
        <v>OR</v>
      </c>
      <c r="V1506">
        <f t="shared" si="225"/>
        <v>2</v>
      </c>
    </row>
    <row r="1507" spans="1:22" x14ac:dyDescent="0.25">
      <c r="A1507">
        <v>168</v>
      </c>
      <c r="B1507">
        <v>3</v>
      </c>
      <c r="C1507">
        <v>80</v>
      </c>
      <c r="D1507">
        <v>1</v>
      </c>
      <c r="E1507">
        <v>1</v>
      </c>
      <c r="F1507">
        <v>0</v>
      </c>
      <c r="G1507">
        <v>0</v>
      </c>
      <c r="H1507">
        <v>450</v>
      </c>
      <c r="I1507">
        <f t="shared" si="226"/>
        <v>1503</v>
      </c>
      <c r="J1507" s="6">
        <f t="array" aca="1" ref="J1507:N1507" ca="1">TRANSPOSE(ols(OFFSET($C$2:$C$10,I1507,0),OFFSET($D$2:$H$10,I1507,0)))</f>
        <v>78.809523809522943</v>
      </c>
      <c r="K1507" s="6">
        <f ca="1"/>
        <v>4.285714285713766</v>
      </c>
      <c r="L1507" s="6">
        <f ca="1"/>
        <v>-16.190476190477057</v>
      </c>
      <c r="M1507" s="6">
        <f ca="1"/>
        <v>-1.904761904761699</v>
      </c>
      <c r="N1507" s="6">
        <f ca="1"/>
        <v>-4.7619047619100741E-3</v>
      </c>
      <c r="O1507" s="6">
        <f t="shared" ca="1" si="218"/>
        <v>80.952380952377183</v>
      </c>
      <c r="P1507" t="str">
        <f t="shared" si="219"/>
        <v>NA</v>
      </c>
      <c r="Q1507" s="10">
        <f t="shared" ca="1" si="220"/>
        <v>59.047619047615662</v>
      </c>
      <c r="R1507" s="10">
        <f t="shared" ca="1" si="221"/>
        <v>83.095238095236709</v>
      </c>
      <c r="S1507" s="10">
        <f t="shared" ca="1" si="222"/>
        <v>-24.047619047621048</v>
      </c>
      <c r="T1507" s="10">
        <f t="shared" ca="1" si="223"/>
        <v>5049.9999999947868</v>
      </c>
      <c r="U1507" s="10" t="str">
        <f t="shared" ca="1" si="224"/>
        <v>OR</v>
      </c>
      <c r="V1507">
        <f t="shared" si="225"/>
        <v>2</v>
      </c>
    </row>
    <row r="1508" spans="1:22" x14ac:dyDescent="0.25">
      <c r="A1508">
        <v>168</v>
      </c>
      <c r="B1508">
        <v>4</v>
      </c>
      <c r="C1508">
        <v>80</v>
      </c>
      <c r="D1508">
        <v>1</v>
      </c>
      <c r="E1508">
        <v>0</v>
      </c>
      <c r="F1508">
        <v>0</v>
      </c>
      <c r="G1508">
        <v>0</v>
      </c>
      <c r="H1508">
        <v>550</v>
      </c>
      <c r="I1508">
        <f t="shared" si="226"/>
        <v>1503</v>
      </c>
      <c r="J1508" s="6">
        <f t="array" aca="1" ref="J1508:N1508" ca="1">TRANSPOSE(ols(OFFSET($C$2:$C$10,I1508,0),OFFSET($D$2:$H$10,I1508,0)))</f>
        <v>78.809523809522943</v>
      </c>
      <c r="K1508" s="6">
        <f ca="1"/>
        <v>4.285714285713766</v>
      </c>
      <c r="L1508" s="6">
        <f ca="1"/>
        <v>-16.190476190477057</v>
      </c>
      <c r="M1508" s="6">
        <f ca="1"/>
        <v>-1.904761904761699</v>
      </c>
      <c r="N1508" s="6">
        <f ca="1"/>
        <v>-4.7619047619100741E-3</v>
      </c>
      <c r="O1508" s="6">
        <f t="shared" ca="1" si="218"/>
        <v>76.190476190472396</v>
      </c>
      <c r="P1508" t="str">
        <f t="shared" si="219"/>
        <v>NA</v>
      </c>
      <c r="Q1508" s="10">
        <f t="shared" ca="1" si="220"/>
        <v>59.047619047615662</v>
      </c>
      <c r="R1508" s="10">
        <f t="shared" ca="1" si="221"/>
        <v>78.809523809522943</v>
      </c>
      <c r="S1508" s="10">
        <f t="shared" ca="1" si="222"/>
        <v>-19.761904761907282</v>
      </c>
      <c r="T1508" s="10">
        <f t="shared" ca="1" si="223"/>
        <v>4149.9999999959</v>
      </c>
      <c r="U1508" s="10" t="str">
        <f t="shared" ca="1" si="224"/>
        <v>OR</v>
      </c>
      <c r="V1508">
        <f t="shared" si="225"/>
        <v>1</v>
      </c>
    </row>
    <row r="1509" spans="1:22" x14ac:dyDescent="0.25">
      <c r="A1509">
        <v>168</v>
      </c>
      <c r="B1509">
        <v>5</v>
      </c>
      <c r="C1509">
        <v>60</v>
      </c>
      <c r="D1509">
        <v>1</v>
      </c>
      <c r="E1509">
        <v>0</v>
      </c>
      <c r="F1509">
        <v>1</v>
      </c>
      <c r="G1509">
        <v>1</v>
      </c>
      <c r="H1509">
        <v>250</v>
      </c>
      <c r="I1509">
        <f t="shared" si="226"/>
        <v>1503</v>
      </c>
      <c r="J1509" s="6">
        <f t="array" aca="1" ref="J1509:N1509" ca="1">TRANSPOSE(ols(OFFSET($C$2:$C$10,I1509,0),OFFSET($D$2:$H$10,I1509,0)))</f>
        <v>78.809523809522943</v>
      </c>
      <c r="K1509" s="6">
        <f ca="1"/>
        <v>4.285714285713766</v>
      </c>
      <c r="L1509" s="6">
        <f ca="1"/>
        <v>-16.190476190477057</v>
      </c>
      <c r="M1509" s="6">
        <f ca="1"/>
        <v>-1.904761904761699</v>
      </c>
      <c r="N1509" s="6">
        <f ca="1"/>
        <v>-4.7619047619100741E-3</v>
      </c>
      <c r="O1509" s="6">
        <f t="shared" ca="1" si="218"/>
        <v>59.523809523806669</v>
      </c>
      <c r="P1509" t="str">
        <f t="shared" si="219"/>
        <v>NA</v>
      </c>
      <c r="Q1509" s="10">
        <f t="shared" ca="1" si="220"/>
        <v>59.047619047615662</v>
      </c>
      <c r="R1509" s="10">
        <f t="shared" ca="1" si="221"/>
        <v>60.714285714284188</v>
      </c>
      <c r="S1509" s="10">
        <f t="shared" ca="1" si="222"/>
        <v>-1.6666666666685259</v>
      </c>
      <c r="T1509" s="10">
        <f t="shared" ca="1" si="223"/>
        <v>350</v>
      </c>
      <c r="U1509" s="10">
        <f t="shared" ca="1" si="224"/>
        <v>350</v>
      </c>
      <c r="V1509">
        <f t="shared" si="225"/>
        <v>6</v>
      </c>
    </row>
    <row r="1510" spans="1:22" x14ac:dyDescent="0.25">
      <c r="A1510">
        <v>168</v>
      </c>
      <c r="B1510">
        <v>6</v>
      </c>
      <c r="C1510">
        <v>60</v>
      </c>
      <c r="D1510">
        <v>1</v>
      </c>
      <c r="E1510">
        <v>0</v>
      </c>
      <c r="F1510">
        <v>1</v>
      </c>
      <c r="G1510">
        <v>1</v>
      </c>
      <c r="H1510">
        <v>350</v>
      </c>
      <c r="I1510">
        <f t="shared" si="226"/>
        <v>1503</v>
      </c>
      <c r="J1510" s="6">
        <f t="array" aca="1" ref="J1510:N1510" ca="1">TRANSPOSE(ols(OFFSET($C$2:$C$10,I1510,0),OFFSET($D$2:$H$10,I1510,0)))</f>
        <v>78.809523809522943</v>
      </c>
      <c r="K1510" s="6">
        <f ca="1"/>
        <v>4.285714285713766</v>
      </c>
      <c r="L1510" s="6">
        <f ca="1"/>
        <v>-16.190476190477057</v>
      </c>
      <c r="M1510" s="6">
        <f ca="1"/>
        <v>-1.904761904761699</v>
      </c>
      <c r="N1510" s="6">
        <f ca="1"/>
        <v>-4.7619047619100741E-3</v>
      </c>
      <c r="O1510" s="6">
        <f t="shared" ca="1" si="218"/>
        <v>59.047619047615662</v>
      </c>
      <c r="P1510">
        <f t="shared" ca="1" si="219"/>
        <v>59.047619047615662</v>
      </c>
      <c r="Q1510" s="10">
        <f t="shared" ca="1" si="220"/>
        <v>59.047619047615662</v>
      </c>
      <c r="R1510" s="10">
        <f t="shared" ca="1" si="221"/>
        <v>60.714285714284188</v>
      </c>
      <c r="S1510" s="10">
        <f t="shared" ca="1" si="222"/>
        <v>-1.6666666666685259</v>
      </c>
      <c r="T1510" s="10">
        <f t="shared" ca="1" si="223"/>
        <v>350</v>
      </c>
      <c r="U1510" s="10">
        <f t="shared" ca="1" si="224"/>
        <v>350</v>
      </c>
      <c r="V1510">
        <f t="shared" si="225"/>
        <v>6</v>
      </c>
    </row>
    <row r="1511" spans="1:22" x14ac:dyDescent="0.25">
      <c r="A1511">
        <v>168</v>
      </c>
      <c r="B1511">
        <v>7</v>
      </c>
      <c r="C1511">
        <v>80</v>
      </c>
      <c r="D1511">
        <v>1</v>
      </c>
      <c r="E1511">
        <v>1</v>
      </c>
      <c r="F1511">
        <v>0</v>
      </c>
      <c r="G1511">
        <v>1</v>
      </c>
      <c r="H1511">
        <v>450</v>
      </c>
      <c r="I1511">
        <f t="shared" si="226"/>
        <v>1503</v>
      </c>
      <c r="J1511" s="6">
        <f t="array" aca="1" ref="J1511:N1511" ca="1">TRANSPOSE(ols(OFFSET($C$2:$C$10,I1511,0),OFFSET($D$2:$H$10,I1511,0)))</f>
        <v>78.809523809522943</v>
      </c>
      <c r="K1511" s="6">
        <f ca="1"/>
        <v>4.285714285713766</v>
      </c>
      <c r="L1511" s="6">
        <f ca="1"/>
        <v>-16.190476190477057</v>
      </c>
      <c r="M1511" s="6">
        <f ca="1"/>
        <v>-1.904761904761699</v>
      </c>
      <c r="N1511" s="6">
        <f ca="1"/>
        <v>-4.7619047619100741E-3</v>
      </c>
      <c r="O1511" s="6">
        <f t="shared" ca="1" si="218"/>
        <v>79.047619047615484</v>
      </c>
      <c r="P1511" t="str">
        <f t="shared" si="219"/>
        <v>NA</v>
      </c>
      <c r="Q1511" s="10">
        <f t="shared" ca="1" si="220"/>
        <v>59.047619047615662</v>
      </c>
      <c r="R1511" s="10">
        <f t="shared" ca="1" si="221"/>
        <v>81.19047619047501</v>
      </c>
      <c r="S1511" s="10">
        <f t="shared" ca="1" si="222"/>
        <v>-22.142857142859349</v>
      </c>
      <c r="T1511" s="10">
        <f t="shared" ca="1" si="223"/>
        <v>4649.9999999952761</v>
      </c>
      <c r="U1511" s="10" t="str">
        <f t="shared" ca="1" si="224"/>
        <v>OR</v>
      </c>
      <c r="V1511">
        <f t="shared" si="225"/>
        <v>5</v>
      </c>
    </row>
    <row r="1512" spans="1:22" x14ac:dyDescent="0.25">
      <c r="A1512">
        <v>168</v>
      </c>
      <c r="B1512">
        <v>8</v>
      </c>
      <c r="C1512">
        <v>80</v>
      </c>
      <c r="D1512">
        <v>1</v>
      </c>
      <c r="E1512">
        <v>1</v>
      </c>
      <c r="F1512">
        <v>0</v>
      </c>
      <c r="G1512">
        <v>1</v>
      </c>
      <c r="H1512">
        <v>550</v>
      </c>
      <c r="I1512">
        <f t="shared" si="226"/>
        <v>1503</v>
      </c>
      <c r="J1512" s="6">
        <f t="array" aca="1" ref="J1512:N1512" ca="1">TRANSPOSE(ols(OFFSET($C$2:$C$10,I1512,0),OFFSET($D$2:$H$10,I1512,0)))</f>
        <v>78.809523809522943</v>
      </c>
      <c r="K1512" s="6">
        <f ca="1"/>
        <v>4.285714285713766</v>
      </c>
      <c r="L1512" s="6">
        <f ca="1"/>
        <v>-16.190476190477057</v>
      </c>
      <c r="M1512" s="6">
        <f ca="1"/>
        <v>-1.904761904761699</v>
      </c>
      <c r="N1512" s="6">
        <f ca="1"/>
        <v>-4.7619047619100741E-3</v>
      </c>
      <c r="O1512" s="6">
        <f t="shared" ca="1" si="218"/>
        <v>78.571428571424462</v>
      </c>
      <c r="P1512" t="str">
        <f t="shared" si="219"/>
        <v>NA</v>
      </c>
      <c r="Q1512" s="10">
        <f t="shared" ca="1" si="220"/>
        <v>59.047619047615662</v>
      </c>
      <c r="R1512" s="10">
        <f t="shared" ca="1" si="221"/>
        <v>81.19047619047501</v>
      </c>
      <c r="S1512" s="10">
        <f t="shared" ca="1" si="222"/>
        <v>-22.142857142859349</v>
      </c>
      <c r="T1512" s="10">
        <f t="shared" ca="1" si="223"/>
        <v>4649.9999999952761</v>
      </c>
      <c r="U1512" s="10" t="str">
        <f t="shared" ca="1" si="224"/>
        <v>OR</v>
      </c>
      <c r="V1512">
        <f t="shared" si="225"/>
        <v>5</v>
      </c>
    </row>
    <row r="1513" spans="1:22" x14ac:dyDescent="0.25">
      <c r="A1513">
        <v>168</v>
      </c>
      <c r="B1513">
        <v>9</v>
      </c>
      <c r="C1513">
        <v>70</v>
      </c>
      <c r="D1513">
        <v>1</v>
      </c>
      <c r="E1513">
        <v>0</v>
      </c>
      <c r="F1513">
        <v>0</v>
      </c>
      <c r="G1513">
        <v>1</v>
      </c>
      <c r="H1513">
        <v>650</v>
      </c>
      <c r="I1513">
        <f t="shared" si="226"/>
        <v>1503</v>
      </c>
      <c r="J1513" s="6">
        <f t="array" aca="1" ref="J1513:N1513" ca="1">TRANSPOSE(ols(OFFSET($C$2:$C$10,I1513,0),OFFSET($D$2:$H$10,I1513,0)))</f>
        <v>78.809523809522943</v>
      </c>
      <c r="K1513" s="6">
        <f ca="1"/>
        <v>4.285714285713766</v>
      </c>
      <c r="L1513" s="6">
        <f ca="1"/>
        <v>-16.190476190477057</v>
      </c>
      <c r="M1513" s="6">
        <f ca="1"/>
        <v>-1.904761904761699</v>
      </c>
      <c r="N1513" s="6">
        <f ca="1"/>
        <v>-4.7619047619100741E-3</v>
      </c>
      <c r="O1513" s="6">
        <f t="shared" ca="1" si="218"/>
        <v>73.809523809519703</v>
      </c>
      <c r="P1513" t="str">
        <f t="shared" si="219"/>
        <v>NA</v>
      </c>
      <c r="Q1513" s="10">
        <f t="shared" ca="1" si="220"/>
        <v>59.047619047615662</v>
      </c>
      <c r="R1513" s="10">
        <f t="shared" ca="1" si="221"/>
        <v>76.904761904761244</v>
      </c>
      <c r="S1513" s="10">
        <f t="shared" ca="1" si="222"/>
        <v>-17.857142857145583</v>
      </c>
      <c r="T1513" s="10">
        <f t="shared" ca="1" si="223"/>
        <v>3749.9999999963889</v>
      </c>
      <c r="U1513" s="10" t="str">
        <f t="shared" ca="1" si="224"/>
        <v>OR</v>
      </c>
      <c r="V1513">
        <f t="shared" si="225"/>
        <v>4</v>
      </c>
    </row>
    <row r="1514" spans="1:22" x14ac:dyDescent="0.25">
      <c r="A1514">
        <v>169</v>
      </c>
      <c r="B1514">
        <v>1</v>
      </c>
      <c r="C1514">
        <v>70</v>
      </c>
      <c r="D1514">
        <v>1</v>
      </c>
      <c r="E1514">
        <v>0</v>
      </c>
      <c r="F1514">
        <v>1</v>
      </c>
      <c r="G1514">
        <v>0</v>
      </c>
      <c r="H1514">
        <v>250</v>
      </c>
      <c r="I1514">
        <f t="shared" si="226"/>
        <v>1512</v>
      </c>
      <c r="J1514" s="6">
        <f t="array" aca="1" ref="J1514:N1514" ca="1">TRANSPOSE(ols(OFFSET($C$2:$C$10,I1514,0),OFFSET($D$2:$H$10,I1514,0)))</f>
        <v>81.964285714284415</v>
      </c>
      <c r="K1514" s="6">
        <f ca="1"/>
        <v>8.9285714285715585</v>
      </c>
      <c r="L1514" s="6">
        <f ca="1"/>
        <v>15.714285714285779</v>
      </c>
      <c r="M1514" s="6">
        <f ca="1"/>
        <v>4.6428571428572241</v>
      </c>
      <c r="N1514" s="6">
        <f ca="1"/>
        <v>-0.13214285714285712</v>
      </c>
      <c r="O1514" s="6">
        <f t="shared" ca="1" si="218"/>
        <v>64.642857142855917</v>
      </c>
      <c r="P1514" t="str">
        <f t="shared" si="219"/>
        <v>NA</v>
      </c>
      <c r="Q1514" s="10">
        <f t="shared" ca="1" si="220"/>
        <v>56.071428571427425</v>
      </c>
      <c r="R1514" s="10">
        <f t="shared" ca="1" si="221"/>
        <v>97.678571428570194</v>
      </c>
      <c r="S1514" s="10">
        <f t="shared" ca="1" si="222"/>
        <v>-41.607142857142769</v>
      </c>
      <c r="T1514" s="10">
        <f t="shared" ca="1" si="223"/>
        <v>314.86486486486427</v>
      </c>
      <c r="U1514" s="10">
        <f t="shared" ca="1" si="224"/>
        <v>314.86486486486427</v>
      </c>
      <c r="V1514">
        <f t="shared" si="225"/>
        <v>3</v>
      </c>
    </row>
    <row r="1515" spans="1:22" x14ac:dyDescent="0.25">
      <c r="A1515">
        <v>169</v>
      </c>
      <c r="B1515">
        <v>2</v>
      </c>
      <c r="C1515">
        <v>50</v>
      </c>
      <c r="D1515">
        <v>1</v>
      </c>
      <c r="E1515">
        <v>1</v>
      </c>
      <c r="F1515">
        <v>0</v>
      </c>
      <c r="G1515">
        <v>0</v>
      </c>
      <c r="H1515">
        <v>350</v>
      </c>
      <c r="I1515">
        <f t="shared" si="226"/>
        <v>1512</v>
      </c>
      <c r="J1515" s="6">
        <f t="array" aca="1" ref="J1515:N1515" ca="1">TRANSPOSE(ols(OFFSET($C$2:$C$10,I1515,0),OFFSET($D$2:$H$10,I1515,0)))</f>
        <v>81.964285714284415</v>
      </c>
      <c r="K1515" s="6">
        <f ca="1"/>
        <v>8.9285714285715585</v>
      </c>
      <c r="L1515" s="6">
        <f ca="1"/>
        <v>15.714285714285779</v>
      </c>
      <c r="M1515" s="6">
        <f ca="1"/>
        <v>4.6428571428572241</v>
      </c>
      <c r="N1515" s="6">
        <f ca="1"/>
        <v>-0.13214285714285712</v>
      </c>
      <c r="O1515" s="6">
        <f t="shared" ca="1" si="218"/>
        <v>44.642857142855981</v>
      </c>
      <c r="P1515" t="str">
        <f t="shared" si="219"/>
        <v>NA</v>
      </c>
      <c r="Q1515" s="10">
        <f t="shared" ca="1" si="220"/>
        <v>56.071428571427425</v>
      </c>
      <c r="R1515" s="10">
        <f t="shared" ca="1" si="221"/>
        <v>90.892857142855974</v>
      </c>
      <c r="S1515" s="10">
        <f t="shared" ca="1" si="222"/>
        <v>-34.821428571428548</v>
      </c>
      <c r="T1515" s="10">
        <f t="shared" ca="1" si="223"/>
        <v>263.51351351351337</v>
      </c>
      <c r="U1515" s="10">
        <f t="shared" ca="1" si="224"/>
        <v>263.51351351351337</v>
      </c>
      <c r="V1515">
        <f t="shared" si="225"/>
        <v>2</v>
      </c>
    </row>
    <row r="1516" spans="1:22" x14ac:dyDescent="0.25">
      <c r="A1516">
        <v>169</v>
      </c>
      <c r="B1516">
        <v>3</v>
      </c>
      <c r="C1516">
        <v>25</v>
      </c>
      <c r="D1516">
        <v>1</v>
      </c>
      <c r="E1516">
        <v>1</v>
      </c>
      <c r="F1516">
        <v>0</v>
      </c>
      <c r="G1516">
        <v>0</v>
      </c>
      <c r="H1516">
        <v>450</v>
      </c>
      <c r="I1516">
        <f t="shared" si="226"/>
        <v>1512</v>
      </c>
      <c r="J1516" s="6">
        <f t="array" aca="1" ref="J1516:N1516" ca="1">TRANSPOSE(ols(OFFSET($C$2:$C$10,I1516,0),OFFSET($D$2:$H$10,I1516,0)))</f>
        <v>81.964285714284415</v>
      </c>
      <c r="K1516" s="6">
        <f ca="1"/>
        <v>8.9285714285715585</v>
      </c>
      <c r="L1516" s="6">
        <f ca="1"/>
        <v>15.714285714285779</v>
      </c>
      <c r="M1516" s="6">
        <f ca="1"/>
        <v>4.6428571428572241</v>
      </c>
      <c r="N1516" s="6">
        <f ca="1"/>
        <v>-0.13214285714285712</v>
      </c>
      <c r="O1516" s="6">
        <f t="shared" ca="1" si="218"/>
        <v>31.428571428570272</v>
      </c>
      <c r="P1516" t="str">
        <f t="shared" si="219"/>
        <v>NA</v>
      </c>
      <c r="Q1516" s="10">
        <f t="shared" ca="1" si="220"/>
        <v>56.071428571427425</v>
      </c>
      <c r="R1516" s="10">
        <f t="shared" ca="1" si="221"/>
        <v>90.892857142855974</v>
      </c>
      <c r="S1516" s="10">
        <f t="shared" ca="1" si="222"/>
        <v>-34.821428571428548</v>
      </c>
      <c r="T1516" s="10">
        <f t="shared" ca="1" si="223"/>
        <v>263.51351351351337</v>
      </c>
      <c r="U1516" s="10">
        <f t="shared" ca="1" si="224"/>
        <v>263.51351351351337</v>
      </c>
      <c r="V1516">
        <f t="shared" si="225"/>
        <v>2</v>
      </c>
    </row>
    <row r="1517" spans="1:22" x14ac:dyDescent="0.25">
      <c r="A1517">
        <v>169</v>
      </c>
      <c r="B1517">
        <v>4</v>
      </c>
      <c r="C1517">
        <v>5</v>
      </c>
      <c r="D1517">
        <v>1</v>
      </c>
      <c r="E1517">
        <v>0</v>
      </c>
      <c r="F1517">
        <v>0</v>
      </c>
      <c r="G1517">
        <v>0</v>
      </c>
      <c r="H1517">
        <v>550</v>
      </c>
      <c r="I1517">
        <f t="shared" si="226"/>
        <v>1512</v>
      </c>
      <c r="J1517" s="6">
        <f t="array" aca="1" ref="J1517:N1517" ca="1">TRANSPOSE(ols(OFFSET($C$2:$C$10,I1517,0),OFFSET($D$2:$H$10,I1517,0)))</f>
        <v>81.964285714284415</v>
      </c>
      <c r="K1517" s="6">
        <f ca="1"/>
        <v>8.9285714285715585</v>
      </c>
      <c r="L1517" s="6">
        <f ca="1"/>
        <v>15.714285714285779</v>
      </c>
      <c r="M1517" s="6">
        <f ca="1"/>
        <v>4.6428571428572241</v>
      </c>
      <c r="N1517" s="6">
        <f ca="1"/>
        <v>-0.13214285714285712</v>
      </c>
      <c r="O1517" s="6">
        <f t="shared" ca="1" si="218"/>
        <v>9.2857142857129986</v>
      </c>
      <c r="P1517" t="str">
        <f t="shared" si="219"/>
        <v>NA</v>
      </c>
      <c r="Q1517" s="10">
        <f t="shared" ca="1" si="220"/>
        <v>56.071428571427425</v>
      </c>
      <c r="R1517" s="10">
        <f t="shared" ca="1" si="221"/>
        <v>81.964285714284415</v>
      </c>
      <c r="S1517" s="10">
        <f t="shared" ca="1" si="222"/>
        <v>-25.89285714285699</v>
      </c>
      <c r="T1517" s="10">
        <f t="shared" ca="1" si="223"/>
        <v>195.94594594594483</v>
      </c>
      <c r="U1517" s="10" t="str">
        <f t="shared" ca="1" si="224"/>
        <v>OR</v>
      </c>
      <c r="V1517">
        <f t="shared" si="225"/>
        <v>1</v>
      </c>
    </row>
    <row r="1518" spans="1:22" x14ac:dyDescent="0.25">
      <c r="A1518">
        <v>169</v>
      </c>
      <c r="B1518">
        <v>5</v>
      </c>
      <c r="C1518">
        <v>65</v>
      </c>
      <c r="D1518">
        <v>1</v>
      </c>
      <c r="E1518">
        <v>0</v>
      </c>
      <c r="F1518">
        <v>1</v>
      </c>
      <c r="G1518">
        <v>1</v>
      </c>
      <c r="H1518">
        <v>250</v>
      </c>
      <c r="I1518">
        <f t="shared" si="226"/>
        <v>1512</v>
      </c>
      <c r="J1518" s="6">
        <f t="array" aca="1" ref="J1518:N1518" ca="1">TRANSPOSE(ols(OFFSET($C$2:$C$10,I1518,0),OFFSET($D$2:$H$10,I1518,0)))</f>
        <v>81.964285714284415</v>
      </c>
      <c r="K1518" s="6">
        <f ca="1"/>
        <v>8.9285714285715585</v>
      </c>
      <c r="L1518" s="6">
        <f ca="1"/>
        <v>15.714285714285779</v>
      </c>
      <c r="M1518" s="6">
        <f ca="1"/>
        <v>4.6428571428572241</v>
      </c>
      <c r="N1518" s="6">
        <f ca="1"/>
        <v>-0.13214285714285712</v>
      </c>
      <c r="O1518" s="6">
        <f t="shared" ca="1" si="218"/>
        <v>69.285714285713141</v>
      </c>
      <c r="P1518" t="str">
        <f t="shared" si="219"/>
        <v>NA</v>
      </c>
      <c r="Q1518" s="10">
        <f t="shared" ca="1" si="220"/>
        <v>56.071428571427425</v>
      </c>
      <c r="R1518" s="10">
        <f t="shared" ca="1" si="221"/>
        <v>102.32142857142742</v>
      </c>
      <c r="S1518" s="10">
        <f t="shared" ca="1" si="222"/>
        <v>-46.249999999999993</v>
      </c>
      <c r="T1518" s="10">
        <f t="shared" ca="1" si="223"/>
        <v>350</v>
      </c>
      <c r="U1518" s="10">
        <f t="shared" ca="1" si="224"/>
        <v>350</v>
      </c>
      <c r="V1518">
        <f t="shared" si="225"/>
        <v>6</v>
      </c>
    </row>
    <row r="1519" spans="1:22" x14ac:dyDescent="0.25">
      <c r="A1519">
        <v>169</v>
      </c>
      <c r="B1519">
        <v>6</v>
      </c>
      <c r="C1519">
        <v>55</v>
      </c>
      <c r="D1519">
        <v>1</v>
      </c>
      <c r="E1519">
        <v>0</v>
      </c>
      <c r="F1519">
        <v>1</v>
      </c>
      <c r="G1519">
        <v>1</v>
      </c>
      <c r="H1519">
        <v>350</v>
      </c>
      <c r="I1519">
        <f t="shared" si="226"/>
        <v>1512</v>
      </c>
      <c r="J1519" s="6">
        <f t="array" aca="1" ref="J1519:N1519" ca="1">TRANSPOSE(ols(OFFSET($C$2:$C$10,I1519,0),OFFSET($D$2:$H$10,I1519,0)))</f>
        <v>81.964285714284415</v>
      </c>
      <c r="K1519" s="6">
        <f ca="1"/>
        <v>8.9285714285715585</v>
      </c>
      <c r="L1519" s="6">
        <f ca="1"/>
        <v>15.714285714285779</v>
      </c>
      <c r="M1519" s="6">
        <f ca="1"/>
        <v>4.6428571428572241</v>
      </c>
      <c r="N1519" s="6">
        <f ca="1"/>
        <v>-0.13214285714285712</v>
      </c>
      <c r="O1519" s="6">
        <f t="shared" ca="1" si="218"/>
        <v>56.071428571427425</v>
      </c>
      <c r="P1519">
        <f t="shared" ca="1" si="219"/>
        <v>56.071428571427425</v>
      </c>
      <c r="Q1519" s="10">
        <f t="shared" ca="1" si="220"/>
        <v>56.071428571427425</v>
      </c>
      <c r="R1519" s="10">
        <f t="shared" ca="1" si="221"/>
        <v>102.32142857142742</v>
      </c>
      <c r="S1519" s="10">
        <f t="shared" ca="1" si="222"/>
        <v>-46.249999999999993</v>
      </c>
      <c r="T1519" s="10">
        <f t="shared" ca="1" si="223"/>
        <v>350</v>
      </c>
      <c r="U1519" s="10">
        <f t="shared" ca="1" si="224"/>
        <v>350</v>
      </c>
      <c r="V1519">
        <f t="shared" si="225"/>
        <v>6</v>
      </c>
    </row>
    <row r="1520" spans="1:22" x14ac:dyDescent="0.25">
      <c r="A1520">
        <v>169</v>
      </c>
      <c r="B1520">
        <v>7</v>
      </c>
      <c r="C1520">
        <v>35</v>
      </c>
      <c r="D1520">
        <v>1</v>
      </c>
      <c r="E1520">
        <v>1</v>
      </c>
      <c r="F1520">
        <v>0</v>
      </c>
      <c r="G1520">
        <v>1</v>
      </c>
      <c r="H1520">
        <v>450</v>
      </c>
      <c r="I1520">
        <f t="shared" si="226"/>
        <v>1512</v>
      </c>
      <c r="J1520" s="6">
        <f t="array" aca="1" ref="J1520:N1520" ca="1">TRANSPOSE(ols(OFFSET($C$2:$C$10,I1520,0),OFFSET($D$2:$H$10,I1520,0)))</f>
        <v>81.964285714284415</v>
      </c>
      <c r="K1520" s="6">
        <f ca="1"/>
        <v>8.9285714285715585</v>
      </c>
      <c r="L1520" s="6">
        <f ca="1"/>
        <v>15.714285714285779</v>
      </c>
      <c r="M1520" s="6">
        <f ca="1"/>
        <v>4.6428571428572241</v>
      </c>
      <c r="N1520" s="6">
        <f ca="1"/>
        <v>-0.13214285714285712</v>
      </c>
      <c r="O1520" s="6">
        <f t="shared" ca="1" si="218"/>
        <v>36.071428571427496</v>
      </c>
      <c r="P1520" t="str">
        <f t="shared" si="219"/>
        <v>NA</v>
      </c>
      <c r="Q1520" s="10">
        <f t="shared" ca="1" si="220"/>
        <v>56.071428571427425</v>
      </c>
      <c r="R1520" s="10">
        <f t="shared" ca="1" si="221"/>
        <v>95.535714285713198</v>
      </c>
      <c r="S1520" s="10">
        <f t="shared" ca="1" si="222"/>
        <v>-39.464285714285772</v>
      </c>
      <c r="T1520" s="10">
        <f t="shared" ca="1" si="223"/>
        <v>298.64864864864916</v>
      </c>
      <c r="U1520" s="10">
        <f t="shared" ca="1" si="224"/>
        <v>298.64864864864916</v>
      </c>
      <c r="V1520">
        <f t="shared" si="225"/>
        <v>5</v>
      </c>
    </row>
    <row r="1521" spans="1:22" x14ac:dyDescent="0.25">
      <c r="A1521">
        <v>169</v>
      </c>
      <c r="B1521">
        <v>8</v>
      </c>
      <c r="C1521">
        <v>25</v>
      </c>
      <c r="D1521">
        <v>1</v>
      </c>
      <c r="E1521">
        <v>1</v>
      </c>
      <c r="F1521">
        <v>0</v>
      </c>
      <c r="G1521">
        <v>1</v>
      </c>
      <c r="H1521">
        <v>550</v>
      </c>
      <c r="I1521">
        <f t="shared" si="226"/>
        <v>1512</v>
      </c>
      <c r="J1521" s="6">
        <f t="array" aca="1" ref="J1521:N1521" ca="1">TRANSPOSE(ols(OFFSET($C$2:$C$10,I1521,0),OFFSET($D$2:$H$10,I1521,0)))</f>
        <v>81.964285714284415</v>
      </c>
      <c r="K1521" s="6">
        <f ca="1"/>
        <v>8.9285714285715585</v>
      </c>
      <c r="L1521" s="6">
        <f ca="1"/>
        <v>15.714285714285779</v>
      </c>
      <c r="M1521" s="6">
        <f ca="1"/>
        <v>4.6428571428572241</v>
      </c>
      <c r="N1521" s="6">
        <f ca="1"/>
        <v>-0.13214285714285712</v>
      </c>
      <c r="O1521" s="6">
        <f t="shared" ca="1" si="218"/>
        <v>22.857142857141781</v>
      </c>
      <c r="P1521" t="str">
        <f t="shared" si="219"/>
        <v>NA</v>
      </c>
      <c r="Q1521" s="10">
        <f t="shared" ca="1" si="220"/>
        <v>56.071428571427425</v>
      </c>
      <c r="R1521" s="10">
        <f t="shared" ca="1" si="221"/>
        <v>95.535714285713198</v>
      </c>
      <c r="S1521" s="10">
        <f t="shared" ca="1" si="222"/>
        <v>-39.464285714285772</v>
      </c>
      <c r="T1521" s="10">
        <f t="shared" ca="1" si="223"/>
        <v>298.64864864864916</v>
      </c>
      <c r="U1521" s="10">
        <f t="shared" ca="1" si="224"/>
        <v>298.64864864864916</v>
      </c>
      <c r="V1521">
        <f t="shared" si="225"/>
        <v>5</v>
      </c>
    </row>
    <row r="1522" spans="1:22" x14ac:dyDescent="0.25">
      <c r="A1522">
        <v>169</v>
      </c>
      <c r="B1522">
        <v>9</v>
      </c>
      <c r="C1522">
        <v>5</v>
      </c>
      <c r="D1522">
        <v>1</v>
      </c>
      <c r="E1522">
        <v>0</v>
      </c>
      <c r="F1522">
        <v>0</v>
      </c>
      <c r="G1522">
        <v>1</v>
      </c>
      <c r="H1522">
        <v>650</v>
      </c>
      <c r="I1522">
        <f t="shared" si="226"/>
        <v>1512</v>
      </c>
      <c r="J1522" s="6">
        <f t="array" aca="1" ref="J1522:N1522" ca="1">TRANSPOSE(ols(OFFSET($C$2:$C$10,I1522,0),OFFSET($D$2:$H$10,I1522,0)))</f>
        <v>81.964285714284415</v>
      </c>
      <c r="K1522" s="6">
        <f ca="1"/>
        <v>8.9285714285715585</v>
      </c>
      <c r="L1522" s="6">
        <f ca="1"/>
        <v>15.714285714285779</v>
      </c>
      <c r="M1522" s="6">
        <f ca="1"/>
        <v>4.6428571428572241</v>
      </c>
      <c r="N1522" s="6">
        <f ca="1"/>
        <v>-0.13214285714285712</v>
      </c>
      <c r="O1522" s="6">
        <f t="shared" ca="1" si="218"/>
        <v>0.71428571428451448</v>
      </c>
      <c r="P1522" t="str">
        <f t="shared" si="219"/>
        <v>NA</v>
      </c>
      <c r="Q1522" s="10">
        <f t="shared" ca="1" si="220"/>
        <v>56.071428571427425</v>
      </c>
      <c r="R1522" s="10">
        <f t="shared" ca="1" si="221"/>
        <v>86.607142857141639</v>
      </c>
      <c r="S1522" s="10">
        <f t="shared" ca="1" si="222"/>
        <v>-30.535714285714214</v>
      </c>
      <c r="T1522" s="10">
        <f t="shared" ca="1" si="223"/>
        <v>231.08108108108058</v>
      </c>
      <c r="U1522" s="10" t="str">
        <f t="shared" ca="1" si="224"/>
        <v>OR</v>
      </c>
      <c r="V1522">
        <f t="shared" si="225"/>
        <v>4</v>
      </c>
    </row>
    <row r="1523" spans="1:22" x14ac:dyDescent="0.25">
      <c r="A1523">
        <v>170</v>
      </c>
      <c r="B1523">
        <v>1</v>
      </c>
      <c r="C1523">
        <v>100</v>
      </c>
      <c r="D1523">
        <v>1</v>
      </c>
      <c r="E1523">
        <v>0</v>
      </c>
      <c r="F1523">
        <v>1</v>
      </c>
      <c r="G1523">
        <v>0</v>
      </c>
      <c r="H1523">
        <v>250</v>
      </c>
      <c r="I1523">
        <f t="shared" si="226"/>
        <v>1521</v>
      </c>
      <c r="J1523" s="6">
        <f t="array" aca="1" ref="J1523:N1523" ca="1">TRANSPOSE(ols(OFFSET($C$2:$C$10,I1523,0),OFFSET($D$2:$H$10,I1523,0)))</f>
        <v>166.33928571428351</v>
      </c>
      <c r="K1523" s="6">
        <f ca="1"/>
        <v>-12.321428571428214</v>
      </c>
      <c r="L1523" s="6">
        <f ca="1"/>
        <v>-6.7857142857128565</v>
      </c>
      <c r="M1523" s="6">
        <f ca="1"/>
        <v>20.89285714285711</v>
      </c>
      <c r="N1523" s="6">
        <f ca="1"/>
        <v>-0.29464285714285499</v>
      </c>
      <c r="O1523" s="6">
        <f t="shared" ca="1" si="218"/>
        <v>85.892857142856897</v>
      </c>
      <c r="P1523" t="str">
        <f t="shared" si="219"/>
        <v>NA</v>
      </c>
      <c r="Q1523" s="10">
        <f t="shared" ca="1" si="220"/>
        <v>77.321428571428513</v>
      </c>
      <c r="R1523" s="10">
        <f t="shared" ca="1" si="221"/>
        <v>159.55357142857065</v>
      </c>
      <c r="S1523" s="10">
        <f t="shared" ca="1" si="222"/>
        <v>-82.232142857142136</v>
      </c>
      <c r="T1523" s="10">
        <f t="shared" ca="1" si="223"/>
        <v>279.09090909090867</v>
      </c>
      <c r="U1523" s="10">
        <f t="shared" ca="1" si="224"/>
        <v>279.09090909090867</v>
      </c>
      <c r="V1523">
        <f t="shared" si="225"/>
        <v>3</v>
      </c>
    </row>
    <row r="1524" spans="1:22" x14ac:dyDescent="0.25">
      <c r="A1524">
        <v>170</v>
      </c>
      <c r="B1524">
        <v>2</v>
      </c>
      <c r="C1524">
        <v>50</v>
      </c>
      <c r="D1524">
        <v>1</v>
      </c>
      <c r="E1524">
        <v>1</v>
      </c>
      <c r="F1524">
        <v>0</v>
      </c>
      <c r="G1524">
        <v>0</v>
      </c>
      <c r="H1524">
        <v>350</v>
      </c>
      <c r="I1524">
        <f t="shared" si="226"/>
        <v>1521</v>
      </c>
      <c r="J1524" s="6">
        <f t="array" aca="1" ref="J1524:N1524" ca="1">TRANSPOSE(ols(OFFSET($C$2:$C$10,I1524,0),OFFSET($D$2:$H$10,I1524,0)))</f>
        <v>166.33928571428351</v>
      </c>
      <c r="K1524" s="6">
        <f ca="1"/>
        <v>-12.321428571428214</v>
      </c>
      <c r="L1524" s="6">
        <f ca="1"/>
        <v>-6.7857142857128565</v>
      </c>
      <c r="M1524" s="6">
        <f ca="1"/>
        <v>20.89285714285711</v>
      </c>
      <c r="N1524" s="6">
        <f ca="1"/>
        <v>-0.29464285714285499</v>
      </c>
      <c r="O1524" s="6">
        <f t="shared" ca="1" si="218"/>
        <v>50.892857142856045</v>
      </c>
      <c r="P1524" t="str">
        <f t="shared" si="219"/>
        <v>NA</v>
      </c>
      <c r="Q1524" s="10">
        <f t="shared" ca="1" si="220"/>
        <v>77.321428571428513</v>
      </c>
      <c r="R1524" s="10">
        <f t="shared" ca="1" si="221"/>
        <v>154.01785714285529</v>
      </c>
      <c r="S1524" s="10">
        <f t="shared" ca="1" si="222"/>
        <v>-76.696428571426779</v>
      </c>
      <c r="T1524" s="10">
        <f t="shared" ca="1" si="223"/>
        <v>260.30303030302611</v>
      </c>
      <c r="U1524" s="10">
        <f t="shared" ca="1" si="224"/>
        <v>260.30303030302611</v>
      </c>
      <c r="V1524">
        <f t="shared" si="225"/>
        <v>2</v>
      </c>
    </row>
    <row r="1525" spans="1:22" x14ac:dyDescent="0.25">
      <c r="A1525">
        <v>170</v>
      </c>
      <c r="B1525">
        <v>3</v>
      </c>
      <c r="C1525">
        <v>12.5</v>
      </c>
      <c r="D1525">
        <v>1</v>
      </c>
      <c r="E1525">
        <v>1</v>
      </c>
      <c r="F1525">
        <v>0</v>
      </c>
      <c r="G1525">
        <v>0</v>
      </c>
      <c r="H1525">
        <v>450</v>
      </c>
      <c r="I1525">
        <f t="shared" si="226"/>
        <v>1521</v>
      </c>
      <c r="J1525" s="6">
        <f t="array" aca="1" ref="J1525:N1525" ca="1">TRANSPOSE(ols(OFFSET($C$2:$C$10,I1525,0),OFFSET($D$2:$H$10,I1525,0)))</f>
        <v>166.33928571428351</v>
      </c>
      <c r="K1525" s="6">
        <f ca="1"/>
        <v>-12.321428571428214</v>
      </c>
      <c r="L1525" s="6">
        <f ca="1"/>
        <v>-6.7857142857128565</v>
      </c>
      <c r="M1525" s="6">
        <f ca="1"/>
        <v>20.89285714285711</v>
      </c>
      <c r="N1525" s="6">
        <f ca="1"/>
        <v>-0.29464285714285499</v>
      </c>
      <c r="O1525" s="6">
        <f t="shared" ca="1" si="218"/>
        <v>21.428571428570535</v>
      </c>
      <c r="P1525" t="str">
        <f t="shared" si="219"/>
        <v>NA</v>
      </c>
      <c r="Q1525" s="10">
        <f t="shared" ca="1" si="220"/>
        <v>77.321428571428513</v>
      </c>
      <c r="R1525" s="10">
        <f t="shared" ca="1" si="221"/>
        <v>154.01785714285529</v>
      </c>
      <c r="S1525" s="10">
        <f t="shared" ca="1" si="222"/>
        <v>-76.696428571426779</v>
      </c>
      <c r="T1525" s="10">
        <f t="shared" ca="1" si="223"/>
        <v>260.30303030302611</v>
      </c>
      <c r="U1525" s="10">
        <f t="shared" ca="1" si="224"/>
        <v>260.30303030302611</v>
      </c>
      <c r="V1525">
        <f t="shared" si="225"/>
        <v>2</v>
      </c>
    </row>
    <row r="1526" spans="1:22" x14ac:dyDescent="0.25">
      <c r="A1526">
        <v>170</v>
      </c>
      <c r="B1526">
        <v>4</v>
      </c>
      <c r="C1526">
        <v>0</v>
      </c>
      <c r="D1526">
        <v>1</v>
      </c>
      <c r="E1526">
        <v>0</v>
      </c>
      <c r="F1526">
        <v>0</v>
      </c>
      <c r="G1526">
        <v>0</v>
      </c>
      <c r="H1526">
        <v>550</v>
      </c>
      <c r="I1526">
        <f t="shared" si="226"/>
        <v>1521</v>
      </c>
      <c r="J1526" s="6">
        <f t="array" aca="1" ref="J1526:N1526" ca="1">TRANSPOSE(ols(OFFSET($C$2:$C$10,I1526,0),OFFSET($D$2:$H$10,I1526,0)))</f>
        <v>166.33928571428351</v>
      </c>
      <c r="K1526" s="6">
        <f ca="1"/>
        <v>-12.321428571428214</v>
      </c>
      <c r="L1526" s="6">
        <f ca="1"/>
        <v>-6.7857142857128565</v>
      </c>
      <c r="M1526" s="6">
        <f ca="1"/>
        <v>20.89285714285711</v>
      </c>
      <c r="N1526" s="6">
        <f ca="1"/>
        <v>-0.29464285714285499</v>
      </c>
      <c r="O1526" s="6">
        <f t="shared" ca="1" si="218"/>
        <v>4.2857142857132544</v>
      </c>
      <c r="P1526" t="str">
        <f t="shared" si="219"/>
        <v>NA</v>
      </c>
      <c r="Q1526" s="10">
        <f t="shared" ca="1" si="220"/>
        <v>77.321428571428513</v>
      </c>
      <c r="R1526" s="10">
        <f t="shared" ca="1" si="221"/>
        <v>166.33928571428351</v>
      </c>
      <c r="S1526" s="10">
        <f t="shared" ca="1" si="222"/>
        <v>-89.017857142854993</v>
      </c>
      <c r="T1526" s="10">
        <f t="shared" ca="1" si="223"/>
        <v>302.12121212120701</v>
      </c>
      <c r="U1526" s="10">
        <f t="shared" ca="1" si="224"/>
        <v>302.12121212120701</v>
      </c>
      <c r="V1526">
        <f t="shared" si="225"/>
        <v>1</v>
      </c>
    </row>
    <row r="1527" spans="1:22" x14ac:dyDescent="0.25">
      <c r="A1527">
        <v>170</v>
      </c>
      <c r="B1527">
        <v>5</v>
      </c>
      <c r="C1527">
        <v>100</v>
      </c>
      <c r="D1527">
        <v>1</v>
      </c>
      <c r="E1527">
        <v>0</v>
      </c>
      <c r="F1527">
        <v>1</v>
      </c>
      <c r="G1527">
        <v>1</v>
      </c>
      <c r="H1527">
        <v>250</v>
      </c>
      <c r="I1527">
        <f t="shared" si="226"/>
        <v>1521</v>
      </c>
      <c r="J1527" s="6">
        <f t="array" aca="1" ref="J1527:N1527" ca="1">TRANSPOSE(ols(OFFSET($C$2:$C$10,I1527,0),OFFSET($D$2:$H$10,I1527,0)))</f>
        <v>166.33928571428351</v>
      </c>
      <c r="K1527" s="6">
        <f ca="1"/>
        <v>-12.321428571428214</v>
      </c>
      <c r="L1527" s="6">
        <f ca="1"/>
        <v>-6.7857142857128565</v>
      </c>
      <c r="M1527" s="6">
        <f ca="1"/>
        <v>20.89285714285711</v>
      </c>
      <c r="N1527" s="6">
        <f ca="1"/>
        <v>-0.29464285714285499</v>
      </c>
      <c r="O1527" s="6">
        <f t="shared" ca="1" si="218"/>
        <v>106.78571428571401</v>
      </c>
      <c r="P1527" t="str">
        <f t="shared" si="219"/>
        <v>NA</v>
      </c>
      <c r="Q1527" s="10">
        <f t="shared" ca="1" si="220"/>
        <v>77.321428571428513</v>
      </c>
      <c r="R1527" s="10">
        <f t="shared" ca="1" si="221"/>
        <v>180.44642857142776</v>
      </c>
      <c r="S1527" s="10">
        <f t="shared" ca="1" si="222"/>
        <v>-103.12499999999925</v>
      </c>
      <c r="T1527" s="10">
        <f t="shared" ca="1" si="223"/>
        <v>350</v>
      </c>
      <c r="U1527" s="10">
        <f t="shared" ca="1" si="224"/>
        <v>350</v>
      </c>
      <c r="V1527">
        <f t="shared" si="225"/>
        <v>6</v>
      </c>
    </row>
    <row r="1528" spans="1:22" x14ac:dyDescent="0.25">
      <c r="A1528">
        <v>170</v>
      </c>
      <c r="B1528">
        <v>6</v>
      </c>
      <c r="C1528">
        <v>70</v>
      </c>
      <c r="D1528">
        <v>1</v>
      </c>
      <c r="E1528">
        <v>0</v>
      </c>
      <c r="F1528">
        <v>1</v>
      </c>
      <c r="G1528">
        <v>1</v>
      </c>
      <c r="H1528">
        <v>350</v>
      </c>
      <c r="I1528">
        <f t="shared" si="226"/>
        <v>1521</v>
      </c>
      <c r="J1528" s="6">
        <f t="array" aca="1" ref="J1528:N1528" ca="1">TRANSPOSE(ols(OFFSET($C$2:$C$10,I1528,0),OFFSET($D$2:$H$10,I1528,0)))</f>
        <v>166.33928571428351</v>
      </c>
      <c r="K1528" s="6">
        <f ca="1"/>
        <v>-12.321428571428214</v>
      </c>
      <c r="L1528" s="6">
        <f ca="1"/>
        <v>-6.7857142857128565</v>
      </c>
      <c r="M1528" s="6">
        <f ca="1"/>
        <v>20.89285714285711</v>
      </c>
      <c r="N1528" s="6">
        <f ca="1"/>
        <v>-0.29464285714285499</v>
      </c>
      <c r="O1528" s="6">
        <f t="shared" ca="1" si="218"/>
        <v>77.321428571428513</v>
      </c>
      <c r="P1528">
        <f t="shared" ca="1" si="219"/>
        <v>77.321428571428513</v>
      </c>
      <c r="Q1528" s="10">
        <f t="shared" ca="1" si="220"/>
        <v>77.321428571428513</v>
      </c>
      <c r="R1528" s="10">
        <f t="shared" ca="1" si="221"/>
        <v>180.44642857142776</v>
      </c>
      <c r="S1528" s="10">
        <f t="shared" ca="1" si="222"/>
        <v>-103.12499999999925</v>
      </c>
      <c r="T1528" s="10">
        <f t="shared" ca="1" si="223"/>
        <v>350</v>
      </c>
      <c r="U1528" s="10">
        <f t="shared" ca="1" si="224"/>
        <v>350</v>
      </c>
      <c r="V1528">
        <f t="shared" si="225"/>
        <v>6</v>
      </c>
    </row>
    <row r="1529" spans="1:22" x14ac:dyDescent="0.25">
      <c r="A1529">
        <v>170</v>
      </c>
      <c r="B1529">
        <v>7</v>
      </c>
      <c r="C1529">
        <v>50</v>
      </c>
      <c r="D1529">
        <v>1</v>
      </c>
      <c r="E1529">
        <v>1</v>
      </c>
      <c r="F1529">
        <v>0</v>
      </c>
      <c r="G1529">
        <v>1</v>
      </c>
      <c r="H1529">
        <v>450</v>
      </c>
      <c r="I1529">
        <f t="shared" si="226"/>
        <v>1521</v>
      </c>
      <c r="J1529" s="6">
        <f t="array" aca="1" ref="J1529:N1529" ca="1">TRANSPOSE(ols(OFFSET($C$2:$C$10,I1529,0),OFFSET($D$2:$H$10,I1529,0)))</f>
        <v>166.33928571428351</v>
      </c>
      <c r="K1529" s="6">
        <f ca="1"/>
        <v>-12.321428571428214</v>
      </c>
      <c r="L1529" s="6">
        <f ca="1"/>
        <v>-6.7857142857128565</v>
      </c>
      <c r="M1529" s="6">
        <f ca="1"/>
        <v>20.89285714285711</v>
      </c>
      <c r="N1529" s="6">
        <f ca="1"/>
        <v>-0.29464285714285499</v>
      </c>
      <c r="O1529" s="6">
        <f t="shared" ca="1" si="218"/>
        <v>42.321428571427646</v>
      </c>
      <c r="P1529" t="str">
        <f t="shared" si="219"/>
        <v>NA</v>
      </c>
      <c r="Q1529" s="10">
        <f t="shared" ca="1" si="220"/>
        <v>77.321428571428513</v>
      </c>
      <c r="R1529" s="10">
        <f t="shared" ca="1" si="221"/>
        <v>174.9107142857124</v>
      </c>
      <c r="S1529" s="10">
        <f t="shared" ca="1" si="222"/>
        <v>-97.589285714283889</v>
      </c>
      <c r="T1529" s="10">
        <f t="shared" ca="1" si="223"/>
        <v>331.21212121211744</v>
      </c>
      <c r="U1529" s="10">
        <f t="shared" ca="1" si="224"/>
        <v>331.21212121211744</v>
      </c>
      <c r="V1529">
        <f t="shared" si="225"/>
        <v>5</v>
      </c>
    </row>
    <row r="1530" spans="1:22" x14ac:dyDescent="0.25">
      <c r="A1530">
        <v>170</v>
      </c>
      <c r="B1530">
        <v>8</v>
      </c>
      <c r="C1530">
        <v>15</v>
      </c>
      <c r="D1530">
        <v>1</v>
      </c>
      <c r="E1530">
        <v>1</v>
      </c>
      <c r="F1530">
        <v>0</v>
      </c>
      <c r="G1530">
        <v>1</v>
      </c>
      <c r="H1530">
        <v>550</v>
      </c>
      <c r="I1530">
        <f t="shared" si="226"/>
        <v>1521</v>
      </c>
      <c r="J1530" s="6">
        <f t="array" aca="1" ref="J1530:N1530" ca="1">TRANSPOSE(ols(OFFSET($C$2:$C$10,I1530,0),OFFSET($D$2:$H$10,I1530,0)))</f>
        <v>166.33928571428351</v>
      </c>
      <c r="K1530" s="6">
        <f ca="1"/>
        <v>-12.321428571428214</v>
      </c>
      <c r="L1530" s="6">
        <f ca="1"/>
        <v>-6.7857142857128565</v>
      </c>
      <c r="M1530" s="6">
        <f ca="1"/>
        <v>20.89285714285711</v>
      </c>
      <c r="N1530" s="6">
        <f ca="1"/>
        <v>-0.29464285714285499</v>
      </c>
      <c r="O1530" s="6">
        <f t="shared" ca="1" si="218"/>
        <v>12.857142857142151</v>
      </c>
      <c r="P1530" t="str">
        <f t="shared" si="219"/>
        <v>NA</v>
      </c>
      <c r="Q1530" s="10">
        <f t="shared" ca="1" si="220"/>
        <v>77.321428571428513</v>
      </c>
      <c r="R1530" s="10">
        <f t="shared" ca="1" si="221"/>
        <v>174.9107142857124</v>
      </c>
      <c r="S1530" s="10">
        <f t="shared" ca="1" si="222"/>
        <v>-97.589285714283889</v>
      </c>
      <c r="T1530" s="10">
        <f t="shared" ca="1" si="223"/>
        <v>331.21212121211744</v>
      </c>
      <c r="U1530" s="10">
        <f t="shared" ca="1" si="224"/>
        <v>331.21212121211744</v>
      </c>
      <c r="V1530">
        <f t="shared" si="225"/>
        <v>5</v>
      </c>
    </row>
    <row r="1531" spans="1:22" x14ac:dyDescent="0.25">
      <c r="A1531">
        <v>170</v>
      </c>
      <c r="B1531">
        <v>9</v>
      </c>
      <c r="C1531">
        <v>0</v>
      </c>
      <c r="D1531">
        <v>1</v>
      </c>
      <c r="E1531">
        <v>0</v>
      </c>
      <c r="F1531">
        <v>0</v>
      </c>
      <c r="G1531">
        <v>1</v>
      </c>
      <c r="H1531">
        <v>650</v>
      </c>
      <c r="I1531">
        <f t="shared" si="226"/>
        <v>1521</v>
      </c>
      <c r="J1531" s="6">
        <f t="array" aca="1" ref="J1531:N1531" ca="1">TRANSPOSE(ols(OFFSET($C$2:$C$10,I1531,0),OFFSET($D$2:$H$10,I1531,0)))</f>
        <v>166.33928571428351</v>
      </c>
      <c r="K1531" s="6">
        <f ca="1"/>
        <v>-12.321428571428214</v>
      </c>
      <c r="L1531" s="6">
        <f ca="1"/>
        <v>-6.7857142857128565</v>
      </c>
      <c r="M1531" s="6">
        <f ca="1"/>
        <v>20.89285714285711</v>
      </c>
      <c r="N1531" s="6">
        <f ca="1"/>
        <v>-0.29464285714285499</v>
      </c>
      <c r="O1531" s="6">
        <f t="shared" ca="1" si="218"/>
        <v>-4.2857142857151302</v>
      </c>
      <c r="P1531" t="str">
        <f t="shared" si="219"/>
        <v>NA</v>
      </c>
      <c r="Q1531" s="10">
        <f t="shared" ca="1" si="220"/>
        <v>77.321428571428513</v>
      </c>
      <c r="R1531" s="10">
        <f t="shared" ca="1" si="221"/>
        <v>187.23214285714062</v>
      </c>
      <c r="S1531" s="10">
        <f t="shared" ca="1" si="222"/>
        <v>-109.9107142857121</v>
      </c>
      <c r="T1531" s="10">
        <f t="shared" ca="1" si="223"/>
        <v>373.03030303029834</v>
      </c>
      <c r="U1531" s="10">
        <f t="shared" ca="1" si="224"/>
        <v>373.03030303029834</v>
      </c>
      <c r="V1531">
        <f t="shared" si="225"/>
        <v>4</v>
      </c>
    </row>
    <row r="1532" spans="1:22" x14ac:dyDescent="0.25">
      <c r="A1532">
        <v>171</v>
      </c>
      <c r="B1532">
        <v>1</v>
      </c>
      <c r="C1532">
        <v>70</v>
      </c>
      <c r="D1532">
        <v>1</v>
      </c>
      <c r="E1532">
        <v>0</v>
      </c>
      <c r="F1532">
        <v>1</v>
      </c>
      <c r="G1532">
        <v>0</v>
      </c>
      <c r="H1532">
        <v>250</v>
      </c>
      <c r="I1532">
        <f t="shared" si="226"/>
        <v>1530</v>
      </c>
      <c r="J1532" s="6">
        <f t="array" aca="1" ref="J1532:N1532" ca="1">TRANSPOSE(ols(OFFSET($C$2:$C$10,I1532,0),OFFSET($D$2:$H$10,I1532,0)))</f>
        <v>118.03571428571377</v>
      </c>
      <c r="K1532" s="6">
        <f ca="1"/>
        <v>-21.428571428571104</v>
      </c>
      <c r="L1532" s="6">
        <f ca="1"/>
        <v>-35.714285714285325</v>
      </c>
      <c r="M1532" s="6">
        <f ca="1"/>
        <v>10.357142857143344</v>
      </c>
      <c r="N1532" s="6">
        <f ca="1"/>
        <v>-6.7857142857146613E-2</v>
      </c>
      <c r="O1532" s="6">
        <f t="shared" ca="1" si="218"/>
        <v>65.357142857141781</v>
      </c>
      <c r="P1532" t="str">
        <f t="shared" si="219"/>
        <v>NA</v>
      </c>
      <c r="Q1532" s="10">
        <f t="shared" ca="1" si="220"/>
        <v>68.928571428570478</v>
      </c>
      <c r="R1532" s="10">
        <f t="shared" ca="1" si="221"/>
        <v>82.321428571428442</v>
      </c>
      <c r="S1532" s="10">
        <f t="shared" ca="1" si="222"/>
        <v>-13.392857142857963</v>
      </c>
      <c r="T1532" s="10">
        <f t="shared" ca="1" si="223"/>
        <v>197.36842105263275</v>
      </c>
      <c r="U1532" s="10" t="str">
        <f t="shared" ca="1" si="224"/>
        <v>OR</v>
      </c>
      <c r="V1532">
        <f t="shared" si="225"/>
        <v>3</v>
      </c>
    </row>
    <row r="1533" spans="1:22" x14ac:dyDescent="0.25">
      <c r="A1533">
        <v>171</v>
      </c>
      <c r="B1533">
        <v>2</v>
      </c>
      <c r="C1533">
        <v>70</v>
      </c>
      <c r="D1533">
        <v>1</v>
      </c>
      <c r="E1533">
        <v>1</v>
      </c>
      <c r="F1533">
        <v>0</v>
      </c>
      <c r="G1533">
        <v>0</v>
      </c>
      <c r="H1533">
        <v>350</v>
      </c>
      <c r="I1533">
        <f t="shared" si="226"/>
        <v>1530</v>
      </c>
      <c r="J1533" s="6">
        <f t="array" aca="1" ref="J1533:N1533" ca="1">TRANSPOSE(ols(OFFSET($C$2:$C$10,I1533,0),OFFSET($D$2:$H$10,I1533,0)))</f>
        <v>118.03571428571377</v>
      </c>
      <c r="K1533" s="6">
        <f ca="1"/>
        <v>-21.428571428571104</v>
      </c>
      <c r="L1533" s="6">
        <f ca="1"/>
        <v>-35.714285714285325</v>
      </c>
      <c r="M1533" s="6">
        <f ca="1"/>
        <v>10.357142857143344</v>
      </c>
      <c r="N1533" s="6">
        <f ca="1"/>
        <v>-6.7857142857146613E-2</v>
      </c>
      <c r="O1533" s="6">
        <f t="shared" ca="1" si="218"/>
        <v>72.857142857141355</v>
      </c>
      <c r="P1533" t="str">
        <f t="shared" si="219"/>
        <v>NA</v>
      </c>
      <c r="Q1533" s="10">
        <f t="shared" ca="1" si="220"/>
        <v>68.928571428570478</v>
      </c>
      <c r="R1533" s="10">
        <f t="shared" ca="1" si="221"/>
        <v>96.607142857142662</v>
      </c>
      <c r="S1533" s="10">
        <f t="shared" ca="1" si="222"/>
        <v>-27.678571428572184</v>
      </c>
      <c r="T1533" s="10">
        <f t="shared" ca="1" si="223"/>
        <v>407.89473684209383</v>
      </c>
      <c r="U1533" s="10">
        <f t="shared" ca="1" si="224"/>
        <v>407.89473684209383</v>
      </c>
      <c r="V1533">
        <f t="shared" si="225"/>
        <v>2</v>
      </c>
    </row>
    <row r="1534" spans="1:22" x14ac:dyDescent="0.25">
      <c r="A1534">
        <v>171</v>
      </c>
      <c r="B1534">
        <v>3</v>
      </c>
      <c r="C1534">
        <v>60</v>
      </c>
      <c r="D1534">
        <v>1</v>
      </c>
      <c r="E1534">
        <v>1</v>
      </c>
      <c r="F1534">
        <v>0</v>
      </c>
      <c r="G1534">
        <v>0</v>
      </c>
      <c r="H1534">
        <v>450</v>
      </c>
      <c r="I1534">
        <f t="shared" si="226"/>
        <v>1530</v>
      </c>
      <c r="J1534" s="6">
        <f t="array" aca="1" ref="J1534:N1534" ca="1">TRANSPOSE(ols(OFFSET($C$2:$C$10,I1534,0),OFFSET($D$2:$H$10,I1534,0)))</f>
        <v>118.03571428571377</v>
      </c>
      <c r="K1534" s="6">
        <f ca="1"/>
        <v>-21.428571428571104</v>
      </c>
      <c r="L1534" s="6">
        <f ca="1"/>
        <v>-35.714285714285325</v>
      </c>
      <c r="M1534" s="6">
        <f ca="1"/>
        <v>10.357142857143344</v>
      </c>
      <c r="N1534" s="6">
        <f ca="1"/>
        <v>-6.7857142857146613E-2</v>
      </c>
      <c r="O1534" s="6">
        <f t="shared" ca="1" si="218"/>
        <v>66.071428571426679</v>
      </c>
      <c r="P1534" t="str">
        <f t="shared" si="219"/>
        <v>NA</v>
      </c>
      <c r="Q1534" s="10">
        <f t="shared" ca="1" si="220"/>
        <v>68.928571428570478</v>
      </c>
      <c r="R1534" s="10">
        <f t="shared" ca="1" si="221"/>
        <v>96.607142857142662</v>
      </c>
      <c r="S1534" s="10">
        <f t="shared" ca="1" si="222"/>
        <v>-27.678571428572184</v>
      </c>
      <c r="T1534" s="10">
        <f t="shared" ca="1" si="223"/>
        <v>407.89473684209383</v>
      </c>
      <c r="U1534" s="10">
        <f t="shared" ca="1" si="224"/>
        <v>407.89473684209383</v>
      </c>
      <c r="V1534">
        <f t="shared" si="225"/>
        <v>2</v>
      </c>
    </row>
    <row r="1535" spans="1:22" x14ac:dyDescent="0.25">
      <c r="A1535">
        <v>171</v>
      </c>
      <c r="B1535">
        <v>4</v>
      </c>
      <c r="C1535">
        <v>85</v>
      </c>
      <c r="D1535">
        <v>1</v>
      </c>
      <c r="E1535">
        <v>0</v>
      </c>
      <c r="F1535">
        <v>0</v>
      </c>
      <c r="G1535">
        <v>0</v>
      </c>
      <c r="H1535">
        <v>550</v>
      </c>
      <c r="I1535">
        <f t="shared" si="226"/>
        <v>1530</v>
      </c>
      <c r="J1535" s="6">
        <f t="array" aca="1" ref="J1535:N1535" ca="1">TRANSPOSE(ols(OFFSET($C$2:$C$10,I1535,0),OFFSET($D$2:$H$10,I1535,0)))</f>
        <v>118.03571428571377</v>
      </c>
      <c r="K1535" s="6">
        <f ca="1"/>
        <v>-21.428571428571104</v>
      </c>
      <c r="L1535" s="6">
        <f ca="1"/>
        <v>-35.714285714285325</v>
      </c>
      <c r="M1535" s="6">
        <f ca="1"/>
        <v>10.357142857143344</v>
      </c>
      <c r="N1535" s="6">
        <f ca="1"/>
        <v>-6.7857142857146613E-2</v>
      </c>
      <c r="O1535" s="6">
        <f t="shared" ca="1" si="218"/>
        <v>80.714285714283136</v>
      </c>
      <c r="P1535" t="str">
        <f t="shared" si="219"/>
        <v>NA</v>
      </c>
      <c r="Q1535" s="10">
        <f t="shared" ca="1" si="220"/>
        <v>68.928571428570478</v>
      </c>
      <c r="R1535" s="10">
        <f t="shared" ca="1" si="221"/>
        <v>118.03571428571377</v>
      </c>
      <c r="S1535" s="10">
        <f t="shared" ca="1" si="222"/>
        <v>-49.107142857143288</v>
      </c>
      <c r="T1535" s="10">
        <f t="shared" ca="1" si="223"/>
        <v>723.68421052628207</v>
      </c>
      <c r="U1535" s="10" t="str">
        <f t="shared" ca="1" si="224"/>
        <v>OR</v>
      </c>
      <c r="V1535">
        <f t="shared" si="225"/>
        <v>1</v>
      </c>
    </row>
    <row r="1536" spans="1:22" x14ac:dyDescent="0.25">
      <c r="A1536">
        <v>171</v>
      </c>
      <c r="B1536">
        <v>5</v>
      </c>
      <c r="C1536">
        <v>70</v>
      </c>
      <c r="D1536">
        <v>1</v>
      </c>
      <c r="E1536">
        <v>0</v>
      </c>
      <c r="F1536">
        <v>1</v>
      </c>
      <c r="G1536">
        <v>1</v>
      </c>
      <c r="H1536">
        <v>250</v>
      </c>
      <c r="I1536">
        <f t="shared" si="226"/>
        <v>1530</v>
      </c>
      <c r="J1536" s="6">
        <f t="array" aca="1" ref="J1536:N1536" ca="1">TRANSPOSE(ols(OFFSET($C$2:$C$10,I1536,0),OFFSET($D$2:$H$10,I1536,0)))</f>
        <v>118.03571428571377</v>
      </c>
      <c r="K1536" s="6">
        <f ca="1"/>
        <v>-21.428571428571104</v>
      </c>
      <c r="L1536" s="6">
        <f ca="1"/>
        <v>-35.714285714285325</v>
      </c>
      <c r="M1536" s="6">
        <f ca="1"/>
        <v>10.357142857143344</v>
      </c>
      <c r="N1536" s="6">
        <f ca="1"/>
        <v>-6.7857142857146613E-2</v>
      </c>
      <c r="O1536" s="6">
        <f t="shared" ca="1" si="218"/>
        <v>75.714285714285126</v>
      </c>
      <c r="P1536" t="str">
        <f t="shared" si="219"/>
        <v>NA</v>
      </c>
      <c r="Q1536" s="10">
        <f t="shared" ca="1" si="220"/>
        <v>68.928571428570478</v>
      </c>
      <c r="R1536" s="10">
        <f t="shared" ca="1" si="221"/>
        <v>92.678571428571786</v>
      </c>
      <c r="S1536" s="10">
        <f t="shared" ca="1" si="222"/>
        <v>-23.750000000001307</v>
      </c>
      <c r="T1536" s="10">
        <f t="shared" ca="1" si="223"/>
        <v>349.99999999999989</v>
      </c>
      <c r="U1536" s="10">
        <f t="shared" ca="1" si="224"/>
        <v>349.99999999999989</v>
      </c>
      <c r="V1536">
        <f t="shared" si="225"/>
        <v>6</v>
      </c>
    </row>
    <row r="1537" spans="1:22" x14ac:dyDescent="0.25">
      <c r="A1537">
        <v>171</v>
      </c>
      <c r="B1537">
        <v>6</v>
      </c>
      <c r="C1537">
        <v>70</v>
      </c>
      <c r="D1537">
        <v>1</v>
      </c>
      <c r="E1537">
        <v>0</v>
      </c>
      <c r="F1537">
        <v>1</v>
      </c>
      <c r="G1537">
        <v>1</v>
      </c>
      <c r="H1537">
        <v>350</v>
      </c>
      <c r="I1537">
        <f t="shared" si="226"/>
        <v>1530</v>
      </c>
      <c r="J1537" s="6">
        <f t="array" aca="1" ref="J1537:N1537" ca="1">TRANSPOSE(ols(OFFSET($C$2:$C$10,I1537,0),OFFSET($D$2:$H$10,I1537,0)))</f>
        <v>118.03571428571377</v>
      </c>
      <c r="K1537" s="6">
        <f ca="1"/>
        <v>-21.428571428571104</v>
      </c>
      <c r="L1537" s="6">
        <f ca="1"/>
        <v>-35.714285714285325</v>
      </c>
      <c r="M1537" s="6">
        <f ca="1"/>
        <v>10.357142857143344</v>
      </c>
      <c r="N1537" s="6">
        <f ca="1"/>
        <v>-6.7857142857146613E-2</v>
      </c>
      <c r="O1537" s="6">
        <f t="shared" ca="1" si="218"/>
        <v>68.928571428570478</v>
      </c>
      <c r="P1537">
        <f t="shared" ca="1" si="219"/>
        <v>68.928571428570478</v>
      </c>
      <c r="Q1537" s="10">
        <f t="shared" ca="1" si="220"/>
        <v>68.928571428570478</v>
      </c>
      <c r="R1537" s="10">
        <f t="shared" ca="1" si="221"/>
        <v>92.678571428571786</v>
      </c>
      <c r="S1537" s="10">
        <f t="shared" ca="1" si="222"/>
        <v>-23.750000000001307</v>
      </c>
      <c r="T1537" s="10">
        <f t="shared" ca="1" si="223"/>
        <v>349.99999999999989</v>
      </c>
      <c r="U1537" s="10">
        <f t="shared" ca="1" si="224"/>
        <v>349.99999999999989</v>
      </c>
      <c r="V1537">
        <f t="shared" si="225"/>
        <v>6</v>
      </c>
    </row>
    <row r="1538" spans="1:22" x14ac:dyDescent="0.25">
      <c r="A1538">
        <v>171</v>
      </c>
      <c r="B1538">
        <v>7</v>
      </c>
      <c r="C1538">
        <v>85</v>
      </c>
      <c r="D1538">
        <v>1</v>
      </c>
      <c r="E1538">
        <v>1</v>
      </c>
      <c r="F1538">
        <v>0</v>
      </c>
      <c r="G1538">
        <v>1</v>
      </c>
      <c r="H1538">
        <v>450</v>
      </c>
      <c r="I1538">
        <f t="shared" si="226"/>
        <v>1530</v>
      </c>
      <c r="J1538" s="6">
        <f t="array" aca="1" ref="J1538:N1538" ca="1">TRANSPOSE(ols(OFFSET($C$2:$C$10,I1538,0),OFFSET($D$2:$H$10,I1538,0)))</f>
        <v>118.03571428571377</v>
      </c>
      <c r="K1538" s="6">
        <f ca="1"/>
        <v>-21.428571428571104</v>
      </c>
      <c r="L1538" s="6">
        <f ca="1"/>
        <v>-35.714285714285325</v>
      </c>
      <c r="M1538" s="6">
        <f ca="1"/>
        <v>10.357142857143344</v>
      </c>
      <c r="N1538" s="6">
        <f ca="1"/>
        <v>-6.7857142857146613E-2</v>
      </c>
      <c r="O1538" s="6">
        <f t="shared" ca="1" si="218"/>
        <v>76.428571428570024</v>
      </c>
      <c r="P1538" t="str">
        <f t="shared" si="219"/>
        <v>NA</v>
      </c>
      <c r="Q1538" s="10">
        <f t="shared" ca="1" si="220"/>
        <v>68.928571428570478</v>
      </c>
      <c r="R1538" s="10">
        <f t="shared" ca="1" si="221"/>
        <v>106.96428571428601</v>
      </c>
      <c r="S1538" s="10">
        <f t="shared" ca="1" si="222"/>
        <v>-38.035714285715528</v>
      </c>
      <c r="T1538" s="10">
        <f t="shared" ca="1" si="223"/>
        <v>560.52631578946102</v>
      </c>
      <c r="U1538" s="10">
        <f t="shared" ca="1" si="224"/>
        <v>560.52631578946102</v>
      </c>
      <c r="V1538">
        <f t="shared" si="225"/>
        <v>5</v>
      </c>
    </row>
    <row r="1539" spans="1:22" x14ac:dyDescent="0.25">
      <c r="A1539">
        <v>171</v>
      </c>
      <c r="B1539">
        <v>8</v>
      </c>
      <c r="C1539">
        <v>70</v>
      </c>
      <c r="D1539">
        <v>1</v>
      </c>
      <c r="E1539">
        <v>1</v>
      </c>
      <c r="F1539">
        <v>0</v>
      </c>
      <c r="G1539">
        <v>1</v>
      </c>
      <c r="H1539">
        <v>550</v>
      </c>
      <c r="I1539">
        <f t="shared" si="226"/>
        <v>1530</v>
      </c>
      <c r="J1539" s="6">
        <f t="array" aca="1" ref="J1539:N1539" ca="1">TRANSPOSE(ols(OFFSET($C$2:$C$10,I1539,0),OFFSET($D$2:$H$10,I1539,0)))</f>
        <v>118.03571428571377</v>
      </c>
      <c r="K1539" s="6">
        <f ca="1"/>
        <v>-21.428571428571104</v>
      </c>
      <c r="L1539" s="6">
        <f ca="1"/>
        <v>-35.714285714285325</v>
      </c>
      <c r="M1539" s="6">
        <f ca="1"/>
        <v>10.357142857143344</v>
      </c>
      <c r="N1539" s="6">
        <f ca="1"/>
        <v>-6.7857142857146613E-2</v>
      </c>
      <c r="O1539" s="6">
        <f t="shared" ref="O1539:O1602" ca="1" si="227">SUMPRODUCT(J1539:N1539,D1539:H1539)</f>
        <v>69.642857142855377</v>
      </c>
      <c r="P1539" t="str">
        <f t="shared" ref="P1539:P1602" si="228">IF(AND(F1539=1,G1539=1,H1539=350),O1539,"NA")</f>
        <v>NA</v>
      </c>
      <c r="Q1539" s="10">
        <f t="shared" ref="Q1539:Q1602" ca="1" si="229">AVERAGEIF($A$2:$A$5383,A1539,$P$2:$P$5383)</f>
        <v>68.928571428570478</v>
      </c>
      <c r="R1539" s="10">
        <f t="shared" ref="R1539:R1602" ca="1" si="230">O1539-N1539*H1539</f>
        <v>106.96428571428601</v>
      </c>
      <c r="S1539" s="10">
        <f t="shared" ref="S1539:S1602" ca="1" si="231">Q1539-R1539</f>
        <v>-38.035714285715528</v>
      </c>
      <c r="T1539" s="10">
        <f t="shared" ref="T1539:T1602" ca="1" si="232">S1539/N1539</f>
        <v>560.52631578946102</v>
      </c>
      <c r="U1539" s="10">
        <f t="shared" ref="U1539:U1602" ca="1" si="233">IF(OR(T1539&lt;250,T1539&gt;650),"OR",T1539)</f>
        <v>560.52631578946102</v>
      </c>
      <c r="V1539">
        <f t="shared" ref="V1539:V1602" si="234">IF(AND(E1539=1,G1539=0),2,IF(AND(F1539=1,G1539=0),3,IF(AND(E1539=1,G1539=1),5,IF(AND(F1539=1,G1539=1),6,IF(G1539=0,1,IF(G1539=1,4))))))</f>
        <v>5</v>
      </c>
    </row>
    <row r="1540" spans="1:22" x14ac:dyDescent="0.25">
      <c r="A1540">
        <v>171</v>
      </c>
      <c r="B1540">
        <v>9</v>
      </c>
      <c r="C1540">
        <v>80</v>
      </c>
      <c r="D1540">
        <v>1</v>
      </c>
      <c r="E1540">
        <v>0</v>
      </c>
      <c r="F1540">
        <v>0</v>
      </c>
      <c r="G1540">
        <v>1</v>
      </c>
      <c r="H1540">
        <v>650</v>
      </c>
      <c r="I1540">
        <f t="shared" si="226"/>
        <v>1530</v>
      </c>
      <c r="J1540" s="6">
        <f t="array" aca="1" ref="J1540:N1540" ca="1">TRANSPOSE(ols(OFFSET($C$2:$C$10,I1540,0),OFFSET($D$2:$H$10,I1540,0)))</f>
        <v>118.03571428571377</v>
      </c>
      <c r="K1540" s="6">
        <f ca="1"/>
        <v>-21.428571428571104</v>
      </c>
      <c r="L1540" s="6">
        <f ca="1"/>
        <v>-35.714285714285325</v>
      </c>
      <c r="M1540" s="6">
        <f ca="1"/>
        <v>10.357142857143344</v>
      </c>
      <c r="N1540" s="6">
        <f ca="1"/>
        <v>-6.7857142857146613E-2</v>
      </c>
      <c r="O1540" s="6">
        <f t="shared" ca="1" si="227"/>
        <v>84.285714285711805</v>
      </c>
      <c r="P1540" t="str">
        <f t="shared" si="228"/>
        <v>NA</v>
      </c>
      <c r="Q1540" s="10">
        <f t="shared" ca="1" si="229"/>
        <v>68.928571428570478</v>
      </c>
      <c r="R1540" s="10">
        <f t="shared" ca="1" si="230"/>
        <v>128.39285714285711</v>
      </c>
      <c r="S1540" s="10">
        <f t="shared" ca="1" si="231"/>
        <v>-59.464285714286632</v>
      </c>
      <c r="T1540" s="10">
        <f t="shared" ca="1" si="232"/>
        <v>876.31578947364926</v>
      </c>
      <c r="U1540" s="10" t="str">
        <f t="shared" ca="1" si="233"/>
        <v>OR</v>
      </c>
      <c r="V1540">
        <f t="shared" si="234"/>
        <v>4</v>
      </c>
    </row>
    <row r="1541" spans="1:22" x14ac:dyDescent="0.25">
      <c r="A1541">
        <v>172</v>
      </c>
      <c r="B1541">
        <v>1</v>
      </c>
      <c r="C1541">
        <v>75</v>
      </c>
      <c r="D1541">
        <v>1</v>
      </c>
      <c r="E1541">
        <v>0</v>
      </c>
      <c r="F1541">
        <v>1</v>
      </c>
      <c r="G1541">
        <v>0</v>
      </c>
      <c r="H1541">
        <v>250</v>
      </c>
      <c r="I1541">
        <f t="shared" si="226"/>
        <v>1539</v>
      </c>
      <c r="J1541" s="6">
        <f t="array" aca="1" ref="J1541:N1541" ca="1">TRANSPOSE(ols(OFFSET($C$2:$C$10,I1541,0),OFFSET($D$2:$H$10,I1541,0)))</f>
        <v>109.16666666666424</v>
      </c>
      <c r="K1541" s="6">
        <f ca="1"/>
        <v>2.4999999999995453</v>
      </c>
      <c r="L1541" s="6">
        <f ca="1"/>
        <v>-3.3333333333339397</v>
      </c>
      <c r="M1541" s="6">
        <f ca="1"/>
        <v>-3.3333333333328028</v>
      </c>
      <c r="N1541" s="6">
        <f ca="1"/>
        <v>-8.3333333333335702E-2</v>
      </c>
      <c r="O1541" s="6">
        <f t="shared" ca="1" si="227"/>
        <v>84.999999999996376</v>
      </c>
      <c r="P1541" t="str">
        <f t="shared" si="228"/>
        <v>NA</v>
      </c>
      <c r="Q1541" s="10">
        <f t="shared" ca="1" si="229"/>
        <v>73.333333333330003</v>
      </c>
      <c r="R1541" s="10">
        <f t="shared" ca="1" si="230"/>
        <v>105.8333333333303</v>
      </c>
      <c r="S1541" s="10">
        <f t="shared" ca="1" si="231"/>
        <v>-32.500000000000298</v>
      </c>
      <c r="T1541" s="10">
        <f t="shared" ca="1" si="232"/>
        <v>389.9999999999925</v>
      </c>
      <c r="U1541" s="10">
        <f t="shared" ca="1" si="233"/>
        <v>389.9999999999925</v>
      </c>
      <c r="V1541">
        <f t="shared" si="234"/>
        <v>3</v>
      </c>
    </row>
    <row r="1542" spans="1:22" x14ac:dyDescent="0.25">
      <c r="A1542">
        <v>172</v>
      </c>
      <c r="B1542">
        <v>2</v>
      </c>
      <c r="C1542">
        <v>85</v>
      </c>
      <c r="D1542">
        <v>1</v>
      </c>
      <c r="E1542">
        <v>1</v>
      </c>
      <c r="F1542">
        <v>0</v>
      </c>
      <c r="G1542">
        <v>0</v>
      </c>
      <c r="H1542">
        <v>350</v>
      </c>
      <c r="I1542">
        <f t="shared" si="226"/>
        <v>1539</v>
      </c>
      <c r="J1542" s="6">
        <f t="array" aca="1" ref="J1542:N1542" ca="1">TRANSPOSE(ols(OFFSET($C$2:$C$10,I1542,0),OFFSET($D$2:$H$10,I1542,0)))</f>
        <v>109.16666666666424</v>
      </c>
      <c r="K1542" s="6">
        <f ca="1"/>
        <v>2.4999999999995453</v>
      </c>
      <c r="L1542" s="6">
        <f ca="1"/>
        <v>-3.3333333333339397</v>
      </c>
      <c r="M1542" s="6">
        <f ca="1"/>
        <v>-3.3333333333328028</v>
      </c>
      <c r="N1542" s="6">
        <f ca="1"/>
        <v>-8.3333333333335702E-2</v>
      </c>
      <c r="O1542" s="6">
        <f t="shared" ca="1" si="227"/>
        <v>82.499999999996291</v>
      </c>
      <c r="P1542" t="str">
        <f t="shared" si="228"/>
        <v>NA</v>
      </c>
      <c r="Q1542" s="10">
        <f t="shared" ca="1" si="229"/>
        <v>73.333333333330003</v>
      </c>
      <c r="R1542" s="10">
        <f t="shared" ca="1" si="230"/>
        <v>111.66666666666379</v>
      </c>
      <c r="S1542" s="10">
        <f t="shared" ca="1" si="231"/>
        <v>-38.333333333333783</v>
      </c>
      <c r="T1542" s="10">
        <f t="shared" ca="1" si="232"/>
        <v>459.99999999999233</v>
      </c>
      <c r="U1542" s="10">
        <f t="shared" ca="1" si="233"/>
        <v>459.99999999999233</v>
      </c>
      <c r="V1542">
        <f t="shared" si="234"/>
        <v>2</v>
      </c>
    </row>
    <row r="1543" spans="1:22" x14ac:dyDescent="0.25">
      <c r="A1543">
        <v>172</v>
      </c>
      <c r="B1543">
        <v>3</v>
      </c>
      <c r="C1543">
        <v>80</v>
      </c>
      <c r="D1543">
        <v>1</v>
      </c>
      <c r="E1543">
        <v>1</v>
      </c>
      <c r="F1543">
        <v>0</v>
      </c>
      <c r="G1543">
        <v>0</v>
      </c>
      <c r="H1543">
        <v>450</v>
      </c>
      <c r="I1543">
        <f t="shared" si="226"/>
        <v>1539</v>
      </c>
      <c r="J1543" s="6">
        <f t="array" aca="1" ref="J1543:N1543" ca="1">TRANSPOSE(ols(OFFSET($C$2:$C$10,I1543,0),OFFSET($D$2:$H$10,I1543,0)))</f>
        <v>109.16666666666424</v>
      </c>
      <c r="K1543" s="6">
        <f ca="1"/>
        <v>2.4999999999995453</v>
      </c>
      <c r="L1543" s="6">
        <f ca="1"/>
        <v>-3.3333333333339397</v>
      </c>
      <c r="M1543" s="6">
        <f ca="1"/>
        <v>-3.3333333333328028</v>
      </c>
      <c r="N1543" s="6">
        <f ca="1"/>
        <v>-8.3333333333335702E-2</v>
      </c>
      <c r="O1543" s="6">
        <f t="shared" ca="1" si="227"/>
        <v>74.166666666662721</v>
      </c>
      <c r="P1543" t="str">
        <f t="shared" si="228"/>
        <v>NA</v>
      </c>
      <c r="Q1543" s="10">
        <f t="shared" ca="1" si="229"/>
        <v>73.333333333330003</v>
      </c>
      <c r="R1543" s="10">
        <f t="shared" ca="1" si="230"/>
        <v>111.66666666666379</v>
      </c>
      <c r="S1543" s="10">
        <f t="shared" ca="1" si="231"/>
        <v>-38.333333333333783</v>
      </c>
      <c r="T1543" s="10">
        <f t="shared" ca="1" si="232"/>
        <v>459.99999999999233</v>
      </c>
      <c r="U1543" s="10">
        <f t="shared" ca="1" si="233"/>
        <v>459.99999999999233</v>
      </c>
      <c r="V1543">
        <f t="shared" si="234"/>
        <v>2</v>
      </c>
    </row>
    <row r="1544" spans="1:22" x14ac:dyDescent="0.25">
      <c r="A1544">
        <v>172</v>
      </c>
      <c r="B1544">
        <v>4</v>
      </c>
      <c r="C1544">
        <v>65</v>
      </c>
      <c r="D1544">
        <v>1</v>
      </c>
      <c r="E1544">
        <v>0</v>
      </c>
      <c r="F1544">
        <v>0</v>
      </c>
      <c r="G1544">
        <v>0</v>
      </c>
      <c r="H1544">
        <v>550</v>
      </c>
      <c r="I1544">
        <f t="shared" si="226"/>
        <v>1539</v>
      </c>
      <c r="J1544" s="6">
        <f t="array" aca="1" ref="J1544:N1544" ca="1">TRANSPOSE(ols(OFFSET($C$2:$C$10,I1544,0),OFFSET($D$2:$H$10,I1544,0)))</f>
        <v>109.16666666666424</v>
      </c>
      <c r="K1544" s="6">
        <f ca="1"/>
        <v>2.4999999999995453</v>
      </c>
      <c r="L1544" s="6">
        <f ca="1"/>
        <v>-3.3333333333339397</v>
      </c>
      <c r="M1544" s="6">
        <f ca="1"/>
        <v>-3.3333333333328028</v>
      </c>
      <c r="N1544" s="6">
        <f ca="1"/>
        <v>-8.3333333333335702E-2</v>
      </c>
      <c r="O1544" s="6">
        <f t="shared" ca="1" si="227"/>
        <v>63.333333333329605</v>
      </c>
      <c r="P1544" t="str">
        <f t="shared" si="228"/>
        <v>NA</v>
      </c>
      <c r="Q1544" s="10">
        <f t="shared" ca="1" si="229"/>
        <v>73.333333333330003</v>
      </c>
      <c r="R1544" s="10">
        <f t="shared" ca="1" si="230"/>
        <v>109.16666666666424</v>
      </c>
      <c r="S1544" s="10">
        <f t="shared" ca="1" si="231"/>
        <v>-35.833333333334238</v>
      </c>
      <c r="T1544" s="10">
        <f t="shared" ca="1" si="232"/>
        <v>429.99999999999864</v>
      </c>
      <c r="U1544" s="10">
        <f t="shared" ca="1" si="233"/>
        <v>429.99999999999864</v>
      </c>
      <c r="V1544">
        <f t="shared" si="234"/>
        <v>1</v>
      </c>
    </row>
    <row r="1545" spans="1:22" x14ac:dyDescent="0.25">
      <c r="A1545">
        <v>172</v>
      </c>
      <c r="B1545">
        <v>5</v>
      </c>
      <c r="C1545">
        <v>85</v>
      </c>
      <c r="D1545">
        <v>1</v>
      </c>
      <c r="E1545">
        <v>0</v>
      </c>
      <c r="F1545">
        <v>1</v>
      </c>
      <c r="G1545">
        <v>1</v>
      </c>
      <c r="H1545">
        <v>250</v>
      </c>
      <c r="I1545">
        <f t="shared" si="226"/>
        <v>1539</v>
      </c>
      <c r="J1545" s="6">
        <f t="array" aca="1" ref="J1545:N1545" ca="1">TRANSPOSE(ols(OFFSET($C$2:$C$10,I1545,0),OFFSET($D$2:$H$10,I1545,0)))</f>
        <v>109.16666666666424</v>
      </c>
      <c r="K1545" s="6">
        <f ca="1"/>
        <v>2.4999999999995453</v>
      </c>
      <c r="L1545" s="6">
        <f ca="1"/>
        <v>-3.3333333333339397</v>
      </c>
      <c r="M1545" s="6">
        <f ca="1"/>
        <v>-3.3333333333328028</v>
      </c>
      <c r="N1545" s="6">
        <f ca="1"/>
        <v>-8.3333333333335702E-2</v>
      </c>
      <c r="O1545" s="6">
        <f t="shared" ca="1" si="227"/>
        <v>81.666666666663573</v>
      </c>
      <c r="P1545" t="str">
        <f t="shared" si="228"/>
        <v>NA</v>
      </c>
      <c r="Q1545" s="10">
        <f t="shared" ca="1" si="229"/>
        <v>73.333333333330003</v>
      </c>
      <c r="R1545" s="10">
        <f t="shared" ca="1" si="230"/>
        <v>102.4999999999975</v>
      </c>
      <c r="S1545" s="10">
        <f t="shared" ca="1" si="231"/>
        <v>-29.166666666667496</v>
      </c>
      <c r="T1545" s="10">
        <f t="shared" ca="1" si="232"/>
        <v>350</v>
      </c>
      <c r="U1545" s="10">
        <f t="shared" ca="1" si="233"/>
        <v>350</v>
      </c>
      <c r="V1545">
        <f t="shared" si="234"/>
        <v>6</v>
      </c>
    </row>
    <row r="1546" spans="1:22" x14ac:dyDescent="0.25">
      <c r="A1546">
        <v>172</v>
      </c>
      <c r="B1546">
        <v>6</v>
      </c>
      <c r="C1546">
        <v>80</v>
      </c>
      <c r="D1546">
        <v>1</v>
      </c>
      <c r="E1546">
        <v>0</v>
      </c>
      <c r="F1546">
        <v>1</v>
      </c>
      <c r="G1546">
        <v>1</v>
      </c>
      <c r="H1546">
        <v>350</v>
      </c>
      <c r="I1546">
        <f t="shared" si="226"/>
        <v>1539</v>
      </c>
      <c r="J1546" s="6">
        <f t="array" aca="1" ref="J1546:N1546" ca="1">TRANSPOSE(ols(OFFSET($C$2:$C$10,I1546,0),OFFSET($D$2:$H$10,I1546,0)))</f>
        <v>109.16666666666424</v>
      </c>
      <c r="K1546" s="6">
        <f ca="1"/>
        <v>2.4999999999995453</v>
      </c>
      <c r="L1546" s="6">
        <f ca="1"/>
        <v>-3.3333333333339397</v>
      </c>
      <c r="M1546" s="6">
        <f ca="1"/>
        <v>-3.3333333333328028</v>
      </c>
      <c r="N1546" s="6">
        <f ca="1"/>
        <v>-8.3333333333335702E-2</v>
      </c>
      <c r="O1546" s="6">
        <f t="shared" ca="1" si="227"/>
        <v>73.333333333330003</v>
      </c>
      <c r="P1546">
        <f t="shared" ca="1" si="228"/>
        <v>73.333333333330003</v>
      </c>
      <c r="Q1546" s="10">
        <f t="shared" ca="1" si="229"/>
        <v>73.333333333330003</v>
      </c>
      <c r="R1546" s="10">
        <f t="shared" ca="1" si="230"/>
        <v>102.4999999999975</v>
      </c>
      <c r="S1546" s="10">
        <f t="shared" ca="1" si="231"/>
        <v>-29.166666666667496</v>
      </c>
      <c r="T1546" s="10">
        <f t="shared" ca="1" si="232"/>
        <v>350</v>
      </c>
      <c r="U1546" s="10">
        <f t="shared" ca="1" si="233"/>
        <v>350</v>
      </c>
      <c r="V1546">
        <f t="shared" si="234"/>
        <v>6</v>
      </c>
    </row>
    <row r="1547" spans="1:22" x14ac:dyDescent="0.25">
      <c r="A1547">
        <v>172</v>
      </c>
      <c r="B1547">
        <v>7</v>
      </c>
      <c r="C1547">
        <v>65</v>
      </c>
      <c r="D1547">
        <v>1</v>
      </c>
      <c r="E1547">
        <v>1</v>
      </c>
      <c r="F1547">
        <v>0</v>
      </c>
      <c r="G1547">
        <v>1</v>
      </c>
      <c r="H1547">
        <v>450</v>
      </c>
      <c r="I1547">
        <f t="shared" si="226"/>
        <v>1539</v>
      </c>
      <c r="J1547" s="6">
        <f t="array" aca="1" ref="J1547:N1547" ca="1">TRANSPOSE(ols(OFFSET($C$2:$C$10,I1547,0),OFFSET($D$2:$H$10,I1547,0)))</f>
        <v>109.16666666666424</v>
      </c>
      <c r="K1547" s="6">
        <f ca="1"/>
        <v>2.4999999999995453</v>
      </c>
      <c r="L1547" s="6">
        <f ca="1"/>
        <v>-3.3333333333339397</v>
      </c>
      <c r="M1547" s="6">
        <f ca="1"/>
        <v>-3.3333333333328028</v>
      </c>
      <c r="N1547" s="6">
        <f ca="1"/>
        <v>-8.3333333333335702E-2</v>
      </c>
      <c r="O1547" s="6">
        <f t="shared" ca="1" si="227"/>
        <v>70.833333333329918</v>
      </c>
      <c r="P1547" t="str">
        <f t="shared" si="228"/>
        <v>NA</v>
      </c>
      <c r="Q1547" s="10">
        <f t="shared" ca="1" si="229"/>
        <v>73.333333333330003</v>
      </c>
      <c r="R1547" s="10">
        <f t="shared" ca="1" si="230"/>
        <v>108.33333333333098</v>
      </c>
      <c r="S1547" s="10">
        <f t="shared" ca="1" si="231"/>
        <v>-35.000000000000981</v>
      </c>
      <c r="T1547" s="10">
        <f t="shared" ca="1" si="232"/>
        <v>419.99999999999983</v>
      </c>
      <c r="U1547" s="10">
        <f t="shared" ca="1" si="233"/>
        <v>419.99999999999983</v>
      </c>
      <c r="V1547">
        <f t="shared" si="234"/>
        <v>5</v>
      </c>
    </row>
    <row r="1548" spans="1:22" x14ac:dyDescent="0.25">
      <c r="A1548">
        <v>172</v>
      </c>
      <c r="B1548">
        <v>8</v>
      </c>
      <c r="C1548">
        <v>60</v>
      </c>
      <c r="D1548">
        <v>1</v>
      </c>
      <c r="E1548">
        <v>1</v>
      </c>
      <c r="F1548">
        <v>0</v>
      </c>
      <c r="G1548">
        <v>1</v>
      </c>
      <c r="H1548">
        <v>550</v>
      </c>
      <c r="I1548">
        <f t="shared" ref="I1548:I1611" si="235">IF(A1548&gt;A1547,I1547+9,I1547)</f>
        <v>1539</v>
      </c>
      <c r="J1548" s="6">
        <f t="array" aca="1" ref="J1548:N1548" ca="1">TRANSPOSE(ols(OFFSET($C$2:$C$10,I1548,0),OFFSET($D$2:$H$10,I1548,0)))</f>
        <v>109.16666666666424</v>
      </c>
      <c r="K1548" s="6">
        <f ca="1"/>
        <v>2.4999999999995453</v>
      </c>
      <c r="L1548" s="6">
        <f ca="1"/>
        <v>-3.3333333333339397</v>
      </c>
      <c r="M1548" s="6">
        <f ca="1"/>
        <v>-3.3333333333328028</v>
      </c>
      <c r="N1548" s="6">
        <f ca="1"/>
        <v>-8.3333333333335702E-2</v>
      </c>
      <c r="O1548" s="6">
        <f t="shared" ca="1" si="227"/>
        <v>62.499999999996348</v>
      </c>
      <c r="P1548" t="str">
        <f t="shared" si="228"/>
        <v>NA</v>
      </c>
      <c r="Q1548" s="10">
        <f t="shared" ca="1" si="229"/>
        <v>73.333333333330003</v>
      </c>
      <c r="R1548" s="10">
        <f t="shared" ca="1" si="230"/>
        <v>108.33333333333098</v>
      </c>
      <c r="S1548" s="10">
        <f t="shared" ca="1" si="231"/>
        <v>-35.000000000000981</v>
      </c>
      <c r="T1548" s="10">
        <f t="shared" ca="1" si="232"/>
        <v>419.99999999999983</v>
      </c>
      <c r="U1548" s="10">
        <f t="shared" ca="1" si="233"/>
        <v>419.99999999999983</v>
      </c>
      <c r="V1548">
        <f t="shared" si="234"/>
        <v>5</v>
      </c>
    </row>
    <row r="1549" spans="1:22" x14ac:dyDescent="0.25">
      <c r="A1549">
        <v>172</v>
      </c>
      <c r="B1549">
        <v>9</v>
      </c>
      <c r="C1549">
        <v>50</v>
      </c>
      <c r="D1549">
        <v>1</v>
      </c>
      <c r="E1549">
        <v>0</v>
      </c>
      <c r="F1549">
        <v>0</v>
      </c>
      <c r="G1549">
        <v>1</v>
      </c>
      <c r="H1549">
        <v>650</v>
      </c>
      <c r="I1549">
        <f t="shared" si="235"/>
        <v>1539</v>
      </c>
      <c r="J1549" s="6">
        <f t="array" aca="1" ref="J1549:N1549" ca="1">TRANSPOSE(ols(OFFSET($C$2:$C$10,I1549,0),OFFSET($D$2:$H$10,I1549,0)))</f>
        <v>109.16666666666424</v>
      </c>
      <c r="K1549" s="6">
        <f ca="1"/>
        <v>2.4999999999995453</v>
      </c>
      <c r="L1549" s="6">
        <f ca="1"/>
        <v>-3.3333333333339397</v>
      </c>
      <c r="M1549" s="6">
        <f ca="1"/>
        <v>-3.3333333333328028</v>
      </c>
      <c r="N1549" s="6">
        <f ca="1"/>
        <v>-8.3333333333335702E-2</v>
      </c>
      <c r="O1549" s="6">
        <f t="shared" ca="1" si="227"/>
        <v>51.666666666663232</v>
      </c>
      <c r="P1549" t="str">
        <f t="shared" si="228"/>
        <v>NA</v>
      </c>
      <c r="Q1549" s="10">
        <f t="shared" ca="1" si="229"/>
        <v>73.333333333330003</v>
      </c>
      <c r="R1549" s="10">
        <f t="shared" ca="1" si="230"/>
        <v>105.83333333333144</v>
      </c>
      <c r="S1549" s="10">
        <f t="shared" ca="1" si="231"/>
        <v>-32.500000000001435</v>
      </c>
      <c r="T1549" s="10">
        <f t="shared" ca="1" si="232"/>
        <v>390.00000000000614</v>
      </c>
      <c r="U1549" s="10">
        <f t="shared" ca="1" si="233"/>
        <v>390.00000000000614</v>
      </c>
      <c r="V1549">
        <f t="shared" si="234"/>
        <v>4</v>
      </c>
    </row>
    <row r="1550" spans="1:22" x14ac:dyDescent="0.25">
      <c r="A1550">
        <v>173</v>
      </c>
      <c r="B1550">
        <v>1</v>
      </c>
      <c r="C1550">
        <v>35</v>
      </c>
      <c r="D1550">
        <v>1</v>
      </c>
      <c r="E1550">
        <v>0</v>
      </c>
      <c r="F1550">
        <v>1</v>
      </c>
      <c r="G1550">
        <v>0</v>
      </c>
      <c r="H1550">
        <v>250</v>
      </c>
      <c r="I1550">
        <f t="shared" si="235"/>
        <v>1548</v>
      </c>
      <c r="J1550" s="6">
        <f t="array" aca="1" ref="J1550:N1550" ca="1">TRANSPOSE(ols(OFFSET($C$2:$C$10,I1550,0),OFFSET($D$2:$H$10,I1550,0)))</f>
        <v>51.369047619047706</v>
      </c>
      <c r="K1550" s="6">
        <f ca="1"/>
        <v>38.571428571428442</v>
      </c>
      <c r="L1550" s="6">
        <f ca="1"/>
        <v>-2.3809523809532038</v>
      </c>
      <c r="M1550" s="6">
        <f ca="1"/>
        <v>3.6904761904766019</v>
      </c>
      <c r="N1550" s="6">
        <f ca="1"/>
        <v>-3.4523809523811622E-2</v>
      </c>
      <c r="O1550" s="6">
        <f t="shared" ca="1" si="227"/>
        <v>40.357142857141596</v>
      </c>
      <c r="P1550" t="str">
        <f t="shared" si="228"/>
        <v>NA</v>
      </c>
      <c r="Q1550" s="10">
        <f t="shared" ca="1" si="229"/>
        <v>40.595238095237036</v>
      </c>
      <c r="R1550" s="10">
        <f t="shared" ca="1" si="230"/>
        <v>48.988095238094502</v>
      </c>
      <c r="S1550" s="10">
        <f t="shared" ca="1" si="231"/>
        <v>-8.3928571428574656</v>
      </c>
      <c r="T1550" s="10">
        <f t="shared" ca="1" si="232"/>
        <v>243.10344827585664</v>
      </c>
      <c r="U1550" s="10" t="str">
        <f t="shared" ca="1" si="233"/>
        <v>OR</v>
      </c>
      <c r="V1550">
        <f t="shared" si="234"/>
        <v>3</v>
      </c>
    </row>
    <row r="1551" spans="1:22" x14ac:dyDescent="0.25">
      <c r="A1551">
        <v>173</v>
      </c>
      <c r="B1551">
        <v>2</v>
      </c>
      <c r="C1551">
        <v>80</v>
      </c>
      <c r="D1551">
        <v>1</v>
      </c>
      <c r="E1551">
        <v>1</v>
      </c>
      <c r="F1551">
        <v>0</v>
      </c>
      <c r="G1551">
        <v>0</v>
      </c>
      <c r="H1551">
        <v>350</v>
      </c>
      <c r="I1551">
        <f t="shared" si="235"/>
        <v>1548</v>
      </c>
      <c r="J1551" s="6">
        <f t="array" aca="1" ref="J1551:N1551" ca="1">TRANSPOSE(ols(OFFSET($C$2:$C$10,I1551,0),OFFSET($D$2:$H$10,I1551,0)))</f>
        <v>51.369047619047706</v>
      </c>
      <c r="K1551" s="6">
        <f ca="1"/>
        <v>38.571428571428442</v>
      </c>
      <c r="L1551" s="6">
        <f ca="1"/>
        <v>-2.3809523809532038</v>
      </c>
      <c r="M1551" s="6">
        <f ca="1"/>
        <v>3.6904761904766019</v>
      </c>
      <c r="N1551" s="6">
        <f ca="1"/>
        <v>-3.4523809523811622E-2</v>
      </c>
      <c r="O1551" s="6">
        <f t="shared" ca="1" si="227"/>
        <v>77.85714285714208</v>
      </c>
      <c r="P1551" t="str">
        <f t="shared" si="228"/>
        <v>NA</v>
      </c>
      <c r="Q1551" s="10">
        <f t="shared" ca="1" si="229"/>
        <v>40.595238095237036</v>
      </c>
      <c r="R1551" s="10">
        <f t="shared" ca="1" si="230"/>
        <v>89.940476190476147</v>
      </c>
      <c r="S1551" s="10">
        <f t="shared" ca="1" si="231"/>
        <v>-49.345238095239111</v>
      </c>
      <c r="T1551" s="10">
        <f t="shared" ca="1" si="232"/>
        <v>1429.3103448275288</v>
      </c>
      <c r="U1551" s="10" t="str">
        <f t="shared" ca="1" si="233"/>
        <v>OR</v>
      </c>
      <c r="V1551">
        <f t="shared" si="234"/>
        <v>2</v>
      </c>
    </row>
    <row r="1552" spans="1:22" x14ac:dyDescent="0.25">
      <c r="A1552">
        <v>173</v>
      </c>
      <c r="B1552">
        <v>3</v>
      </c>
      <c r="C1552">
        <v>80</v>
      </c>
      <c r="D1552">
        <v>1</v>
      </c>
      <c r="E1552">
        <v>1</v>
      </c>
      <c r="F1552">
        <v>0</v>
      </c>
      <c r="G1552">
        <v>0</v>
      </c>
      <c r="H1552">
        <v>450</v>
      </c>
      <c r="I1552">
        <f t="shared" si="235"/>
        <v>1548</v>
      </c>
      <c r="J1552" s="6">
        <f t="array" aca="1" ref="J1552:N1552" ca="1">TRANSPOSE(ols(OFFSET($C$2:$C$10,I1552,0),OFFSET($D$2:$H$10,I1552,0)))</f>
        <v>51.369047619047706</v>
      </c>
      <c r="K1552" s="6">
        <f ca="1"/>
        <v>38.571428571428442</v>
      </c>
      <c r="L1552" s="6">
        <f ca="1"/>
        <v>-2.3809523809532038</v>
      </c>
      <c r="M1552" s="6">
        <f ca="1"/>
        <v>3.6904761904766019</v>
      </c>
      <c r="N1552" s="6">
        <f ca="1"/>
        <v>-3.4523809523811622E-2</v>
      </c>
      <c r="O1552" s="6">
        <f t="shared" ca="1" si="227"/>
        <v>74.404761904760917</v>
      </c>
      <c r="P1552" t="str">
        <f t="shared" si="228"/>
        <v>NA</v>
      </c>
      <c r="Q1552" s="10">
        <f t="shared" ca="1" si="229"/>
        <v>40.595238095237036</v>
      </c>
      <c r="R1552" s="10">
        <f t="shared" ca="1" si="230"/>
        <v>89.940476190476147</v>
      </c>
      <c r="S1552" s="10">
        <f t="shared" ca="1" si="231"/>
        <v>-49.345238095239111</v>
      </c>
      <c r="T1552" s="10">
        <f t="shared" ca="1" si="232"/>
        <v>1429.3103448275288</v>
      </c>
      <c r="U1552" s="10" t="str">
        <f t="shared" ca="1" si="233"/>
        <v>OR</v>
      </c>
      <c r="V1552">
        <f t="shared" si="234"/>
        <v>2</v>
      </c>
    </row>
    <row r="1553" spans="1:22" x14ac:dyDescent="0.25">
      <c r="A1553">
        <v>173</v>
      </c>
      <c r="B1553">
        <v>4</v>
      </c>
      <c r="C1553">
        <v>30</v>
      </c>
      <c r="D1553">
        <v>1</v>
      </c>
      <c r="E1553">
        <v>0</v>
      </c>
      <c r="F1553">
        <v>0</v>
      </c>
      <c r="G1553">
        <v>0</v>
      </c>
      <c r="H1553">
        <v>550</v>
      </c>
      <c r="I1553">
        <f t="shared" si="235"/>
        <v>1548</v>
      </c>
      <c r="J1553" s="6">
        <f t="array" aca="1" ref="J1553:N1553" ca="1">TRANSPOSE(ols(OFFSET($C$2:$C$10,I1553,0),OFFSET($D$2:$H$10,I1553,0)))</f>
        <v>51.369047619047706</v>
      </c>
      <c r="K1553" s="6">
        <f ca="1"/>
        <v>38.571428571428442</v>
      </c>
      <c r="L1553" s="6">
        <f ca="1"/>
        <v>-2.3809523809532038</v>
      </c>
      <c r="M1553" s="6">
        <f ca="1"/>
        <v>3.6904761904766019</v>
      </c>
      <c r="N1553" s="6">
        <f ca="1"/>
        <v>-3.4523809523811622E-2</v>
      </c>
      <c r="O1553" s="6">
        <f t="shared" ca="1" si="227"/>
        <v>32.380952380951314</v>
      </c>
      <c r="P1553" t="str">
        <f t="shared" si="228"/>
        <v>NA</v>
      </c>
      <c r="Q1553" s="10">
        <f t="shared" ca="1" si="229"/>
        <v>40.595238095237036</v>
      </c>
      <c r="R1553" s="10">
        <f t="shared" ca="1" si="230"/>
        <v>51.369047619047706</v>
      </c>
      <c r="S1553" s="10">
        <f t="shared" ca="1" si="231"/>
        <v>-10.773809523810669</v>
      </c>
      <c r="T1553" s="10">
        <f t="shared" ca="1" si="232"/>
        <v>312.06896551725561</v>
      </c>
      <c r="U1553" s="10">
        <f t="shared" ca="1" si="233"/>
        <v>312.06896551725561</v>
      </c>
      <c r="V1553">
        <f t="shared" si="234"/>
        <v>1</v>
      </c>
    </row>
    <row r="1554" spans="1:22" x14ac:dyDescent="0.25">
      <c r="A1554">
        <v>173</v>
      </c>
      <c r="B1554">
        <v>5</v>
      </c>
      <c r="C1554">
        <v>45</v>
      </c>
      <c r="D1554">
        <v>1</v>
      </c>
      <c r="E1554">
        <v>0</v>
      </c>
      <c r="F1554">
        <v>1</v>
      </c>
      <c r="G1554">
        <v>1</v>
      </c>
      <c r="H1554">
        <v>250</v>
      </c>
      <c r="I1554">
        <f t="shared" si="235"/>
        <v>1548</v>
      </c>
      <c r="J1554" s="6">
        <f t="array" aca="1" ref="J1554:N1554" ca="1">TRANSPOSE(ols(OFFSET($C$2:$C$10,I1554,0),OFFSET($D$2:$H$10,I1554,0)))</f>
        <v>51.369047619047706</v>
      </c>
      <c r="K1554" s="6">
        <f ca="1"/>
        <v>38.571428571428442</v>
      </c>
      <c r="L1554" s="6">
        <f ca="1"/>
        <v>-2.3809523809532038</v>
      </c>
      <c r="M1554" s="6">
        <f ca="1"/>
        <v>3.6904761904766019</v>
      </c>
      <c r="N1554" s="6">
        <f ca="1"/>
        <v>-3.4523809523811622E-2</v>
      </c>
      <c r="O1554" s="6">
        <f t="shared" ca="1" si="227"/>
        <v>44.047619047618198</v>
      </c>
      <c r="P1554" t="str">
        <f t="shared" si="228"/>
        <v>NA</v>
      </c>
      <c r="Q1554" s="10">
        <f t="shared" ca="1" si="229"/>
        <v>40.595238095237036</v>
      </c>
      <c r="R1554" s="10">
        <f t="shared" ca="1" si="230"/>
        <v>52.678571428571104</v>
      </c>
      <c r="S1554" s="10">
        <f t="shared" ca="1" si="231"/>
        <v>-12.083333333334068</v>
      </c>
      <c r="T1554" s="10">
        <f t="shared" ca="1" si="232"/>
        <v>350</v>
      </c>
      <c r="U1554" s="10">
        <f t="shared" ca="1" si="233"/>
        <v>350</v>
      </c>
      <c r="V1554">
        <f t="shared" si="234"/>
        <v>6</v>
      </c>
    </row>
    <row r="1555" spans="1:22" x14ac:dyDescent="0.25">
      <c r="A1555">
        <v>173</v>
      </c>
      <c r="B1555">
        <v>6</v>
      </c>
      <c r="C1555">
        <v>45</v>
      </c>
      <c r="D1555">
        <v>1</v>
      </c>
      <c r="E1555">
        <v>0</v>
      </c>
      <c r="F1555">
        <v>1</v>
      </c>
      <c r="G1555">
        <v>1</v>
      </c>
      <c r="H1555">
        <v>350</v>
      </c>
      <c r="I1555">
        <f t="shared" si="235"/>
        <v>1548</v>
      </c>
      <c r="J1555" s="6">
        <f t="array" aca="1" ref="J1555:N1555" ca="1">TRANSPOSE(ols(OFFSET($C$2:$C$10,I1555,0),OFFSET($D$2:$H$10,I1555,0)))</f>
        <v>51.369047619047706</v>
      </c>
      <c r="K1555" s="6">
        <f ca="1"/>
        <v>38.571428571428442</v>
      </c>
      <c r="L1555" s="6">
        <f ca="1"/>
        <v>-2.3809523809532038</v>
      </c>
      <c r="M1555" s="6">
        <f ca="1"/>
        <v>3.6904761904766019</v>
      </c>
      <c r="N1555" s="6">
        <f ca="1"/>
        <v>-3.4523809523811622E-2</v>
      </c>
      <c r="O1555" s="6">
        <f t="shared" ca="1" si="227"/>
        <v>40.595238095237036</v>
      </c>
      <c r="P1555">
        <f t="shared" ca="1" si="228"/>
        <v>40.595238095237036</v>
      </c>
      <c r="Q1555" s="10">
        <f t="shared" ca="1" si="229"/>
        <v>40.595238095237036</v>
      </c>
      <c r="R1555" s="10">
        <f t="shared" ca="1" si="230"/>
        <v>52.678571428571104</v>
      </c>
      <c r="S1555" s="10">
        <f t="shared" ca="1" si="231"/>
        <v>-12.083333333334068</v>
      </c>
      <c r="T1555" s="10">
        <f t="shared" ca="1" si="232"/>
        <v>350</v>
      </c>
      <c r="U1555" s="10">
        <f t="shared" ca="1" si="233"/>
        <v>350</v>
      </c>
      <c r="V1555">
        <f t="shared" si="234"/>
        <v>6</v>
      </c>
    </row>
    <row r="1556" spans="1:22" x14ac:dyDescent="0.25">
      <c r="A1556">
        <v>173</v>
      </c>
      <c r="B1556">
        <v>7</v>
      </c>
      <c r="C1556">
        <v>75</v>
      </c>
      <c r="D1556">
        <v>1</v>
      </c>
      <c r="E1556">
        <v>1</v>
      </c>
      <c r="F1556">
        <v>0</v>
      </c>
      <c r="G1556">
        <v>1</v>
      </c>
      <c r="H1556">
        <v>450</v>
      </c>
      <c r="I1556">
        <f t="shared" si="235"/>
        <v>1548</v>
      </c>
      <c r="J1556" s="6">
        <f t="array" aca="1" ref="J1556:N1556" ca="1">TRANSPOSE(ols(OFFSET($C$2:$C$10,I1556,0),OFFSET($D$2:$H$10,I1556,0)))</f>
        <v>51.369047619047706</v>
      </c>
      <c r="K1556" s="6">
        <f ca="1"/>
        <v>38.571428571428442</v>
      </c>
      <c r="L1556" s="6">
        <f ca="1"/>
        <v>-2.3809523809532038</v>
      </c>
      <c r="M1556" s="6">
        <f ca="1"/>
        <v>3.6904761904766019</v>
      </c>
      <c r="N1556" s="6">
        <f ca="1"/>
        <v>-3.4523809523811622E-2</v>
      </c>
      <c r="O1556" s="6">
        <f t="shared" ca="1" si="227"/>
        <v>78.095238095237519</v>
      </c>
      <c r="P1556" t="str">
        <f t="shared" si="228"/>
        <v>NA</v>
      </c>
      <c r="Q1556" s="10">
        <f t="shared" ca="1" si="229"/>
        <v>40.595238095237036</v>
      </c>
      <c r="R1556" s="10">
        <f t="shared" ca="1" si="230"/>
        <v>93.630952380952749</v>
      </c>
      <c r="S1556" s="10">
        <f t="shared" ca="1" si="231"/>
        <v>-53.035714285715713</v>
      </c>
      <c r="T1556" s="10">
        <f t="shared" ca="1" si="232"/>
        <v>1536.2068965516721</v>
      </c>
      <c r="U1556" s="10" t="str">
        <f t="shared" ca="1" si="233"/>
        <v>OR</v>
      </c>
      <c r="V1556">
        <f t="shared" si="234"/>
        <v>5</v>
      </c>
    </row>
    <row r="1557" spans="1:22" x14ac:dyDescent="0.25">
      <c r="A1557">
        <v>173</v>
      </c>
      <c r="B1557">
        <v>8</v>
      </c>
      <c r="C1557">
        <v>70</v>
      </c>
      <c r="D1557">
        <v>1</v>
      </c>
      <c r="E1557">
        <v>1</v>
      </c>
      <c r="F1557">
        <v>0</v>
      </c>
      <c r="G1557">
        <v>1</v>
      </c>
      <c r="H1557">
        <v>550</v>
      </c>
      <c r="I1557">
        <f t="shared" si="235"/>
        <v>1548</v>
      </c>
      <c r="J1557" s="6">
        <f t="array" aca="1" ref="J1557:N1557" ca="1">TRANSPOSE(ols(OFFSET($C$2:$C$10,I1557,0),OFFSET($D$2:$H$10,I1557,0)))</f>
        <v>51.369047619047706</v>
      </c>
      <c r="K1557" s="6">
        <f ca="1"/>
        <v>38.571428571428442</v>
      </c>
      <c r="L1557" s="6">
        <f ca="1"/>
        <v>-2.3809523809532038</v>
      </c>
      <c r="M1557" s="6">
        <f ca="1"/>
        <v>3.6904761904766019</v>
      </c>
      <c r="N1557" s="6">
        <f ca="1"/>
        <v>-3.4523809523811622E-2</v>
      </c>
      <c r="O1557" s="6">
        <f t="shared" ca="1" si="227"/>
        <v>74.642857142856357</v>
      </c>
      <c r="P1557" t="str">
        <f t="shared" si="228"/>
        <v>NA</v>
      </c>
      <c r="Q1557" s="10">
        <f t="shared" ca="1" si="229"/>
        <v>40.595238095237036</v>
      </c>
      <c r="R1557" s="10">
        <f t="shared" ca="1" si="230"/>
        <v>93.630952380952749</v>
      </c>
      <c r="S1557" s="10">
        <f t="shared" ca="1" si="231"/>
        <v>-53.035714285715713</v>
      </c>
      <c r="T1557" s="10">
        <f t="shared" ca="1" si="232"/>
        <v>1536.2068965516721</v>
      </c>
      <c r="U1557" s="10" t="str">
        <f t="shared" ca="1" si="233"/>
        <v>OR</v>
      </c>
      <c r="V1557">
        <f t="shared" si="234"/>
        <v>5</v>
      </c>
    </row>
    <row r="1558" spans="1:22" x14ac:dyDescent="0.25">
      <c r="A1558">
        <v>173</v>
      </c>
      <c r="B1558">
        <v>9</v>
      </c>
      <c r="C1558">
        <v>35</v>
      </c>
      <c r="D1558">
        <v>1</v>
      </c>
      <c r="E1558">
        <v>0</v>
      </c>
      <c r="F1558">
        <v>0</v>
      </c>
      <c r="G1558">
        <v>1</v>
      </c>
      <c r="H1558">
        <v>650</v>
      </c>
      <c r="I1558">
        <f t="shared" si="235"/>
        <v>1548</v>
      </c>
      <c r="J1558" s="6">
        <f t="array" aca="1" ref="J1558:N1558" ca="1">TRANSPOSE(ols(OFFSET($C$2:$C$10,I1558,0),OFFSET($D$2:$H$10,I1558,0)))</f>
        <v>51.369047619047706</v>
      </c>
      <c r="K1558" s="6">
        <f ca="1"/>
        <v>38.571428571428442</v>
      </c>
      <c r="L1558" s="6">
        <f ca="1"/>
        <v>-2.3809523809532038</v>
      </c>
      <c r="M1558" s="6">
        <f ca="1"/>
        <v>3.6904761904766019</v>
      </c>
      <c r="N1558" s="6">
        <f ca="1"/>
        <v>-3.4523809523811622E-2</v>
      </c>
      <c r="O1558" s="6">
        <f t="shared" ca="1" si="227"/>
        <v>32.619047619046754</v>
      </c>
      <c r="P1558" t="str">
        <f t="shared" si="228"/>
        <v>NA</v>
      </c>
      <c r="Q1558" s="10">
        <f t="shared" ca="1" si="229"/>
        <v>40.595238095237036</v>
      </c>
      <c r="R1558" s="10">
        <f t="shared" ca="1" si="230"/>
        <v>55.059523809524308</v>
      </c>
      <c r="S1558" s="10">
        <f t="shared" ca="1" si="231"/>
        <v>-14.464285714287271</v>
      </c>
      <c r="T1558" s="10">
        <f t="shared" ca="1" si="232"/>
        <v>418.96551724139897</v>
      </c>
      <c r="U1558" s="10">
        <f t="shared" ca="1" si="233"/>
        <v>418.96551724139897</v>
      </c>
      <c r="V1558">
        <f t="shared" si="234"/>
        <v>4</v>
      </c>
    </row>
    <row r="1559" spans="1:22" x14ac:dyDescent="0.25">
      <c r="A1559">
        <v>174</v>
      </c>
      <c r="B1559">
        <v>1</v>
      </c>
      <c r="C1559">
        <v>15</v>
      </c>
      <c r="D1559">
        <v>1</v>
      </c>
      <c r="E1559">
        <v>0</v>
      </c>
      <c r="F1559">
        <v>1</v>
      </c>
      <c r="G1559">
        <v>0</v>
      </c>
      <c r="H1559">
        <v>250</v>
      </c>
      <c r="I1559">
        <f t="shared" si="235"/>
        <v>1557</v>
      </c>
      <c r="J1559" s="6">
        <f t="array" aca="1" ref="J1559:N1559" ca="1">TRANSPOSE(ols(OFFSET($C$2:$C$10,I1559,0),OFFSET($D$2:$H$10,I1559,0)))</f>
        <v>49.702380952380736</v>
      </c>
      <c r="K1559" s="6">
        <f ca="1"/>
        <v>1.0714285714284415</v>
      </c>
      <c r="L1559" s="6">
        <f ca="1"/>
        <v>-34.047619047619264</v>
      </c>
      <c r="M1559" s="6">
        <f ca="1"/>
        <v>2.0238095238099731</v>
      </c>
      <c r="N1559" s="6">
        <f ca="1"/>
        <v>-1.190476190480183E-3</v>
      </c>
      <c r="O1559" s="6">
        <f t="shared" ca="1" si="227"/>
        <v>15.357142857141426</v>
      </c>
      <c r="P1559" t="str">
        <f t="shared" si="228"/>
        <v>NA</v>
      </c>
      <c r="Q1559" s="10">
        <f t="shared" ca="1" si="229"/>
        <v>17.261904761903381</v>
      </c>
      <c r="R1559" s="10">
        <f t="shared" ca="1" si="230"/>
        <v>15.654761904761472</v>
      </c>
      <c r="S1559" s="10">
        <f t="shared" ca="1" si="231"/>
        <v>1.6071428571419091</v>
      </c>
      <c r="T1559" s="10">
        <f t="shared" ca="1" si="232"/>
        <v>-1349.999999994676</v>
      </c>
      <c r="U1559" s="10" t="str">
        <f t="shared" ca="1" si="233"/>
        <v>OR</v>
      </c>
      <c r="V1559">
        <f t="shared" si="234"/>
        <v>3</v>
      </c>
    </row>
    <row r="1560" spans="1:22" x14ac:dyDescent="0.25">
      <c r="A1560">
        <v>174</v>
      </c>
      <c r="B1560">
        <v>2</v>
      </c>
      <c r="C1560">
        <v>52.5</v>
      </c>
      <c r="D1560">
        <v>1</v>
      </c>
      <c r="E1560">
        <v>1</v>
      </c>
      <c r="F1560">
        <v>0</v>
      </c>
      <c r="G1560">
        <v>0</v>
      </c>
      <c r="H1560">
        <v>350</v>
      </c>
      <c r="I1560">
        <f t="shared" si="235"/>
        <v>1557</v>
      </c>
      <c r="J1560" s="6">
        <f t="array" aca="1" ref="J1560:N1560" ca="1">TRANSPOSE(ols(OFFSET($C$2:$C$10,I1560,0),OFFSET($D$2:$H$10,I1560,0)))</f>
        <v>49.702380952380736</v>
      </c>
      <c r="K1560" s="6">
        <f ca="1"/>
        <v>1.0714285714284415</v>
      </c>
      <c r="L1560" s="6">
        <f ca="1"/>
        <v>-34.047619047619264</v>
      </c>
      <c r="M1560" s="6">
        <f ca="1"/>
        <v>2.0238095238099731</v>
      </c>
      <c r="N1560" s="6">
        <f ca="1"/>
        <v>-1.190476190480183E-3</v>
      </c>
      <c r="O1560" s="6">
        <f t="shared" ca="1" si="227"/>
        <v>50.357142857141113</v>
      </c>
      <c r="P1560" t="str">
        <f t="shared" si="228"/>
        <v>NA</v>
      </c>
      <c r="Q1560" s="10">
        <f t="shared" ca="1" si="229"/>
        <v>17.261904761903381</v>
      </c>
      <c r="R1560" s="10">
        <f t="shared" ca="1" si="230"/>
        <v>50.773809523809177</v>
      </c>
      <c r="S1560" s="10">
        <f t="shared" ca="1" si="231"/>
        <v>-33.511904761905797</v>
      </c>
      <c r="T1560" s="10">
        <f t="shared" ca="1" si="232"/>
        <v>28149.99999990646</v>
      </c>
      <c r="U1560" s="10" t="str">
        <f t="shared" ca="1" si="233"/>
        <v>OR</v>
      </c>
      <c r="V1560">
        <f t="shared" si="234"/>
        <v>2</v>
      </c>
    </row>
    <row r="1561" spans="1:22" x14ac:dyDescent="0.25">
      <c r="A1561">
        <v>174</v>
      </c>
      <c r="B1561">
        <v>3</v>
      </c>
      <c r="C1561">
        <v>47.5</v>
      </c>
      <c r="D1561">
        <v>1</v>
      </c>
      <c r="E1561">
        <v>1</v>
      </c>
      <c r="F1561">
        <v>0</v>
      </c>
      <c r="G1561">
        <v>0</v>
      </c>
      <c r="H1561">
        <v>450</v>
      </c>
      <c r="I1561">
        <f t="shared" si="235"/>
        <v>1557</v>
      </c>
      <c r="J1561" s="6">
        <f t="array" aca="1" ref="J1561:N1561" ca="1">TRANSPOSE(ols(OFFSET($C$2:$C$10,I1561,0),OFFSET($D$2:$H$10,I1561,0)))</f>
        <v>49.702380952380736</v>
      </c>
      <c r="K1561" s="6">
        <f ca="1"/>
        <v>1.0714285714284415</v>
      </c>
      <c r="L1561" s="6">
        <f ca="1"/>
        <v>-34.047619047619264</v>
      </c>
      <c r="M1561" s="6">
        <f ca="1"/>
        <v>2.0238095238099731</v>
      </c>
      <c r="N1561" s="6">
        <f ca="1"/>
        <v>-1.190476190480183E-3</v>
      </c>
      <c r="O1561" s="6">
        <f t="shared" ca="1" si="227"/>
        <v>50.238095238093095</v>
      </c>
      <c r="P1561" t="str">
        <f t="shared" si="228"/>
        <v>NA</v>
      </c>
      <c r="Q1561" s="10">
        <f t="shared" ca="1" si="229"/>
        <v>17.261904761903381</v>
      </c>
      <c r="R1561" s="10">
        <f t="shared" ca="1" si="230"/>
        <v>50.773809523809177</v>
      </c>
      <c r="S1561" s="10">
        <f t="shared" ca="1" si="231"/>
        <v>-33.511904761905797</v>
      </c>
      <c r="T1561" s="10">
        <f t="shared" ca="1" si="232"/>
        <v>28149.99999990646</v>
      </c>
      <c r="U1561" s="10" t="str">
        <f t="shared" ca="1" si="233"/>
        <v>OR</v>
      </c>
      <c r="V1561">
        <f t="shared" si="234"/>
        <v>2</v>
      </c>
    </row>
    <row r="1562" spans="1:22" x14ac:dyDescent="0.25">
      <c r="A1562">
        <v>174</v>
      </c>
      <c r="B1562">
        <v>4</v>
      </c>
      <c r="C1562">
        <v>50</v>
      </c>
      <c r="D1562">
        <v>1</v>
      </c>
      <c r="E1562">
        <v>0</v>
      </c>
      <c r="F1562">
        <v>0</v>
      </c>
      <c r="G1562">
        <v>0</v>
      </c>
      <c r="H1562">
        <v>550</v>
      </c>
      <c r="I1562">
        <f t="shared" si="235"/>
        <v>1557</v>
      </c>
      <c r="J1562" s="6">
        <f t="array" aca="1" ref="J1562:N1562" ca="1">TRANSPOSE(ols(OFFSET($C$2:$C$10,I1562,0),OFFSET($D$2:$H$10,I1562,0)))</f>
        <v>49.702380952380736</v>
      </c>
      <c r="K1562" s="6">
        <f ca="1"/>
        <v>1.0714285714284415</v>
      </c>
      <c r="L1562" s="6">
        <f ca="1"/>
        <v>-34.047619047619264</v>
      </c>
      <c r="M1562" s="6">
        <f ca="1"/>
        <v>2.0238095238099731</v>
      </c>
      <c r="N1562" s="6">
        <f ca="1"/>
        <v>-1.190476190480183E-3</v>
      </c>
      <c r="O1562" s="6">
        <f t="shared" ca="1" si="227"/>
        <v>49.047619047616635</v>
      </c>
      <c r="P1562" t="str">
        <f t="shared" si="228"/>
        <v>NA</v>
      </c>
      <c r="Q1562" s="10">
        <f t="shared" ca="1" si="229"/>
        <v>17.261904761903381</v>
      </c>
      <c r="R1562" s="10">
        <f t="shared" ca="1" si="230"/>
        <v>49.702380952380736</v>
      </c>
      <c r="S1562" s="10">
        <f t="shared" ca="1" si="231"/>
        <v>-32.440476190477355</v>
      </c>
      <c r="T1562" s="10">
        <f t="shared" ca="1" si="232"/>
        <v>27249.999999909589</v>
      </c>
      <c r="U1562" s="10" t="str">
        <f t="shared" ca="1" si="233"/>
        <v>OR</v>
      </c>
      <c r="V1562">
        <f t="shared" si="234"/>
        <v>1</v>
      </c>
    </row>
    <row r="1563" spans="1:22" x14ac:dyDescent="0.25">
      <c r="A1563">
        <v>174</v>
      </c>
      <c r="B1563">
        <v>5</v>
      </c>
      <c r="C1563">
        <v>15</v>
      </c>
      <c r="D1563">
        <v>1</v>
      </c>
      <c r="E1563">
        <v>0</v>
      </c>
      <c r="F1563">
        <v>1</v>
      </c>
      <c r="G1563">
        <v>1</v>
      </c>
      <c r="H1563">
        <v>250</v>
      </c>
      <c r="I1563">
        <f t="shared" si="235"/>
        <v>1557</v>
      </c>
      <c r="J1563" s="6">
        <f t="array" aca="1" ref="J1563:N1563" ca="1">TRANSPOSE(ols(OFFSET($C$2:$C$10,I1563,0),OFFSET($D$2:$H$10,I1563,0)))</f>
        <v>49.702380952380736</v>
      </c>
      <c r="K1563" s="6">
        <f ca="1"/>
        <v>1.0714285714284415</v>
      </c>
      <c r="L1563" s="6">
        <f ca="1"/>
        <v>-34.047619047619264</v>
      </c>
      <c r="M1563" s="6">
        <f ca="1"/>
        <v>2.0238095238099731</v>
      </c>
      <c r="N1563" s="6">
        <f ca="1"/>
        <v>-1.190476190480183E-3</v>
      </c>
      <c r="O1563" s="6">
        <f t="shared" ca="1" si="227"/>
        <v>17.380952380951399</v>
      </c>
      <c r="P1563" t="str">
        <f t="shared" si="228"/>
        <v>NA</v>
      </c>
      <c r="Q1563" s="10">
        <f t="shared" ca="1" si="229"/>
        <v>17.261904761903381</v>
      </c>
      <c r="R1563" s="10">
        <f t="shared" ca="1" si="230"/>
        <v>17.678571428571445</v>
      </c>
      <c r="S1563" s="10">
        <f t="shared" ca="1" si="231"/>
        <v>-0.41666666666806407</v>
      </c>
      <c r="T1563" s="10">
        <f t="shared" ca="1" si="232"/>
        <v>350</v>
      </c>
      <c r="U1563" s="10">
        <f t="shared" ca="1" si="233"/>
        <v>350</v>
      </c>
      <c r="V1563">
        <f t="shared" si="234"/>
        <v>6</v>
      </c>
    </row>
    <row r="1564" spans="1:22" x14ac:dyDescent="0.25">
      <c r="A1564">
        <v>174</v>
      </c>
      <c r="B1564">
        <v>6</v>
      </c>
      <c r="C1564">
        <v>20</v>
      </c>
      <c r="D1564">
        <v>1</v>
      </c>
      <c r="E1564">
        <v>0</v>
      </c>
      <c r="F1564">
        <v>1</v>
      </c>
      <c r="G1564">
        <v>1</v>
      </c>
      <c r="H1564">
        <v>350</v>
      </c>
      <c r="I1564">
        <f t="shared" si="235"/>
        <v>1557</v>
      </c>
      <c r="J1564" s="6">
        <f t="array" aca="1" ref="J1564:N1564" ca="1">TRANSPOSE(ols(OFFSET($C$2:$C$10,I1564,0),OFFSET($D$2:$H$10,I1564,0)))</f>
        <v>49.702380952380736</v>
      </c>
      <c r="K1564" s="6">
        <f ca="1"/>
        <v>1.0714285714284415</v>
      </c>
      <c r="L1564" s="6">
        <f ca="1"/>
        <v>-34.047619047619264</v>
      </c>
      <c r="M1564" s="6">
        <f ca="1"/>
        <v>2.0238095238099731</v>
      </c>
      <c r="N1564" s="6">
        <f ca="1"/>
        <v>-1.190476190480183E-3</v>
      </c>
      <c r="O1564" s="6">
        <f t="shared" ca="1" si="227"/>
        <v>17.261904761903381</v>
      </c>
      <c r="P1564">
        <f t="shared" ca="1" si="228"/>
        <v>17.261904761903381</v>
      </c>
      <c r="Q1564" s="10">
        <f t="shared" ca="1" si="229"/>
        <v>17.261904761903381</v>
      </c>
      <c r="R1564" s="10">
        <f t="shared" ca="1" si="230"/>
        <v>17.678571428571445</v>
      </c>
      <c r="S1564" s="10">
        <f t="shared" ca="1" si="231"/>
        <v>-0.41666666666806407</v>
      </c>
      <c r="T1564" s="10">
        <f t="shared" ca="1" si="232"/>
        <v>350</v>
      </c>
      <c r="U1564" s="10">
        <f t="shared" ca="1" si="233"/>
        <v>350</v>
      </c>
      <c r="V1564">
        <f t="shared" si="234"/>
        <v>6</v>
      </c>
    </row>
    <row r="1565" spans="1:22" x14ac:dyDescent="0.25">
      <c r="A1565">
        <v>174</v>
      </c>
      <c r="B1565">
        <v>7</v>
      </c>
      <c r="C1565">
        <v>52.5</v>
      </c>
      <c r="D1565">
        <v>1</v>
      </c>
      <c r="E1565">
        <v>1</v>
      </c>
      <c r="F1565">
        <v>0</v>
      </c>
      <c r="G1565">
        <v>1</v>
      </c>
      <c r="H1565">
        <v>450</v>
      </c>
      <c r="I1565">
        <f t="shared" si="235"/>
        <v>1557</v>
      </c>
      <c r="J1565" s="6">
        <f t="array" aca="1" ref="J1565:N1565" ca="1">TRANSPOSE(ols(OFFSET($C$2:$C$10,I1565,0),OFFSET($D$2:$H$10,I1565,0)))</f>
        <v>49.702380952380736</v>
      </c>
      <c r="K1565" s="6">
        <f ca="1"/>
        <v>1.0714285714284415</v>
      </c>
      <c r="L1565" s="6">
        <f ca="1"/>
        <v>-34.047619047619264</v>
      </c>
      <c r="M1565" s="6">
        <f ca="1"/>
        <v>2.0238095238099731</v>
      </c>
      <c r="N1565" s="6">
        <f ca="1"/>
        <v>-1.190476190480183E-3</v>
      </c>
      <c r="O1565" s="6">
        <f t="shared" ca="1" si="227"/>
        <v>52.261904761903068</v>
      </c>
      <c r="P1565" t="str">
        <f t="shared" si="228"/>
        <v>NA</v>
      </c>
      <c r="Q1565" s="10">
        <f t="shared" ca="1" si="229"/>
        <v>17.261904761903381</v>
      </c>
      <c r="R1565" s="10">
        <f t="shared" ca="1" si="230"/>
        <v>52.79761904761915</v>
      </c>
      <c r="S1565" s="10">
        <f t="shared" ca="1" si="231"/>
        <v>-35.53571428571577</v>
      </c>
      <c r="T1565" s="10">
        <f t="shared" ca="1" si="232"/>
        <v>29849.999999901138</v>
      </c>
      <c r="U1565" s="10" t="str">
        <f t="shared" ca="1" si="233"/>
        <v>OR</v>
      </c>
      <c r="V1565">
        <f t="shared" si="234"/>
        <v>5</v>
      </c>
    </row>
    <row r="1566" spans="1:22" x14ac:dyDescent="0.25">
      <c r="A1566">
        <v>174</v>
      </c>
      <c r="B1566">
        <v>8</v>
      </c>
      <c r="C1566">
        <v>52.5</v>
      </c>
      <c r="D1566">
        <v>1</v>
      </c>
      <c r="E1566">
        <v>1</v>
      </c>
      <c r="F1566">
        <v>0</v>
      </c>
      <c r="G1566">
        <v>1</v>
      </c>
      <c r="H1566">
        <v>550</v>
      </c>
      <c r="I1566">
        <f t="shared" si="235"/>
        <v>1557</v>
      </c>
      <c r="J1566" s="6">
        <f t="array" aca="1" ref="J1566:N1566" ca="1">TRANSPOSE(ols(OFFSET($C$2:$C$10,I1566,0),OFFSET($D$2:$H$10,I1566,0)))</f>
        <v>49.702380952380736</v>
      </c>
      <c r="K1566" s="6">
        <f ca="1"/>
        <v>1.0714285714284415</v>
      </c>
      <c r="L1566" s="6">
        <f ca="1"/>
        <v>-34.047619047619264</v>
      </c>
      <c r="M1566" s="6">
        <f ca="1"/>
        <v>2.0238095238099731</v>
      </c>
      <c r="N1566" s="6">
        <f ca="1"/>
        <v>-1.190476190480183E-3</v>
      </c>
      <c r="O1566" s="6">
        <f t="shared" ca="1" si="227"/>
        <v>52.14285714285505</v>
      </c>
      <c r="P1566" t="str">
        <f t="shared" si="228"/>
        <v>NA</v>
      </c>
      <c r="Q1566" s="10">
        <f t="shared" ca="1" si="229"/>
        <v>17.261904761903381</v>
      </c>
      <c r="R1566" s="10">
        <f t="shared" ca="1" si="230"/>
        <v>52.79761904761915</v>
      </c>
      <c r="S1566" s="10">
        <f t="shared" ca="1" si="231"/>
        <v>-35.53571428571577</v>
      </c>
      <c r="T1566" s="10">
        <f t="shared" ca="1" si="232"/>
        <v>29849.999999901138</v>
      </c>
      <c r="U1566" s="10" t="str">
        <f t="shared" ca="1" si="233"/>
        <v>OR</v>
      </c>
      <c r="V1566">
        <f t="shared" si="234"/>
        <v>5</v>
      </c>
    </row>
    <row r="1567" spans="1:22" x14ac:dyDescent="0.25">
      <c r="A1567">
        <v>174</v>
      </c>
      <c r="B1567">
        <v>9</v>
      </c>
      <c r="C1567">
        <v>50</v>
      </c>
      <c r="D1567">
        <v>1</v>
      </c>
      <c r="E1567">
        <v>0</v>
      </c>
      <c r="F1567">
        <v>0</v>
      </c>
      <c r="G1567">
        <v>1</v>
      </c>
      <c r="H1567">
        <v>650</v>
      </c>
      <c r="I1567">
        <f t="shared" si="235"/>
        <v>1557</v>
      </c>
      <c r="J1567" s="6">
        <f t="array" aca="1" ref="J1567:N1567" ca="1">TRANSPOSE(ols(OFFSET($C$2:$C$10,I1567,0),OFFSET($D$2:$H$10,I1567,0)))</f>
        <v>49.702380952380736</v>
      </c>
      <c r="K1567" s="6">
        <f ca="1"/>
        <v>1.0714285714284415</v>
      </c>
      <c r="L1567" s="6">
        <f ca="1"/>
        <v>-34.047619047619264</v>
      </c>
      <c r="M1567" s="6">
        <f ca="1"/>
        <v>2.0238095238099731</v>
      </c>
      <c r="N1567" s="6">
        <f ca="1"/>
        <v>-1.190476190480183E-3</v>
      </c>
      <c r="O1567" s="6">
        <f t="shared" ca="1" si="227"/>
        <v>50.95238095237859</v>
      </c>
      <c r="P1567" t="str">
        <f t="shared" si="228"/>
        <v>NA</v>
      </c>
      <c r="Q1567" s="10">
        <f t="shared" ca="1" si="229"/>
        <v>17.261904761903381</v>
      </c>
      <c r="R1567" s="10">
        <f t="shared" ca="1" si="230"/>
        <v>51.726190476190709</v>
      </c>
      <c r="S1567" s="10">
        <f t="shared" ca="1" si="231"/>
        <v>-34.464285714287328</v>
      </c>
      <c r="T1567" s="10">
        <f t="shared" ca="1" si="232"/>
        <v>28949.999999904263</v>
      </c>
      <c r="U1567" s="10" t="str">
        <f t="shared" ca="1" si="233"/>
        <v>OR</v>
      </c>
      <c r="V1567">
        <f t="shared" si="234"/>
        <v>4</v>
      </c>
    </row>
    <row r="1568" spans="1:22" x14ac:dyDescent="0.25">
      <c r="A1568">
        <v>175</v>
      </c>
      <c r="B1568">
        <v>1</v>
      </c>
      <c r="C1568">
        <v>50</v>
      </c>
      <c r="D1568">
        <v>1</v>
      </c>
      <c r="E1568">
        <v>0</v>
      </c>
      <c r="F1568">
        <v>1</v>
      </c>
      <c r="G1568">
        <v>0</v>
      </c>
      <c r="H1568">
        <v>250</v>
      </c>
      <c r="I1568">
        <f t="shared" si="235"/>
        <v>1566</v>
      </c>
      <c r="J1568" s="6">
        <f t="array" aca="1" ref="J1568:N1568" ca="1">TRANSPOSE(ols(OFFSET($C$2:$C$10,I1568,0),OFFSET($D$2:$H$10,I1568,0)))</f>
        <v>172.91666666666424</v>
      </c>
      <c r="K1568" s="6">
        <f ca="1"/>
        <v>-37.499999999999773</v>
      </c>
      <c r="L1568" s="6">
        <f ca="1"/>
        <v>-78.333333333333485</v>
      </c>
      <c r="M1568" s="6">
        <f ca="1"/>
        <v>19.16666666666697</v>
      </c>
      <c r="N1568" s="6">
        <f ca="1"/>
        <v>-0.20833333333333215</v>
      </c>
      <c r="O1568" s="6">
        <f t="shared" ca="1" si="227"/>
        <v>42.499999999997719</v>
      </c>
      <c r="P1568" t="str">
        <f t="shared" si="228"/>
        <v>NA</v>
      </c>
      <c r="Q1568" s="10">
        <f t="shared" ca="1" si="229"/>
        <v>40.833333333331467</v>
      </c>
      <c r="R1568" s="10">
        <f t="shared" ca="1" si="230"/>
        <v>94.583333333330756</v>
      </c>
      <c r="S1568" s="10">
        <f t="shared" ca="1" si="231"/>
        <v>-53.749999999999289</v>
      </c>
      <c r="T1568" s="10">
        <f t="shared" ca="1" si="232"/>
        <v>257.99999999999807</v>
      </c>
      <c r="U1568" s="10">
        <f t="shared" ca="1" si="233"/>
        <v>257.99999999999807</v>
      </c>
      <c r="V1568">
        <f t="shared" si="234"/>
        <v>3</v>
      </c>
    </row>
    <row r="1569" spans="1:22" x14ac:dyDescent="0.25">
      <c r="A1569">
        <v>175</v>
      </c>
      <c r="B1569">
        <v>2</v>
      </c>
      <c r="C1569">
        <v>70</v>
      </c>
      <c r="D1569">
        <v>1</v>
      </c>
      <c r="E1569">
        <v>1</v>
      </c>
      <c r="F1569">
        <v>0</v>
      </c>
      <c r="G1569">
        <v>0</v>
      </c>
      <c r="H1569">
        <v>350</v>
      </c>
      <c r="I1569">
        <f t="shared" si="235"/>
        <v>1566</v>
      </c>
      <c r="J1569" s="6">
        <f t="array" aca="1" ref="J1569:N1569" ca="1">TRANSPOSE(ols(OFFSET($C$2:$C$10,I1569,0),OFFSET($D$2:$H$10,I1569,0)))</f>
        <v>172.91666666666424</v>
      </c>
      <c r="K1569" s="6">
        <f ca="1"/>
        <v>-37.499999999999773</v>
      </c>
      <c r="L1569" s="6">
        <f ca="1"/>
        <v>-78.333333333333485</v>
      </c>
      <c r="M1569" s="6">
        <f ca="1"/>
        <v>19.16666666666697</v>
      </c>
      <c r="N1569" s="6">
        <f ca="1"/>
        <v>-0.20833333333333215</v>
      </c>
      <c r="O1569" s="6">
        <f t="shared" ca="1" si="227"/>
        <v>62.499999999998209</v>
      </c>
      <c r="P1569" t="str">
        <f t="shared" si="228"/>
        <v>NA</v>
      </c>
      <c r="Q1569" s="10">
        <f t="shared" ca="1" si="229"/>
        <v>40.833333333331467</v>
      </c>
      <c r="R1569" s="10">
        <f t="shared" ca="1" si="230"/>
        <v>135.41666666666447</v>
      </c>
      <c r="S1569" s="10">
        <f t="shared" ca="1" si="231"/>
        <v>-94.583333333333002</v>
      </c>
      <c r="T1569" s="10">
        <f t="shared" ca="1" si="232"/>
        <v>454.00000000000097</v>
      </c>
      <c r="U1569" s="10">
        <f t="shared" ca="1" si="233"/>
        <v>454.00000000000097</v>
      </c>
      <c r="V1569">
        <f t="shared" si="234"/>
        <v>2</v>
      </c>
    </row>
    <row r="1570" spans="1:22" x14ac:dyDescent="0.25">
      <c r="A1570">
        <v>175</v>
      </c>
      <c r="B1570">
        <v>3</v>
      </c>
      <c r="C1570">
        <v>35</v>
      </c>
      <c r="D1570">
        <v>1</v>
      </c>
      <c r="E1570">
        <v>1</v>
      </c>
      <c r="F1570">
        <v>0</v>
      </c>
      <c r="G1570">
        <v>0</v>
      </c>
      <c r="H1570">
        <v>450</v>
      </c>
      <c r="I1570">
        <f t="shared" si="235"/>
        <v>1566</v>
      </c>
      <c r="J1570" s="6">
        <f t="array" aca="1" ref="J1570:N1570" ca="1">TRANSPOSE(ols(OFFSET($C$2:$C$10,I1570,0),OFFSET($D$2:$H$10,I1570,0)))</f>
        <v>172.91666666666424</v>
      </c>
      <c r="K1570" s="6">
        <f ca="1"/>
        <v>-37.499999999999773</v>
      </c>
      <c r="L1570" s="6">
        <f ca="1"/>
        <v>-78.333333333333485</v>
      </c>
      <c r="M1570" s="6">
        <f ca="1"/>
        <v>19.16666666666697</v>
      </c>
      <c r="N1570" s="6">
        <f ca="1"/>
        <v>-0.20833333333333215</v>
      </c>
      <c r="O1570" s="6">
        <f t="shared" ca="1" si="227"/>
        <v>41.666666666665009</v>
      </c>
      <c r="P1570" t="str">
        <f t="shared" si="228"/>
        <v>NA</v>
      </c>
      <c r="Q1570" s="10">
        <f t="shared" ca="1" si="229"/>
        <v>40.833333333331467</v>
      </c>
      <c r="R1570" s="10">
        <f t="shared" ca="1" si="230"/>
        <v>135.41666666666447</v>
      </c>
      <c r="S1570" s="10">
        <f t="shared" ca="1" si="231"/>
        <v>-94.583333333333002</v>
      </c>
      <c r="T1570" s="10">
        <f t="shared" ca="1" si="232"/>
        <v>454.00000000000097</v>
      </c>
      <c r="U1570" s="10">
        <f t="shared" ca="1" si="233"/>
        <v>454.00000000000097</v>
      </c>
      <c r="V1570">
        <f t="shared" si="234"/>
        <v>2</v>
      </c>
    </row>
    <row r="1571" spans="1:22" x14ac:dyDescent="0.25">
      <c r="A1571">
        <v>175</v>
      </c>
      <c r="B1571">
        <v>4</v>
      </c>
      <c r="C1571">
        <v>50</v>
      </c>
      <c r="D1571">
        <v>1</v>
      </c>
      <c r="E1571">
        <v>0</v>
      </c>
      <c r="F1571">
        <v>0</v>
      </c>
      <c r="G1571">
        <v>0</v>
      </c>
      <c r="H1571">
        <v>550</v>
      </c>
      <c r="I1571">
        <f t="shared" si="235"/>
        <v>1566</v>
      </c>
      <c r="J1571" s="6">
        <f t="array" aca="1" ref="J1571:N1571" ca="1">TRANSPOSE(ols(OFFSET($C$2:$C$10,I1571,0),OFFSET($D$2:$H$10,I1571,0)))</f>
        <v>172.91666666666424</v>
      </c>
      <c r="K1571" s="6">
        <f ca="1"/>
        <v>-37.499999999999773</v>
      </c>
      <c r="L1571" s="6">
        <f ca="1"/>
        <v>-78.333333333333485</v>
      </c>
      <c r="M1571" s="6">
        <f ca="1"/>
        <v>19.16666666666697</v>
      </c>
      <c r="N1571" s="6">
        <f ca="1"/>
        <v>-0.20833333333333215</v>
      </c>
      <c r="O1571" s="6">
        <f t="shared" ca="1" si="227"/>
        <v>58.333333333331552</v>
      </c>
      <c r="P1571" t="str">
        <f t="shared" si="228"/>
        <v>NA</v>
      </c>
      <c r="Q1571" s="10">
        <f t="shared" ca="1" si="229"/>
        <v>40.833333333331467</v>
      </c>
      <c r="R1571" s="10">
        <f t="shared" ca="1" si="230"/>
        <v>172.91666666666424</v>
      </c>
      <c r="S1571" s="10">
        <f t="shared" ca="1" si="231"/>
        <v>-132.08333333333277</v>
      </c>
      <c r="T1571" s="10">
        <f t="shared" ca="1" si="232"/>
        <v>634.00000000000091</v>
      </c>
      <c r="U1571" s="10">
        <f t="shared" ca="1" si="233"/>
        <v>634.00000000000091</v>
      </c>
      <c r="V1571">
        <f t="shared" si="234"/>
        <v>1</v>
      </c>
    </row>
    <row r="1572" spans="1:22" x14ac:dyDescent="0.25">
      <c r="A1572">
        <v>175</v>
      </c>
      <c r="B1572">
        <v>5</v>
      </c>
      <c r="C1572">
        <v>55</v>
      </c>
      <c r="D1572">
        <v>1</v>
      </c>
      <c r="E1572">
        <v>0</v>
      </c>
      <c r="F1572">
        <v>1</v>
      </c>
      <c r="G1572">
        <v>1</v>
      </c>
      <c r="H1572">
        <v>250</v>
      </c>
      <c r="I1572">
        <f t="shared" si="235"/>
        <v>1566</v>
      </c>
      <c r="J1572" s="6">
        <f t="array" aca="1" ref="J1572:N1572" ca="1">TRANSPOSE(ols(OFFSET($C$2:$C$10,I1572,0),OFFSET($D$2:$H$10,I1572,0)))</f>
        <v>172.91666666666424</v>
      </c>
      <c r="K1572" s="6">
        <f ca="1"/>
        <v>-37.499999999999773</v>
      </c>
      <c r="L1572" s="6">
        <f ca="1"/>
        <v>-78.333333333333485</v>
      </c>
      <c r="M1572" s="6">
        <f ca="1"/>
        <v>19.16666666666697</v>
      </c>
      <c r="N1572" s="6">
        <f ca="1"/>
        <v>-0.20833333333333215</v>
      </c>
      <c r="O1572" s="6">
        <f t="shared" ca="1" si="227"/>
        <v>61.666666666664689</v>
      </c>
      <c r="P1572" t="str">
        <f t="shared" si="228"/>
        <v>NA</v>
      </c>
      <c r="Q1572" s="10">
        <f t="shared" ca="1" si="229"/>
        <v>40.833333333331467</v>
      </c>
      <c r="R1572" s="10">
        <f t="shared" ca="1" si="230"/>
        <v>113.74999999999773</v>
      </c>
      <c r="S1572" s="10">
        <f t="shared" ca="1" si="231"/>
        <v>-72.916666666666259</v>
      </c>
      <c r="T1572" s="10">
        <f t="shared" ca="1" si="232"/>
        <v>350.00000000000006</v>
      </c>
      <c r="U1572" s="10">
        <f t="shared" ca="1" si="233"/>
        <v>350.00000000000006</v>
      </c>
      <c r="V1572">
        <f t="shared" si="234"/>
        <v>6</v>
      </c>
    </row>
    <row r="1573" spans="1:22" x14ac:dyDescent="0.25">
      <c r="A1573">
        <v>175</v>
      </c>
      <c r="B1573">
        <v>6</v>
      </c>
      <c r="C1573">
        <v>40</v>
      </c>
      <c r="D1573">
        <v>1</v>
      </c>
      <c r="E1573">
        <v>0</v>
      </c>
      <c r="F1573">
        <v>1</v>
      </c>
      <c r="G1573">
        <v>1</v>
      </c>
      <c r="H1573">
        <v>350</v>
      </c>
      <c r="I1573">
        <f t="shared" si="235"/>
        <v>1566</v>
      </c>
      <c r="J1573" s="6">
        <f t="array" aca="1" ref="J1573:N1573" ca="1">TRANSPOSE(ols(OFFSET($C$2:$C$10,I1573,0),OFFSET($D$2:$H$10,I1573,0)))</f>
        <v>172.91666666666424</v>
      </c>
      <c r="K1573" s="6">
        <f ca="1"/>
        <v>-37.499999999999773</v>
      </c>
      <c r="L1573" s="6">
        <f ca="1"/>
        <v>-78.333333333333485</v>
      </c>
      <c r="M1573" s="6">
        <f ca="1"/>
        <v>19.16666666666697</v>
      </c>
      <c r="N1573" s="6">
        <f ca="1"/>
        <v>-0.20833333333333215</v>
      </c>
      <c r="O1573" s="6">
        <f t="shared" ca="1" si="227"/>
        <v>40.833333333331467</v>
      </c>
      <c r="P1573">
        <f t="shared" ca="1" si="228"/>
        <v>40.833333333331467</v>
      </c>
      <c r="Q1573" s="10">
        <f t="shared" ca="1" si="229"/>
        <v>40.833333333331467</v>
      </c>
      <c r="R1573" s="10">
        <f t="shared" ca="1" si="230"/>
        <v>113.74999999999773</v>
      </c>
      <c r="S1573" s="10">
        <f t="shared" ca="1" si="231"/>
        <v>-72.916666666666259</v>
      </c>
      <c r="T1573" s="10">
        <f t="shared" ca="1" si="232"/>
        <v>350.00000000000006</v>
      </c>
      <c r="U1573" s="10">
        <f t="shared" ca="1" si="233"/>
        <v>350.00000000000006</v>
      </c>
      <c r="V1573">
        <f t="shared" si="234"/>
        <v>6</v>
      </c>
    </row>
    <row r="1574" spans="1:22" x14ac:dyDescent="0.25">
      <c r="A1574">
        <v>175</v>
      </c>
      <c r="B1574">
        <v>7</v>
      </c>
      <c r="C1574">
        <v>60</v>
      </c>
      <c r="D1574">
        <v>1</v>
      </c>
      <c r="E1574">
        <v>1</v>
      </c>
      <c r="F1574">
        <v>0</v>
      </c>
      <c r="G1574">
        <v>1</v>
      </c>
      <c r="H1574">
        <v>450</v>
      </c>
      <c r="I1574">
        <f t="shared" si="235"/>
        <v>1566</v>
      </c>
      <c r="J1574" s="6">
        <f t="array" aca="1" ref="J1574:N1574" ca="1">TRANSPOSE(ols(OFFSET($C$2:$C$10,I1574,0),OFFSET($D$2:$H$10,I1574,0)))</f>
        <v>172.91666666666424</v>
      </c>
      <c r="K1574" s="6">
        <f ca="1"/>
        <v>-37.499999999999773</v>
      </c>
      <c r="L1574" s="6">
        <f ca="1"/>
        <v>-78.333333333333485</v>
      </c>
      <c r="M1574" s="6">
        <f ca="1"/>
        <v>19.16666666666697</v>
      </c>
      <c r="N1574" s="6">
        <f ca="1"/>
        <v>-0.20833333333333215</v>
      </c>
      <c r="O1574" s="6">
        <f t="shared" ca="1" si="227"/>
        <v>60.833333333331979</v>
      </c>
      <c r="P1574" t="str">
        <f t="shared" si="228"/>
        <v>NA</v>
      </c>
      <c r="Q1574" s="10">
        <f t="shared" ca="1" si="229"/>
        <v>40.833333333331467</v>
      </c>
      <c r="R1574" s="10">
        <f t="shared" ca="1" si="230"/>
        <v>154.58333333333144</v>
      </c>
      <c r="S1574" s="10">
        <f t="shared" ca="1" si="231"/>
        <v>-113.74999999999997</v>
      </c>
      <c r="T1574" s="10">
        <f t="shared" ca="1" si="232"/>
        <v>546.00000000000296</v>
      </c>
      <c r="U1574" s="10">
        <f t="shared" ca="1" si="233"/>
        <v>546.00000000000296</v>
      </c>
      <c r="V1574">
        <f t="shared" si="234"/>
        <v>5</v>
      </c>
    </row>
    <row r="1575" spans="1:22" x14ac:dyDescent="0.25">
      <c r="A1575">
        <v>175</v>
      </c>
      <c r="B1575">
        <v>8</v>
      </c>
      <c r="C1575">
        <v>40</v>
      </c>
      <c r="D1575">
        <v>1</v>
      </c>
      <c r="E1575">
        <v>1</v>
      </c>
      <c r="F1575">
        <v>0</v>
      </c>
      <c r="G1575">
        <v>1</v>
      </c>
      <c r="H1575">
        <v>550</v>
      </c>
      <c r="I1575">
        <f t="shared" si="235"/>
        <v>1566</v>
      </c>
      <c r="J1575" s="6">
        <f t="array" aca="1" ref="J1575:N1575" ca="1">TRANSPOSE(ols(OFFSET($C$2:$C$10,I1575,0),OFFSET($D$2:$H$10,I1575,0)))</f>
        <v>172.91666666666424</v>
      </c>
      <c r="K1575" s="6">
        <f ca="1"/>
        <v>-37.499999999999773</v>
      </c>
      <c r="L1575" s="6">
        <f ca="1"/>
        <v>-78.333333333333485</v>
      </c>
      <c r="M1575" s="6">
        <f ca="1"/>
        <v>19.16666666666697</v>
      </c>
      <c r="N1575" s="6">
        <f ca="1"/>
        <v>-0.20833333333333215</v>
      </c>
      <c r="O1575" s="6">
        <f t="shared" ca="1" si="227"/>
        <v>39.999999999998749</v>
      </c>
      <c r="P1575" t="str">
        <f t="shared" si="228"/>
        <v>NA</v>
      </c>
      <c r="Q1575" s="10">
        <f t="shared" ca="1" si="229"/>
        <v>40.833333333331467</v>
      </c>
      <c r="R1575" s="10">
        <f t="shared" ca="1" si="230"/>
        <v>154.58333333333144</v>
      </c>
      <c r="S1575" s="10">
        <f t="shared" ca="1" si="231"/>
        <v>-113.74999999999997</v>
      </c>
      <c r="T1575" s="10">
        <f t="shared" ca="1" si="232"/>
        <v>546.00000000000296</v>
      </c>
      <c r="U1575" s="10">
        <f t="shared" ca="1" si="233"/>
        <v>546.00000000000296</v>
      </c>
      <c r="V1575">
        <f t="shared" si="234"/>
        <v>5</v>
      </c>
    </row>
    <row r="1576" spans="1:22" x14ac:dyDescent="0.25">
      <c r="A1576">
        <v>175</v>
      </c>
      <c r="B1576">
        <v>9</v>
      </c>
      <c r="C1576">
        <v>65</v>
      </c>
      <c r="D1576">
        <v>1</v>
      </c>
      <c r="E1576">
        <v>0</v>
      </c>
      <c r="F1576">
        <v>0</v>
      </c>
      <c r="G1576">
        <v>1</v>
      </c>
      <c r="H1576">
        <v>650</v>
      </c>
      <c r="I1576">
        <f t="shared" si="235"/>
        <v>1566</v>
      </c>
      <c r="J1576" s="6">
        <f t="array" aca="1" ref="J1576:N1576" ca="1">TRANSPOSE(ols(OFFSET($C$2:$C$10,I1576,0),OFFSET($D$2:$H$10,I1576,0)))</f>
        <v>172.91666666666424</v>
      </c>
      <c r="K1576" s="6">
        <f ca="1"/>
        <v>-37.499999999999773</v>
      </c>
      <c r="L1576" s="6">
        <f ca="1"/>
        <v>-78.333333333333485</v>
      </c>
      <c r="M1576" s="6">
        <f ca="1"/>
        <v>19.16666666666697</v>
      </c>
      <c r="N1576" s="6">
        <f ca="1"/>
        <v>-0.20833333333333215</v>
      </c>
      <c r="O1576" s="6">
        <f t="shared" ca="1" si="227"/>
        <v>56.666666666665321</v>
      </c>
      <c r="P1576" t="str">
        <f t="shared" si="228"/>
        <v>NA</v>
      </c>
      <c r="Q1576" s="10">
        <f t="shared" ca="1" si="229"/>
        <v>40.833333333331467</v>
      </c>
      <c r="R1576" s="10">
        <f t="shared" ca="1" si="230"/>
        <v>192.08333333333121</v>
      </c>
      <c r="S1576" s="10">
        <f t="shared" ca="1" si="231"/>
        <v>-151.24999999999974</v>
      </c>
      <c r="T1576" s="10">
        <f t="shared" ca="1" si="232"/>
        <v>726.00000000000296</v>
      </c>
      <c r="U1576" s="10" t="str">
        <f t="shared" ca="1" si="233"/>
        <v>OR</v>
      </c>
      <c r="V1576">
        <f t="shared" si="234"/>
        <v>4</v>
      </c>
    </row>
    <row r="1577" spans="1:22" x14ac:dyDescent="0.25">
      <c r="A1577">
        <v>176</v>
      </c>
      <c r="B1577">
        <v>1</v>
      </c>
      <c r="C1577">
        <v>20</v>
      </c>
      <c r="D1577">
        <v>1</v>
      </c>
      <c r="E1577">
        <v>0</v>
      </c>
      <c r="F1577">
        <v>1</v>
      </c>
      <c r="G1577">
        <v>0</v>
      </c>
      <c r="H1577">
        <v>250</v>
      </c>
      <c r="I1577">
        <f t="shared" si="235"/>
        <v>1575</v>
      </c>
      <c r="J1577" s="6">
        <f t="array" aca="1" ref="J1577:N1577" ca="1">TRANSPOSE(ols(OFFSET($C$2:$C$10,I1577,0),OFFSET($D$2:$H$10,I1577,0)))</f>
        <v>115.476190476189</v>
      </c>
      <c r="K1577" s="6">
        <f ca="1"/>
        <v>-18.214285714285779</v>
      </c>
      <c r="L1577" s="6">
        <f ca="1"/>
        <v>-74.523809523810996</v>
      </c>
      <c r="M1577" s="6">
        <f ca="1"/>
        <v>14.761904761905271</v>
      </c>
      <c r="N1577" s="6">
        <f ca="1"/>
        <v>-3.8095238095241513E-2</v>
      </c>
      <c r="O1577" s="6">
        <f t="shared" ca="1" si="227"/>
        <v>31.428571428567629</v>
      </c>
      <c r="P1577" t="str">
        <f t="shared" si="228"/>
        <v>NA</v>
      </c>
      <c r="Q1577" s="10">
        <f t="shared" ca="1" si="229"/>
        <v>42.380952380948749</v>
      </c>
      <c r="R1577" s="10">
        <f t="shared" ca="1" si="230"/>
        <v>40.952380952378007</v>
      </c>
      <c r="S1577" s="10">
        <f t="shared" ca="1" si="231"/>
        <v>1.4285714285707414</v>
      </c>
      <c r="T1577" s="10">
        <f t="shared" ca="1" si="232"/>
        <v>-37.499999999978598</v>
      </c>
      <c r="U1577" s="10" t="str">
        <f t="shared" ca="1" si="233"/>
        <v>OR</v>
      </c>
      <c r="V1577">
        <f t="shared" si="234"/>
        <v>3</v>
      </c>
    </row>
    <row r="1578" spans="1:22" x14ac:dyDescent="0.25">
      <c r="A1578">
        <v>176</v>
      </c>
      <c r="B1578">
        <v>2</v>
      </c>
      <c r="C1578">
        <v>85</v>
      </c>
      <c r="D1578">
        <v>1</v>
      </c>
      <c r="E1578">
        <v>1</v>
      </c>
      <c r="F1578">
        <v>0</v>
      </c>
      <c r="G1578">
        <v>0</v>
      </c>
      <c r="H1578">
        <v>350</v>
      </c>
      <c r="I1578">
        <f t="shared" si="235"/>
        <v>1575</v>
      </c>
      <c r="J1578" s="6">
        <f t="array" aca="1" ref="J1578:N1578" ca="1">TRANSPOSE(ols(OFFSET($C$2:$C$10,I1578,0),OFFSET($D$2:$H$10,I1578,0)))</f>
        <v>115.476190476189</v>
      </c>
      <c r="K1578" s="6">
        <f ca="1"/>
        <v>-18.214285714285779</v>
      </c>
      <c r="L1578" s="6">
        <f ca="1"/>
        <v>-74.523809523810996</v>
      </c>
      <c r="M1578" s="6">
        <f ca="1"/>
        <v>14.761904761905271</v>
      </c>
      <c r="N1578" s="6">
        <f ca="1"/>
        <v>-3.8095238095241513E-2</v>
      </c>
      <c r="O1578" s="6">
        <f t="shared" ca="1" si="227"/>
        <v>83.928571428568688</v>
      </c>
      <c r="P1578" t="str">
        <f t="shared" si="228"/>
        <v>NA</v>
      </c>
      <c r="Q1578" s="10">
        <f t="shared" ca="1" si="229"/>
        <v>42.380952380948749</v>
      </c>
      <c r="R1578" s="10">
        <f t="shared" ca="1" si="230"/>
        <v>97.261904761903224</v>
      </c>
      <c r="S1578" s="10">
        <f t="shared" ca="1" si="231"/>
        <v>-54.880952380954476</v>
      </c>
      <c r="T1578" s="10">
        <f t="shared" ca="1" si="232"/>
        <v>1440.6249999999256</v>
      </c>
      <c r="U1578" s="10" t="str">
        <f t="shared" ca="1" si="233"/>
        <v>OR</v>
      </c>
      <c r="V1578">
        <f t="shared" si="234"/>
        <v>2</v>
      </c>
    </row>
    <row r="1579" spans="1:22" x14ac:dyDescent="0.25">
      <c r="A1579">
        <v>176</v>
      </c>
      <c r="B1579">
        <v>3</v>
      </c>
      <c r="C1579">
        <v>85</v>
      </c>
      <c r="D1579">
        <v>1</v>
      </c>
      <c r="E1579">
        <v>1</v>
      </c>
      <c r="F1579">
        <v>0</v>
      </c>
      <c r="G1579">
        <v>0</v>
      </c>
      <c r="H1579">
        <v>450</v>
      </c>
      <c r="I1579">
        <f t="shared" si="235"/>
        <v>1575</v>
      </c>
      <c r="J1579" s="6">
        <f t="array" aca="1" ref="J1579:N1579" ca="1">TRANSPOSE(ols(OFFSET($C$2:$C$10,I1579,0),OFFSET($D$2:$H$10,I1579,0)))</f>
        <v>115.476190476189</v>
      </c>
      <c r="K1579" s="6">
        <f ca="1"/>
        <v>-18.214285714285779</v>
      </c>
      <c r="L1579" s="6">
        <f ca="1"/>
        <v>-74.523809523810996</v>
      </c>
      <c r="M1579" s="6">
        <f ca="1"/>
        <v>14.761904761905271</v>
      </c>
      <c r="N1579" s="6">
        <f ca="1"/>
        <v>-3.8095238095241513E-2</v>
      </c>
      <c r="O1579" s="6">
        <f t="shared" ca="1" si="227"/>
        <v>80.119047619044551</v>
      </c>
      <c r="P1579" t="str">
        <f t="shared" si="228"/>
        <v>NA</v>
      </c>
      <c r="Q1579" s="10">
        <f t="shared" ca="1" si="229"/>
        <v>42.380952380948749</v>
      </c>
      <c r="R1579" s="10">
        <f t="shared" ca="1" si="230"/>
        <v>97.261904761903224</v>
      </c>
      <c r="S1579" s="10">
        <f t="shared" ca="1" si="231"/>
        <v>-54.880952380954476</v>
      </c>
      <c r="T1579" s="10">
        <f t="shared" ca="1" si="232"/>
        <v>1440.6249999999256</v>
      </c>
      <c r="U1579" s="10" t="str">
        <f t="shared" ca="1" si="233"/>
        <v>OR</v>
      </c>
      <c r="V1579">
        <f t="shared" si="234"/>
        <v>2</v>
      </c>
    </row>
    <row r="1580" spans="1:22" x14ac:dyDescent="0.25">
      <c r="A1580">
        <v>176</v>
      </c>
      <c r="B1580">
        <v>4</v>
      </c>
      <c r="C1580">
        <v>100</v>
      </c>
      <c r="D1580">
        <v>1</v>
      </c>
      <c r="E1580">
        <v>0</v>
      </c>
      <c r="F1580">
        <v>0</v>
      </c>
      <c r="G1580">
        <v>0</v>
      </c>
      <c r="H1580">
        <v>550</v>
      </c>
      <c r="I1580">
        <f t="shared" si="235"/>
        <v>1575</v>
      </c>
      <c r="J1580" s="6">
        <f t="array" aca="1" ref="J1580:N1580" ca="1">TRANSPOSE(ols(OFFSET($C$2:$C$10,I1580,0),OFFSET($D$2:$H$10,I1580,0)))</f>
        <v>115.476190476189</v>
      </c>
      <c r="K1580" s="6">
        <f ca="1"/>
        <v>-18.214285714285779</v>
      </c>
      <c r="L1580" s="6">
        <f ca="1"/>
        <v>-74.523809523810996</v>
      </c>
      <c r="M1580" s="6">
        <f ca="1"/>
        <v>14.761904761905271</v>
      </c>
      <c r="N1580" s="6">
        <f ca="1"/>
        <v>-3.8095238095241513E-2</v>
      </c>
      <c r="O1580" s="6">
        <f t="shared" ca="1" si="227"/>
        <v>94.523809523806165</v>
      </c>
      <c r="P1580" t="str">
        <f t="shared" si="228"/>
        <v>NA</v>
      </c>
      <c r="Q1580" s="10">
        <f t="shared" ca="1" si="229"/>
        <v>42.380952380948749</v>
      </c>
      <c r="R1580" s="10">
        <f t="shared" ca="1" si="230"/>
        <v>115.476190476189</v>
      </c>
      <c r="S1580" s="10">
        <f t="shared" ca="1" si="231"/>
        <v>-73.095238095240262</v>
      </c>
      <c r="T1580" s="10">
        <f t="shared" ca="1" si="232"/>
        <v>1918.7499999998847</v>
      </c>
      <c r="U1580" s="10" t="str">
        <f t="shared" ca="1" si="233"/>
        <v>OR</v>
      </c>
      <c r="V1580">
        <f t="shared" si="234"/>
        <v>1</v>
      </c>
    </row>
    <row r="1581" spans="1:22" x14ac:dyDescent="0.25">
      <c r="A1581">
        <v>176</v>
      </c>
      <c r="B1581">
        <v>5</v>
      </c>
      <c r="C1581">
        <v>50</v>
      </c>
      <c r="D1581">
        <v>1</v>
      </c>
      <c r="E1581">
        <v>0</v>
      </c>
      <c r="F1581">
        <v>1</v>
      </c>
      <c r="G1581">
        <v>1</v>
      </c>
      <c r="H1581">
        <v>250</v>
      </c>
      <c r="I1581">
        <f t="shared" si="235"/>
        <v>1575</v>
      </c>
      <c r="J1581" s="6">
        <f t="array" aca="1" ref="J1581:N1581" ca="1">TRANSPOSE(ols(OFFSET($C$2:$C$10,I1581,0),OFFSET($D$2:$H$10,I1581,0)))</f>
        <v>115.476190476189</v>
      </c>
      <c r="K1581" s="6">
        <f ca="1"/>
        <v>-18.214285714285779</v>
      </c>
      <c r="L1581" s="6">
        <f ca="1"/>
        <v>-74.523809523810996</v>
      </c>
      <c r="M1581" s="6">
        <f ca="1"/>
        <v>14.761904761905271</v>
      </c>
      <c r="N1581" s="6">
        <f ca="1"/>
        <v>-3.8095238095241513E-2</v>
      </c>
      <c r="O1581" s="6">
        <f t="shared" ca="1" si="227"/>
        <v>46.1904761904729</v>
      </c>
      <c r="P1581" t="str">
        <f t="shared" si="228"/>
        <v>NA</v>
      </c>
      <c r="Q1581" s="10">
        <f t="shared" ca="1" si="229"/>
        <v>42.380952380948749</v>
      </c>
      <c r="R1581" s="10">
        <f t="shared" ca="1" si="230"/>
        <v>55.714285714283278</v>
      </c>
      <c r="S1581" s="10">
        <f t="shared" ca="1" si="231"/>
        <v>-13.333333333334529</v>
      </c>
      <c r="T1581" s="10">
        <f t="shared" ca="1" si="232"/>
        <v>350</v>
      </c>
      <c r="U1581" s="10">
        <f t="shared" ca="1" si="233"/>
        <v>350</v>
      </c>
      <c r="V1581">
        <f t="shared" si="234"/>
        <v>6</v>
      </c>
    </row>
    <row r="1582" spans="1:22" x14ac:dyDescent="0.25">
      <c r="A1582">
        <v>176</v>
      </c>
      <c r="B1582">
        <v>6</v>
      </c>
      <c r="C1582">
        <v>50</v>
      </c>
      <c r="D1582">
        <v>1</v>
      </c>
      <c r="E1582">
        <v>0</v>
      </c>
      <c r="F1582">
        <v>1</v>
      </c>
      <c r="G1582">
        <v>1</v>
      </c>
      <c r="H1582">
        <v>350</v>
      </c>
      <c r="I1582">
        <f t="shared" si="235"/>
        <v>1575</v>
      </c>
      <c r="J1582" s="6">
        <f t="array" aca="1" ref="J1582:N1582" ca="1">TRANSPOSE(ols(OFFSET($C$2:$C$10,I1582,0),OFFSET($D$2:$H$10,I1582,0)))</f>
        <v>115.476190476189</v>
      </c>
      <c r="K1582" s="6">
        <f ca="1"/>
        <v>-18.214285714285779</v>
      </c>
      <c r="L1582" s="6">
        <f ca="1"/>
        <v>-74.523809523810996</v>
      </c>
      <c r="M1582" s="6">
        <f ca="1"/>
        <v>14.761904761905271</v>
      </c>
      <c r="N1582" s="6">
        <f ca="1"/>
        <v>-3.8095238095241513E-2</v>
      </c>
      <c r="O1582" s="6">
        <f t="shared" ca="1" si="227"/>
        <v>42.380952380948749</v>
      </c>
      <c r="P1582">
        <f t="shared" ca="1" si="228"/>
        <v>42.380952380948749</v>
      </c>
      <c r="Q1582" s="10">
        <f t="shared" ca="1" si="229"/>
        <v>42.380952380948749</v>
      </c>
      <c r="R1582" s="10">
        <f t="shared" ca="1" si="230"/>
        <v>55.714285714283278</v>
      </c>
      <c r="S1582" s="10">
        <f t="shared" ca="1" si="231"/>
        <v>-13.333333333334529</v>
      </c>
      <c r="T1582" s="10">
        <f t="shared" ca="1" si="232"/>
        <v>350</v>
      </c>
      <c r="U1582" s="10">
        <f t="shared" ca="1" si="233"/>
        <v>350</v>
      </c>
      <c r="V1582">
        <f t="shared" si="234"/>
        <v>6</v>
      </c>
    </row>
    <row r="1583" spans="1:22" x14ac:dyDescent="0.25">
      <c r="A1583">
        <v>176</v>
      </c>
      <c r="B1583">
        <v>7</v>
      </c>
      <c r="C1583">
        <v>90</v>
      </c>
      <c r="D1583">
        <v>1</v>
      </c>
      <c r="E1583">
        <v>1</v>
      </c>
      <c r="F1583">
        <v>0</v>
      </c>
      <c r="G1583">
        <v>1</v>
      </c>
      <c r="H1583">
        <v>450</v>
      </c>
      <c r="I1583">
        <f t="shared" si="235"/>
        <v>1575</v>
      </c>
      <c r="J1583" s="6">
        <f t="array" aca="1" ref="J1583:N1583" ca="1">TRANSPOSE(ols(OFFSET($C$2:$C$10,I1583,0),OFFSET($D$2:$H$10,I1583,0)))</f>
        <v>115.476190476189</v>
      </c>
      <c r="K1583" s="6">
        <f ca="1"/>
        <v>-18.214285714285779</v>
      </c>
      <c r="L1583" s="6">
        <f ca="1"/>
        <v>-74.523809523810996</v>
      </c>
      <c r="M1583" s="6">
        <f ca="1"/>
        <v>14.761904761905271</v>
      </c>
      <c r="N1583" s="6">
        <f ca="1"/>
        <v>-3.8095238095241513E-2</v>
      </c>
      <c r="O1583" s="6">
        <f t="shared" ca="1" si="227"/>
        <v>94.880952380949822</v>
      </c>
      <c r="P1583" t="str">
        <f t="shared" si="228"/>
        <v>NA</v>
      </c>
      <c r="Q1583" s="10">
        <f t="shared" ca="1" si="229"/>
        <v>42.380952380948749</v>
      </c>
      <c r="R1583" s="10">
        <f t="shared" ca="1" si="230"/>
        <v>112.0238095238085</v>
      </c>
      <c r="S1583" s="10">
        <f t="shared" ca="1" si="231"/>
        <v>-69.642857142859754</v>
      </c>
      <c r="T1583" s="10">
        <f t="shared" ca="1" si="232"/>
        <v>1828.1249999999045</v>
      </c>
      <c r="U1583" s="10" t="str">
        <f t="shared" ca="1" si="233"/>
        <v>OR</v>
      </c>
      <c r="V1583">
        <f t="shared" si="234"/>
        <v>5</v>
      </c>
    </row>
    <row r="1584" spans="1:22" x14ac:dyDescent="0.25">
      <c r="A1584">
        <v>176</v>
      </c>
      <c r="B1584">
        <v>8</v>
      </c>
      <c r="C1584">
        <v>90</v>
      </c>
      <c r="D1584">
        <v>1</v>
      </c>
      <c r="E1584">
        <v>1</v>
      </c>
      <c r="F1584">
        <v>0</v>
      </c>
      <c r="G1584">
        <v>1</v>
      </c>
      <c r="H1584">
        <v>550</v>
      </c>
      <c r="I1584">
        <f t="shared" si="235"/>
        <v>1575</v>
      </c>
      <c r="J1584" s="6">
        <f t="array" aca="1" ref="J1584:N1584" ca="1">TRANSPOSE(ols(OFFSET($C$2:$C$10,I1584,0),OFFSET($D$2:$H$10,I1584,0)))</f>
        <v>115.476190476189</v>
      </c>
      <c r="K1584" s="6">
        <f ca="1"/>
        <v>-18.214285714285779</v>
      </c>
      <c r="L1584" s="6">
        <f ca="1"/>
        <v>-74.523809523810996</v>
      </c>
      <c r="M1584" s="6">
        <f ca="1"/>
        <v>14.761904761905271</v>
      </c>
      <c r="N1584" s="6">
        <f ca="1"/>
        <v>-3.8095238095241513E-2</v>
      </c>
      <c r="O1584" s="6">
        <f t="shared" ca="1" si="227"/>
        <v>91.071428571425656</v>
      </c>
      <c r="P1584" t="str">
        <f t="shared" si="228"/>
        <v>NA</v>
      </c>
      <c r="Q1584" s="10">
        <f t="shared" ca="1" si="229"/>
        <v>42.380952380948749</v>
      </c>
      <c r="R1584" s="10">
        <f t="shared" ca="1" si="230"/>
        <v>112.0238095238085</v>
      </c>
      <c r="S1584" s="10">
        <f t="shared" ca="1" si="231"/>
        <v>-69.642857142859754</v>
      </c>
      <c r="T1584" s="10">
        <f t="shared" ca="1" si="232"/>
        <v>1828.1249999999045</v>
      </c>
      <c r="U1584" s="10" t="str">
        <f t="shared" ca="1" si="233"/>
        <v>OR</v>
      </c>
      <c r="V1584">
        <f t="shared" si="234"/>
        <v>5</v>
      </c>
    </row>
    <row r="1585" spans="1:22" x14ac:dyDescent="0.25">
      <c r="A1585">
        <v>176</v>
      </c>
      <c r="B1585">
        <v>9</v>
      </c>
      <c r="C1585">
        <v>100</v>
      </c>
      <c r="D1585">
        <v>1</v>
      </c>
      <c r="E1585">
        <v>0</v>
      </c>
      <c r="F1585">
        <v>0</v>
      </c>
      <c r="G1585">
        <v>1</v>
      </c>
      <c r="H1585">
        <v>650</v>
      </c>
      <c r="I1585">
        <f t="shared" si="235"/>
        <v>1575</v>
      </c>
      <c r="J1585" s="6">
        <f t="array" aca="1" ref="J1585:N1585" ca="1">TRANSPOSE(ols(OFFSET($C$2:$C$10,I1585,0),OFFSET($D$2:$H$10,I1585,0)))</f>
        <v>115.476190476189</v>
      </c>
      <c r="K1585" s="6">
        <f ca="1"/>
        <v>-18.214285714285779</v>
      </c>
      <c r="L1585" s="6">
        <f ca="1"/>
        <v>-74.523809523810996</v>
      </c>
      <c r="M1585" s="6">
        <f ca="1"/>
        <v>14.761904761905271</v>
      </c>
      <c r="N1585" s="6">
        <f ca="1"/>
        <v>-3.8095238095241513E-2</v>
      </c>
      <c r="O1585" s="6">
        <f t="shared" ca="1" si="227"/>
        <v>105.4761904761873</v>
      </c>
      <c r="P1585" t="str">
        <f t="shared" si="228"/>
        <v>NA</v>
      </c>
      <c r="Q1585" s="10">
        <f t="shared" ca="1" si="229"/>
        <v>42.380952380948749</v>
      </c>
      <c r="R1585" s="10">
        <f t="shared" ca="1" si="230"/>
        <v>130.23809523809427</v>
      </c>
      <c r="S1585" s="10">
        <f t="shared" ca="1" si="231"/>
        <v>-87.857142857145533</v>
      </c>
      <c r="T1585" s="10">
        <f t="shared" ca="1" si="232"/>
        <v>2306.2499999998636</v>
      </c>
      <c r="U1585" s="10" t="str">
        <f t="shared" ca="1" si="233"/>
        <v>OR</v>
      </c>
      <c r="V1585">
        <f t="shared" si="234"/>
        <v>4</v>
      </c>
    </row>
    <row r="1586" spans="1:22" x14ac:dyDescent="0.25">
      <c r="A1586">
        <v>177</v>
      </c>
      <c r="B1586">
        <v>1</v>
      </c>
      <c r="C1586">
        <v>10</v>
      </c>
      <c r="D1586">
        <v>1</v>
      </c>
      <c r="E1586">
        <v>0</v>
      </c>
      <c r="F1586">
        <v>1</v>
      </c>
      <c r="G1586">
        <v>0</v>
      </c>
      <c r="H1586">
        <v>250</v>
      </c>
      <c r="I1586">
        <f t="shared" si="235"/>
        <v>1584</v>
      </c>
      <c r="J1586" s="6">
        <f t="array" aca="1" ref="J1586:N1586" ca="1">TRANSPOSE(ols(OFFSET($C$2:$C$10,I1586,0),OFFSET($D$2:$H$10,I1586,0)))</f>
        <v>124.6726190476179</v>
      </c>
      <c r="K1586" s="6">
        <f ca="1"/>
        <v>-23.571428571428214</v>
      </c>
      <c r="L1586" s="6">
        <f ca="1"/>
        <v>-65.952380952380281</v>
      </c>
      <c r="M1586" s="6">
        <f ca="1"/>
        <v>4.2261904761904816</v>
      </c>
      <c r="N1586" s="6">
        <f ca="1"/>
        <v>-0.16130952380952301</v>
      </c>
      <c r="O1586" s="6">
        <f t="shared" ca="1" si="227"/>
        <v>18.392857142856869</v>
      </c>
      <c r="P1586" t="str">
        <f t="shared" si="228"/>
        <v>NA</v>
      </c>
      <c r="Q1586" s="10">
        <f t="shared" ca="1" si="229"/>
        <v>6.4880952380950419</v>
      </c>
      <c r="R1586" s="10">
        <f t="shared" ca="1" si="230"/>
        <v>58.720238095237619</v>
      </c>
      <c r="S1586" s="10">
        <f t="shared" ca="1" si="231"/>
        <v>-52.232142857142577</v>
      </c>
      <c r="T1586" s="10">
        <f t="shared" ca="1" si="232"/>
        <v>323.80073800737995</v>
      </c>
      <c r="U1586" s="10">
        <f t="shared" ca="1" si="233"/>
        <v>323.80073800737995</v>
      </c>
      <c r="V1586">
        <f t="shared" si="234"/>
        <v>3</v>
      </c>
    </row>
    <row r="1587" spans="1:22" x14ac:dyDescent="0.25">
      <c r="A1587">
        <v>177</v>
      </c>
      <c r="B1587">
        <v>2</v>
      </c>
      <c r="C1587">
        <v>40</v>
      </c>
      <c r="D1587">
        <v>1</v>
      </c>
      <c r="E1587">
        <v>1</v>
      </c>
      <c r="F1587">
        <v>0</v>
      </c>
      <c r="G1587">
        <v>0</v>
      </c>
      <c r="H1587">
        <v>350</v>
      </c>
      <c r="I1587">
        <f t="shared" si="235"/>
        <v>1584</v>
      </c>
      <c r="J1587" s="6">
        <f t="array" aca="1" ref="J1587:N1587" ca="1">TRANSPOSE(ols(OFFSET($C$2:$C$10,I1587,0),OFFSET($D$2:$H$10,I1587,0)))</f>
        <v>124.6726190476179</v>
      </c>
      <c r="K1587" s="6">
        <f ca="1"/>
        <v>-23.571428571428214</v>
      </c>
      <c r="L1587" s="6">
        <f ca="1"/>
        <v>-65.952380952380281</v>
      </c>
      <c r="M1587" s="6">
        <f ca="1"/>
        <v>4.2261904761904816</v>
      </c>
      <c r="N1587" s="6">
        <f ca="1"/>
        <v>-0.16130952380952301</v>
      </c>
      <c r="O1587" s="6">
        <f t="shared" ca="1" si="227"/>
        <v>44.642857142856627</v>
      </c>
      <c r="P1587" t="str">
        <f t="shared" si="228"/>
        <v>NA</v>
      </c>
      <c r="Q1587" s="10">
        <f t="shared" ca="1" si="229"/>
        <v>6.4880952380950419</v>
      </c>
      <c r="R1587" s="10">
        <f t="shared" ca="1" si="230"/>
        <v>101.10119047618969</v>
      </c>
      <c r="S1587" s="10">
        <f t="shared" ca="1" si="231"/>
        <v>-94.613095238094644</v>
      </c>
      <c r="T1587" s="10">
        <f t="shared" ca="1" si="232"/>
        <v>586.53136531365237</v>
      </c>
      <c r="U1587" s="10">
        <f t="shared" ca="1" si="233"/>
        <v>586.53136531365237</v>
      </c>
      <c r="V1587">
        <f t="shared" si="234"/>
        <v>2</v>
      </c>
    </row>
    <row r="1588" spans="1:22" x14ac:dyDescent="0.25">
      <c r="A1588">
        <v>177</v>
      </c>
      <c r="B1588">
        <v>3</v>
      </c>
      <c r="C1588">
        <v>27.5</v>
      </c>
      <c r="D1588">
        <v>1</v>
      </c>
      <c r="E1588">
        <v>1</v>
      </c>
      <c r="F1588">
        <v>0</v>
      </c>
      <c r="G1588">
        <v>0</v>
      </c>
      <c r="H1588">
        <v>450</v>
      </c>
      <c r="I1588">
        <f t="shared" si="235"/>
        <v>1584</v>
      </c>
      <c r="J1588" s="6">
        <f t="array" aca="1" ref="J1588:N1588" ca="1">TRANSPOSE(ols(OFFSET($C$2:$C$10,I1588,0),OFFSET($D$2:$H$10,I1588,0)))</f>
        <v>124.6726190476179</v>
      </c>
      <c r="K1588" s="6">
        <f ca="1"/>
        <v>-23.571428571428214</v>
      </c>
      <c r="L1588" s="6">
        <f ca="1"/>
        <v>-65.952380952380281</v>
      </c>
      <c r="M1588" s="6">
        <f ca="1"/>
        <v>4.2261904761904816</v>
      </c>
      <c r="N1588" s="6">
        <f ca="1"/>
        <v>-0.16130952380952301</v>
      </c>
      <c r="O1588" s="6">
        <f t="shared" ca="1" si="227"/>
        <v>28.511904761904333</v>
      </c>
      <c r="P1588" t="str">
        <f t="shared" si="228"/>
        <v>NA</v>
      </c>
      <c r="Q1588" s="10">
        <f t="shared" ca="1" si="229"/>
        <v>6.4880952380950419</v>
      </c>
      <c r="R1588" s="10">
        <f t="shared" ca="1" si="230"/>
        <v>101.10119047618969</v>
      </c>
      <c r="S1588" s="10">
        <f t="shared" ca="1" si="231"/>
        <v>-94.613095238094644</v>
      </c>
      <c r="T1588" s="10">
        <f t="shared" ca="1" si="232"/>
        <v>586.53136531365237</v>
      </c>
      <c r="U1588" s="10">
        <f t="shared" ca="1" si="233"/>
        <v>586.53136531365237</v>
      </c>
      <c r="V1588">
        <f t="shared" si="234"/>
        <v>2</v>
      </c>
    </row>
    <row r="1589" spans="1:22" x14ac:dyDescent="0.25">
      <c r="A1589">
        <v>177</v>
      </c>
      <c r="B1589">
        <v>4</v>
      </c>
      <c r="C1589">
        <v>50</v>
      </c>
      <c r="D1589">
        <v>1</v>
      </c>
      <c r="E1589">
        <v>0</v>
      </c>
      <c r="F1589">
        <v>0</v>
      </c>
      <c r="G1589">
        <v>0</v>
      </c>
      <c r="H1589">
        <v>550</v>
      </c>
      <c r="I1589">
        <f t="shared" si="235"/>
        <v>1584</v>
      </c>
      <c r="J1589" s="6">
        <f t="array" aca="1" ref="J1589:N1589" ca="1">TRANSPOSE(ols(OFFSET($C$2:$C$10,I1589,0),OFFSET($D$2:$H$10,I1589,0)))</f>
        <v>124.6726190476179</v>
      </c>
      <c r="K1589" s="6">
        <f ca="1"/>
        <v>-23.571428571428214</v>
      </c>
      <c r="L1589" s="6">
        <f ca="1"/>
        <v>-65.952380952380281</v>
      </c>
      <c r="M1589" s="6">
        <f ca="1"/>
        <v>4.2261904761904816</v>
      </c>
      <c r="N1589" s="6">
        <f ca="1"/>
        <v>-0.16130952380952301</v>
      </c>
      <c r="O1589" s="6">
        <f t="shared" ca="1" si="227"/>
        <v>35.952380952380238</v>
      </c>
      <c r="P1589" t="str">
        <f t="shared" si="228"/>
        <v>NA</v>
      </c>
      <c r="Q1589" s="10">
        <f t="shared" ca="1" si="229"/>
        <v>6.4880952380950419</v>
      </c>
      <c r="R1589" s="10">
        <f t="shared" ca="1" si="230"/>
        <v>124.6726190476179</v>
      </c>
      <c r="S1589" s="10">
        <f t="shared" ca="1" si="231"/>
        <v>-118.18452380952286</v>
      </c>
      <c r="T1589" s="10">
        <f t="shared" ca="1" si="232"/>
        <v>732.65682656826334</v>
      </c>
      <c r="U1589" s="10" t="str">
        <f t="shared" ca="1" si="233"/>
        <v>OR</v>
      </c>
      <c r="V1589">
        <f t="shared" si="234"/>
        <v>1</v>
      </c>
    </row>
    <row r="1590" spans="1:22" x14ac:dyDescent="0.25">
      <c r="A1590">
        <v>177</v>
      </c>
      <c r="B1590">
        <v>5</v>
      </c>
      <c r="C1590">
        <v>10</v>
      </c>
      <c r="D1590">
        <v>1</v>
      </c>
      <c r="E1590">
        <v>0</v>
      </c>
      <c r="F1590">
        <v>1</v>
      </c>
      <c r="G1590">
        <v>1</v>
      </c>
      <c r="H1590">
        <v>250</v>
      </c>
      <c r="I1590">
        <f t="shared" si="235"/>
        <v>1584</v>
      </c>
      <c r="J1590" s="6">
        <f t="array" aca="1" ref="J1590:N1590" ca="1">TRANSPOSE(ols(OFFSET($C$2:$C$10,I1590,0),OFFSET($D$2:$H$10,I1590,0)))</f>
        <v>124.6726190476179</v>
      </c>
      <c r="K1590" s="6">
        <f ca="1"/>
        <v>-23.571428571428214</v>
      </c>
      <c r="L1590" s="6">
        <f ca="1"/>
        <v>-65.952380952380281</v>
      </c>
      <c r="M1590" s="6">
        <f ca="1"/>
        <v>4.2261904761904816</v>
      </c>
      <c r="N1590" s="6">
        <f ca="1"/>
        <v>-0.16130952380952301</v>
      </c>
      <c r="O1590" s="6">
        <f t="shared" ca="1" si="227"/>
        <v>22.61904761904735</v>
      </c>
      <c r="P1590" t="str">
        <f t="shared" si="228"/>
        <v>NA</v>
      </c>
      <c r="Q1590" s="10">
        <f t="shared" ca="1" si="229"/>
        <v>6.4880952380950419</v>
      </c>
      <c r="R1590" s="10">
        <f t="shared" ca="1" si="230"/>
        <v>62.9464285714281</v>
      </c>
      <c r="S1590" s="10">
        <f t="shared" ca="1" si="231"/>
        <v>-56.458333333333059</v>
      </c>
      <c r="T1590" s="10">
        <f t="shared" ca="1" si="232"/>
        <v>350</v>
      </c>
      <c r="U1590" s="10">
        <f t="shared" ca="1" si="233"/>
        <v>350</v>
      </c>
      <c r="V1590">
        <f t="shared" si="234"/>
        <v>6</v>
      </c>
    </row>
    <row r="1591" spans="1:22" x14ac:dyDescent="0.25">
      <c r="A1591">
        <v>177</v>
      </c>
      <c r="B1591">
        <v>6</v>
      </c>
      <c r="C1591">
        <v>27.5</v>
      </c>
      <c r="D1591">
        <v>1</v>
      </c>
      <c r="E1591">
        <v>0</v>
      </c>
      <c r="F1591">
        <v>1</v>
      </c>
      <c r="G1591">
        <v>1</v>
      </c>
      <c r="H1591">
        <v>350</v>
      </c>
      <c r="I1591">
        <f t="shared" si="235"/>
        <v>1584</v>
      </c>
      <c r="J1591" s="6">
        <f t="array" aca="1" ref="J1591:N1591" ca="1">TRANSPOSE(ols(OFFSET($C$2:$C$10,I1591,0),OFFSET($D$2:$H$10,I1591,0)))</f>
        <v>124.6726190476179</v>
      </c>
      <c r="K1591" s="6">
        <f ca="1"/>
        <v>-23.571428571428214</v>
      </c>
      <c r="L1591" s="6">
        <f ca="1"/>
        <v>-65.952380952380281</v>
      </c>
      <c r="M1591" s="6">
        <f ca="1"/>
        <v>4.2261904761904816</v>
      </c>
      <c r="N1591" s="6">
        <f ca="1"/>
        <v>-0.16130952380952301</v>
      </c>
      <c r="O1591" s="6">
        <f t="shared" ca="1" si="227"/>
        <v>6.4880952380950419</v>
      </c>
      <c r="P1591">
        <f t="shared" ca="1" si="228"/>
        <v>6.4880952380950419</v>
      </c>
      <c r="Q1591" s="10">
        <f t="shared" ca="1" si="229"/>
        <v>6.4880952380950419</v>
      </c>
      <c r="R1591" s="10">
        <f t="shared" ca="1" si="230"/>
        <v>62.9464285714281</v>
      </c>
      <c r="S1591" s="10">
        <f t="shared" ca="1" si="231"/>
        <v>-56.458333333333059</v>
      </c>
      <c r="T1591" s="10">
        <f t="shared" ca="1" si="232"/>
        <v>350</v>
      </c>
      <c r="U1591" s="10">
        <f t="shared" ca="1" si="233"/>
        <v>350</v>
      </c>
      <c r="V1591">
        <f t="shared" si="234"/>
        <v>6</v>
      </c>
    </row>
    <row r="1592" spans="1:22" x14ac:dyDescent="0.25">
      <c r="A1592">
        <v>177</v>
      </c>
      <c r="B1592">
        <v>7</v>
      </c>
      <c r="C1592">
        <v>50</v>
      </c>
      <c r="D1592">
        <v>1</v>
      </c>
      <c r="E1592">
        <v>1</v>
      </c>
      <c r="F1592">
        <v>0</v>
      </c>
      <c r="G1592">
        <v>1</v>
      </c>
      <c r="H1592">
        <v>450</v>
      </c>
      <c r="I1592">
        <f t="shared" si="235"/>
        <v>1584</v>
      </c>
      <c r="J1592" s="6">
        <f t="array" aca="1" ref="J1592:N1592" ca="1">TRANSPOSE(ols(OFFSET($C$2:$C$10,I1592,0),OFFSET($D$2:$H$10,I1592,0)))</f>
        <v>124.6726190476179</v>
      </c>
      <c r="K1592" s="6">
        <f ca="1"/>
        <v>-23.571428571428214</v>
      </c>
      <c r="L1592" s="6">
        <f ca="1"/>
        <v>-65.952380952380281</v>
      </c>
      <c r="M1592" s="6">
        <f ca="1"/>
        <v>4.2261904761904816</v>
      </c>
      <c r="N1592" s="6">
        <f ca="1"/>
        <v>-0.16130952380952301</v>
      </c>
      <c r="O1592" s="6">
        <f t="shared" ca="1" si="227"/>
        <v>32.738095238094814</v>
      </c>
      <c r="P1592" t="str">
        <f t="shared" si="228"/>
        <v>NA</v>
      </c>
      <c r="Q1592" s="10">
        <f t="shared" ca="1" si="229"/>
        <v>6.4880952380950419</v>
      </c>
      <c r="R1592" s="10">
        <f t="shared" ca="1" si="230"/>
        <v>105.32738095238017</v>
      </c>
      <c r="S1592" s="10">
        <f t="shared" ca="1" si="231"/>
        <v>-98.839285714285126</v>
      </c>
      <c r="T1592" s="10">
        <f t="shared" ca="1" si="232"/>
        <v>612.73062730627248</v>
      </c>
      <c r="U1592" s="10">
        <f t="shared" ca="1" si="233"/>
        <v>612.73062730627248</v>
      </c>
      <c r="V1592">
        <f t="shared" si="234"/>
        <v>5</v>
      </c>
    </row>
    <row r="1593" spans="1:22" x14ac:dyDescent="0.25">
      <c r="A1593">
        <v>177</v>
      </c>
      <c r="B1593">
        <v>8</v>
      </c>
      <c r="C1593">
        <v>5</v>
      </c>
      <c r="D1593">
        <v>1</v>
      </c>
      <c r="E1593">
        <v>1</v>
      </c>
      <c r="F1593">
        <v>0</v>
      </c>
      <c r="G1593">
        <v>1</v>
      </c>
      <c r="H1593">
        <v>550</v>
      </c>
      <c r="I1593">
        <f t="shared" si="235"/>
        <v>1584</v>
      </c>
      <c r="J1593" s="6">
        <f t="array" aca="1" ref="J1593:N1593" ca="1">TRANSPOSE(ols(OFFSET($C$2:$C$10,I1593,0),OFFSET($D$2:$H$10,I1593,0)))</f>
        <v>124.6726190476179</v>
      </c>
      <c r="K1593" s="6">
        <f ca="1"/>
        <v>-23.571428571428214</v>
      </c>
      <c r="L1593" s="6">
        <f ca="1"/>
        <v>-65.952380952380281</v>
      </c>
      <c r="M1593" s="6">
        <f ca="1"/>
        <v>4.2261904761904816</v>
      </c>
      <c r="N1593" s="6">
        <f ca="1"/>
        <v>-0.16130952380952301</v>
      </c>
      <c r="O1593" s="6">
        <f t="shared" ca="1" si="227"/>
        <v>16.607142857142506</v>
      </c>
      <c r="P1593" t="str">
        <f t="shared" si="228"/>
        <v>NA</v>
      </c>
      <c r="Q1593" s="10">
        <f t="shared" ca="1" si="229"/>
        <v>6.4880952380950419</v>
      </c>
      <c r="R1593" s="10">
        <f t="shared" ca="1" si="230"/>
        <v>105.32738095238017</v>
      </c>
      <c r="S1593" s="10">
        <f t="shared" ca="1" si="231"/>
        <v>-98.839285714285126</v>
      </c>
      <c r="T1593" s="10">
        <f t="shared" ca="1" si="232"/>
        <v>612.73062730627248</v>
      </c>
      <c r="U1593" s="10">
        <f t="shared" ca="1" si="233"/>
        <v>612.73062730627248</v>
      </c>
      <c r="V1593">
        <f t="shared" si="234"/>
        <v>5</v>
      </c>
    </row>
    <row r="1594" spans="1:22" x14ac:dyDescent="0.25">
      <c r="A1594">
        <v>177</v>
      </c>
      <c r="B1594">
        <v>9</v>
      </c>
      <c r="C1594">
        <v>10</v>
      </c>
      <c r="D1594">
        <v>1</v>
      </c>
      <c r="E1594">
        <v>0</v>
      </c>
      <c r="F1594">
        <v>0</v>
      </c>
      <c r="G1594">
        <v>1</v>
      </c>
      <c r="H1594">
        <v>650</v>
      </c>
      <c r="I1594">
        <f t="shared" si="235"/>
        <v>1584</v>
      </c>
      <c r="J1594" s="6">
        <f t="array" aca="1" ref="J1594:N1594" ca="1">TRANSPOSE(ols(OFFSET($C$2:$C$10,I1594,0),OFFSET($D$2:$H$10,I1594,0)))</f>
        <v>124.6726190476179</v>
      </c>
      <c r="K1594" s="6">
        <f ca="1"/>
        <v>-23.571428571428214</v>
      </c>
      <c r="L1594" s="6">
        <f ca="1"/>
        <v>-65.952380952380281</v>
      </c>
      <c r="M1594" s="6">
        <f ca="1"/>
        <v>4.2261904761904816</v>
      </c>
      <c r="N1594" s="6">
        <f ca="1"/>
        <v>-0.16130952380952301</v>
      </c>
      <c r="O1594" s="6">
        <f t="shared" ca="1" si="227"/>
        <v>24.047619047618426</v>
      </c>
      <c r="P1594" t="str">
        <f t="shared" si="228"/>
        <v>NA</v>
      </c>
      <c r="Q1594" s="10">
        <f t="shared" ca="1" si="229"/>
        <v>6.4880952380950419</v>
      </c>
      <c r="R1594" s="10">
        <f t="shared" ca="1" si="230"/>
        <v>128.89880952380838</v>
      </c>
      <c r="S1594" s="10">
        <f t="shared" ca="1" si="231"/>
        <v>-122.41071428571334</v>
      </c>
      <c r="T1594" s="10">
        <f t="shared" ca="1" si="232"/>
        <v>758.85608856088345</v>
      </c>
      <c r="U1594" s="10" t="str">
        <f t="shared" ca="1" si="233"/>
        <v>OR</v>
      </c>
      <c r="V1594">
        <f t="shared" si="234"/>
        <v>4</v>
      </c>
    </row>
    <row r="1595" spans="1:22" x14ac:dyDescent="0.25">
      <c r="A1595">
        <v>178</v>
      </c>
      <c r="B1595">
        <v>1</v>
      </c>
      <c r="C1595">
        <v>10</v>
      </c>
      <c r="D1595">
        <v>1</v>
      </c>
      <c r="E1595">
        <v>0</v>
      </c>
      <c r="F1595">
        <v>1</v>
      </c>
      <c r="G1595">
        <v>0</v>
      </c>
      <c r="H1595">
        <v>250</v>
      </c>
      <c r="I1595">
        <f t="shared" si="235"/>
        <v>1593</v>
      </c>
      <c r="J1595" s="6">
        <f t="array" aca="1" ref="J1595:N1595" ca="1">TRANSPOSE(ols(OFFSET($C$2:$C$10,I1595,0),OFFSET($D$2:$H$10,I1595,0)))</f>
        <v>137.26190476190277</v>
      </c>
      <c r="K1595" s="6">
        <f ca="1"/>
        <v>-2.1428571428575651</v>
      </c>
      <c r="L1595" s="6">
        <f ca="1"/>
        <v>-85.238095238094957</v>
      </c>
      <c r="M1595" s="6">
        <f ca="1"/>
        <v>-7.380952380952067</v>
      </c>
      <c r="N1595" s="6">
        <f ca="1"/>
        <v>-0.13095238095238315</v>
      </c>
      <c r="O1595" s="6">
        <f t="shared" ca="1" si="227"/>
        <v>19.285714285712025</v>
      </c>
      <c r="P1595" t="str">
        <f t="shared" si="228"/>
        <v>NA</v>
      </c>
      <c r="Q1595" s="10">
        <f t="shared" ca="1" si="229"/>
        <v>-1.190476190478357</v>
      </c>
      <c r="R1595" s="10">
        <f t="shared" ca="1" si="230"/>
        <v>52.023809523807813</v>
      </c>
      <c r="S1595" s="10">
        <f t="shared" ca="1" si="231"/>
        <v>-53.21428571428617</v>
      </c>
      <c r="T1595" s="10">
        <f t="shared" ca="1" si="232"/>
        <v>406.36363636363302</v>
      </c>
      <c r="U1595" s="10">
        <f t="shared" ca="1" si="233"/>
        <v>406.36363636363302</v>
      </c>
      <c r="V1595">
        <f t="shared" si="234"/>
        <v>3</v>
      </c>
    </row>
    <row r="1596" spans="1:22" x14ac:dyDescent="0.25">
      <c r="A1596">
        <v>178</v>
      </c>
      <c r="B1596">
        <v>2</v>
      </c>
      <c r="C1596">
        <v>90</v>
      </c>
      <c r="D1596">
        <v>1</v>
      </c>
      <c r="E1596">
        <v>1</v>
      </c>
      <c r="F1596">
        <v>0</v>
      </c>
      <c r="G1596">
        <v>0</v>
      </c>
      <c r="H1596">
        <v>350</v>
      </c>
      <c r="I1596">
        <f t="shared" si="235"/>
        <v>1593</v>
      </c>
      <c r="J1596" s="6">
        <f t="array" aca="1" ref="J1596:N1596" ca="1">TRANSPOSE(ols(OFFSET($C$2:$C$10,I1596,0),OFFSET($D$2:$H$10,I1596,0)))</f>
        <v>137.26190476190277</v>
      </c>
      <c r="K1596" s="6">
        <f ca="1"/>
        <v>-2.1428571428575651</v>
      </c>
      <c r="L1596" s="6">
        <f ca="1"/>
        <v>-85.238095238094957</v>
      </c>
      <c r="M1596" s="6">
        <f ca="1"/>
        <v>-7.380952380952067</v>
      </c>
      <c r="N1596" s="6">
        <f ca="1"/>
        <v>-0.13095238095238315</v>
      </c>
      <c r="O1596" s="6">
        <f t="shared" ca="1" si="227"/>
        <v>89.285714285711094</v>
      </c>
      <c r="P1596" t="str">
        <f t="shared" si="228"/>
        <v>NA</v>
      </c>
      <c r="Q1596" s="10">
        <f t="shared" ca="1" si="229"/>
        <v>-1.190476190478357</v>
      </c>
      <c r="R1596" s="10">
        <f t="shared" ca="1" si="230"/>
        <v>135.1190476190452</v>
      </c>
      <c r="S1596" s="10">
        <f t="shared" ca="1" si="231"/>
        <v>-136.30952380952357</v>
      </c>
      <c r="T1596" s="10">
        <f t="shared" ca="1" si="232"/>
        <v>1040.9090909090717</v>
      </c>
      <c r="U1596" s="10" t="str">
        <f t="shared" ca="1" si="233"/>
        <v>OR</v>
      </c>
      <c r="V1596">
        <f t="shared" si="234"/>
        <v>2</v>
      </c>
    </row>
    <row r="1597" spans="1:22" x14ac:dyDescent="0.25">
      <c r="A1597">
        <v>178</v>
      </c>
      <c r="B1597">
        <v>3</v>
      </c>
      <c r="C1597">
        <v>80</v>
      </c>
      <c r="D1597">
        <v>1</v>
      </c>
      <c r="E1597">
        <v>1</v>
      </c>
      <c r="F1597">
        <v>0</v>
      </c>
      <c r="G1597">
        <v>0</v>
      </c>
      <c r="H1597">
        <v>450</v>
      </c>
      <c r="I1597">
        <f t="shared" si="235"/>
        <v>1593</v>
      </c>
      <c r="J1597" s="6">
        <f t="array" aca="1" ref="J1597:N1597" ca="1">TRANSPOSE(ols(OFFSET($C$2:$C$10,I1597,0),OFFSET($D$2:$H$10,I1597,0)))</f>
        <v>137.26190476190277</v>
      </c>
      <c r="K1597" s="6">
        <f ca="1"/>
        <v>-2.1428571428575651</v>
      </c>
      <c r="L1597" s="6">
        <f ca="1"/>
        <v>-85.238095238094957</v>
      </c>
      <c r="M1597" s="6">
        <f ca="1"/>
        <v>-7.380952380952067</v>
      </c>
      <c r="N1597" s="6">
        <f ca="1"/>
        <v>-0.13095238095238315</v>
      </c>
      <c r="O1597" s="6">
        <f t="shared" ca="1" si="227"/>
        <v>76.190476190472793</v>
      </c>
      <c r="P1597" t="str">
        <f t="shared" si="228"/>
        <v>NA</v>
      </c>
      <c r="Q1597" s="10">
        <f t="shared" ca="1" si="229"/>
        <v>-1.190476190478357</v>
      </c>
      <c r="R1597" s="10">
        <f t="shared" ca="1" si="230"/>
        <v>135.1190476190452</v>
      </c>
      <c r="S1597" s="10">
        <f t="shared" ca="1" si="231"/>
        <v>-136.30952380952357</v>
      </c>
      <c r="T1597" s="10">
        <f t="shared" ca="1" si="232"/>
        <v>1040.9090909090717</v>
      </c>
      <c r="U1597" s="10" t="str">
        <f t="shared" ca="1" si="233"/>
        <v>OR</v>
      </c>
      <c r="V1597">
        <f t="shared" si="234"/>
        <v>2</v>
      </c>
    </row>
    <row r="1598" spans="1:22" x14ac:dyDescent="0.25">
      <c r="A1598">
        <v>178</v>
      </c>
      <c r="B1598">
        <v>4</v>
      </c>
      <c r="C1598">
        <v>70</v>
      </c>
      <c r="D1598">
        <v>1</v>
      </c>
      <c r="E1598">
        <v>0</v>
      </c>
      <c r="F1598">
        <v>0</v>
      </c>
      <c r="G1598">
        <v>0</v>
      </c>
      <c r="H1598">
        <v>550</v>
      </c>
      <c r="I1598">
        <f t="shared" si="235"/>
        <v>1593</v>
      </c>
      <c r="J1598" s="6">
        <f t="array" aca="1" ref="J1598:N1598" ca="1">TRANSPOSE(ols(OFFSET($C$2:$C$10,I1598,0),OFFSET($D$2:$H$10,I1598,0)))</f>
        <v>137.26190476190277</v>
      </c>
      <c r="K1598" s="6">
        <f ca="1"/>
        <v>-2.1428571428575651</v>
      </c>
      <c r="L1598" s="6">
        <f ca="1"/>
        <v>-85.238095238094957</v>
      </c>
      <c r="M1598" s="6">
        <f ca="1"/>
        <v>-7.380952380952067</v>
      </c>
      <c r="N1598" s="6">
        <f ca="1"/>
        <v>-0.13095238095238315</v>
      </c>
      <c r="O1598" s="6">
        <f t="shared" ca="1" si="227"/>
        <v>65.238095238092029</v>
      </c>
      <c r="P1598" t="str">
        <f t="shared" si="228"/>
        <v>NA</v>
      </c>
      <c r="Q1598" s="10">
        <f t="shared" ca="1" si="229"/>
        <v>-1.190476190478357</v>
      </c>
      <c r="R1598" s="10">
        <f t="shared" ca="1" si="230"/>
        <v>137.26190476190277</v>
      </c>
      <c r="S1598" s="10">
        <f t="shared" ca="1" si="231"/>
        <v>-138.45238095238113</v>
      </c>
      <c r="T1598" s="10">
        <f t="shared" ca="1" si="232"/>
        <v>1057.2727272727109</v>
      </c>
      <c r="U1598" s="10" t="str">
        <f t="shared" ca="1" si="233"/>
        <v>OR</v>
      </c>
      <c r="V1598">
        <f t="shared" si="234"/>
        <v>1</v>
      </c>
    </row>
    <row r="1599" spans="1:22" x14ac:dyDescent="0.25">
      <c r="A1599">
        <v>178</v>
      </c>
      <c r="B1599">
        <v>5</v>
      </c>
      <c r="C1599">
        <v>10</v>
      </c>
      <c r="D1599">
        <v>1</v>
      </c>
      <c r="E1599">
        <v>0</v>
      </c>
      <c r="F1599">
        <v>1</v>
      </c>
      <c r="G1599">
        <v>1</v>
      </c>
      <c r="H1599">
        <v>250</v>
      </c>
      <c r="I1599">
        <f t="shared" si="235"/>
        <v>1593</v>
      </c>
      <c r="J1599" s="6">
        <f t="array" aca="1" ref="J1599:N1599" ca="1">TRANSPOSE(ols(OFFSET($C$2:$C$10,I1599,0),OFFSET($D$2:$H$10,I1599,0)))</f>
        <v>137.26190476190277</v>
      </c>
      <c r="K1599" s="6">
        <f ca="1"/>
        <v>-2.1428571428575651</v>
      </c>
      <c r="L1599" s="6">
        <f ca="1"/>
        <v>-85.238095238094957</v>
      </c>
      <c r="M1599" s="6">
        <f ca="1"/>
        <v>-7.380952380952067</v>
      </c>
      <c r="N1599" s="6">
        <f ca="1"/>
        <v>-0.13095238095238315</v>
      </c>
      <c r="O1599" s="6">
        <f t="shared" ca="1" si="227"/>
        <v>11.904761904759958</v>
      </c>
      <c r="P1599" t="str">
        <f t="shared" si="228"/>
        <v>NA</v>
      </c>
      <c r="Q1599" s="10">
        <f t="shared" ca="1" si="229"/>
        <v>-1.190476190478357</v>
      </c>
      <c r="R1599" s="10">
        <f t="shared" ca="1" si="230"/>
        <v>44.642857142855746</v>
      </c>
      <c r="S1599" s="10">
        <f t="shared" ca="1" si="231"/>
        <v>-45.833333333334103</v>
      </c>
      <c r="T1599" s="10">
        <f t="shared" ca="1" si="232"/>
        <v>350</v>
      </c>
      <c r="U1599" s="10">
        <f t="shared" ca="1" si="233"/>
        <v>350</v>
      </c>
      <c r="V1599">
        <f t="shared" si="234"/>
        <v>6</v>
      </c>
    </row>
    <row r="1600" spans="1:22" x14ac:dyDescent="0.25">
      <c r="A1600">
        <v>178</v>
      </c>
      <c r="B1600">
        <v>6</v>
      </c>
      <c r="C1600">
        <v>10</v>
      </c>
      <c r="D1600">
        <v>1</v>
      </c>
      <c r="E1600">
        <v>0</v>
      </c>
      <c r="F1600">
        <v>1</v>
      </c>
      <c r="G1600">
        <v>1</v>
      </c>
      <c r="H1600">
        <v>350</v>
      </c>
      <c r="I1600">
        <f t="shared" si="235"/>
        <v>1593</v>
      </c>
      <c r="J1600" s="6">
        <f t="array" aca="1" ref="J1600:N1600" ca="1">TRANSPOSE(ols(OFFSET($C$2:$C$10,I1600,0),OFFSET($D$2:$H$10,I1600,0)))</f>
        <v>137.26190476190277</v>
      </c>
      <c r="K1600" s="6">
        <f ca="1"/>
        <v>-2.1428571428575651</v>
      </c>
      <c r="L1600" s="6">
        <f ca="1"/>
        <v>-85.238095238094957</v>
      </c>
      <c r="M1600" s="6">
        <f ca="1"/>
        <v>-7.380952380952067</v>
      </c>
      <c r="N1600" s="6">
        <f ca="1"/>
        <v>-0.13095238095238315</v>
      </c>
      <c r="O1600" s="6">
        <f t="shared" ca="1" si="227"/>
        <v>-1.190476190478357</v>
      </c>
      <c r="P1600">
        <f t="shared" ca="1" si="228"/>
        <v>-1.190476190478357</v>
      </c>
      <c r="Q1600" s="10">
        <f t="shared" ca="1" si="229"/>
        <v>-1.190476190478357</v>
      </c>
      <c r="R1600" s="10">
        <f t="shared" ca="1" si="230"/>
        <v>44.642857142855746</v>
      </c>
      <c r="S1600" s="10">
        <f t="shared" ca="1" si="231"/>
        <v>-45.833333333334103</v>
      </c>
      <c r="T1600" s="10">
        <f t="shared" ca="1" si="232"/>
        <v>350</v>
      </c>
      <c r="U1600" s="10">
        <f t="shared" ca="1" si="233"/>
        <v>350</v>
      </c>
      <c r="V1600">
        <f t="shared" si="234"/>
        <v>6</v>
      </c>
    </row>
    <row r="1601" spans="1:22" x14ac:dyDescent="0.25">
      <c r="A1601">
        <v>178</v>
      </c>
      <c r="B1601">
        <v>7</v>
      </c>
      <c r="C1601">
        <v>70</v>
      </c>
      <c r="D1601">
        <v>1</v>
      </c>
      <c r="E1601">
        <v>1</v>
      </c>
      <c r="F1601">
        <v>0</v>
      </c>
      <c r="G1601">
        <v>1</v>
      </c>
      <c r="H1601">
        <v>450</v>
      </c>
      <c r="I1601">
        <f t="shared" si="235"/>
        <v>1593</v>
      </c>
      <c r="J1601" s="6">
        <f t="array" aca="1" ref="J1601:N1601" ca="1">TRANSPOSE(ols(OFFSET($C$2:$C$10,I1601,0),OFFSET($D$2:$H$10,I1601,0)))</f>
        <v>137.26190476190277</v>
      </c>
      <c r="K1601" s="6">
        <f ca="1"/>
        <v>-2.1428571428575651</v>
      </c>
      <c r="L1601" s="6">
        <f ca="1"/>
        <v>-85.238095238094957</v>
      </c>
      <c r="M1601" s="6">
        <f ca="1"/>
        <v>-7.380952380952067</v>
      </c>
      <c r="N1601" s="6">
        <f ca="1"/>
        <v>-0.13095238095238315</v>
      </c>
      <c r="O1601" s="6">
        <f t="shared" ca="1" si="227"/>
        <v>68.809523809520726</v>
      </c>
      <c r="P1601" t="str">
        <f t="shared" si="228"/>
        <v>NA</v>
      </c>
      <c r="Q1601" s="10">
        <f t="shared" ca="1" si="229"/>
        <v>-1.190476190478357</v>
      </c>
      <c r="R1601" s="10">
        <f t="shared" ca="1" si="230"/>
        <v>127.73809523809314</v>
      </c>
      <c r="S1601" s="10">
        <f t="shared" ca="1" si="231"/>
        <v>-128.9285714285715</v>
      </c>
      <c r="T1601" s="10">
        <f t="shared" ca="1" si="232"/>
        <v>984.54545454543859</v>
      </c>
      <c r="U1601" s="10" t="str">
        <f t="shared" ca="1" si="233"/>
        <v>OR</v>
      </c>
      <c r="V1601">
        <f t="shared" si="234"/>
        <v>5</v>
      </c>
    </row>
    <row r="1602" spans="1:22" x14ac:dyDescent="0.25">
      <c r="A1602">
        <v>178</v>
      </c>
      <c r="B1602">
        <v>8</v>
      </c>
      <c r="C1602">
        <v>50</v>
      </c>
      <c r="D1602">
        <v>1</v>
      </c>
      <c r="E1602">
        <v>1</v>
      </c>
      <c r="F1602">
        <v>0</v>
      </c>
      <c r="G1602">
        <v>1</v>
      </c>
      <c r="H1602">
        <v>550</v>
      </c>
      <c r="I1602">
        <f t="shared" si="235"/>
        <v>1593</v>
      </c>
      <c r="J1602" s="6">
        <f t="array" aca="1" ref="J1602:N1602" ca="1">TRANSPOSE(ols(OFFSET($C$2:$C$10,I1602,0),OFFSET($D$2:$H$10,I1602,0)))</f>
        <v>137.26190476190277</v>
      </c>
      <c r="K1602" s="6">
        <f ca="1"/>
        <v>-2.1428571428575651</v>
      </c>
      <c r="L1602" s="6">
        <f ca="1"/>
        <v>-85.238095238094957</v>
      </c>
      <c r="M1602" s="6">
        <f ca="1"/>
        <v>-7.380952380952067</v>
      </c>
      <c r="N1602" s="6">
        <f ca="1"/>
        <v>-0.13095238095238315</v>
      </c>
      <c r="O1602" s="6">
        <f t="shared" ca="1" si="227"/>
        <v>55.714285714282397</v>
      </c>
      <c r="P1602" t="str">
        <f t="shared" si="228"/>
        <v>NA</v>
      </c>
      <c r="Q1602" s="10">
        <f t="shared" ca="1" si="229"/>
        <v>-1.190476190478357</v>
      </c>
      <c r="R1602" s="10">
        <f t="shared" ca="1" si="230"/>
        <v>127.73809523809314</v>
      </c>
      <c r="S1602" s="10">
        <f t="shared" ca="1" si="231"/>
        <v>-128.9285714285715</v>
      </c>
      <c r="T1602" s="10">
        <f t="shared" ca="1" si="232"/>
        <v>984.54545454543859</v>
      </c>
      <c r="U1602" s="10" t="str">
        <f t="shared" ca="1" si="233"/>
        <v>OR</v>
      </c>
      <c r="V1602">
        <f t="shared" si="234"/>
        <v>5</v>
      </c>
    </row>
    <row r="1603" spans="1:22" x14ac:dyDescent="0.25">
      <c r="A1603">
        <v>178</v>
      </c>
      <c r="B1603">
        <v>9</v>
      </c>
      <c r="C1603">
        <v>40</v>
      </c>
      <c r="D1603">
        <v>1</v>
      </c>
      <c r="E1603">
        <v>0</v>
      </c>
      <c r="F1603">
        <v>0</v>
      </c>
      <c r="G1603">
        <v>1</v>
      </c>
      <c r="H1603">
        <v>650</v>
      </c>
      <c r="I1603">
        <f t="shared" si="235"/>
        <v>1593</v>
      </c>
      <c r="J1603" s="6">
        <f t="array" aca="1" ref="J1603:N1603" ca="1">TRANSPOSE(ols(OFFSET($C$2:$C$10,I1603,0),OFFSET($D$2:$H$10,I1603,0)))</f>
        <v>137.26190476190277</v>
      </c>
      <c r="K1603" s="6">
        <f ca="1"/>
        <v>-2.1428571428575651</v>
      </c>
      <c r="L1603" s="6">
        <f ca="1"/>
        <v>-85.238095238094957</v>
      </c>
      <c r="M1603" s="6">
        <f ca="1"/>
        <v>-7.380952380952067</v>
      </c>
      <c r="N1603" s="6">
        <f ca="1"/>
        <v>-0.13095238095238315</v>
      </c>
      <c r="O1603" s="6">
        <f t="shared" ref="O1603:O1666" ca="1" si="236">SUMPRODUCT(J1603:N1603,D1603:H1603)</f>
        <v>44.761904761901661</v>
      </c>
      <c r="P1603" t="str">
        <f t="shared" ref="P1603:P1666" si="237">IF(AND(F1603=1,G1603=1,H1603=350),O1603,"NA")</f>
        <v>NA</v>
      </c>
      <c r="Q1603" s="10">
        <f t="shared" ref="Q1603:Q1666" ca="1" si="238">AVERAGEIF($A$2:$A$5383,A1603,$P$2:$P$5383)</f>
        <v>-1.190476190478357</v>
      </c>
      <c r="R1603" s="10">
        <f t="shared" ref="R1603:R1666" ca="1" si="239">O1603-N1603*H1603</f>
        <v>129.8809523809507</v>
      </c>
      <c r="S1603" s="10">
        <f t="shared" ref="S1603:S1666" ca="1" si="240">Q1603-R1603</f>
        <v>-131.07142857142907</v>
      </c>
      <c r="T1603" s="10">
        <f t="shared" ref="T1603:T1666" ca="1" si="241">S1603/N1603</f>
        <v>1000.9090909090779</v>
      </c>
      <c r="U1603" s="10" t="str">
        <f t="shared" ref="U1603:U1666" ca="1" si="242">IF(OR(T1603&lt;250,T1603&gt;650),"OR",T1603)</f>
        <v>OR</v>
      </c>
      <c r="V1603">
        <f t="shared" ref="V1603:V1666" si="243">IF(AND(E1603=1,G1603=0),2,IF(AND(F1603=1,G1603=0),3,IF(AND(E1603=1,G1603=1),5,IF(AND(F1603=1,G1603=1),6,IF(G1603=0,1,IF(G1603=1,4))))))</f>
        <v>4</v>
      </c>
    </row>
    <row r="1604" spans="1:22" x14ac:dyDescent="0.25">
      <c r="A1604">
        <v>179</v>
      </c>
      <c r="B1604">
        <v>1</v>
      </c>
      <c r="C1604">
        <v>65</v>
      </c>
      <c r="D1604">
        <v>1</v>
      </c>
      <c r="E1604">
        <v>0</v>
      </c>
      <c r="F1604">
        <v>1</v>
      </c>
      <c r="G1604">
        <v>0</v>
      </c>
      <c r="H1604">
        <v>250</v>
      </c>
      <c r="I1604">
        <f t="shared" si="235"/>
        <v>1602</v>
      </c>
      <c r="J1604" s="6">
        <f t="array" aca="1" ref="J1604:N1604" ca="1">TRANSPOSE(ols(OFFSET($C$2:$C$10,I1604,0),OFFSET($D$2:$H$10,I1604,0)))</f>
        <v>92.142857142856883</v>
      </c>
      <c r="K1604" s="6">
        <f ca="1"/>
        <v>4.2857142857142208</v>
      </c>
      <c r="L1604" s="6">
        <f ca="1"/>
        <v>-2.857142857143117</v>
      </c>
      <c r="M1604" s="6">
        <f ca="1"/>
        <v>-18.571428571428214</v>
      </c>
      <c r="N1604" s="6">
        <f ca="1"/>
        <v>-7.1428571428572951E-2</v>
      </c>
      <c r="O1604" s="6">
        <f t="shared" ca="1" si="236"/>
        <v>71.428571428570535</v>
      </c>
      <c r="P1604" t="str">
        <f t="shared" si="237"/>
        <v>NA</v>
      </c>
      <c r="Q1604" s="10">
        <f t="shared" ca="1" si="238"/>
        <v>45.714285714285019</v>
      </c>
      <c r="R1604" s="10">
        <f t="shared" ca="1" si="239"/>
        <v>89.285714285713766</v>
      </c>
      <c r="S1604" s="10">
        <f t="shared" ca="1" si="240"/>
        <v>-43.571428571428747</v>
      </c>
      <c r="T1604" s="10">
        <f t="shared" ca="1" si="241"/>
        <v>609.99999999998943</v>
      </c>
      <c r="U1604" s="10">
        <f t="shared" ca="1" si="242"/>
        <v>609.99999999998943</v>
      </c>
      <c r="V1604">
        <f t="shared" si="243"/>
        <v>3</v>
      </c>
    </row>
    <row r="1605" spans="1:22" x14ac:dyDescent="0.25">
      <c r="A1605">
        <v>179</v>
      </c>
      <c r="B1605">
        <v>2</v>
      </c>
      <c r="C1605">
        <v>70</v>
      </c>
      <c r="D1605">
        <v>1</v>
      </c>
      <c r="E1605">
        <v>1</v>
      </c>
      <c r="F1605">
        <v>0</v>
      </c>
      <c r="G1605">
        <v>0</v>
      </c>
      <c r="H1605">
        <v>350</v>
      </c>
      <c r="I1605">
        <f t="shared" si="235"/>
        <v>1602</v>
      </c>
      <c r="J1605" s="6">
        <f t="array" aca="1" ref="J1605:N1605" ca="1">TRANSPOSE(ols(OFFSET($C$2:$C$10,I1605,0),OFFSET($D$2:$H$10,I1605,0)))</f>
        <v>92.142857142856883</v>
      </c>
      <c r="K1605" s="6">
        <f ca="1"/>
        <v>4.2857142857142208</v>
      </c>
      <c r="L1605" s="6">
        <f ca="1"/>
        <v>-2.857142857143117</v>
      </c>
      <c r="M1605" s="6">
        <f ca="1"/>
        <v>-18.571428571428214</v>
      </c>
      <c r="N1605" s="6">
        <f ca="1"/>
        <v>-7.1428571428572951E-2</v>
      </c>
      <c r="O1605" s="6">
        <f t="shared" ca="1" si="236"/>
        <v>71.428571428570564</v>
      </c>
      <c r="P1605" t="str">
        <f t="shared" si="237"/>
        <v>NA</v>
      </c>
      <c r="Q1605" s="10">
        <f t="shared" ca="1" si="238"/>
        <v>45.714285714285019</v>
      </c>
      <c r="R1605" s="10">
        <f t="shared" ca="1" si="239"/>
        <v>96.428571428571104</v>
      </c>
      <c r="S1605" s="10">
        <f t="shared" ca="1" si="240"/>
        <v>-50.714285714286085</v>
      </c>
      <c r="T1605" s="10">
        <f t="shared" ca="1" si="241"/>
        <v>709.99999999999</v>
      </c>
      <c r="U1605" s="10" t="str">
        <f t="shared" ca="1" si="242"/>
        <v>OR</v>
      </c>
      <c r="V1605">
        <f t="shared" si="243"/>
        <v>2</v>
      </c>
    </row>
    <row r="1606" spans="1:22" x14ac:dyDescent="0.25">
      <c r="A1606">
        <v>179</v>
      </c>
      <c r="B1606">
        <v>3</v>
      </c>
      <c r="C1606">
        <v>70</v>
      </c>
      <c r="D1606">
        <v>1</v>
      </c>
      <c r="E1606">
        <v>1</v>
      </c>
      <c r="F1606">
        <v>0</v>
      </c>
      <c r="G1606">
        <v>0</v>
      </c>
      <c r="H1606">
        <v>450</v>
      </c>
      <c r="I1606">
        <f t="shared" si="235"/>
        <v>1602</v>
      </c>
      <c r="J1606" s="6">
        <f t="array" aca="1" ref="J1606:N1606" ca="1">TRANSPOSE(ols(OFFSET($C$2:$C$10,I1606,0),OFFSET($D$2:$H$10,I1606,0)))</f>
        <v>92.142857142856883</v>
      </c>
      <c r="K1606" s="6">
        <f ca="1"/>
        <v>4.2857142857142208</v>
      </c>
      <c r="L1606" s="6">
        <f ca="1"/>
        <v>-2.857142857143117</v>
      </c>
      <c r="M1606" s="6">
        <f ca="1"/>
        <v>-18.571428571428214</v>
      </c>
      <c r="N1606" s="6">
        <f ca="1"/>
        <v>-7.1428571428572951E-2</v>
      </c>
      <c r="O1606" s="6">
        <f t="shared" ca="1" si="236"/>
        <v>64.285714285713283</v>
      </c>
      <c r="P1606" t="str">
        <f t="shared" si="237"/>
        <v>NA</v>
      </c>
      <c r="Q1606" s="10">
        <f t="shared" ca="1" si="238"/>
        <v>45.714285714285019</v>
      </c>
      <c r="R1606" s="10">
        <f t="shared" ca="1" si="239"/>
        <v>96.428571428571104</v>
      </c>
      <c r="S1606" s="10">
        <f t="shared" ca="1" si="240"/>
        <v>-50.714285714286085</v>
      </c>
      <c r="T1606" s="10">
        <f t="shared" ca="1" si="241"/>
        <v>709.99999999999</v>
      </c>
      <c r="U1606" s="10" t="str">
        <f t="shared" ca="1" si="242"/>
        <v>OR</v>
      </c>
      <c r="V1606">
        <f t="shared" si="243"/>
        <v>2</v>
      </c>
    </row>
    <row r="1607" spans="1:22" x14ac:dyDescent="0.25">
      <c r="A1607">
        <v>179</v>
      </c>
      <c r="B1607">
        <v>4</v>
      </c>
      <c r="C1607">
        <v>55</v>
      </c>
      <c r="D1607">
        <v>1</v>
      </c>
      <c r="E1607">
        <v>0</v>
      </c>
      <c r="F1607">
        <v>0</v>
      </c>
      <c r="G1607">
        <v>0</v>
      </c>
      <c r="H1607">
        <v>550</v>
      </c>
      <c r="I1607">
        <f t="shared" si="235"/>
        <v>1602</v>
      </c>
      <c r="J1607" s="6">
        <f t="array" aca="1" ref="J1607:N1607" ca="1">TRANSPOSE(ols(OFFSET($C$2:$C$10,I1607,0),OFFSET($D$2:$H$10,I1607,0)))</f>
        <v>92.142857142856883</v>
      </c>
      <c r="K1607" s="6">
        <f ca="1"/>
        <v>4.2857142857142208</v>
      </c>
      <c r="L1607" s="6">
        <f ca="1"/>
        <v>-2.857142857143117</v>
      </c>
      <c r="M1607" s="6">
        <f ca="1"/>
        <v>-18.571428571428214</v>
      </c>
      <c r="N1607" s="6">
        <f ca="1"/>
        <v>-7.1428571428572951E-2</v>
      </c>
      <c r="O1607" s="6">
        <f t="shared" ca="1" si="236"/>
        <v>52.85714285714176</v>
      </c>
      <c r="P1607" t="str">
        <f t="shared" si="237"/>
        <v>NA</v>
      </c>
      <c r="Q1607" s="10">
        <f t="shared" ca="1" si="238"/>
        <v>45.714285714285019</v>
      </c>
      <c r="R1607" s="10">
        <f t="shared" ca="1" si="239"/>
        <v>92.142857142856883</v>
      </c>
      <c r="S1607" s="10">
        <f t="shared" ca="1" si="240"/>
        <v>-46.428571428571864</v>
      </c>
      <c r="T1607" s="10">
        <f t="shared" ca="1" si="241"/>
        <v>649.99999999999227</v>
      </c>
      <c r="U1607" s="10">
        <f t="shared" ca="1" si="242"/>
        <v>649.99999999999227</v>
      </c>
      <c r="V1607">
        <f t="shared" si="243"/>
        <v>1</v>
      </c>
    </row>
    <row r="1608" spans="1:22" x14ac:dyDescent="0.25">
      <c r="A1608">
        <v>179</v>
      </c>
      <c r="B1608">
        <v>5</v>
      </c>
      <c r="C1608">
        <v>55</v>
      </c>
      <c r="D1608">
        <v>1</v>
      </c>
      <c r="E1608">
        <v>0</v>
      </c>
      <c r="F1608">
        <v>1</v>
      </c>
      <c r="G1608">
        <v>1</v>
      </c>
      <c r="H1608">
        <v>250</v>
      </c>
      <c r="I1608">
        <f t="shared" si="235"/>
        <v>1602</v>
      </c>
      <c r="J1608" s="6">
        <f t="array" aca="1" ref="J1608:N1608" ca="1">TRANSPOSE(ols(OFFSET($C$2:$C$10,I1608,0),OFFSET($D$2:$H$10,I1608,0)))</f>
        <v>92.142857142856883</v>
      </c>
      <c r="K1608" s="6">
        <f ca="1"/>
        <v>4.2857142857142208</v>
      </c>
      <c r="L1608" s="6">
        <f ca="1"/>
        <v>-2.857142857143117</v>
      </c>
      <c r="M1608" s="6">
        <f ca="1"/>
        <v>-18.571428571428214</v>
      </c>
      <c r="N1608" s="6">
        <f ca="1"/>
        <v>-7.1428571428572951E-2</v>
      </c>
      <c r="O1608" s="6">
        <f t="shared" ca="1" si="236"/>
        <v>52.857142857142314</v>
      </c>
      <c r="P1608" t="str">
        <f t="shared" si="237"/>
        <v>NA</v>
      </c>
      <c r="Q1608" s="10">
        <f t="shared" ca="1" si="238"/>
        <v>45.714285714285019</v>
      </c>
      <c r="R1608" s="10">
        <f t="shared" ca="1" si="239"/>
        <v>70.714285714285552</v>
      </c>
      <c r="S1608" s="10">
        <f t="shared" ca="1" si="240"/>
        <v>-25.000000000000533</v>
      </c>
      <c r="T1608" s="10">
        <f t="shared" ca="1" si="241"/>
        <v>350</v>
      </c>
      <c r="U1608" s="10">
        <f t="shared" ca="1" si="242"/>
        <v>350</v>
      </c>
      <c r="V1608">
        <f t="shared" si="243"/>
        <v>6</v>
      </c>
    </row>
    <row r="1609" spans="1:22" x14ac:dyDescent="0.25">
      <c r="A1609">
        <v>179</v>
      </c>
      <c r="B1609">
        <v>6</v>
      </c>
      <c r="C1609">
        <v>50</v>
      </c>
      <c r="D1609">
        <v>1</v>
      </c>
      <c r="E1609">
        <v>0</v>
      </c>
      <c r="F1609">
        <v>1</v>
      </c>
      <c r="G1609">
        <v>1</v>
      </c>
      <c r="H1609">
        <v>350</v>
      </c>
      <c r="I1609">
        <f t="shared" si="235"/>
        <v>1602</v>
      </c>
      <c r="J1609" s="6">
        <f t="array" aca="1" ref="J1609:N1609" ca="1">TRANSPOSE(ols(OFFSET($C$2:$C$10,I1609,0),OFFSET($D$2:$H$10,I1609,0)))</f>
        <v>92.142857142856883</v>
      </c>
      <c r="K1609" s="6">
        <f ca="1"/>
        <v>4.2857142857142208</v>
      </c>
      <c r="L1609" s="6">
        <f ca="1"/>
        <v>-2.857142857143117</v>
      </c>
      <c r="M1609" s="6">
        <f ca="1"/>
        <v>-18.571428571428214</v>
      </c>
      <c r="N1609" s="6">
        <f ca="1"/>
        <v>-7.1428571428572951E-2</v>
      </c>
      <c r="O1609" s="6">
        <f t="shared" ca="1" si="236"/>
        <v>45.714285714285019</v>
      </c>
      <c r="P1609">
        <f t="shared" ca="1" si="237"/>
        <v>45.714285714285019</v>
      </c>
      <c r="Q1609" s="10">
        <f t="shared" ca="1" si="238"/>
        <v>45.714285714285019</v>
      </c>
      <c r="R1609" s="10">
        <f t="shared" ca="1" si="239"/>
        <v>70.714285714285552</v>
      </c>
      <c r="S1609" s="10">
        <f t="shared" ca="1" si="240"/>
        <v>-25.000000000000533</v>
      </c>
      <c r="T1609" s="10">
        <f t="shared" ca="1" si="241"/>
        <v>350</v>
      </c>
      <c r="U1609" s="10">
        <f t="shared" ca="1" si="242"/>
        <v>350</v>
      </c>
      <c r="V1609">
        <f t="shared" si="243"/>
        <v>6</v>
      </c>
    </row>
    <row r="1610" spans="1:22" x14ac:dyDescent="0.25">
      <c r="A1610">
        <v>179</v>
      </c>
      <c r="B1610">
        <v>7</v>
      </c>
      <c r="C1610">
        <v>45</v>
      </c>
      <c r="D1610">
        <v>1</v>
      </c>
      <c r="E1610">
        <v>1</v>
      </c>
      <c r="F1610">
        <v>0</v>
      </c>
      <c r="G1610">
        <v>1</v>
      </c>
      <c r="H1610">
        <v>450</v>
      </c>
      <c r="I1610">
        <f t="shared" si="235"/>
        <v>1602</v>
      </c>
      <c r="J1610" s="6">
        <f t="array" aca="1" ref="J1610:N1610" ca="1">TRANSPOSE(ols(OFFSET($C$2:$C$10,I1610,0),OFFSET($D$2:$H$10,I1610,0)))</f>
        <v>92.142857142856883</v>
      </c>
      <c r="K1610" s="6">
        <f ca="1"/>
        <v>4.2857142857142208</v>
      </c>
      <c r="L1610" s="6">
        <f ca="1"/>
        <v>-2.857142857143117</v>
      </c>
      <c r="M1610" s="6">
        <f ca="1"/>
        <v>-18.571428571428214</v>
      </c>
      <c r="N1610" s="6">
        <f ca="1"/>
        <v>-7.1428571428572951E-2</v>
      </c>
      <c r="O1610" s="6">
        <f t="shared" ca="1" si="236"/>
        <v>45.714285714285062</v>
      </c>
      <c r="P1610" t="str">
        <f t="shared" si="237"/>
        <v>NA</v>
      </c>
      <c r="Q1610" s="10">
        <f t="shared" ca="1" si="238"/>
        <v>45.714285714285019</v>
      </c>
      <c r="R1610" s="10">
        <f t="shared" ca="1" si="239"/>
        <v>77.85714285714289</v>
      </c>
      <c r="S1610" s="10">
        <f t="shared" ca="1" si="240"/>
        <v>-32.142857142857871</v>
      </c>
      <c r="T1610" s="10">
        <f t="shared" ca="1" si="241"/>
        <v>450.00000000000057</v>
      </c>
      <c r="U1610" s="10">
        <f t="shared" ca="1" si="242"/>
        <v>450.00000000000057</v>
      </c>
      <c r="V1610">
        <f t="shared" si="243"/>
        <v>5</v>
      </c>
    </row>
    <row r="1611" spans="1:22" x14ac:dyDescent="0.25">
      <c r="A1611">
        <v>179</v>
      </c>
      <c r="B1611">
        <v>8</v>
      </c>
      <c r="C1611">
        <v>35</v>
      </c>
      <c r="D1611">
        <v>1</v>
      </c>
      <c r="E1611">
        <v>1</v>
      </c>
      <c r="F1611">
        <v>0</v>
      </c>
      <c r="G1611">
        <v>1</v>
      </c>
      <c r="H1611">
        <v>550</v>
      </c>
      <c r="I1611">
        <f t="shared" si="235"/>
        <v>1602</v>
      </c>
      <c r="J1611" s="6">
        <f t="array" aca="1" ref="J1611:N1611" ca="1">TRANSPOSE(ols(OFFSET($C$2:$C$10,I1611,0),OFFSET($D$2:$H$10,I1611,0)))</f>
        <v>92.142857142856883</v>
      </c>
      <c r="K1611" s="6">
        <f ca="1"/>
        <v>4.2857142857142208</v>
      </c>
      <c r="L1611" s="6">
        <f ca="1"/>
        <v>-2.857142857143117</v>
      </c>
      <c r="M1611" s="6">
        <f ca="1"/>
        <v>-18.571428571428214</v>
      </c>
      <c r="N1611" s="6">
        <f ca="1"/>
        <v>-7.1428571428572951E-2</v>
      </c>
      <c r="O1611" s="6">
        <f t="shared" ca="1" si="236"/>
        <v>38.571428571427766</v>
      </c>
      <c r="P1611" t="str">
        <f t="shared" si="237"/>
        <v>NA</v>
      </c>
      <c r="Q1611" s="10">
        <f t="shared" ca="1" si="238"/>
        <v>45.714285714285019</v>
      </c>
      <c r="R1611" s="10">
        <f t="shared" ca="1" si="239"/>
        <v>77.85714285714289</v>
      </c>
      <c r="S1611" s="10">
        <f t="shared" ca="1" si="240"/>
        <v>-32.142857142857871</v>
      </c>
      <c r="T1611" s="10">
        <f t="shared" ca="1" si="241"/>
        <v>450.00000000000057</v>
      </c>
      <c r="U1611" s="10">
        <f t="shared" ca="1" si="242"/>
        <v>450.00000000000057</v>
      </c>
      <c r="V1611">
        <f t="shared" si="243"/>
        <v>5</v>
      </c>
    </row>
    <row r="1612" spans="1:22" x14ac:dyDescent="0.25">
      <c r="A1612">
        <v>179</v>
      </c>
      <c r="B1612">
        <v>9</v>
      </c>
      <c r="C1612">
        <v>25</v>
      </c>
      <c r="D1612">
        <v>1</v>
      </c>
      <c r="E1612">
        <v>0</v>
      </c>
      <c r="F1612">
        <v>0</v>
      </c>
      <c r="G1612">
        <v>1</v>
      </c>
      <c r="H1612">
        <v>650</v>
      </c>
      <c r="I1612">
        <f t="shared" ref="I1612:I1675" si="244">IF(A1612&gt;A1611,I1611+9,I1611)</f>
        <v>1602</v>
      </c>
      <c r="J1612" s="6">
        <f t="array" aca="1" ref="J1612:N1612" ca="1">TRANSPOSE(ols(OFFSET($C$2:$C$10,I1612,0),OFFSET($D$2:$H$10,I1612,0)))</f>
        <v>92.142857142856883</v>
      </c>
      <c r="K1612" s="6">
        <f ca="1"/>
        <v>4.2857142857142208</v>
      </c>
      <c r="L1612" s="6">
        <f ca="1"/>
        <v>-2.857142857143117</v>
      </c>
      <c r="M1612" s="6">
        <f ca="1"/>
        <v>-18.571428571428214</v>
      </c>
      <c r="N1612" s="6">
        <f ca="1"/>
        <v>-7.1428571428572951E-2</v>
      </c>
      <c r="O1612" s="6">
        <f t="shared" ca="1" si="236"/>
        <v>27.142857142856251</v>
      </c>
      <c r="P1612" t="str">
        <f t="shared" si="237"/>
        <v>NA</v>
      </c>
      <c r="Q1612" s="10">
        <f t="shared" ca="1" si="238"/>
        <v>45.714285714285019</v>
      </c>
      <c r="R1612" s="10">
        <f t="shared" ca="1" si="239"/>
        <v>73.571428571428669</v>
      </c>
      <c r="S1612" s="10">
        <f t="shared" ca="1" si="240"/>
        <v>-27.85714285714365</v>
      </c>
      <c r="T1612" s="10">
        <f t="shared" ca="1" si="241"/>
        <v>390.00000000000279</v>
      </c>
      <c r="U1612" s="10">
        <f t="shared" ca="1" si="242"/>
        <v>390.00000000000279</v>
      </c>
      <c r="V1612">
        <f t="shared" si="243"/>
        <v>4</v>
      </c>
    </row>
    <row r="1613" spans="1:22" x14ac:dyDescent="0.25">
      <c r="A1613">
        <v>180</v>
      </c>
      <c r="B1613">
        <v>1</v>
      </c>
      <c r="C1613">
        <v>55</v>
      </c>
      <c r="D1613">
        <v>1</v>
      </c>
      <c r="E1613">
        <v>0</v>
      </c>
      <c r="F1613">
        <v>1</v>
      </c>
      <c r="G1613">
        <v>0</v>
      </c>
      <c r="H1613">
        <v>250</v>
      </c>
      <c r="I1613">
        <f t="shared" si="244"/>
        <v>1611</v>
      </c>
      <c r="J1613" s="6">
        <f t="array" aca="1" ref="J1613:N1613" ca="1">TRANSPOSE(ols(OFFSET($C$2:$C$10,I1613,0),OFFSET($D$2:$H$10,I1613,0)))</f>
        <v>79.821428571427532</v>
      </c>
      <c r="K1613" s="6">
        <f ca="1"/>
        <v>2.1428571428571104</v>
      </c>
      <c r="L1613" s="6">
        <f ca="1"/>
        <v>-6.4285714285729227</v>
      </c>
      <c r="M1613" s="6">
        <f ca="1"/>
        <v>-1.7857142857141071</v>
      </c>
      <c r="N1613" s="6">
        <f ca="1"/>
        <v>-6.0714285714286831E-2</v>
      </c>
      <c r="O1613" s="6">
        <f t="shared" ca="1" si="236"/>
        <v>58.214285714282902</v>
      </c>
      <c r="P1613" t="str">
        <f t="shared" si="237"/>
        <v>NA</v>
      </c>
      <c r="Q1613" s="10">
        <f t="shared" ca="1" si="238"/>
        <v>50.357142857140111</v>
      </c>
      <c r="R1613" s="10">
        <f t="shared" ca="1" si="239"/>
        <v>73.392857142854609</v>
      </c>
      <c r="S1613" s="10">
        <f t="shared" ca="1" si="240"/>
        <v>-23.035714285714498</v>
      </c>
      <c r="T1613" s="10">
        <f t="shared" ca="1" si="241"/>
        <v>379.41176470587885</v>
      </c>
      <c r="U1613" s="10">
        <f t="shared" ca="1" si="242"/>
        <v>379.41176470587885</v>
      </c>
      <c r="V1613">
        <f t="shared" si="243"/>
        <v>3</v>
      </c>
    </row>
    <row r="1614" spans="1:22" x14ac:dyDescent="0.25">
      <c r="A1614">
        <v>180</v>
      </c>
      <c r="B1614">
        <v>2</v>
      </c>
      <c r="C1614">
        <v>60</v>
      </c>
      <c r="D1614">
        <v>1</v>
      </c>
      <c r="E1614">
        <v>1</v>
      </c>
      <c r="F1614">
        <v>0</v>
      </c>
      <c r="G1614">
        <v>0</v>
      </c>
      <c r="H1614">
        <v>350</v>
      </c>
      <c r="I1614">
        <f t="shared" si="244"/>
        <v>1611</v>
      </c>
      <c r="J1614" s="6">
        <f t="array" aca="1" ref="J1614:N1614" ca="1">TRANSPOSE(ols(OFFSET($C$2:$C$10,I1614,0),OFFSET($D$2:$H$10,I1614,0)))</f>
        <v>79.821428571427532</v>
      </c>
      <c r="K1614" s="6">
        <f ca="1"/>
        <v>2.1428571428571104</v>
      </c>
      <c r="L1614" s="6">
        <f ca="1"/>
        <v>-6.4285714285729227</v>
      </c>
      <c r="M1614" s="6">
        <f ca="1"/>
        <v>-1.7857142857141071</v>
      </c>
      <c r="N1614" s="6">
        <f ca="1"/>
        <v>-6.0714285714286831E-2</v>
      </c>
      <c r="O1614" s="6">
        <f t="shared" ca="1" si="236"/>
        <v>60.714285714284252</v>
      </c>
      <c r="P1614" t="str">
        <f t="shared" si="237"/>
        <v>NA</v>
      </c>
      <c r="Q1614" s="10">
        <f t="shared" ca="1" si="238"/>
        <v>50.357142857140111</v>
      </c>
      <c r="R1614" s="10">
        <f t="shared" ca="1" si="239"/>
        <v>81.964285714284642</v>
      </c>
      <c r="S1614" s="10">
        <f t="shared" ca="1" si="240"/>
        <v>-31.607142857144531</v>
      </c>
      <c r="T1614" s="10">
        <f t="shared" ca="1" si="241"/>
        <v>520.58823529413564</v>
      </c>
      <c r="U1614" s="10">
        <f t="shared" ca="1" si="242"/>
        <v>520.58823529413564</v>
      </c>
      <c r="V1614">
        <f t="shared" si="243"/>
        <v>2</v>
      </c>
    </row>
    <row r="1615" spans="1:22" x14ac:dyDescent="0.25">
      <c r="A1615">
        <v>180</v>
      </c>
      <c r="B1615">
        <v>3</v>
      </c>
      <c r="C1615">
        <v>60</v>
      </c>
      <c r="D1615">
        <v>1</v>
      </c>
      <c r="E1615">
        <v>1</v>
      </c>
      <c r="F1615">
        <v>0</v>
      </c>
      <c r="G1615">
        <v>0</v>
      </c>
      <c r="H1615">
        <v>450</v>
      </c>
      <c r="I1615">
        <f t="shared" si="244"/>
        <v>1611</v>
      </c>
      <c r="J1615" s="6">
        <f t="array" aca="1" ref="J1615:N1615" ca="1">TRANSPOSE(ols(OFFSET($C$2:$C$10,I1615,0),OFFSET($D$2:$H$10,I1615,0)))</f>
        <v>79.821428571427532</v>
      </c>
      <c r="K1615" s="6">
        <f ca="1"/>
        <v>2.1428571428571104</v>
      </c>
      <c r="L1615" s="6">
        <f ca="1"/>
        <v>-6.4285714285729227</v>
      </c>
      <c r="M1615" s="6">
        <f ca="1"/>
        <v>-1.7857142857141071</v>
      </c>
      <c r="N1615" s="6">
        <f ca="1"/>
        <v>-6.0714285714286831E-2</v>
      </c>
      <c r="O1615" s="6">
        <f t="shared" ca="1" si="236"/>
        <v>54.642857142855568</v>
      </c>
      <c r="P1615" t="str">
        <f t="shared" si="237"/>
        <v>NA</v>
      </c>
      <c r="Q1615" s="10">
        <f t="shared" ca="1" si="238"/>
        <v>50.357142857140111</v>
      </c>
      <c r="R1615" s="10">
        <f t="shared" ca="1" si="239"/>
        <v>81.964285714284642</v>
      </c>
      <c r="S1615" s="10">
        <f t="shared" ca="1" si="240"/>
        <v>-31.607142857144531</v>
      </c>
      <c r="T1615" s="10">
        <f t="shared" ca="1" si="241"/>
        <v>520.58823529413564</v>
      </c>
      <c r="U1615" s="10">
        <f t="shared" ca="1" si="242"/>
        <v>520.58823529413564</v>
      </c>
      <c r="V1615">
        <f t="shared" si="243"/>
        <v>2</v>
      </c>
    </row>
    <row r="1616" spans="1:22" x14ac:dyDescent="0.25">
      <c r="A1616">
        <v>180</v>
      </c>
      <c r="B1616">
        <v>4</v>
      </c>
      <c r="C1616">
        <v>45</v>
      </c>
      <c r="D1616">
        <v>1</v>
      </c>
      <c r="E1616">
        <v>0</v>
      </c>
      <c r="F1616">
        <v>0</v>
      </c>
      <c r="G1616">
        <v>0</v>
      </c>
      <c r="H1616">
        <v>550</v>
      </c>
      <c r="I1616">
        <f t="shared" si="244"/>
        <v>1611</v>
      </c>
      <c r="J1616" s="6">
        <f t="array" aca="1" ref="J1616:N1616" ca="1">TRANSPOSE(ols(OFFSET($C$2:$C$10,I1616,0),OFFSET($D$2:$H$10,I1616,0)))</f>
        <v>79.821428571427532</v>
      </c>
      <c r="K1616" s="6">
        <f ca="1"/>
        <v>2.1428571428571104</v>
      </c>
      <c r="L1616" s="6">
        <f ca="1"/>
        <v>-6.4285714285729227</v>
      </c>
      <c r="M1616" s="6">
        <f ca="1"/>
        <v>-1.7857142857141071</v>
      </c>
      <c r="N1616" s="6">
        <f ca="1"/>
        <v>-6.0714285714286831E-2</v>
      </c>
      <c r="O1616" s="6">
        <f t="shared" ca="1" si="236"/>
        <v>46.428571428569775</v>
      </c>
      <c r="P1616" t="str">
        <f t="shared" si="237"/>
        <v>NA</v>
      </c>
      <c r="Q1616" s="10">
        <f t="shared" ca="1" si="238"/>
        <v>50.357142857140111</v>
      </c>
      <c r="R1616" s="10">
        <f t="shared" ca="1" si="239"/>
        <v>79.821428571427532</v>
      </c>
      <c r="S1616" s="10">
        <f t="shared" ca="1" si="240"/>
        <v>-29.464285714287421</v>
      </c>
      <c r="T1616" s="10">
        <f t="shared" ca="1" si="241"/>
        <v>485.294117647078</v>
      </c>
      <c r="U1616" s="10">
        <f t="shared" ca="1" si="242"/>
        <v>485.294117647078</v>
      </c>
      <c r="V1616">
        <f t="shared" si="243"/>
        <v>1</v>
      </c>
    </row>
    <row r="1617" spans="1:22" x14ac:dyDescent="0.25">
      <c r="A1617">
        <v>180</v>
      </c>
      <c r="B1617">
        <v>5</v>
      </c>
      <c r="C1617">
        <v>55</v>
      </c>
      <c r="D1617">
        <v>1</v>
      </c>
      <c r="E1617">
        <v>0</v>
      </c>
      <c r="F1617">
        <v>1</v>
      </c>
      <c r="G1617">
        <v>1</v>
      </c>
      <c r="H1617">
        <v>250</v>
      </c>
      <c r="I1617">
        <f t="shared" si="244"/>
        <v>1611</v>
      </c>
      <c r="J1617" s="6">
        <f t="array" aca="1" ref="J1617:N1617" ca="1">TRANSPOSE(ols(OFFSET($C$2:$C$10,I1617,0),OFFSET($D$2:$H$10,I1617,0)))</f>
        <v>79.821428571427532</v>
      </c>
      <c r="K1617" s="6">
        <f ca="1"/>
        <v>2.1428571428571104</v>
      </c>
      <c r="L1617" s="6">
        <f ca="1"/>
        <v>-6.4285714285729227</v>
      </c>
      <c r="M1617" s="6">
        <f ca="1"/>
        <v>-1.7857142857141071</v>
      </c>
      <c r="N1617" s="6">
        <f ca="1"/>
        <v>-6.0714285714286831E-2</v>
      </c>
      <c r="O1617" s="6">
        <f t="shared" ca="1" si="236"/>
        <v>56.428571428568794</v>
      </c>
      <c r="P1617" t="str">
        <f t="shared" si="237"/>
        <v>NA</v>
      </c>
      <c r="Q1617" s="10">
        <f t="shared" ca="1" si="238"/>
        <v>50.357142857140111</v>
      </c>
      <c r="R1617" s="10">
        <f t="shared" ca="1" si="239"/>
        <v>71.607142857140502</v>
      </c>
      <c r="S1617" s="10">
        <f t="shared" ca="1" si="240"/>
        <v>-21.250000000000391</v>
      </c>
      <c r="T1617" s="10">
        <f t="shared" ca="1" si="241"/>
        <v>350</v>
      </c>
      <c r="U1617" s="10">
        <f t="shared" ca="1" si="242"/>
        <v>350</v>
      </c>
      <c r="V1617">
        <f t="shared" si="243"/>
        <v>6</v>
      </c>
    </row>
    <row r="1618" spans="1:22" x14ac:dyDescent="0.25">
      <c r="A1618">
        <v>180</v>
      </c>
      <c r="B1618">
        <v>6</v>
      </c>
      <c r="C1618">
        <v>55</v>
      </c>
      <c r="D1618">
        <v>1</v>
      </c>
      <c r="E1618">
        <v>0</v>
      </c>
      <c r="F1618">
        <v>1</v>
      </c>
      <c r="G1618">
        <v>1</v>
      </c>
      <c r="H1618">
        <v>350</v>
      </c>
      <c r="I1618">
        <f t="shared" si="244"/>
        <v>1611</v>
      </c>
      <c r="J1618" s="6">
        <f t="array" aca="1" ref="J1618:N1618" ca="1">TRANSPOSE(ols(OFFSET($C$2:$C$10,I1618,0),OFFSET($D$2:$H$10,I1618,0)))</f>
        <v>79.821428571427532</v>
      </c>
      <c r="K1618" s="6">
        <f ca="1"/>
        <v>2.1428571428571104</v>
      </c>
      <c r="L1618" s="6">
        <f ca="1"/>
        <v>-6.4285714285729227</v>
      </c>
      <c r="M1618" s="6">
        <f ca="1"/>
        <v>-1.7857142857141071</v>
      </c>
      <c r="N1618" s="6">
        <f ca="1"/>
        <v>-6.0714285714286831E-2</v>
      </c>
      <c r="O1618" s="6">
        <f t="shared" ca="1" si="236"/>
        <v>50.357142857140111</v>
      </c>
      <c r="P1618">
        <f t="shared" ca="1" si="237"/>
        <v>50.357142857140111</v>
      </c>
      <c r="Q1618" s="10">
        <f t="shared" ca="1" si="238"/>
        <v>50.357142857140111</v>
      </c>
      <c r="R1618" s="10">
        <f t="shared" ca="1" si="239"/>
        <v>71.607142857140502</v>
      </c>
      <c r="S1618" s="10">
        <f t="shared" ca="1" si="240"/>
        <v>-21.250000000000391</v>
      </c>
      <c r="T1618" s="10">
        <f t="shared" ca="1" si="241"/>
        <v>350</v>
      </c>
      <c r="U1618" s="10">
        <f t="shared" ca="1" si="242"/>
        <v>350</v>
      </c>
      <c r="V1618">
        <f t="shared" si="243"/>
        <v>6</v>
      </c>
    </row>
    <row r="1619" spans="1:22" x14ac:dyDescent="0.25">
      <c r="A1619">
        <v>180</v>
      </c>
      <c r="B1619">
        <v>7</v>
      </c>
      <c r="C1619">
        <v>55</v>
      </c>
      <c r="D1619">
        <v>1</v>
      </c>
      <c r="E1619">
        <v>1</v>
      </c>
      <c r="F1619">
        <v>0</v>
      </c>
      <c r="G1619">
        <v>1</v>
      </c>
      <c r="H1619">
        <v>450</v>
      </c>
      <c r="I1619">
        <f t="shared" si="244"/>
        <v>1611</v>
      </c>
      <c r="J1619" s="6">
        <f t="array" aca="1" ref="J1619:N1619" ca="1">TRANSPOSE(ols(OFFSET($C$2:$C$10,I1619,0),OFFSET($D$2:$H$10,I1619,0)))</f>
        <v>79.821428571427532</v>
      </c>
      <c r="K1619" s="6">
        <f ca="1"/>
        <v>2.1428571428571104</v>
      </c>
      <c r="L1619" s="6">
        <f ca="1"/>
        <v>-6.4285714285729227</v>
      </c>
      <c r="M1619" s="6">
        <f ca="1"/>
        <v>-1.7857142857141071</v>
      </c>
      <c r="N1619" s="6">
        <f ca="1"/>
        <v>-6.0714285714286831E-2</v>
      </c>
      <c r="O1619" s="6">
        <f t="shared" ca="1" si="236"/>
        <v>52.857142857141461</v>
      </c>
      <c r="P1619" t="str">
        <f t="shared" si="237"/>
        <v>NA</v>
      </c>
      <c r="Q1619" s="10">
        <f t="shared" ca="1" si="238"/>
        <v>50.357142857140111</v>
      </c>
      <c r="R1619" s="10">
        <f t="shared" ca="1" si="239"/>
        <v>80.178571428570535</v>
      </c>
      <c r="S1619" s="10">
        <f t="shared" ca="1" si="240"/>
        <v>-29.821428571430424</v>
      </c>
      <c r="T1619" s="10">
        <f t="shared" ca="1" si="241"/>
        <v>491.17647058825679</v>
      </c>
      <c r="U1619" s="10">
        <f t="shared" ca="1" si="242"/>
        <v>491.17647058825679</v>
      </c>
      <c r="V1619">
        <f t="shared" si="243"/>
        <v>5</v>
      </c>
    </row>
    <row r="1620" spans="1:22" x14ac:dyDescent="0.25">
      <c r="A1620">
        <v>180</v>
      </c>
      <c r="B1620">
        <v>8</v>
      </c>
      <c r="C1620">
        <v>40</v>
      </c>
      <c r="D1620">
        <v>1</v>
      </c>
      <c r="E1620">
        <v>1</v>
      </c>
      <c r="F1620">
        <v>0</v>
      </c>
      <c r="G1620">
        <v>1</v>
      </c>
      <c r="H1620">
        <v>550</v>
      </c>
      <c r="I1620">
        <f t="shared" si="244"/>
        <v>1611</v>
      </c>
      <c r="J1620" s="6">
        <f t="array" aca="1" ref="J1620:N1620" ca="1">TRANSPOSE(ols(OFFSET($C$2:$C$10,I1620,0),OFFSET($D$2:$H$10,I1620,0)))</f>
        <v>79.821428571427532</v>
      </c>
      <c r="K1620" s="6">
        <f ca="1"/>
        <v>2.1428571428571104</v>
      </c>
      <c r="L1620" s="6">
        <f ca="1"/>
        <v>-6.4285714285729227</v>
      </c>
      <c r="M1620" s="6">
        <f ca="1"/>
        <v>-1.7857142857141071</v>
      </c>
      <c r="N1620" s="6">
        <f ca="1"/>
        <v>-6.0714285714286831E-2</v>
      </c>
      <c r="O1620" s="6">
        <f t="shared" ca="1" si="236"/>
        <v>46.785714285712778</v>
      </c>
      <c r="P1620" t="str">
        <f t="shared" si="237"/>
        <v>NA</v>
      </c>
      <c r="Q1620" s="10">
        <f t="shared" ca="1" si="238"/>
        <v>50.357142857140111</v>
      </c>
      <c r="R1620" s="10">
        <f t="shared" ca="1" si="239"/>
        <v>80.178571428570535</v>
      </c>
      <c r="S1620" s="10">
        <f t="shared" ca="1" si="240"/>
        <v>-29.821428571430424</v>
      </c>
      <c r="T1620" s="10">
        <f t="shared" ca="1" si="241"/>
        <v>491.17647058825679</v>
      </c>
      <c r="U1620" s="10">
        <f t="shared" ca="1" si="242"/>
        <v>491.17647058825679</v>
      </c>
      <c r="V1620">
        <f t="shared" si="243"/>
        <v>5</v>
      </c>
    </row>
    <row r="1621" spans="1:22" x14ac:dyDescent="0.25">
      <c r="A1621">
        <v>180</v>
      </c>
      <c r="B1621">
        <v>9</v>
      </c>
      <c r="C1621">
        <v>40</v>
      </c>
      <c r="D1621">
        <v>1</v>
      </c>
      <c r="E1621">
        <v>0</v>
      </c>
      <c r="F1621">
        <v>0</v>
      </c>
      <c r="G1621">
        <v>1</v>
      </c>
      <c r="H1621">
        <v>650</v>
      </c>
      <c r="I1621">
        <f t="shared" si="244"/>
        <v>1611</v>
      </c>
      <c r="J1621" s="6">
        <f t="array" aca="1" ref="J1621:N1621" ca="1">TRANSPOSE(ols(OFFSET($C$2:$C$10,I1621,0),OFFSET($D$2:$H$10,I1621,0)))</f>
        <v>79.821428571427532</v>
      </c>
      <c r="K1621" s="6">
        <f ca="1"/>
        <v>2.1428571428571104</v>
      </c>
      <c r="L1621" s="6">
        <f ca="1"/>
        <v>-6.4285714285729227</v>
      </c>
      <c r="M1621" s="6">
        <f ca="1"/>
        <v>-1.7857142857141071</v>
      </c>
      <c r="N1621" s="6">
        <f ca="1"/>
        <v>-6.0714285714286831E-2</v>
      </c>
      <c r="O1621" s="6">
        <f t="shared" ca="1" si="236"/>
        <v>38.571428571426985</v>
      </c>
      <c r="P1621" t="str">
        <f t="shared" si="237"/>
        <v>NA</v>
      </c>
      <c r="Q1621" s="10">
        <f t="shared" ca="1" si="238"/>
        <v>50.357142857140111</v>
      </c>
      <c r="R1621" s="10">
        <f t="shared" ca="1" si="239"/>
        <v>78.035714285713425</v>
      </c>
      <c r="S1621" s="10">
        <f t="shared" ca="1" si="240"/>
        <v>-27.678571428573314</v>
      </c>
      <c r="T1621" s="10">
        <f t="shared" ca="1" si="241"/>
        <v>455.88235294119914</v>
      </c>
      <c r="U1621" s="10">
        <f t="shared" ca="1" si="242"/>
        <v>455.88235294119914</v>
      </c>
      <c r="V1621">
        <f t="shared" si="243"/>
        <v>4</v>
      </c>
    </row>
    <row r="1622" spans="1:22" x14ac:dyDescent="0.25">
      <c r="A1622">
        <v>181</v>
      </c>
      <c r="B1622">
        <v>1</v>
      </c>
      <c r="C1622">
        <v>65</v>
      </c>
      <c r="D1622">
        <v>1</v>
      </c>
      <c r="E1622">
        <v>0</v>
      </c>
      <c r="F1622">
        <v>1</v>
      </c>
      <c r="G1622">
        <v>0</v>
      </c>
      <c r="H1622">
        <v>250</v>
      </c>
      <c r="I1622">
        <f t="shared" si="244"/>
        <v>1620</v>
      </c>
      <c r="J1622" s="6">
        <f t="array" aca="1" ref="J1622:N1622" ca="1">TRANSPOSE(ols(OFFSET($C$2:$C$10,I1622,0),OFFSET($D$2:$H$10,I1622,0)))</f>
        <v>72.857142857142208</v>
      </c>
      <c r="K1622" s="6">
        <f ca="1"/>
        <v>13.214285714285779</v>
      </c>
      <c r="L1622" s="6">
        <f ca="1"/>
        <v>7.8571428571422075</v>
      </c>
      <c r="M1622" s="6">
        <f ca="1"/>
        <v>-16.428571428571104</v>
      </c>
      <c r="N1622" s="6">
        <f ca="1"/>
        <v>-2.8571428571430246E-2</v>
      </c>
      <c r="O1622" s="6">
        <f t="shared" ca="1" si="236"/>
        <v>73.57142857142685</v>
      </c>
      <c r="P1622" t="str">
        <f t="shared" si="237"/>
        <v>NA</v>
      </c>
      <c r="Q1622" s="10">
        <f t="shared" ca="1" si="238"/>
        <v>54.285714285712729</v>
      </c>
      <c r="R1622" s="10">
        <f t="shared" ca="1" si="239"/>
        <v>80.714285714284415</v>
      </c>
      <c r="S1622" s="10">
        <f t="shared" ca="1" si="240"/>
        <v>-26.428571428571686</v>
      </c>
      <c r="T1622" s="10">
        <f t="shared" ca="1" si="241"/>
        <v>924.99999999995475</v>
      </c>
      <c r="U1622" s="10" t="str">
        <f t="shared" ca="1" si="242"/>
        <v>OR</v>
      </c>
      <c r="V1622">
        <f t="shared" si="243"/>
        <v>3</v>
      </c>
    </row>
    <row r="1623" spans="1:22" x14ac:dyDescent="0.25">
      <c r="A1623">
        <v>181</v>
      </c>
      <c r="B1623">
        <v>2</v>
      </c>
      <c r="C1623">
        <v>80</v>
      </c>
      <c r="D1623">
        <v>1</v>
      </c>
      <c r="E1623">
        <v>1</v>
      </c>
      <c r="F1623">
        <v>0</v>
      </c>
      <c r="G1623">
        <v>0</v>
      </c>
      <c r="H1623">
        <v>350</v>
      </c>
      <c r="I1623">
        <f t="shared" si="244"/>
        <v>1620</v>
      </c>
      <c r="J1623" s="6">
        <f t="array" aca="1" ref="J1623:N1623" ca="1">TRANSPOSE(ols(OFFSET($C$2:$C$10,I1623,0),OFFSET($D$2:$H$10,I1623,0)))</f>
        <v>72.857142857142208</v>
      </c>
      <c r="K1623" s="6">
        <f ca="1"/>
        <v>13.214285714285779</v>
      </c>
      <c r="L1623" s="6">
        <f ca="1"/>
        <v>7.8571428571422075</v>
      </c>
      <c r="M1623" s="6">
        <f ca="1"/>
        <v>-16.428571428571104</v>
      </c>
      <c r="N1623" s="6">
        <f ca="1"/>
        <v>-2.8571428571430246E-2</v>
      </c>
      <c r="O1623" s="6">
        <f t="shared" ca="1" si="236"/>
        <v>76.071428571427404</v>
      </c>
      <c r="P1623" t="str">
        <f t="shared" si="237"/>
        <v>NA</v>
      </c>
      <c r="Q1623" s="10">
        <f t="shared" ca="1" si="238"/>
        <v>54.285714285712729</v>
      </c>
      <c r="R1623" s="10">
        <f t="shared" ca="1" si="239"/>
        <v>86.071428571427987</v>
      </c>
      <c r="S1623" s="10">
        <f t="shared" ca="1" si="240"/>
        <v>-31.785714285715258</v>
      </c>
      <c r="T1623" s="10">
        <f t="shared" ca="1" si="241"/>
        <v>1112.4999999999688</v>
      </c>
      <c r="U1623" s="10" t="str">
        <f t="shared" ca="1" si="242"/>
        <v>OR</v>
      </c>
      <c r="V1623">
        <f t="shared" si="243"/>
        <v>2</v>
      </c>
    </row>
    <row r="1624" spans="1:22" x14ac:dyDescent="0.25">
      <c r="A1624">
        <v>181</v>
      </c>
      <c r="B1624">
        <v>3</v>
      </c>
      <c r="C1624">
        <v>80</v>
      </c>
      <c r="D1624">
        <v>1</v>
      </c>
      <c r="E1624">
        <v>1</v>
      </c>
      <c r="F1624">
        <v>0</v>
      </c>
      <c r="G1624">
        <v>0</v>
      </c>
      <c r="H1624">
        <v>450</v>
      </c>
      <c r="I1624">
        <f t="shared" si="244"/>
        <v>1620</v>
      </c>
      <c r="J1624" s="6">
        <f t="array" aca="1" ref="J1624:N1624" ca="1">TRANSPOSE(ols(OFFSET($C$2:$C$10,I1624,0),OFFSET($D$2:$H$10,I1624,0)))</f>
        <v>72.857142857142208</v>
      </c>
      <c r="K1624" s="6">
        <f ca="1"/>
        <v>13.214285714285779</v>
      </c>
      <c r="L1624" s="6">
        <f ca="1"/>
        <v>7.8571428571422075</v>
      </c>
      <c r="M1624" s="6">
        <f ca="1"/>
        <v>-16.428571428571104</v>
      </c>
      <c r="N1624" s="6">
        <f ca="1"/>
        <v>-2.8571428571430246E-2</v>
      </c>
      <c r="O1624" s="6">
        <f t="shared" ca="1" si="236"/>
        <v>73.214285714284372</v>
      </c>
      <c r="P1624" t="str">
        <f t="shared" si="237"/>
        <v>NA</v>
      </c>
      <c r="Q1624" s="10">
        <f t="shared" ca="1" si="238"/>
        <v>54.285714285712729</v>
      </c>
      <c r="R1624" s="10">
        <f t="shared" ca="1" si="239"/>
        <v>86.071428571427987</v>
      </c>
      <c r="S1624" s="10">
        <f t="shared" ca="1" si="240"/>
        <v>-31.785714285715258</v>
      </c>
      <c r="T1624" s="10">
        <f t="shared" ca="1" si="241"/>
        <v>1112.4999999999688</v>
      </c>
      <c r="U1624" s="10" t="str">
        <f t="shared" ca="1" si="242"/>
        <v>OR</v>
      </c>
      <c r="V1624">
        <f t="shared" si="243"/>
        <v>2</v>
      </c>
    </row>
    <row r="1625" spans="1:22" x14ac:dyDescent="0.25">
      <c r="A1625">
        <v>181</v>
      </c>
      <c r="B1625">
        <v>4</v>
      </c>
      <c r="C1625">
        <v>55</v>
      </c>
      <c r="D1625">
        <v>1</v>
      </c>
      <c r="E1625">
        <v>0</v>
      </c>
      <c r="F1625">
        <v>0</v>
      </c>
      <c r="G1625">
        <v>0</v>
      </c>
      <c r="H1625">
        <v>550</v>
      </c>
      <c r="I1625">
        <f t="shared" si="244"/>
        <v>1620</v>
      </c>
      <c r="J1625" s="6">
        <f t="array" aca="1" ref="J1625:N1625" ca="1">TRANSPOSE(ols(OFFSET($C$2:$C$10,I1625,0),OFFSET($D$2:$H$10,I1625,0)))</f>
        <v>72.857142857142208</v>
      </c>
      <c r="K1625" s="6">
        <f ca="1"/>
        <v>13.214285714285779</v>
      </c>
      <c r="L1625" s="6">
        <f ca="1"/>
        <v>7.8571428571422075</v>
      </c>
      <c r="M1625" s="6">
        <f ca="1"/>
        <v>-16.428571428571104</v>
      </c>
      <c r="N1625" s="6">
        <f ca="1"/>
        <v>-2.8571428571430246E-2</v>
      </c>
      <c r="O1625" s="6">
        <f t="shared" ca="1" si="236"/>
        <v>57.142857142855576</v>
      </c>
      <c r="P1625" t="str">
        <f t="shared" si="237"/>
        <v>NA</v>
      </c>
      <c r="Q1625" s="10">
        <f t="shared" ca="1" si="238"/>
        <v>54.285714285712729</v>
      </c>
      <c r="R1625" s="10">
        <f t="shared" ca="1" si="239"/>
        <v>72.857142857142208</v>
      </c>
      <c r="S1625" s="10">
        <f t="shared" ca="1" si="240"/>
        <v>-18.571428571429479</v>
      </c>
      <c r="T1625" s="10">
        <f t="shared" ca="1" si="241"/>
        <v>649.99999999999363</v>
      </c>
      <c r="U1625" s="10">
        <f t="shared" ca="1" si="242"/>
        <v>649.99999999999363</v>
      </c>
      <c r="V1625">
        <f t="shared" si="243"/>
        <v>1</v>
      </c>
    </row>
    <row r="1626" spans="1:22" x14ac:dyDescent="0.25">
      <c r="A1626">
        <v>181</v>
      </c>
      <c r="B1626">
        <v>5</v>
      </c>
      <c r="C1626">
        <v>60</v>
      </c>
      <c r="D1626">
        <v>1</v>
      </c>
      <c r="E1626">
        <v>0</v>
      </c>
      <c r="F1626">
        <v>1</v>
      </c>
      <c r="G1626">
        <v>1</v>
      </c>
      <c r="H1626">
        <v>250</v>
      </c>
      <c r="I1626">
        <f t="shared" si="244"/>
        <v>1620</v>
      </c>
      <c r="J1626" s="6">
        <f t="array" aca="1" ref="J1626:N1626" ca="1">TRANSPOSE(ols(OFFSET($C$2:$C$10,I1626,0),OFFSET($D$2:$H$10,I1626,0)))</f>
        <v>72.857142857142208</v>
      </c>
      <c r="K1626" s="6">
        <f ca="1"/>
        <v>13.214285714285779</v>
      </c>
      <c r="L1626" s="6">
        <f ca="1"/>
        <v>7.8571428571422075</v>
      </c>
      <c r="M1626" s="6">
        <f ca="1"/>
        <v>-16.428571428571104</v>
      </c>
      <c r="N1626" s="6">
        <f ca="1"/>
        <v>-2.8571428571430246E-2</v>
      </c>
      <c r="O1626" s="6">
        <f t="shared" ca="1" si="236"/>
        <v>57.142857142855746</v>
      </c>
      <c r="P1626" t="str">
        <f t="shared" si="237"/>
        <v>NA</v>
      </c>
      <c r="Q1626" s="10">
        <f t="shared" ca="1" si="238"/>
        <v>54.285714285712729</v>
      </c>
      <c r="R1626" s="10">
        <f t="shared" ca="1" si="239"/>
        <v>64.285714285713311</v>
      </c>
      <c r="S1626" s="10">
        <f t="shared" ca="1" si="240"/>
        <v>-10.000000000000583</v>
      </c>
      <c r="T1626" s="10">
        <f t="shared" ca="1" si="241"/>
        <v>349.99999999999989</v>
      </c>
      <c r="U1626" s="10">
        <f t="shared" ca="1" si="242"/>
        <v>349.99999999999989</v>
      </c>
      <c r="V1626">
        <f t="shared" si="243"/>
        <v>6</v>
      </c>
    </row>
    <row r="1627" spans="1:22" x14ac:dyDescent="0.25">
      <c r="A1627">
        <v>181</v>
      </c>
      <c r="B1627">
        <v>6</v>
      </c>
      <c r="C1627">
        <v>60</v>
      </c>
      <c r="D1627">
        <v>1</v>
      </c>
      <c r="E1627">
        <v>0</v>
      </c>
      <c r="F1627">
        <v>1</v>
      </c>
      <c r="G1627">
        <v>1</v>
      </c>
      <c r="H1627">
        <v>350</v>
      </c>
      <c r="I1627">
        <f t="shared" si="244"/>
        <v>1620</v>
      </c>
      <c r="J1627" s="6">
        <f t="array" aca="1" ref="J1627:N1627" ca="1">TRANSPOSE(ols(OFFSET($C$2:$C$10,I1627,0),OFFSET($D$2:$H$10,I1627,0)))</f>
        <v>72.857142857142208</v>
      </c>
      <c r="K1627" s="6">
        <f ca="1"/>
        <v>13.214285714285779</v>
      </c>
      <c r="L1627" s="6">
        <f ca="1"/>
        <v>7.8571428571422075</v>
      </c>
      <c r="M1627" s="6">
        <f ca="1"/>
        <v>-16.428571428571104</v>
      </c>
      <c r="N1627" s="6">
        <f ca="1"/>
        <v>-2.8571428571430246E-2</v>
      </c>
      <c r="O1627" s="6">
        <f t="shared" ca="1" si="236"/>
        <v>54.285714285712729</v>
      </c>
      <c r="P1627">
        <f t="shared" ca="1" si="237"/>
        <v>54.285714285712729</v>
      </c>
      <c r="Q1627" s="10">
        <f t="shared" ca="1" si="238"/>
        <v>54.285714285712729</v>
      </c>
      <c r="R1627" s="10">
        <f t="shared" ca="1" si="239"/>
        <v>64.285714285713311</v>
      </c>
      <c r="S1627" s="10">
        <f t="shared" ca="1" si="240"/>
        <v>-10.000000000000583</v>
      </c>
      <c r="T1627" s="10">
        <f t="shared" ca="1" si="241"/>
        <v>349.99999999999989</v>
      </c>
      <c r="U1627" s="10">
        <f t="shared" ca="1" si="242"/>
        <v>349.99999999999989</v>
      </c>
      <c r="V1627">
        <f t="shared" si="243"/>
        <v>6</v>
      </c>
    </row>
    <row r="1628" spans="1:22" x14ac:dyDescent="0.25">
      <c r="A1628">
        <v>181</v>
      </c>
      <c r="B1628">
        <v>7</v>
      </c>
      <c r="C1628">
        <v>50</v>
      </c>
      <c r="D1628">
        <v>1</v>
      </c>
      <c r="E1628">
        <v>1</v>
      </c>
      <c r="F1628">
        <v>0</v>
      </c>
      <c r="G1628">
        <v>1</v>
      </c>
      <c r="H1628">
        <v>450</v>
      </c>
      <c r="I1628">
        <f t="shared" si="244"/>
        <v>1620</v>
      </c>
      <c r="J1628" s="6">
        <f t="array" aca="1" ref="J1628:N1628" ca="1">TRANSPOSE(ols(OFFSET($C$2:$C$10,I1628,0),OFFSET($D$2:$H$10,I1628,0)))</f>
        <v>72.857142857142208</v>
      </c>
      <c r="K1628" s="6">
        <f ca="1"/>
        <v>13.214285714285779</v>
      </c>
      <c r="L1628" s="6">
        <f ca="1"/>
        <v>7.8571428571422075</v>
      </c>
      <c r="M1628" s="6">
        <f ca="1"/>
        <v>-16.428571428571104</v>
      </c>
      <c r="N1628" s="6">
        <f ca="1"/>
        <v>-2.8571428571430246E-2</v>
      </c>
      <c r="O1628" s="6">
        <f t="shared" ca="1" si="236"/>
        <v>56.785714285713269</v>
      </c>
      <c r="P1628" t="str">
        <f t="shared" si="237"/>
        <v>NA</v>
      </c>
      <c r="Q1628" s="10">
        <f t="shared" ca="1" si="238"/>
        <v>54.285714285712729</v>
      </c>
      <c r="R1628" s="10">
        <f t="shared" ca="1" si="239"/>
        <v>69.642857142856883</v>
      </c>
      <c r="S1628" s="10">
        <f t="shared" ca="1" si="240"/>
        <v>-15.357142857144154</v>
      </c>
      <c r="T1628" s="10">
        <f t="shared" ca="1" si="241"/>
        <v>537.50000000001387</v>
      </c>
      <c r="U1628" s="10">
        <f t="shared" ca="1" si="242"/>
        <v>537.50000000001387</v>
      </c>
      <c r="V1628">
        <f t="shared" si="243"/>
        <v>5</v>
      </c>
    </row>
    <row r="1629" spans="1:22" x14ac:dyDescent="0.25">
      <c r="A1629">
        <v>181</v>
      </c>
      <c r="B1629">
        <v>8</v>
      </c>
      <c r="C1629">
        <v>50</v>
      </c>
      <c r="D1629">
        <v>1</v>
      </c>
      <c r="E1629">
        <v>1</v>
      </c>
      <c r="F1629">
        <v>0</v>
      </c>
      <c r="G1629">
        <v>1</v>
      </c>
      <c r="H1629">
        <v>550</v>
      </c>
      <c r="I1629">
        <f t="shared" si="244"/>
        <v>1620</v>
      </c>
      <c r="J1629" s="6">
        <f t="array" aca="1" ref="J1629:N1629" ca="1">TRANSPOSE(ols(OFFSET($C$2:$C$10,I1629,0),OFFSET($D$2:$H$10,I1629,0)))</f>
        <v>72.857142857142208</v>
      </c>
      <c r="K1629" s="6">
        <f ca="1"/>
        <v>13.214285714285779</v>
      </c>
      <c r="L1629" s="6">
        <f ca="1"/>
        <v>7.8571428571422075</v>
      </c>
      <c r="M1629" s="6">
        <f ca="1"/>
        <v>-16.428571428571104</v>
      </c>
      <c r="N1629" s="6">
        <f ca="1"/>
        <v>-2.8571428571430246E-2</v>
      </c>
      <c r="O1629" s="6">
        <f t="shared" ca="1" si="236"/>
        <v>53.928571428570251</v>
      </c>
      <c r="P1629" t="str">
        <f t="shared" si="237"/>
        <v>NA</v>
      </c>
      <c r="Q1629" s="10">
        <f t="shared" ca="1" si="238"/>
        <v>54.285714285712729</v>
      </c>
      <c r="R1629" s="10">
        <f t="shared" ca="1" si="239"/>
        <v>69.642857142856883</v>
      </c>
      <c r="S1629" s="10">
        <f t="shared" ca="1" si="240"/>
        <v>-15.357142857144154</v>
      </c>
      <c r="T1629" s="10">
        <f t="shared" ca="1" si="241"/>
        <v>537.50000000001387</v>
      </c>
      <c r="U1629" s="10">
        <f t="shared" ca="1" si="242"/>
        <v>537.50000000001387</v>
      </c>
      <c r="V1629">
        <f t="shared" si="243"/>
        <v>5</v>
      </c>
    </row>
    <row r="1630" spans="1:22" x14ac:dyDescent="0.25">
      <c r="A1630">
        <v>181</v>
      </c>
      <c r="B1630">
        <v>9</v>
      </c>
      <c r="C1630">
        <v>40</v>
      </c>
      <c r="D1630">
        <v>1</v>
      </c>
      <c r="E1630">
        <v>0</v>
      </c>
      <c r="F1630">
        <v>0</v>
      </c>
      <c r="G1630">
        <v>1</v>
      </c>
      <c r="H1630">
        <v>650</v>
      </c>
      <c r="I1630">
        <f t="shared" si="244"/>
        <v>1620</v>
      </c>
      <c r="J1630" s="6">
        <f t="array" aca="1" ref="J1630:N1630" ca="1">TRANSPOSE(ols(OFFSET($C$2:$C$10,I1630,0),OFFSET($D$2:$H$10,I1630,0)))</f>
        <v>72.857142857142208</v>
      </c>
      <c r="K1630" s="6">
        <f ca="1"/>
        <v>13.214285714285779</v>
      </c>
      <c r="L1630" s="6">
        <f ca="1"/>
        <v>7.8571428571422075</v>
      </c>
      <c r="M1630" s="6">
        <f ca="1"/>
        <v>-16.428571428571104</v>
      </c>
      <c r="N1630" s="6">
        <f ca="1"/>
        <v>-2.8571428571430246E-2</v>
      </c>
      <c r="O1630" s="6">
        <f t="shared" ca="1" si="236"/>
        <v>37.85714285714144</v>
      </c>
      <c r="P1630" t="str">
        <f t="shared" si="237"/>
        <v>NA</v>
      </c>
      <c r="Q1630" s="10">
        <f t="shared" ca="1" si="238"/>
        <v>54.285714285712729</v>
      </c>
      <c r="R1630" s="10">
        <f t="shared" ca="1" si="239"/>
        <v>56.428571428571104</v>
      </c>
      <c r="S1630" s="10">
        <f t="shared" ca="1" si="240"/>
        <v>-2.1428571428583751</v>
      </c>
      <c r="T1630" s="10">
        <f t="shared" ca="1" si="241"/>
        <v>75.000000000038739</v>
      </c>
      <c r="U1630" s="10" t="str">
        <f t="shared" ca="1" si="242"/>
        <v>OR</v>
      </c>
      <c r="V1630">
        <f t="shared" si="243"/>
        <v>4</v>
      </c>
    </row>
    <row r="1631" spans="1:22" x14ac:dyDescent="0.25">
      <c r="A1631">
        <v>182</v>
      </c>
      <c r="B1631">
        <v>1</v>
      </c>
      <c r="C1631">
        <v>55</v>
      </c>
      <c r="D1631">
        <v>1</v>
      </c>
      <c r="E1631">
        <v>0</v>
      </c>
      <c r="F1631">
        <v>1</v>
      </c>
      <c r="G1631">
        <v>0</v>
      </c>
      <c r="H1631">
        <v>250</v>
      </c>
      <c r="I1631">
        <f t="shared" si="244"/>
        <v>1629</v>
      </c>
      <c r="J1631" s="6">
        <f t="array" aca="1" ref="J1631:N1631" ca="1">TRANSPOSE(ols(OFFSET($C$2:$C$10,I1631,0),OFFSET($D$2:$H$10,I1631,0)))</f>
        <v>65.178571428570649</v>
      </c>
      <c r="K1631" s="6">
        <f ca="1"/>
        <v>10.357142857142208</v>
      </c>
      <c r="L1631" s="6">
        <f ca="1"/>
        <v>6.428571428570649</v>
      </c>
      <c r="M1631" s="6">
        <f ca="1"/>
        <v>1.7857142857144481</v>
      </c>
      <c r="N1631" s="6">
        <f ca="1"/>
        <v>-3.9285714285716367E-2</v>
      </c>
      <c r="O1631" s="6">
        <f t="shared" ca="1" si="236"/>
        <v>61.785714285712203</v>
      </c>
      <c r="P1631" t="str">
        <f t="shared" si="237"/>
        <v>NA</v>
      </c>
      <c r="Q1631" s="10">
        <f t="shared" ca="1" si="238"/>
        <v>59.642857142855021</v>
      </c>
      <c r="R1631" s="10">
        <f t="shared" ca="1" si="239"/>
        <v>71.607142857141298</v>
      </c>
      <c r="S1631" s="10">
        <f t="shared" ca="1" si="240"/>
        <v>-11.964285714286277</v>
      </c>
      <c r="T1631" s="10">
        <f t="shared" ca="1" si="241"/>
        <v>304.54545454545274</v>
      </c>
      <c r="U1631" s="10">
        <f t="shared" ca="1" si="242"/>
        <v>304.54545454545274</v>
      </c>
      <c r="V1631">
        <f t="shared" si="243"/>
        <v>3</v>
      </c>
    </row>
    <row r="1632" spans="1:22" x14ac:dyDescent="0.25">
      <c r="A1632">
        <v>182</v>
      </c>
      <c r="B1632">
        <v>2</v>
      </c>
      <c r="C1632">
        <v>65</v>
      </c>
      <c r="D1632">
        <v>1</v>
      </c>
      <c r="E1632">
        <v>1</v>
      </c>
      <c r="F1632">
        <v>0</v>
      </c>
      <c r="G1632">
        <v>0</v>
      </c>
      <c r="H1632">
        <v>350</v>
      </c>
      <c r="I1632">
        <f t="shared" si="244"/>
        <v>1629</v>
      </c>
      <c r="J1632" s="6">
        <f t="array" aca="1" ref="J1632:N1632" ca="1">TRANSPOSE(ols(OFFSET($C$2:$C$10,I1632,0),OFFSET($D$2:$H$10,I1632,0)))</f>
        <v>65.178571428570649</v>
      </c>
      <c r="K1632" s="6">
        <f ca="1"/>
        <v>10.357142857142208</v>
      </c>
      <c r="L1632" s="6">
        <f ca="1"/>
        <v>6.428571428570649</v>
      </c>
      <c r="M1632" s="6">
        <f ca="1"/>
        <v>1.7857142857144481</v>
      </c>
      <c r="N1632" s="6">
        <f ca="1"/>
        <v>-3.9285714285716367E-2</v>
      </c>
      <c r="O1632" s="6">
        <f t="shared" ca="1" si="236"/>
        <v>61.785714285712132</v>
      </c>
      <c r="P1632" t="str">
        <f t="shared" si="237"/>
        <v>NA</v>
      </c>
      <c r="Q1632" s="10">
        <f t="shared" ca="1" si="238"/>
        <v>59.642857142855021</v>
      </c>
      <c r="R1632" s="10">
        <f t="shared" ca="1" si="239"/>
        <v>75.535714285712857</v>
      </c>
      <c r="S1632" s="10">
        <f t="shared" ca="1" si="240"/>
        <v>-15.892857142857835</v>
      </c>
      <c r="T1632" s="10">
        <f t="shared" ca="1" si="241"/>
        <v>404.54545454545075</v>
      </c>
      <c r="U1632" s="10">
        <f t="shared" ca="1" si="242"/>
        <v>404.54545454545075</v>
      </c>
      <c r="V1632">
        <f t="shared" si="243"/>
        <v>2</v>
      </c>
    </row>
    <row r="1633" spans="1:22" x14ac:dyDescent="0.25">
      <c r="A1633">
        <v>182</v>
      </c>
      <c r="B1633">
        <v>3</v>
      </c>
      <c r="C1633">
        <v>60</v>
      </c>
      <c r="D1633">
        <v>1</v>
      </c>
      <c r="E1633">
        <v>1</v>
      </c>
      <c r="F1633">
        <v>0</v>
      </c>
      <c r="G1633">
        <v>0</v>
      </c>
      <c r="H1633">
        <v>450</v>
      </c>
      <c r="I1633">
        <f t="shared" si="244"/>
        <v>1629</v>
      </c>
      <c r="J1633" s="6">
        <f t="array" aca="1" ref="J1633:N1633" ca="1">TRANSPOSE(ols(OFFSET($C$2:$C$10,I1633,0),OFFSET($D$2:$H$10,I1633,0)))</f>
        <v>65.178571428570649</v>
      </c>
      <c r="K1633" s="6">
        <f ca="1"/>
        <v>10.357142857142208</v>
      </c>
      <c r="L1633" s="6">
        <f ca="1"/>
        <v>6.428571428570649</v>
      </c>
      <c r="M1633" s="6">
        <f ca="1"/>
        <v>1.7857142857144481</v>
      </c>
      <c r="N1633" s="6">
        <f ca="1"/>
        <v>-3.9285714285716367E-2</v>
      </c>
      <c r="O1633" s="6">
        <f t="shared" ca="1" si="236"/>
        <v>57.857142857140488</v>
      </c>
      <c r="P1633" t="str">
        <f t="shared" si="237"/>
        <v>NA</v>
      </c>
      <c r="Q1633" s="10">
        <f t="shared" ca="1" si="238"/>
        <v>59.642857142855021</v>
      </c>
      <c r="R1633" s="10">
        <f t="shared" ca="1" si="239"/>
        <v>75.535714285712857</v>
      </c>
      <c r="S1633" s="10">
        <f t="shared" ca="1" si="240"/>
        <v>-15.892857142857835</v>
      </c>
      <c r="T1633" s="10">
        <f t="shared" ca="1" si="241"/>
        <v>404.54545454545075</v>
      </c>
      <c r="U1633" s="10">
        <f t="shared" ca="1" si="242"/>
        <v>404.54545454545075</v>
      </c>
      <c r="V1633">
        <f t="shared" si="243"/>
        <v>2</v>
      </c>
    </row>
    <row r="1634" spans="1:22" x14ac:dyDescent="0.25">
      <c r="A1634">
        <v>182</v>
      </c>
      <c r="B1634">
        <v>4</v>
      </c>
      <c r="C1634">
        <v>45</v>
      </c>
      <c r="D1634">
        <v>1</v>
      </c>
      <c r="E1634">
        <v>0</v>
      </c>
      <c r="F1634">
        <v>0</v>
      </c>
      <c r="G1634">
        <v>0</v>
      </c>
      <c r="H1634">
        <v>550</v>
      </c>
      <c r="I1634">
        <f t="shared" si="244"/>
        <v>1629</v>
      </c>
      <c r="J1634" s="6">
        <f t="array" aca="1" ref="J1634:N1634" ca="1">TRANSPOSE(ols(OFFSET($C$2:$C$10,I1634,0),OFFSET($D$2:$H$10,I1634,0)))</f>
        <v>65.178571428570649</v>
      </c>
      <c r="K1634" s="6">
        <f ca="1"/>
        <v>10.357142857142208</v>
      </c>
      <c r="L1634" s="6">
        <f ca="1"/>
        <v>6.428571428570649</v>
      </c>
      <c r="M1634" s="6">
        <f ca="1"/>
        <v>1.7857142857144481</v>
      </c>
      <c r="N1634" s="6">
        <f ca="1"/>
        <v>-3.9285714285716367E-2</v>
      </c>
      <c r="O1634" s="6">
        <f t="shared" ca="1" si="236"/>
        <v>43.571428571426651</v>
      </c>
      <c r="P1634" t="str">
        <f t="shared" si="237"/>
        <v>NA</v>
      </c>
      <c r="Q1634" s="10">
        <f t="shared" ca="1" si="238"/>
        <v>59.642857142855021</v>
      </c>
      <c r="R1634" s="10">
        <f t="shared" ca="1" si="239"/>
        <v>65.178571428570649</v>
      </c>
      <c r="S1634" s="10">
        <f t="shared" ca="1" si="240"/>
        <v>-5.5357142857156276</v>
      </c>
      <c r="T1634" s="10">
        <f t="shared" ca="1" si="241"/>
        <v>140.90909090911759</v>
      </c>
      <c r="U1634" s="10" t="str">
        <f t="shared" ca="1" si="242"/>
        <v>OR</v>
      </c>
      <c r="V1634">
        <f t="shared" si="243"/>
        <v>1</v>
      </c>
    </row>
    <row r="1635" spans="1:22" x14ac:dyDescent="0.25">
      <c r="A1635">
        <v>182</v>
      </c>
      <c r="B1635">
        <v>5</v>
      </c>
      <c r="C1635">
        <v>65</v>
      </c>
      <c r="D1635">
        <v>1</v>
      </c>
      <c r="E1635">
        <v>0</v>
      </c>
      <c r="F1635">
        <v>1</v>
      </c>
      <c r="G1635">
        <v>1</v>
      </c>
      <c r="H1635">
        <v>250</v>
      </c>
      <c r="I1635">
        <f t="shared" si="244"/>
        <v>1629</v>
      </c>
      <c r="J1635" s="6">
        <f t="array" aca="1" ref="J1635:N1635" ca="1">TRANSPOSE(ols(OFFSET($C$2:$C$10,I1635,0),OFFSET($D$2:$H$10,I1635,0)))</f>
        <v>65.178571428570649</v>
      </c>
      <c r="K1635" s="6">
        <f ca="1"/>
        <v>10.357142857142208</v>
      </c>
      <c r="L1635" s="6">
        <f ca="1"/>
        <v>6.428571428570649</v>
      </c>
      <c r="M1635" s="6">
        <f ca="1"/>
        <v>1.7857142857144481</v>
      </c>
      <c r="N1635" s="6">
        <f ca="1"/>
        <v>-3.9285714285716367E-2</v>
      </c>
      <c r="O1635" s="6">
        <f t="shared" ca="1" si="236"/>
        <v>63.571428571426651</v>
      </c>
      <c r="P1635" t="str">
        <f t="shared" si="237"/>
        <v>NA</v>
      </c>
      <c r="Q1635" s="10">
        <f t="shared" ca="1" si="238"/>
        <v>59.642857142855021</v>
      </c>
      <c r="R1635" s="10">
        <f t="shared" ca="1" si="239"/>
        <v>73.392857142855746</v>
      </c>
      <c r="S1635" s="10">
        <f t="shared" ca="1" si="240"/>
        <v>-13.750000000000725</v>
      </c>
      <c r="T1635" s="10">
        <f t="shared" ca="1" si="241"/>
        <v>349.99999999999989</v>
      </c>
      <c r="U1635" s="10">
        <f t="shared" ca="1" si="242"/>
        <v>349.99999999999989</v>
      </c>
      <c r="V1635">
        <f t="shared" si="243"/>
        <v>6</v>
      </c>
    </row>
    <row r="1636" spans="1:22" x14ac:dyDescent="0.25">
      <c r="A1636">
        <v>182</v>
      </c>
      <c r="B1636">
        <v>6</v>
      </c>
      <c r="C1636">
        <v>65</v>
      </c>
      <c r="D1636">
        <v>1</v>
      </c>
      <c r="E1636">
        <v>0</v>
      </c>
      <c r="F1636">
        <v>1</v>
      </c>
      <c r="G1636">
        <v>1</v>
      </c>
      <c r="H1636">
        <v>350</v>
      </c>
      <c r="I1636">
        <f t="shared" si="244"/>
        <v>1629</v>
      </c>
      <c r="J1636" s="6">
        <f t="array" aca="1" ref="J1636:N1636" ca="1">TRANSPOSE(ols(OFFSET($C$2:$C$10,I1636,0),OFFSET($D$2:$H$10,I1636,0)))</f>
        <v>65.178571428570649</v>
      </c>
      <c r="K1636" s="6">
        <f ca="1"/>
        <v>10.357142857142208</v>
      </c>
      <c r="L1636" s="6">
        <f ca="1"/>
        <v>6.428571428570649</v>
      </c>
      <c r="M1636" s="6">
        <f ca="1"/>
        <v>1.7857142857144481</v>
      </c>
      <c r="N1636" s="6">
        <f ca="1"/>
        <v>-3.9285714285716367E-2</v>
      </c>
      <c r="O1636" s="6">
        <f t="shared" ca="1" si="236"/>
        <v>59.642857142855021</v>
      </c>
      <c r="P1636">
        <f t="shared" ca="1" si="237"/>
        <v>59.642857142855021</v>
      </c>
      <c r="Q1636" s="10">
        <f t="shared" ca="1" si="238"/>
        <v>59.642857142855021</v>
      </c>
      <c r="R1636" s="10">
        <f t="shared" ca="1" si="239"/>
        <v>73.392857142855746</v>
      </c>
      <c r="S1636" s="10">
        <f t="shared" ca="1" si="240"/>
        <v>-13.750000000000725</v>
      </c>
      <c r="T1636" s="10">
        <f t="shared" ca="1" si="241"/>
        <v>349.99999999999989</v>
      </c>
      <c r="U1636" s="10">
        <f t="shared" ca="1" si="242"/>
        <v>349.99999999999989</v>
      </c>
      <c r="V1636">
        <f t="shared" si="243"/>
        <v>6</v>
      </c>
    </row>
    <row r="1637" spans="1:22" x14ac:dyDescent="0.25">
      <c r="A1637">
        <v>182</v>
      </c>
      <c r="B1637">
        <v>7</v>
      </c>
      <c r="C1637">
        <v>55</v>
      </c>
      <c r="D1637">
        <v>1</v>
      </c>
      <c r="E1637">
        <v>1</v>
      </c>
      <c r="F1637">
        <v>0</v>
      </c>
      <c r="G1637">
        <v>1</v>
      </c>
      <c r="H1637">
        <v>450</v>
      </c>
      <c r="I1637">
        <f t="shared" si="244"/>
        <v>1629</v>
      </c>
      <c r="J1637" s="6">
        <f t="array" aca="1" ref="J1637:N1637" ca="1">TRANSPOSE(ols(OFFSET($C$2:$C$10,I1637,0),OFFSET($D$2:$H$10,I1637,0)))</f>
        <v>65.178571428570649</v>
      </c>
      <c r="K1637" s="6">
        <f ca="1"/>
        <v>10.357142857142208</v>
      </c>
      <c r="L1637" s="6">
        <f ca="1"/>
        <v>6.428571428570649</v>
      </c>
      <c r="M1637" s="6">
        <f ca="1"/>
        <v>1.7857142857144481</v>
      </c>
      <c r="N1637" s="6">
        <f ca="1"/>
        <v>-3.9285714285716367E-2</v>
      </c>
      <c r="O1637" s="6">
        <f t="shared" ca="1" si="236"/>
        <v>59.642857142854936</v>
      </c>
      <c r="P1637" t="str">
        <f t="shared" si="237"/>
        <v>NA</v>
      </c>
      <c r="Q1637" s="10">
        <f t="shared" ca="1" si="238"/>
        <v>59.642857142855021</v>
      </c>
      <c r="R1637" s="10">
        <f t="shared" ca="1" si="239"/>
        <v>77.321428571427305</v>
      </c>
      <c r="S1637" s="10">
        <f t="shared" ca="1" si="240"/>
        <v>-17.678571428572283</v>
      </c>
      <c r="T1637" s="10">
        <f t="shared" ca="1" si="241"/>
        <v>449.9999999999979</v>
      </c>
      <c r="U1637" s="10">
        <f t="shared" ca="1" si="242"/>
        <v>449.9999999999979</v>
      </c>
      <c r="V1637">
        <f t="shared" si="243"/>
        <v>5</v>
      </c>
    </row>
    <row r="1638" spans="1:22" x14ac:dyDescent="0.25">
      <c r="A1638">
        <v>182</v>
      </c>
      <c r="B1638">
        <v>8</v>
      </c>
      <c r="C1638">
        <v>55</v>
      </c>
      <c r="D1638">
        <v>1</v>
      </c>
      <c r="E1638">
        <v>1</v>
      </c>
      <c r="F1638">
        <v>0</v>
      </c>
      <c r="G1638">
        <v>1</v>
      </c>
      <c r="H1638">
        <v>550</v>
      </c>
      <c r="I1638">
        <f t="shared" si="244"/>
        <v>1629</v>
      </c>
      <c r="J1638" s="6">
        <f t="array" aca="1" ref="J1638:N1638" ca="1">TRANSPOSE(ols(OFFSET($C$2:$C$10,I1638,0),OFFSET($D$2:$H$10,I1638,0)))</f>
        <v>65.178571428570649</v>
      </c>
      <c r="K1638" s="6">
        <f ca="1"/>
        <v>10.357142857142208</v>
      </c>
      <c r="L1638" s="6">
        <f ca="1"/>
        <v>6.428571428570649</v>
      </c>
      <c r="M1638" s="6">
        <f ca="1"/>
        <v>1.7857142857144481</v>
      </c>
      <c r="N1638" s="6">
        <f ca="1"/>
        <v>-3.9285714285716367E-2</v>
      </c>
      <c r="O1638" s="6">
        <f t="shared" ca="1" si="236"/>
        <v>55.714285714283307</v>
      </c>
      <c r="P1638" t="str">
        <f t="shared" si="237"/>
        <v>NA</v>
      </c>
      <c r="Q1638" s="10">
        <f t="shared" ca="1" si="238"/>
        <v>59.642857142855021</v>
      </c>
      <c r="R1638" s="10">
        <f t="shared" ca="1" si="239"/>
        <v>77.321428571427305</v>
      </c>
      <c r="S1638" s="10">
        <f t="shared" ca="1" si="240"/>
        <v>-17.678571428572283</v>
      </c>
      <c r="T1638" s="10">
        <f t="shared" ca="1" si="241"/>
        <v>449.9999999999979</v>
      </c>
      <c r="U1638" s="10">
        <f t="shared" ca="1" si="242"/>
        <v>449.9999999999979</v>
      </c>
      <c r="V1638">
        <f t="shared" si="243"/>
        <v>5</v>
      </c>
    </row>
    <row r="1639" spans="1:22" x14ac:dyDescent="0.25">
      <c r="A1639">
        <v>182</v>
      </c>
      <c r="B1639">
        <v>9</v>
      </c>
      <c r="C1639">
        <v>40</v>
      </c>
      <c r="D1639">
        <v>1</v>
      </c>
      <c r="E1639">
        <v>0</v>
      </c>
      <c r="F1639">
        <v>0</v>
      </c>
      <c r="G1639">
        <v>1</v>
      </c>
      <c r="H1639">
        <v>650</v>
      </c>
      <c r="I1639">
        <f t="shared" si="244"/>
        <v>1629</v>
      </c>
      <c r="J1639" s="6">
        <f t="array" aca="1" ref="J1639:N1639" ca="1">TRANSPOSE(ols(OFFSET($C$2:$C$10,I1639,0),OFFSET($D$2:$H$10,I1639,0)))</f>
        <v>65.178571428570649</v>
      </c>
      <c r="K1639" s="6">
        <f ca="1"/>
        <v>10.357142857142208</v>
      </c>
      <c r="L1639" s="6">
        <f ca="1"/>
        <v>6.428571428570649</v>
      </c>
      <c r="M1639" s="6">
        <f ca="1"/>
        <v>1.7857142857144481</v>
      </c>
      <c r="N1639" s="6">
        <f ca="1"/>
        <v>-3.9285714285716367E-2</v>
      </c>
      <c r="O1639" s="6">
        <f t="shared" ca="1" si="236"/>
        <v>41.428571428569455</v>
      </c>
      <c r="P1639" t="str">
        <f t="shared" si="237"/>
        <v>NA</v>
      </c>
      <c r="Q1639" s="10">
        <f t="shared" ca="1" si="238"/>
        <v>59.642857142855021</v>
      </c>
      <c r="R1639" s="10">
        <f t="shared" ca="1" si="239"/>
        <v>66.964285714285097</v>
      </c>
      <c r="S1639" s="10">
        <f t="shared" ca="1" si="240"/>
        <v>-7.3214285714300757</v>
      </c>
      <c r="T1639" s="10">
        <f t="shared" ca="1" si="241"/>
        <v>186.3636363636648</v>
      </c>
      <c r="U1639" s="10" t="str">
        <f t="shared" ca="1" si="242"/>
        <v>OR</v>
      </c>
      <c r="V1639">
        <f t="shared" si="243"/>
        <v>4</v>
      </c>
    </row>
    <row r="1640" spans="1:22" x14ac:dyDescent="0.25">
      <c r="A1640">
        <v>183</v>
      </c>
      <c r="B1640">
        <v>1</v>
      </c>
      <c r="C1640">
        <v>60</v>
      </c>
      <c r="D1640">
        <v>1</v>
      </c>
      <c r="E1640">
        <v>0</v>
      </c>
      <c r="F1640">
        <v>1</v>
      </c>
      <c r="G1640">
        <v>0</v>
      </c>
      <c r="H1640">
        <v>250</v>
      </c>
      <c r="I1640">
        <f t="shared" si="244"/>
        <v>1638</v>
      </c>
      <c r="J1640" s="6">
        <f t="array" aca="1" ref="J1640:N1640" ca="1">TRANSPOSE(ols(OFFSET($C$2:$C$10,I1640,0),OFFSET($D$2:$H$10,I1640,0)))</f>
        <v>69.047619047620174</v>
      </c>
      <c r="K1640" s="6">
        <f ca="1"/>
        <v>3.9285714285713311</v>
      </c>
      <c r="L1640" s="6">
        <f ca="1"/>
        <v>-0.95238095238164533</v>
      </c>
      <c r="M1640" s="6">
        <f ca="1"/>
        <v>-9.5238095238091773</v>
      </c>
      <c r="N1640" s="6">
        <f ca="1"/>
        <v>-2.3809523809525501E-2</v>
      </c>
      <c r="O1640" s="6">
        <f t="shared" ca="1" si="236"/>
        <v>62.142857142857153</v>
      </c>
      <c r="P1640" t="str">
        <f t="shared" si="237"/>
        <v>NA</v>
      </c>
      <c r="Q1640" s="10">
        <f t="shared" ca="1" si="238"/>
        <v>50.238095238095426</v>
      </c>
      <c r="R1640" s="10">
        <f t="shared" ca="1" si="239"/>
        <v>68.095238095238528</v>
      </c>
      <c r="S1640" s="10">
        <f t="shared" ca="1" si="240"/>
        <v>-17.857142857143103</v>
      </c>
      <c r="T1640" s="10">
        <f t="shared" ca="1" si="241"/>
        <v>749.99999999995703</v>
      </c>
      <c r="U1640" s="10" t="str">
        <f t="shared" ca="1" si="242"/>
        <v>OR</v>
      </c>
      <c r="V1640">
        <f t="shared" si="243"/>
        <v>3</v>
      </c>
    </row>
    <row r="1641" spans="1:22" x14ac:dyDescent="0.25">
      <c r="A1641">
        <v>183</v>
      </c>
      <c r="B1641">
        <v>2</v>
      </c>
      <c r="C1641">
        <v>65</v>
      </c>
      <c r="D1641">
        <v>1</v>
      </c>
      <c r="E1641">
        <v>1</v>
      </c>
      <c r="F1641">
        <v>0</v>
      </c>
      <c r="G1641">
        <v>0</v>
      </c>
      <c r="H1641">
        <v>350</v>
      </c>
      <c r="I1641">
        <f t="shared" si="244"/>
        <v>1638</v>
      </c>
      <c r="J1641" s="6">
        <f t="array" aca="1" ref="J1641:N1641" ca="1">TRANSPOSE(ols(OFFSET($C$2:$C$10,I1641,0),OFFSET($D$2:$H$10,I1641,0)))</f>
        <v>69.047619047620174</v>
      </c>
      <c r="K1641" s="6">
        <f ca="1"/>
        <v>3.9285714285713311</v>
      </c>
      <c r="L1641" s="6">
        <f ca="1"/>
        <v>-0.95238095238164533</v>
      </c>
      <c r="M1641" s="6">
        <f ca="1"/>
        <v>-9.5238095238091773</v>
      </c>
      <c r="N1641" s="6">
        <f ca="1"/>
        <v>-2.3809523809525501E-2</v>
      </c>
      <c r="O1641" s="6">
        <f t="shared" ca="1" si="236"/>
        <v>64.642857142857579</v>
      </c>
      <c r="P1641" t="str">
        <f t="shared" si="237"/>
        <v>NA</v>
      </c>
      <c r="Q1641" s="10">
        <f t="shared" ca="1" si="238"/>
        <v>50.238095238095426</v>
      </c>
      <c r="R1641" s="10">
        <f t="shared" ca="1" si="239"/>
        <v>72.976190476191505</v>
      </c>
      <c r="S1641" s="10">
        <f t="shared" ca="1" si="240"/>
        <v>-22.738095238096079</v>
      </c>
      <c r="T1641" s="10">
        <f t="shared" ca="1" si="241"/>
        <v>954.99999999996749</v>
      </c>
      <c r="U1641" s="10" t="str">
        <f t="shared" ca="1" si="242"/>
        <v>OR</v>
      </c>
      <c r="V1641">
        <f t="shared" si="243"/>
        <v>2</v>
      </c>
    </row>
    <row r="1642" spans="1:22" x14ac:dyDescent="0.25">
      <c r="A1642">
        <v>183</v>
      </c>
      <c r="B1642">
        <v>3</v>
      </c>
      <c r="C1642">
        <v>65</v>
      </c>
      <c r="D1642">
        <v>1</v>
      </c>
      <c r="E1642">
        <v>1</v>
      </c>
      <c r="F1642">
        <v>0</v>
      </c>
      <c r="G1642">
        <v>0</v>
      </c>
      <c r="H1642">
        <v>450</v>
      </c>
      <c r="I1642">
        <f t="shared" si="244"/>
        <v>1638</v>
      </c>
      <c r="J1642" s="6">
        <f t="array" aca="1" ref="J1642:N1642" ca="1">TRANSPOSE(ols(OFFSET($C$2:$C$10,I1642,0),OFFSET($D$2:$H$10,I1642,0)))</f>
        <v>69.047619047620174</v>
      </c>
      <c r="K1642" s="6">
        <f ca="1"/>
        <v>3.9285714285713311</v>
      </c>
      <c r="L1642" s="6">
        <f ca="1"/>
        <v>-0.95238095238164533</v>
      </c>
      <c r="M1642" s="6">
        <f ca="1"/>
        <v>-9.5238095238091773</v>
      </c>
      <c r="N1642" s="6">
        <f ca="1"/>
        <v>-2.3809523809525501E-2</v>
      </c>
      <c r="O1642" s="6">
        <f t="shared" ca="1" si="236"/>
        <v>62.261904761905029</v>
      </c>
      <c r="P1642" t="str">
        <f t="shared" si="237"/>
        <v>NA</v>
      </c>
      <c r="Q1642" s="10">
        <f t="shared" ca="1" si="238"/>
        <v>50.238095238095426</v>
      </c>
      <c r="R1642" s="10">
        <f t="shared" ca="1" si="239"/>
        <v>72.976190476191505</v>
      </c>
      <c r="S1642" s="10">
        <f t="shared" ca="1" si="240"/>
        <v>-22.738095238096079</v>
      </c>
      <c r="T1642" s="10">
        <f t="shared" ca="1" si="241"/>
        <v>954.99999999996749</v>
      </c>
      <c r="U1642" s="10" t="str">
        <f t="shared" ca="1" si="242"/>
        <v>OR</v>
      </c>
      <c r="V1642">
        <f t="shared" si="243"/>
        <v>2</v>
      </c>
    </row>
    <row r="1643" spans="1:22" x14ac:dyDescent="0.25">
      <c r="A1643">
        <v>183</v>
      </c>
      <c r="B1643">
        <v>4</v>
      </c>
      <c r="C1643">
        <v>55</v>
      </c>
      <c r="D1643">
        <v>1</v>
      </c>
      <c r="E1643">
        <v>0</v>
      </c>
      <c r="F1643">
        <v>0</v>
      </c>
      <c r="G1643">
        <v>0</v>
      </c>
      <c r="H1643">
        <v>550</v>
      </c>
      <c r="I1643">
        <f t="shared" si="244"/>
        <v>1638</v>
      </c>
      <c r="J1643" s="6">
        <f t="array" aca="1" ref="J1643:N1643" ca="1">TRANSPOSE(ols(OFFSET($C$2:$C$10,I1643,0),OFFSET($D$2:$H$10,I1643,0)))</f>
        <v>69.047619047620174</v>
      </c>
      <c r="K1643" s="6">
        <f ca="1"/>
        <v>3.9285714285713311</v>
      </c>
      <c r="L1643" s="6">
        <f ca="1"/>
        <v>-0.95238095238164533</v>
      </c>
      <c r="M1643" s="6">
        <f ca="1"/>
        <v>-9.5238095238091773</v>
      </c>
      <c r="N1643" s="6">
        <f ca="1"/>
        <v>-2.3809523809525501E-2</v>
      </c>
      <c r="O1643" s="6">
        <f t="shared" ca="1" si="236"/>
        <v>55.952380952381148</v>
      </c>
      <c r="P1643" t="str">
        <f t="shared" si="237"/>
        <v>NA</v>
      </c>
      <c r="Q1643" s="10">
        <f t="shared" ca="1" si="238"/>
        <v>50.238095238095426</v>
      </c>
      <c r="R1643" s="10">
        <f t="shared" ca="1" si="239"/>
        <v>69.047619047620174</v>
      </c>
      <c r="S1643" s="10">
        <f t="shared" ca="1" si="240"/>
        <v>-18.809523809524748</v>
      </c>
      <c r="T1643" s="10">
        <f t="shared" ca="1" si="241"/>
        <v>789.99999999998329</v>
      </c>
      <c r="U1643" s="10" t="str">
        <f t="shared" ca="1" si="242"/>
        <v>OR</v>
      </c>
      <c r="V1643">
        <f t="shared" si="243"/>
        <v>1</v>
      </c>
    </row>
    <row r="1644" spans="1:22" x14ac:dyDescent="0.25">
      <c r="A1644">
        <v>183</v>
      </c>
      <c r="B1644">
        <v>5</v>
      </c>
      <c r="C1644">
        <v>50</v>
      </c>
      <c r="D1644">
        <v>1</v>
      </c>
      <c r="E1644">
        <v>0</v>
      </c>
      <c r="F1644">
        <v>1</v>
      </c>
      <c r="G1644">
        <v>1</v>
      </c>
      <c r="H1644">
        <v>250</v>
      </c>
      <c r="I1644">
        <f t="shared" si="244"/>
        <v>1638</v>
      </c>
      <c r="J1644" s="6">
        <f t="array" aca="1" ref="J1644:N1644" ca="1">TRANSPOSE(ols(OFFSET($C$2:$C$10,I1644,0),OFFSET($D$2:$H$10,I1644,0)))</f>
        <v>69.047619047620174</v>
      </c>
      <c r="K1644" s="6">
        <f ca="1"/>
        <v>3.9285714285713311</v>
      </c>
      <c r="L1644" s="6">
        <f ca="1"/>
        <v>-0.95238095238164533</v>
      </c>
      <c r="M1644" s="6">
        <f ca="1"/>
        <v>-9.5238095238091773</v>
      </c>
      <c r="N1644" s="6">
        <f ca="1"/>
        <v>-2.3809523809525501E-2</v>
      </c>
      <c r="O1644" s="6">
        <f t="shared" ca="1" si="236"/>
        <v>52.619047619047976</v>
      </c>
      <c r="P1644" t="str">
        <f t="shared" si="237"/>
        <v>NA</v>
      </c>
      <c r="Q1644" s="10">
        <f t="shared" ca="1" si="238"/>
        <v>50.238095238095426</v>
      </c>
      <c r="R1644" s="10">
        <f t="shared" ca="1" si="239"/>
        <v>58.571428571429351</v>
      </c>
      <c r="S1644" s="10">
        <f t="shared" ca="1" si="240"/>
        <v>-8.3333333333339255</v>
      </c>
      <c r="T1644" s="10">
        <f t="shared" ca="1" si="241"/>
        <v>350</v>
      </c>
      <c r="U1644" s="10">
        <f t="shared" ca="1" si="242"/>
        <v>350</v>
      </c>
      <c r="V1644">
        <f t="shared" si="243"/>
        <v>6</v>
      </c>
    </row>
    <row r="1645" spans="1:22" x14ac:dyDescent="0.25">
      <c r="A1645">
        <v>183</v>
      </c>
      <c r="B1645">
        <v>6</v>
      </c>
      <c r="C1645">
        <v>55</v>
      </c>
      <c r="D1645">
        <v>1</v>
      </c>
      <c r="E1645">
        <v>0</v>
      </c>
      <c r="F1645">
        <v>1</v>
      </c>
      <c r="G1645">
        <v>1</v>
      </c>
      <c r="H1645">
        <v>350</v>
      </c>
      <c r="I1645">
        <f t="shared" si="244"/>
        <v>1638</v>
      </c>
      <c r="J1645" s="6">
        <f t="array" aca="1" ref="J1645:N1645" ca="1">TRANSPOSE(ols(OFFSET($C$2:$C$10,I1645,0),OFFSET($D$2:$H$10,I1645,0)))</f>
        <v>69.047619047620174</v>
      </c>
      <c r="K1645" s="6">
        <f ca="1"/>
        <v>3.9285714285713311</v>
      </c>
      <c r="L1645" s="6">
        <f ca="1"/>
        <v>-0.95238095238164533</v>
      </c>
      <c r="M1645" s="6">
        <f ca="1"/>
        <v>-9.5238095238091773</v>
      </c>
      <c r="N1645" s="6">
        <f ca="1"/>
        <v>-2.3809523809525501E-2</v>
      </c>
      <c r="O1645" s="6">
        <f t="shared" ca="1" si="236"/>
        <v>50.238095238095426</v>
      </c>
      <c r="P1645">
        <f t="shared" ca="1" si="237"/>
        <v>50.238095238095426</v>
      </c>
      <c r="Q1645" s="10">
        <f t="shared" ca="1" si="238"/>
        <v>50.238095238095426</v>
      </c>
      <c r="R1645" s="10">
        <f t="shared" ca="1" si="239"/>
        <v>58.571428571429351</v>
      </c>
      <c r="S1645" s="10">
        <f t="shared" ca="1" si="240"/>
        <v>-8.3333333333339255</v>
      </c>
      <c r="T1645" s="10">
        <f t="shared" ca="1" si="241"/>
        <v>350</v>
      </c>
      <c r="U1645" s="10">
        <f t="shared" ca="1" si="242"/>
        <v>350</v>
      </c>
      <c r="V1645">
        <f t="shared" si="243"/>
        <v>6</v>
      </c>
    </row>
    <row r="1646" spans="1:22" x14ac:dyDescent="0.25">
      <c r="A1646">
        <v>183</v>
      </c>
      <c r="B1646">
        <v>7</v>
      </c>
      <c r="C1646">
        <v>55</v>
      </c>
      <c r="D1646">
        <v>1</v>
      </c>
      <c r="E1646">
        <v>1</v>
      </c>
      <c r="F1646">
        <v>0</v>
      </c>
      <c r="G1646">
        <v>1</v>
      </c>
      <c r="H1646">
        <v>450</v>
      </c>
      <c r="I1646">
        <f t="shared" si="244"/>
        <v>1638</v>
      </c>
      <c r="J1646" s="6">
        <f t="array" aca="1" ref="J1646:N1646" ca="1">TRANSPOSE(ols(OFFSET($C$2:$C$10,I1646,0),OFFSET($D$2:$H$10,I1646,0)))</f>
        <v>69.047619047620174</v>
      </c>
      <c r="K1646" s="6">
        <f ca="1"/>
        <v>3.9285714285713311</v>
      </c>
      <c r="L1646" s="6">
        <f ca="1"/>
        <v>-0.95238095238164533</v>
      </c>
      <c r="M1646" s="6">
        <f ca="1"/>
        <v>-9.5238095238091773</v>
      </c>
      <c r="N1646" s="6">
        <f ca="1"/>
        <v>-2.3809523809525501E-2</v>
      </c>
      <c r="O1646" s="6">
        <f t="shared" ca="1" si="236"/>
        <v>52.738095238095852</v>
      </c>
      <c r="P1646" t="str">
        <f t="shared" si="237"/>
        <v>NA</v>
      </c>
      <c r="Q1646" s="10">
        <f t="shared" ca="1" si="238"/>
        <v>50.238095238095426</v>
      </c>
      <c r="R1646" s="10">
        <f t="shared" ca="1" si="239"/>
        <v>63.452380952382327</v>
      </c>
      <c r="S1646" s="10">
        <f t="shared" ca="1" si="240"/>
        <v>-13.214285714286902</v>
      </c>
      <c r="T1646" s="10">
        <f t="shared" ca="1" si="241"/>
        <v>555.00000000001046</v>
      </c>
      <c r="U1646" s="10">
        <f t="shared" ca="1" si="242"/>
        <v>555.00000000001046</v>
      </c>
      <c r="V1646">
        <f t="shared" si="243"/>
        <v>5</v>
      </c>
    </row>
    <row r="1647" spans="1:22" x14ac:dyDescent="0.25">
      <c r="A1647">
        <v>183</v>
      </c>
      <c r="B1647">
        <v>8</v>
      </c>
      <c r="C1647">
        <v>45</v>
      </c>
      <c r="D1647">
        <v>1</v>
      </c>
      <c r="E1647">
        <v>1</v>
      </c>
      <c r="F1647">
        <v>0</v>
      </c>
      <c r="G1647">
        <v>1</v>
      </c>
      <c r="H1647">
        <v>550</v>
      </c>
      <c r="I1647">
        <f t="shared" si="244"/>
        <v>1638</v>
      </c>
      <c r="J1647" s="6">
        <f t="array" aca="1" ref="J1647:N1647" ca="1">TRANSPOSE(ols(OFFSET($C$2:$C$10,I1647,0),OFFSET($D$2:$H$10,I1647,0)))</f>
        <v>69.047619047620174</v>
      </c>
      <c r="K1647" s="6">
        <f ca="1"/>
        <v>3.9285714285713311</v>
      </c>
      <c r="L1647" s="6">
        <f ca="1"/>
        <v>-0.95238095238164533</v>
      </c>
      <c r="M1647" s="6">
        <f ca="1"/>
        <v>-9.5238095238091773</v>
      </c>
      <c r="N1647" s="6">
        <f ca="1"/>
        <v>-2.3809523809525501E-2</v>
      </c>
      <c r="O1647" s="6">
        <f t="shared" ca="1" si="236"/>
        <v>50.357142857143302</v>
      </c>
      <c r="P1647" t="str">
        <f t="shared" si="237"/>
        <v>NA</v>
      </c>
      <c r="Q1647" s="10">
        <f t="shared" ca="1" si="238"/>
        <v>50.238095238095426</v>
      </c>
      <c r="R1647" s="10">
        <f t="shared" ca="1" si="239"/>
        <v>63.452380952382327</v>
      </c>
      <c r="S1647" s="10">
        <f t="shared" ca="1" si="240"/>
        <v>-13.214285714286902</v>
      </c>
      <c r="T1647" s="10">
        <f t="shared" ca="1" si="241"/>
        <v>555.00000000001046</v>
      </c>
      <c r="U1647" s="10">
        <f t="shared" ca="1" si="242"/>
        <v>555.00000000001046</v>
      </c>
      <c r="V1647">
        <f t="shared" si="243"/>
        <v>5</v>
      </c>
    </row>
    <row r="1648" spans="1:22" x14ac:dyDescent="0.25">
      <c r="A1648">
        <v>183</v>
      </c>
      <c r="B1648">
        <v>9</v>
      </c>
      <c r="C1648">
        <v>45</v>
      </c>
      <c r="D1648">
        <v>1</v>
      </c>
      <c r="E1648">
        <v>0</v>
      </c>
      <c r="F1648">
        <v>0</v>
      </c>
      <c r="G1648">
        <v>1</v>
      </c>
      <c r="H1648">
        <v>650</v>
      </c>
      <c r="I1648">
        <f t="shared" si="244"/>
        <v>1638</v>
      </c>
      <c r="J1648" s="6">
        <f t="array" aca="1" ref="J1648:N1648" ca="1">TRANSPOSE(ols(OFFSET($C$2:$C$10,I1648,0),OFFSET($D$2:$H$10,I1648,0)))</f>
        <v>69.047619047620174</v>
      </c>
      <c r="K1648" s="6">
        <f ca="1"/>
        <v>3.9285714285713311</v>
      </c>
      <c r="L1648" s="6">
        <f ca="1"/>
        <v>-0.95238095238164533</v>
      </c>
      <c r="M1648" s="6">
        <f ca="1"/>
        <v>-9.5238095238091773</v>
      </c>
      <c r="N1648" s="6">
        <f ca="1"/>
        <v>-2.3809523809525501E-2</v>
      </c>
      <c r="O1648" s="6">
        <f t="shared" ca="1" si="236"/>
        <v>44.04761904761942</v>
      </c>
      <c r="P1648" t="str">
        <f t="shared" si="237"/>
        <v>NA</v>
      </c>
      <c r="Q1648" s="10">
        <f t="shared" ca="1" si="238"/>
        <v>50.238095238095426</v>
      </c>
      <c r="R1648" s="10">
        <f t="shared" ca="1" si="239"/>
        <v>59.523809523810996</v>
      </c>
      <c r="S1648" s="10">
        <f t="shared" ca="1" si="240"/>
        <v>-9.2857142857155708</v>
      </c>
      <c r="T1648" s="10">
        <f t="shared" ca="1" si="241"/>
        <v>390.00000000002626</v>
      </c>
      <c r="U1648" s="10">
        <f t="shared" ca="1" si="242"/>
        <v>390.00000000002626</v>
      </c>
      <c r="V1648">
        <f t="shared" si="243"/>
        <v>4</v>
      </c>
    </row>
    <row r="1649" spans="1:22" x14ac:dyDescent="0.25">
      <c r="A1649">
        <v>184</v>
      </c>
      <c r="B1649">
        <v>1</v>
      </c>
      <c r="C1649">
        <v>60</v>
      </c>
      <c r="D1649">
        <v>1</v>
      </c>
      <c r="E1649">
        <v>0</v>
      </c>
      <c r="F1649">
        <v>1</v>
      </c>
      <c r="G1649">
        <v>0</v>
      </c>
      <c r="H1649">
        <v>250</v>
      </c>
      <c r="I1649">
        <f t="shared" si="244"/>
        <v>1647</v>
      </c>
      <c r="J1649" s="6">
        <f t="array" aca="1" ref="J1649:N1649" ca="1">TRANSPOSE(ols(OFFSET($C$2:$C$10,I1649,0),OFFSET($D$2:$H$10,I1649,0)))</f>
        <v>69.940476190474328</v>
      </c>
      <c r="K1649" s="6">
        <f ca="1"/>
        <v>0.7142857142853245</v>
      </c>
      <c r="L1649" s="6">
        <f ca="1"/>
        <v>1.1904761904752377</v>
      </c>
      <c r="M1649" s="6">
        <f ca="1"/>
        <v>-10.595238095237619</v>
      </c>
      <c r="N1649" s="6">
        <f ca="1"/>
        <v>-2.0238095238097387E-2</v>
      </c>
      <c r="O1649" s="6">
        <f t="shared" ca="1" si="236"/>
        <v>66.071428571425216</v>
      </c>
      <c r="P1649" t="str">
        <f t="shared" si="237"/>
        <v>NA</v>
      </c>
      <c r="Q1649" s="10">
        <f t="shared" ca="1" si="238"/>
        <v>53.452380952377865</v>
      </c>
      <c r="R1649" s="10">
        <f t="shared" ca="1" si="239"/>
        <v>71.130952380949566</v>
      </c>
      <c r="S1649" s="10">
        <f t="shared" ca="1" si="240"/>
        <v>-17.678571428571701</v>
      </c>
      <c r="T1649" s="10">
        <f t="shared" ca="1" si="241"/>
        <v>873.52941176462662</v>
      </c>
      <c r="U1649" s="10" t="str">
        <f t="shared" ca="1" si="242"/>
        <v>OR</v>
      </c>
      <c r="V1649">
        <f t="shared" si="243"/>
        <v>3</v>
      </c>
    </row>
    <row r="1650" spans="1:22" x14ac:dyDescent="0.25">
      <c r="A1650">
        <v>184</v>
      </c>
      <c r="B1650">
        <v>2</v>
      </c>
      <c r="C1650">
        <v>65</v>
      </c>
      <c r="D1650">
        <v>1</v>
      </c>
      <c r="E1650">
        <v>1</v>
      </c>
      <c r="F1650">
        <v>0</v>
      </c>
      <c r="G1650">
        <v>0</v>
      </c>
      <c r="H1650">
        <v>350</v>
      </c>
      <c r="I1650">
        <f t="shared" si="244"/>
        <v>1647</v>
      </c>
      <c r="J1650" s="6">
        <f t="array" aca="1" ref="J1650:N1650" ca="1">TRANSPOSE(ols(OFFSET($C$2:$C$10,I1650,0),OFFSET($D$2:$H$10,I1650,0)))</f>
        <v>69.940476190474328</v>
      </c>
      <c r="K1650" s="6">
        <f ca="1"/>
        <v>0.7142857142853245</v>
      </c>
      <c r="L1650" s="6">
        <f ca="1"/>
        <v>1.1904761904752377</v>
      </c>
      <c r="M1650" s="6">
        <f ca="1"/>
        <v>-10.595238095237619</v>
      </c>
      <c r="N1650" s="6">
        <f ca="1"/>
        <v>-2.0238095238097387E-2</v>
      </c>
      <c r="O1650" s="6">
        <f t="shared" ca="1" si="236"/>
        <v>63.571428571425571</v>
      </c>
      <c r="P1650" t="str">
        <f t="shared" si="237"/>
        <v>NA</v>
      </c>
      <c r="Q1650" s="10">
        <f t="shared" ca="1" si="238"/>
        <v>53.452380952377865</v>
      </c>
      <c r="R1650" s="10">
        <f t="shared" ca="1" si="239"/>
        <v>70.654761904759653</v>
      </c>
      <c r="S1650" s="10">
        <f t="shared" ca="1" si="240"/>
        <v>-17.202380952381787</v>
      </c>
      <c r="T1650" s="10">
        <f t="shared" ca="1" si="241"/>
        <v>849.999999999951</v>
      </c>
      <c r="U1650" s="10" t="str">
        <f t="shared" ca="1" si="242"/>
        <v>OR</v>
      </c>
      <c r="V1650">
        <f t="shared" si="243"/>
        <v>2</v>
      </c>
    </row>
    <row r="1651" spans="1:22" x14ac:dyDescent="0.25">
      <c r="A1651">
        <v>184</v>
      </c>
      <c r="B1651">
        <v>3</v>
      </c>
      <c r="C1651">
        <v>65</v>
      </c>
      <c r="D1651">
        <v>1</v>
      </c>
      <c r="E1651">
        <v>1</v>
      </c>
      <c r="F1651">
        <v>0</v>
      </c>
      <c r="G1651">
        <v>0</v>
      </c>
      <c r="H1651">
        <v>450</v>
      </c>
      <c r="I1651">
        <f t="shared" si="244"/>
        <v>1647</v>
      </c>
      <c r="J1651" s="6">
        <f t="array" aca="1" ref="J1651:N1651" ca="1">TRANSPOSE(ols(OFFSET($C$2:$C$10,I1651,0),OFFSET($D$2:$H$10,I1651,0)))</f>
        <v>69.940476190474328</v>
      </c>
      <c r="K1651" s="6">
        <f ca="1"/>
        <v>0.7142857142853245</v>
      </c>
      <c r="L1651" s="6">
        <f ca="1"/>
        <v>1.1904761904752377</v>
      </c>
      <c r="M1651" s="6">
        <f ca="1"/>
        <v>-10.595238095237619</v>
      </c>
      <c r="N1651" s="6">
        <f ca="1"/>
        <v>-2.0238095238097387E-2</v>
      </c>
      <c r="O1651" s="6">
        <f t="shared" ca="1" si="236"/>
        <v>61.547619047615825</v>
      </c>
      <c r="P1651" t="str">
        <f t="shared" si="237"/>
        <v>NA</v>
      </c>
      <c r="Q1651" s="10">
        <f t="shared" ca="1" si="238"/>
        <v>53.452380952377865</v>
      </c>
      <c r="R1651" s="10">
        <f t="shared" ca="1" si="239"/>
        <v>70.654761904759653</v>
      </c>
      <c r="S1651" s="10">
        <f t="shared" ca="1" si="240"/>
        <v>-17.202380952381787</v>
      </c>
      <c r="T1651" s="10">
        <f t="shared" ca="1" si="241"/>
        <v>849.999999999951</v>
      </c>
      <c r="U1651" s="10" t="str">
        <f t="shared" ca="1" si="242"/>
        <v>OR</v>
      </c>
      <c r="V1651">
        <f t="shared" si="243"/>
        <v>2</v>
      </c>
    </row>
    <row r="1652" spans="1:22" x14ac:dyDescent="0.25">
      <c r="A1652">
        <v>184</v>
      </c>
      <c r="B1652">
        <v>4</v>
      </c>
      <c r="C1652">
        <v>60</v>
      </c>
      <c r="D1652">
        <v>1</v>
      </c>
      <c r="E1652">
        <v>0</v>
      </c>
      <c r="F1652">
        <v>0</v>
      </c>
      <c r="G1652">
        <v>0</v>
      </c>
      <c r="H1652">
        <v>550</v>
      </c>
      <c r="I1652">
        <f t="shared" si="244"/>
        <v>1647</v>
      </c>
      <c r="J1652" s="6">
        <f t="array" aca="1" ref="J1652:N1652" ca="1">TRANSPOSE(ols(OFFSET($C$2:$C$10,I1652,0),OFFSET($D$2:$H$10,I1652,0)))</f>
        <v>69.940476190474328</v>
      </c>
      <c r="K1652" s="6">
        <f ca="1"/>
        <v>0.7142857142853245</v>
      </c>
      <c r="L1652" s="6">
        <f ca="1"/>
        <v>1.1904761904752377</v>
      </c>
      <c r="M1652" s="6">
        <f ca="1"/>
        <v>-10.595238095237619</v>
      </c>
      <c r="N1652" s="6">
        <f ca="1"/>
        <v>-2.0238095238097387E-2</v>
      </c>
      <c r="O1652" s="6">
        <f t="shared" ca="1" si="236"/>
        <v>58.809523809520769</v>
      </c>
      <c r="P1652" t="str">
        <f t="shared" si="237"/>
        <v>NA</v>
      </c>
      <c r="Q1652" s="10">
        <f t="shared" ca="1" si="238"/>
        <v>53.452380952377865</v>
      </c>
      <c r="R1652" s="10">
        <f t="shared" ca="1" si="239"/>
        <v>69.940476190474328</v>
      </c>
      <c r="S1652" s="10">
        <f t="shared" ca="1" si="240"/>
        <v>-16.488095238096463</v>
      </c>
      <c r="T1652" s="10">
        <f t="shared" ca="1" si="241"/>
        <v>814.70588235291518</v>
      </c>
      <c r="U1652" s="10" t="str">
        <f t="shared" ca="1" si="242"/>
        <v>OR</v>
      </c>
      <c r="V1652">
        <f t="shared" si="243"/>
        <v>1</v>
      </c>
    </row>
    <row r="1653" spans="1:22" x14ac:dyDescent="0.25">
      <c r="A1653">
        <v>184</v>
      </c>
      <c r="B1653">
        <v>5</v>
      </c>
      <c r="C1653">
        <v>55</v>
      </c>
      <c r="D1653">
        <v>1</v>
      </c>
      <c r="E1653">
        <v>0</v>
      </c>
      <c r="F1653">
        <v>1</v>
      </c>
      <c r="G1653">
        <v>1</v>
      </c>
      <c r="H1653">
        <v>250</v>
      </c>
      <c r="I1653">
        <f t="shared" si="244"/>
        <v>1647</v>
      </c>
      <c r="J1653" s="6">
        <f t="array" aca="1" ref="J1653:N1653" ca="1">TRANSPOSE(ols(OFFSET($C$2:$C$10,I1653,0),OFFSET($D$2:$H$10,I1653,0)))</f>
        <v>69.940476190474328</v>
      </c>
      <c r="K1653" s="6">
        <f ca="1"/>
        <v>0.7142857142853245</v>
      </c>
      <c r="L1653" s="6">
        <f ca="1"/>
        <v>1.1904761904752377</v>
      </c>
      <c r="M1653" s="6">
        <f ca="1"/>
        <v>-10.595238095237619</v>
      </c>
      <c r="N1653" s="6">
        <f ca="1"/>
        <v>-2.0238095238097387E-2</v>
      </c>
      <c r="O1653" s="6">
        <f t="shared" ca="1" si="236"/>
        <v>55.476190476187597</v>
      </c>
      <c r="P1653" t="str">
        <f t="shared" si="237"/>
        <v>NA</v>
      </c>
      <c r="Q1653" s="10">
        <f t="shared" ca="1" si="238"/>
        <v>53.452380952377865</v>
      </c>
      <c r="R1653" s="10">
        <f t="shared" ca="1" si="239"/>
        <v>60.535714285711947</v>
      </c>
      <c r="S1653" s="10">
        <f t="shared" ca="1" si="240"/>
        <v>-7.0833333333340818</v>
      </c>
      <c r="T1653" s="10">
        <f t="shared" ca="1" si="241"/>
        <v>349.99999999999983</v>
      </c>
      <c r="U1653" s="10">
        <f t="shared" ca="1" si="242"/>
        <v>349.99999999999983</v>
      </c>
      <c r="V1653">
        <f t="shared" si="243"/>
        <v>6</v>
      </c>
    </row>
    <row r="1654" spans="1:22" x14ac:dyDescent="0.25">
      <c r="A1654">
        <v>184</v>
      </c>
      <c r="B1654">
        <v>6</v>
      </c>
      <c r="C1654">
        <v>60</v>
      </c>
      <c r="D1654">
        <v>1</v>
      </c>
      <c r="E1654">
        <v>0</v>
      </c>
      <c r="F1654">
        <v>1</v>
      </c>
      <c r="G1654">
        <v>1</v>
      </c>
      <c r="H1654">
        <v>350</v>
      </c>
      <c r="I1654">
        <f t="shared" si="244"/>
        <v>1647</v>
      </c>
      <c r="J1654" s="6">
        <f t="array" aca="1" ref="J1654:N1654" ca="1">TRANSPOSE(ols(OFFSET($C$2:$C$10,I1654,0),OFFSET($D$2:$H$10,I1654,0)))</f>
        <v>69.940476190474328</v>
      </c>
      <c r="K1654" s="6">
        <f ca="1"/>
        <v>0.7142857142853245</v>
      </c>
      <c r="L1654" s="6">
        <f ca="1"/>
        <v>1.1904761904752377</v>
      </c>
      <c r="M1654" s="6">
        <f ca="1"/>
        <v>-10.595238095237619</v>
      </c>
      <c r="N1654" s="6">
        <f ca="1"/>
        <v>-2.0238095238097387E-2</v>
      </c>
      <c r="O1654" s="6">
        <f t="shared" ca="1" si="236"/>
        <v>53.452380952377865</v>
      </c>
      <c r="P1654">
        <f t="shared" ca="1" si="237"/>
        <v>53.452380952377865</v>
      </c>
      <c r="Q1654" s="10">
        <f t="shared" ca="1" si="238"/>
        <v>53.452380952377865</v>
      </c>
      <c r="R1654" s="10">
        <f t="shared" ca="1" si="239"/>
        <v>60.535714285711947</v>
      </c>
      <c r="S1654" s="10">
        <f t="shared" ca="1" si="240"/>
        <v>-7.0833333333340818</v>
      </c>
      <c r="T1654" s="10">
        <f t="shared" ca="1" si="241"/>
        <v>349.99999999999983</v>
      </c>
      <c r="U1654" s="10">
        <f t="shared" ca="1" si="242"/>
        <v>349.99999999999983</v>
      </c>
      <c r="V1654">
        <f t="shared" si="243"/>
        <v>6</v>
      </c>
    </row>
    <row r="1655" spans="1:22" x14ac:dyDescent="0.25">
      <c r="A1655">
        <v>184</v>
      </c>
      <c r="B1655">
        <v>7</v>
      </c>
      <c r="C1655">
        <v>50</v>
      </c>
      <c r="D1655">
        <v>1</v>
      </c>
      <c r="E1655">
        <v>1</v>
      </c>
      <c r="F1655">
        <v>0</v>
      </c>
      <c r="G1655">
        <v>1</v>
      </c>
      <c r="H1655">
        <v>450</v>
      </c>
      <c r="I1655">
        <f t="shared" si="244"/>
        <v>1647</v>
      </c>
      <c r="J1655" s="6">
        <f t="array" aca="1" ref="J1655:N1655" ca="1">TRANSPOSE(ols(OFFSET($C$2:$C$10,I1655,0),OFFSET($D$2:$H$10,I1655,0)))</f>
        <v>69.940476190474328</v>
      </c>
      <c r="K1655" s="6">
        <f ca="1"/>
        <v>0.7142857142853245</v>
      </c>
      <c r="L1655" s="6">
        <f ca="1"/>
        <v>1.1904761904752377</v>
      </c>
      <c r="M1655" s="6">
        <f ca="1"/>
        <v>-10.595238095237619</v>
      </c>
      <c r="N1655" s="6">
        <f ca="1"/>
        <v>-2.0238095238097387E-2</v>
      </c>
      <c r="O1655" s="6">
        <f t="shared" ca="1" si="236"/>
        <v>50.952380952378206</v>
      </c>
      <c r="P1655" t="str">
        <f t="shared" si="237"/>
        <v>NA</v>
      </c>
      <c r="Q1655" s="10">
        <f t="shared" ca="1" si="238"/>
        <v>53.452380952377865</v>
      </c>
      <c r="R1655" s="10">
        <f t="shared" ca="1" si="239"/>
        <v>60.059523809522034</v>
      </c>
      <c r="S1655" s="10">
        <f t="shared" ca="1" si="240"/>
        <v>-6.6071428571441686</v>
      </c>
      <c r="T1655" s="10">
        <f t="shared" ca="1" si="241"/>
        <v>326.47058823532427</v>
      </c>
      <c r="U1655" s="10">
        <f t="shared" ca="1" si="242"/>
        <v>326.47058823532427</v>
      </c>
      <c r="V1655">
        <f t="shared" si="243"/>
        <v>5</v>
      </c>
    </row>
    <row r="1656" spans="1:22" x14ac:dyDescent="0.25">
      <c r="A1656">
        <v>184</v>
      </c>
      <c r="B1656">
        <v>8</v>
      </c>
      <c r="C1656">
        <v>45</v>
      </c>
      <c r="D1656">
        <v>1</v>
      </c>
      <c r="E1656">
        <v>1</v>
      </c>
      <c r="F1656">
        <v>0</v>
      </c>
      <c r="G1656">
        <v>1</v>
      </c>
      <c r="H1656">
        <v>550</v>
      </c>
      <c r="I1656">
        <f t="shared" si="244"/>
        <v>1647</v>
      </c>
      <c r="J1656" s="6">
        <f t="array" aca="1" ref="J1656:N1656" ca="1">TRANSPOSE(ols(OFFSET($C$2:$C$10,I1656,0),OFFSET($D$2:$H$10,I1656,0)))</f>
        <v>69.940476190474328</v>
      </c>
      <c r="K1656" s="6">
        <f ca="1"/>
        <v>0.7142857142853245</v>
      </c>
      <c r="L1656" s="6">
        <f ca="1"/>
        <v>1.1904761904752377</v>
      </c>
      <c r="M1656" s="6">
        <f ca="1"/>
        <v>-10.595238095237619</v>
      </c>
      <c r="N1656" s="6">
        <f ca="1"/>
        <v>-2.0238095238097387E-2</v>
      </c>
      <c r="O1656" s="6">
        <f t="shared" ca="1" si="236"/>
        <v>48.928571428568475</v>
      </c>
      <c r="P1656" t="str">
        <f t="shared" si="237"/>
        <v>NA</v>
      </c>
      <c r="Q1656" s="10">
        <f t="shared" ca="1" si="238"/>
        <v>53.452380952377865</v>
      </c>
      <c r="R1656" s="10">
        <f t="shared" ca="1" si="239"/>
        <v>60.059523809522034</v>
      </c>
      <c r="S1656" s="10">
        <f t="shared" ca="1" si="240"/>
        <v>-6.6071428571441686</v>
      </c>
      <c r="T1656" s="10">
        <f t="shared" ca="1" si="241"/>
        <v>326.47058823532427</v>
      </c>
      <c r="U1656" s="10">
        <f t="shared" ca="1" si="242"/>
        <v>326.47058823532427</v>
      </c>
      <c r="V1656">
        <f t="shared" si="243"/>
        <v>5</v>
      </c>
    </row>
    <row r="1657" spans="1:22" x14ac:dyDescent="0.25">
      <c r="A1657">
        <v>184</v>
      </c>
      <c r="B1657">
        <v>9</v>
      </c>
      <c r="C1657">
        <v>45</v>
      </c>
      <c r="D1657">
        <v>1</v>
      </c>
      <c r="E1657">
        <v>0</v>
      </c>
      <c r="F1657">
        <v>0</v>
      </c>
      <c r="G1657">
        <v>1</v>
      </c>
      <c r="H1657">
        <v>650</v>
      </c>
      <c r="I1657">
        <f t="shared" si="244"/>
        <v>1647</v>
      </c>
      <c r="J1657" s="6">
        <f t="array" aca="1" ref="J1657:N1657" ca="1">TRANSPOSE(ols(OFFSET($C$2:$C$10,I1657,0),OFFSET($D$2:$H$10,I1657,0)))</f>
        <v>69.940476190474328</v>
      </c>
      <c r="K1657" s="6">
        <f ca="1"/>
        <v>0.7142857142853245</v>
      </c>
      <c r="L1657" s="6">
        <f ca="1"/>
        <v>1.1904761904752377</v>
      </c>
      <c r="M1657" s="6">
        <f ca="1"/>
        <v>-10.595238095237619</v>
      </c>
      <c r="N1657" s="6">
        <f ca="1"/>
        <v>-2.0238095238097387E-2</v>
      </c>
      <c r="O1657" s="6">
        <f t="shared" ca="1" si="236"/>
        <v>46.190476190473404</v>
      </c>
      <c r="P1657" t="str">
        <f t="shared" si="237"/>
        <v>NA</v>
      </c>
      <c r="Q1657" s="10">
        <f t="shared" ca="1" si="238"/>
        <v>53.452380952377865</v>
      </c>
      <c r="R1657" s="10">
        <f t="shared" ca="1" si="239"/>
        <v>59.345238095236709</v>
      </c>
      <c r="S1657" s="10">
        <f t="shared" ca="1" si="240"/>
        <v>-5.8928571428588441</v>
      </c>
      <c r="T1657" s="10">
        <f t="shared" ca="1" si="241"/>
        <v>291.17647058828845</v>
      </c>
      <c r="U1657" s="10">
        <f t="shared" ca="1" si="242"/>
        <v>291.17647058828845</v>
      </c>
      <c r="V1657">
        <f t="shared" si="243"/>
        <v>4</v>
      </c>
    </row>
    <row r="1658" spans="1:22" x14ac:dyDescent="0.25">
      <c r="A1658">
        <v>185</v>
      </c>
      <c r="B1658">
        <v>1</v>
      </c>
      <c r="C1658">
        <v>50</v>
      </c>
      <c r="D1658">
        <v>1</v>
      </c>
      <c r="E1658">
        <v>0</v>
      </c>
      <c r="F1658">
        <v>1</v>
      </c>
      <c r="G1658">
        <v>0</v>
      </c>
      <c r="H1658">
        <v>250</v>
      </c>
      <c r="I1658">
        <f t="shared" si="244"/>
        <v>1656</v>
      </c>
      <c r="J1658" s="6">
        <f t="array" aca="1" ref="J1658:N1658" ca="1">TRANSPOSE(ols(OFFSET($C$2:$C$10,I1658,0),OFFSET($D$2:$H$10,I1658,0)))</f>
        <v>133.27380952380736</v>
      </c>
      <c r="K1658" s="6">
        <f ca="1"/>
        <v>-31.785714285714221</v>
      </c>
      <c r="L1658" s="6">
        <f ca="1"/>
        <v>-60.476190476190823</v>
      </c>
      <c r="M1658" s="6">
        <f ca="1"/>
        <v>12.738095238095639</v>
      </c>
      <c r="N1658" s="6">
        <f ca="1"/>
        <v>-8.6904761904765593E-2</v>
      </c>
      <c r="O1658" s="6">
        <f t="shared" ca="1" si="236"/>
        <v>51.071428571425137</v>
      </c>
      <c r="P1658" t="str">
        <f t="shared" si="237"/>
        <v>NA</v>
      </c>
      <c r="Q1658" s="10">
        <f t="shared" ca="1" si="238"/>
        <v>55.119047619044217</v>
      </c>
      <c r="R1658" s="10">
        <f t="shared" ca="1" si="239"/>
        <v>72.797619047616536</v>
      </c>
      <c r="S1658" s="10">
        <f t="shared" ca="1" si="240"/>
        <v>-17.678571428572319</v>
      </c>
      <c r="T1658" s="10">
        <f t="shared" ca="1" si="241"/>
        <v>203.42465753424818</v>
      </c>
      <c r="U1658" s="10" t="str">
        <f t="shared" ca="1" si="242"/>
        <v>OR</v>
      </c>
      <c r="V1658">
        <f t="shared" si="243"/>
        <v>3</v>
      </c>
    </row>
    <row r="1659" spans="1:22" x14ac:dyDescent="0.25">
      <c r="A1659">
        <v>185</v>
      </c>
      <c r="B1659">
        <v>2</v>
      </c>
      <c r="C1659">
        <v>70</v>
      </c>
      <c r="D1659">
        <v>1</v>
      </c>
      <c r="E1659">
        <v>1</v>
      </c>
      <c r="F1659">
        <v>0</v>
      </c>
      <c r="G1659">
        <v>0</v>
      </c>
      <c r="H1659">
        <v>350</v>
      </c>
      <c r="I1659">
        <f t="shared" si="244"/>
        <v>1656</v>
      </c>
      <c r="J1659" s="6">
        <f t="array" aca="1" ref="J1659:N1659" ca="1">TRANSPOSE(ols(OFFSET($C$2:$C$10,I1659,0),OFFSET($D$2:$H$10,I1659,0)))</f>
        <v>133.27380952380736</v>
      </c>
      <c r="K1659" s="6">
        <f ca="1"/>
        <v>-31.785714285714221</v>
      </c>
      <c r="L1659" s="6">
        <f ca="1"/>
        <v>-60.476190476190823</v>
      </c>
      <c r="M1659" s="6">
        <f ca="1"/>
        <v>12.738095238095639</v>
      </c>
      <c r="N1659" s="6">
        <f ca="1"/>
        <v>-8.6904761904765593E-2</v>
      </c>
      <c r="O1659" s="6">
        <f t="shared" ca="1" si="236"/>
        <v>71.071428571425173</v>
      </c>
      <c r="P1659" t="str">
        <f t="shared" si="237"/>
        <v>NA</v>
      </c>
      <c r="Q1659" s="10">
        <f t="shared" ca="1" si="238"/>
        <v>55.119047619044217</v>
      </c>
      <c r="R1659" s="10">
        <f t="shared" ca="1" si="239"/>
        <v>101.48809523809314</v>
      </c>
      <c r="S1659" s="10">
        <f t="shared" ca="1" si="240"/>
        <v>-46.369047619048921</v>
      </c>
      <c r="T1659" s="10">
        <f t="shared" ca="1" si="241"/>
        <v>533.56164383560872</v>
      </c>
      <c r="U1659" s="10">
        <f t="shared" ca="1" si="242"/>
        <v>533.56164383560872</v>
      </c>
      <c r="V1659">
        <f t="shared" si="243"/>
        <v>2</v>
      </c>
    </row>
    <row r="1660" spans="1:22" x14ac:dyDescent="0.25">
      <c r="A1660">
        <v>185</v>
      </c>
      <c r="B1660">
        <v>3</v>
      </c>
      <c r="C1660">
        <v>60</v>
      </c>
      <c r="D1660">
        <v>1</v>
      </c>
      <c r="E1660">
        <v>1</v>
      </c>
      <c r="F1660">
        <v>0</v>
      </c>
      <c r="G1660">
        <v>0</v>
      </c>
      <c r="H1660">
        <v>450</v>
      </c>
      <c r="I1660">
        <f t="shared" si="244"/>
        <v>1656</v>
      </c>
      <c r="J1660" s="6">
        <f t="array" aca="1" ref="J1660:N1660" ca="1">TRANSPOSE(ols(OFFSET($C$2:$C$10,I1660,0),OFFSET($D$2:$H$10,I1660,0)))</f>
        <v>133.27380952380736</v>
      </c>
      <c r="K1660" s="6">
        <f ca="1"/>
        <v>-31.785714285714221</v>
      </c>
      <c r="L1660" s="6">
        <f ca="1"/>
        <v>-60.476190476190823</v>
      </c>
      <c r="M1660" s="6">
        <f ca="1"/>
        <v>12.738095238095639</v>
      </c>
      <c r="N1660" s="6">
        <f ca="1"/>
        <v>-8.6904761904765593E-2</v>
      </c>
      <c r="O1660" s="6">
        <f t="shared" ca="1" si="236"/>
        <v>62.380952380948621</v>
      </c>
      <c r="P1660" t="str">
        <f t="shared" si="237"/>
        <v>NA</v>
      </c>
      <c r="Q1660" s="10">
        <f t="shared" ca="1" si="238"/>
        <v>55.119047619044217</v>
      </c>
      <c r="R1660" s="10">
        <f t="shared" ca="1" si="239"/>
        <v>101.48809523809314</v>
      </c>
      <c r="S1660" s="10">
        <f t="shared" ca="1" si="240"/>
        <v>-46.369047619048921</v>
      </c>
      <c r="T1660" s="10">
        <f t="shared" ca="1" si="241"/>
        <v>533.56164383560872</v>
      </c>
      <c r="U1660" s="10">
        <f t="shared" ca="1" si="242"/>
        <v>533.56164383560872</v>
      </c>
      <c r="V1660">
        <f t="shared" si="243"/>
        <v>2</v>
      </c>
    </row>
    <row r="1661" spans="1:22" x14ac:dyDescent="0.25">
      <c r="A1661">
        <v>185</v>
      </c>
      <c r="B1661">
        <v>4</v>
      </c>
      <c r="C1661">
        <v>90</v>
      </c>
      <c r="D1661">
        <v>1</v>
      </c>
      <c r="E1661">
        <v>0</v>
      </c>
      <c r="F1661">
        <v>0</v>
      </c>
      <c r="G1661">
        <v>0</v>
      </c>
      <c r="H1661">
        <v>550</v>
      </c>
      <c r="I1661">
        <f t="shared" si="244"/>
        <v>1656</v>
      </c>
      <c r="J1661" s="6">
        <f t="array" aca="1" ref="J1661:N1661" ca="1">TRANSPOSE(ols(OFFSET($C$2:$C$10,I1661,0),OFFSET($D$2:$H$10,I1661,0)))</f>
        <v>133.27380952380736</v>
      </c>
      <c r="K1661" s="6">
        <f ca="1"/>
        <v>-31.785714285714221</v>
      </c>
      <c r="L1661" s="6">
        <f ca="1"/>
        <v>-60.476190476190823</v>
      </c>
      <c r="M1661" s="6">
        <f ca="1"/>
        <v>12.738095238095639</v>
      </c>
      <c r="N1661" s="6">
        <f ca="1"/>
        <v>-8.6904761904765593E-2</v>
      </c>
      <c r="O1661" s="6">
        <f t="shared" ca="1" si="236"/>
        <v>85.476190476186275</v>
      </c>
      <c r="P1661" t="str">
        <f t="shared" si="237"/>
        <v>NA</v>
      </c>
      <c r="Q1661" s="10">
        <f t="shared" ca="1" si="238"/>
        <v>55.119047619044217</v>
      </c>
      <c r="R1661" s="10">
        <f t="shared" ca="1" si="239"/>
        <v>133.27380952380736</v>
      </c>
      <c r="S1661" s="10">
        <f t="shared" ca="1" si="240"/>
        <v>-78.154761904763149</v>
      </c>
      <c r="T1661" s="10">
        <f t="shared" ca="1" si="241"/>
        <v>899.31506849312689</v>
      </c>
      <c r="U1661" s="10" t="str">
        <f t="shared" ca="1" si="242"/>
        <v>OR</v>
      </c>
      <c r="V1661">
        <f t="shared" si="243"/>
        <v>1</v>
      </c>
    </row>
    <row r="1662" spans="1:22" x14ac:dyDescent="0.25">
      <c r="A1662">
        <v>185</v>
      </c>
      <c r="B1662">
        <v>5</v>
      </c>
      <c r="C1662">
        <v>70</v>
      </c>
      <c r="D1662">
        <v>1</v>
      </c>
      <c r="E1662">
        <v>0</v>
      </c>
      <c r="F1662">
        <v>1</v>
      </c>
      <c r="G1662">
        <v>1</v>
      </c>
      <c r="H1662">
        <v>250</v>
      </c>
      <c r="I1662">
        <f t="shared" si="244"/>
        <v>1656</v>
      </c>
      <c r="J1662" s="6">
        <f t="array" aca="1" ref="J1662:N1662" ca="1">TRANSPOSE(ols(OFFSET($C$2:$C$10,I1662,0),OFFSET($D$2:$H$10,I1662,0)))</f>
        <v>133.27380952380736</v>
      </c>
      <c r="K1662" s="6">
        <f ca="1"/>
        <v>-31.785714285714221</v>
      </c>
      <c r="L1662" s="6">
        <f ca="1"/>
        <v>-60.476190476190823</v>
      </c>
      <c r="M1662" s="6">
        <f ca="1"/>
        <v>12.738095238095639</v>
      </c>
      <c r="N1662" s="6">
        <f ca="1"/>
        <v>-8.6904761904765593E-2</v>
      </c>
      <c r="O1662" s="6">
        <f t="shared" ca="1" si="236"/>
        <v>63.809523809520776</v>
      </c>
      <c r="P1662" t="str">
        <f t="shared" si="237"/>
        <v>NA</v>
      </c>
      <c r="Q1662" s="10">
        <f t="shared" ca="1" si="238"/>
        <v>55.119047619044217</v>
      </c>
      <c r="R1662" s="10">
        <f t="shared" ca="1" si="239"/>
        <v>85.535714285712174</v>
      </c>
      <c r="S1662" s="10">
        <f t="shared" ca="1" si="240"/>
        <v>-30.416666666667957</v>
      </c>
      <c r="T1662" s="10">
        <f t="shared" ca="1" si="241"/>
        <v>350</v>
      </c>
      <c r="U1662" s="10">
        <f t="shared" ca="1" si="242"/>
        <v>350</v>
      </c>
      <c r="V1662">
        <f t="shared" si="243"/>
        <v>6</v>
      </c>
    </row>
    <row r="1663" spans="1:22" x14ac:dyDescent="0.25">
      <c r="A1663">
        <v>185</v>
      </c>
      <c r="B1663">
        <v>6</v>
      </c>
      <c r="C1663">
        <v>50</v>
      </c>
      <c r="D1663">
        <v>1</v>
      </c>
      <c r="E1663">
        <v>0</v>
      </c>
      <c r="F1663">
        <v>1</v>
      </c>
      <c r="G1663">
        <v>1</v>
      </c>
      <c r="H1663">
        <v>350</v>
      </c>
      <c r="I1663">
        <f t="shared" si="244"/>
        <v>1656</v>
      </c>
      <c r="J1663" s="6">
        <f t="array" aca="1" ref="J1663:N1663" ca="1">TRANSPOSE(ols(OFFSET($C$2:$C$10,I1663,0),OFFSET($D$2:$H$10,I1663,0)))</f>
        <v>133.27380952380736</v>
      </c>
      <c r="K1663" s="6">
        <f ca="1"/>
        <v>-31.785714285714221</v>
      </c>
      <c r="L1663" s="6">
        <f ca="1"/>
        <v>-60.476190476190823</v>
      </c>
      <c r="M1663" s="6">
        <f ca="1"/>
        <v>12.738095238095639</v>
      </c>
      <c r="N1663" s="6">
        <f ca="1"/>
        <v>-8.6904761904765593E-2</v>
      </c>
      <c r="O1663" s="6">
        <f t="shared" ca="1" si="236"/>
        <v>55.119047619044217</v>
      </c>
      <c r="P1663">
        <f t="shared" ca="1" si="237"/>
        <v>55.119047619044217</v>
      </c>
      <c r="Q1663" s="10">
        <f t="shared" ca="1" si="238"/>
        <v>55.119047619044217</v>
      </c>
      <c r="R1663" s="10">
        <f t="shared" ca="1" si="239"/>
        <v>85.535714285712174</v>
      </c>
      <c r="S1663" s="10">
        <f t="shared" ca="1" si="240"/>
        <v>-30.416666666667957</v>
      </c>
      <c r="T1663" s="10">
        <f t="shared" ca="1" si="241"/>
        <v>350</v>
      </c>
      <c r="U1663" s="10">
        <f t="shared" ca="1" si="242"/>
        <v>350</v>
      </c>
      <c r="V1663">
        <f t="shared" si="243"/>
        <v>6</v>
      </c>
    </row>
    <row r="1664" spans="1:22" x14ac:dyDescent="0.25">
      <c r="A1664">
        <v>185</v>
      </c>
      <c r="B1664">
        <v>7</v>
      </c>
      <c r="C1664">
        <v>70</v>
      </c>
      <c r="D1664">
        <v>1</v>
      </c>
      <c r="E1664">
        <v>1</v>
      </c>
      <c r="F1664">
        <v>0</v>
      </c>
      <c r="G1664">
        <v>1</v>
      </c>
      <c r="H1664">
        <v>450</v>
      </c>
      <c r="I1664">
        <f t="shared" si="244"/>
        <v>1656</v>
      </c>
      <c r="J1664" s="6">
        <f t="array" aca="1" ref="J1664:N1664" ca="1">TRANSPOSE(ols(OFFSET($C$2:$C$10,I1664,0),OFFSET($D$2:$H$10,I1664,0)))</f>
        <v>133.27380952380736</v>
      </c>
      <c r="K1664" s="6">
        <f ca="1"/>
        <v>-31.785714285714221</v>
      </c>
      <c r="L1664" s="6">
        <f ca="1"/>
        <v>-60.476190476190823</v>
      </c>
      <c r="M1664" s="6">
        <f ca="1"/>
        <v>12.738095238095639</v>
      </c>
      <c r="N1664" s="6">
        <f ca="1"/>
        <v>-8.6904761904765593E-2</v>
      </c>
      <c r="O1664" s="6">
        <f t="shared" ca="1" si="236"/>
        <v>75.119047619044267</v>
      </c>
      <c r="P1664" t="str">
        <f t="shared" si="237"/>
        <v>NA</v>
      </c>
      <c r="Q1664" s="10">
        <f t="shared" ca="1" si="238"/>
        <v>55.119047619044217</v>
      </c>
      <c r="R1664" s="10">
        <f t="shared" ca="1" si="239"/>
        <v>114.22619047618878</v>
      </c>
      <c r="S1664" s="10">
        <f t="shared" ca="1" si="240"/>
        <v>-59.107142857144559</v>
      </c>
      <c r="T1664" s="10">
        <f t="shared" ca="1" si="241"/>
        <v>680.13698630136059</v>
      </c>
      <c r="U1664" s="10" t="str">
        <f t="shared" ca="1" si="242"/>
        <v>OR</v>
      </c>
      <c r="V1664">
        <f t="shared" si="243"/>
        <v>5</v>
      </c>
    </row>
    <row r="1665" spans="1:22" x14ac:dyDescent="0.25">
      <c r="A1665">
        <v>185</v>
      </c>
      <c r="B1665">
        <v>8</v>
      </c>
      <c r="C1665">
        <v>75</v>
      </c>
      <c r="D1665">
        <v>1</v>
      </c>
      <c r="E1665">
        <v>1</v>
      </c>
      <c r="F1665">
        <v>0</v>
      </c>
      <c r="G1665">
        <v>1</v>
      </c>
      <c r="H1665">
        <v>550</v>
      </c>
      <c r="I1665">
        <f t="shared" si="244"/>
        <v>1656</v>
      </c>
      <c r="J1665" s="6">
        <f t="array" aca="1" ref="J1665:N1665" ca="1">TRANSPOSE(ols(OFFSET($C$2:$C$10,I1665,0),OFFSET($D$2:$H$10,I1665,0)))</f>
        <v>133.27380952380736</v>
      </c>
      <c r="K1665" s="6">
        <f ca="1"/>
        <v>-31.785714285714221</v>
      </c>
      <c r="L1665" s="6">
        <f ca="1"/>
        <v>-60.476190476190823</v>
      </c>
      <c r="M1665" s="6">
        <f ca="1"/>
        <v>12.738095238095639</v>
      </c>
      <c r="N1665" s="6">
        <f ca="1"/>
        <v>-8.6904761904765593E-2</v>
      </c>
      <c r="O1665" s="6">
        <f t="shared" ca="1" si="236"/>
        <v>66.428571428567693</v>
      </c>
      <c r="P1665" t="str">
        <f t="shared" si="237"/>
        <v>NA</v>
      </c>
      <c r="Q1665" s="10">
        <f t="shared" ca="1" si="238"/>
        <v>55.119047619044217</v>
      </c>
      <c r="R1665" s="10">
        <f t="shared" ca="1" si="239"/>
        <v>114.22619047618878</v>
      </c>
      <c r="S1665" s="10">
        <f t="shared" ca="1" si="240"/>
        <v>-59.107142857144559</v>
      </c>
      <c r="T1665" s="10">
        <f t="shared" ca="1" si="241"/>
        <v>680.13698630136059</v>
      </c>
      <c r="U1665" s="10" t="str">
        <f t="shared" ca="1" si="242"/>
        <v>OR</v>
      </c>
      <c r="V1665">
        <f t="shared" si="243"/>
        <v>5</v>
      </c>
    </row>
    <row r="1666" spans="1:22" x14ac:dyDescent="0.25">
      <c r="A1666">
        <v>185</v>
      </c>
      <c r="B1666">
        <v>9</v>
      </c>
      <c r="C1666">
        <v>85</v>
      </c>
      <c r="D1666">
        <v>1</v>
      </c>
      <c r="E1666">
        <v>0</v>
      </c>
      <c r="F1666">
        <v>0</v>
      </c>
      <c r="G1666">
        <v>1</v>
      </c>
      <c r="H1666">
        <v>650</v>
      </c>
      <c r="I1666">
        <f t="shared" si="244"/>
        <v>1656</v>
      </c>
      <c r="J1666" s="6">
        <f t="array" aca="1" ref="J1666:N1666" ca="1">TRANSPOSE(ols(OFFSET($C$2:$C$10,I1666,0),OFFSET($D$2:$H$10,I1666,0)))</f>
        <v>133.27380952380736</v>
      </c>
      <c r="K1666" s="6">
        <f ca="1"/>
        <v>-31.785714285714221</v>
      </c>
      <c r="L1666" s="6">
        <f ca="1"/>
        <v>-60.476190476190823</v>
      </c>
      <c r="M1666" s="6">
        <f ca="1"/>
        <v>12.738095238095639</v>
      </c>
      <c r="N1666" s="6">
        <f ca="1"/>
        <v>-8.6904761904765593E-2</v>
      </c>
      <c r="O1666" s="6">
        <f t="shared" ca="1" si="236"/>
        <v>89.523809523805369</v>
      </c>
      <c r="P1666" t="str">
        <f t="shared" si="237"/>
        <v>NA</v>
      </c>
      <c r="Q1666" s="10">
        <f t="shared" ca="1" si="238"/>
        <v>55.119047619044217</v>
      </c>
      <c r="R1666" s="10">
        <f t="shared" ca="1" si="239"/>
        <v>146.011904761903</v>
      </c>
      <c r="S1666" s="10">
        <f t="shared" ca="1" si="240"/>
        <v>-90.892857142858787</v>
      </c>
      <c r="T1666" s="10">
        <f t="shared" ca="1" si="241"/>
        <v>1045.8904109588786</v>
      </c>
      <c r="U1666" s="10" t="str">
        <f t="shared" ca="1" si="242"/>
        <v>OR</v>
      </c>
      <c r="V1666">
        <f t="shared" si="243"/>
        <v>4</v>
      </c>
    </row>
    <row r="1667" spans="1:22" x14ac:dyDescent="0.25">
      <c r="A1667">
        <v>186</v>
      </c>
      <c r="B1667">
        <v>1</v>
      </c>
      <c r="C1667">
        <v>55</v>
      </c>
      <c r="D1667">
        <v>1</v>
      </c>
      <c r="E1667">
        <v>0</v>
      </c>
      <c r="F1667">
        <v>1</v>
      </c>
      <c r="G1667">
        <v>0</v>
      </c>
      <c r="H1667">
        <v>250</v>
      </c>
      <c r="I1667">
        <f t="shared" si="244"/>
        <v>1665</v>
      </c>
      <c r="J1667" s="6">
        <f t="array" aca="1" ref="J1667:N1667" ca="1">TRANSPOSE(ols(OFFSET($C$2:$C$10,I1667,0),OFFSET($D$2:$H$10,I1667,0)))</f>
        <v>79.434523809522943</v>
      </c>
      <c r="K1667" s="6">
        <f ca="1"/>
        <v>-4.4642857142853245</v>
      </c>
      <c r="L1667" s="6">
        <f ca="1"/>
        <v>-3.6904761904761472</v>
      </c>
      <c r="M1667" s="6">
        <f ca="1"/>
        <v>1.845238095238301</v>
      </c>
      <c r="N1667" s="6">
        <f ca="1"/>
        <v>-9.22619047619051E-2</v>
      </c>
      <c r="O1667" s="6">
        <f t="shared" ref="O1667:O1730" ca="1" si="245">SUMPRODUCT(J1667:N1667,D1667:H1667)</f>
        <v>52.678571428570521</v>
      </c>
      <c r="P1667" t="str">
        <f t="shared" ref="P1667:P1730" si="246">IF(AND(F1667=1,G1667=1,H1667=350),O1667,"NA")</f>
        <v>NA</v>
      </c>
      <c r="Q1667" s="10">
        <f t="shared" ref="Q1667:Q1730" ca="1" si="247">AVERAGEIF($A$2:$A$5383,A1667,$P$2:$P$5383)</f>
        <v>45.297619047618312</v>
      </c>
      <c r="R1667" s="10">
        <f t="shared" ref="R1667:R1730" ca="1" si="248">O1667-N1667*H1667</f>
        <v>75.744047619046796</v>
      </c>
      <c r="S1667" s="10">
        <f t="shared" ref="S1667:S1730" ca="1" si="249">Q1667-R1667</f>
        <v>-30.446428571428484</v>
      </c>
      <c r="T1667" s="10">
        <f t="shared" ref="T1667:T1730" ca="1" si="250">S1667/N1667</f>
        <v>329.99999999999784</v>
      </c>
      <c r="U1667" s="10">
        <f t="shared" ref="U1667:U1730" ca="1" si="251">IF(OR(T1667&lt;250,T1667&gt;650),"OR",T1667)</f>
        <v>329.99999999999784</v>
      </c>
      <c r="V1667">
        <f t="shared" ref="V1667:V1730" si="252">IF(AND(E1667=1,G1667=0),2,IF(AND(F1667=1,G1667=0),3,IF(AND(E1667=1,G1667=1),5,IF(AND(F1667=1,G1667=1),6,IF(G1667=0,1,IF(G1667=1,4))))))</f>
        <v>3</v>
      </c>
    </row>
    <row r="1668" spans="1:22" x14ac:dyDescent="0.25">
      <c r="A1668">
        <v>186</v>
      </c>
      <c r="B1668">
        <v>2</v>
      </c>
      <c r="C1668">
        <v>42.5</v>
      </c>
      <c r="D1668">
        <v>1</v>
      </c>
      <c r="E1668">
        <v>1</v>
      </c>
      <c r="F1668">
        <v>0</v>
      </c>
      <c r="G1668">
        <v>0</v>
      </c>
      <c r="H1668">
        <v>350</v>
      </c>
      <c r="I1668">
        <f t="shared" si="244"/>
        <v>1665</v>
      </c>
      <c r="J1668" s="6">
        <f t="array" aca="1" ref="J1668:N1668" ca="1">TRANSPOSE(ols(OFFSET($C$2:$C$10,I1668,0),OFFSET($D$2:$H$10,I1668,0)))</f>
        <v>79.434523809522943</v>
      </c>
      <c r="K1668" s="6">
        <f ca="1"/>
        <v>-4.4642857142853245</v>
      </c>
      <c r="L1668" s="6">
        <f ca="1"/>
        <v>-3.6904761904761472</v>
      </c>
      <c r="M1668" s="6">
        <f ca="1"/>
        <v>1.845238095238301</v>
      </c>
      <c r="N1668" s="6">
        <f ca="1"/>
        <v>-9.22619047619051E-2</v>
      </c>
      <c r="O1668" s="6">
        <f t="shared" ca="1" si="245"/>
        <v>42.678571428570834</v>
      </c>
      <c r="P1668" t="str">
        <f t="shared" si="246"/>
        <v>NA</v>
      </c>
      <c r="Q1668" s="10">
        <f t="shared" ca="1" si="247"/>
        <v>45.297619047618312</v>
      </c>
      <c r="R1668" s="10">
        <f t="shared" ca="1" si="248"/>
        <v>74.970238095237619</v>
      </c>
      <c r="S1668" s="10">
        <f t="shared" ca="1" si="249"/>
        <v>-29.672619047619307</v>
      </c>
      <c r="T1668" s="10">
        <f t="shared" ca="1" si="250"/>
        <v>321.61290322580805</v>
      </c>
      <c r="U1668" s="10">
        <f t="shared" ca="1" si="251"/>
        <v>321.61290322580805</v>
      </c>
      <c r="V1668">
        <f t="shared" si="252"/>
        <v>2</v>
      </c>
    </row>
    <row r="1669" spans="1:22" x14ac:dyDescent="0.25">
      <c r="A1669">
        <v>186</v>
      </c>
      <c r="B1669">
        <v>3</v>
      </c>
      <c r="C1669">
        <v>25</v>
      </c>
      <c r="D1669">
        <v>1</v>
      </c>
      <c r="E1669">
        <v>1</v>
      </c>
      <c r="F1669">
        <v>0</v>
      </c>
      <c r="G1669">
        <v>0</v>
      </c>
      <c r="H1669">
        <v>450</v>
      </c>
      <c r="I1669">
        <f t="shared" si="244"/>
        <v>1665</v>
      </c>
      <c r="J1669" s="6">
        <f t="array" aca="1" ref="J1669:N1669" ca="1">TRANSPOSE(ols(OFFSET($C$2:$C$10,I1669,0),OFFSET($D$2:$H$10,I1669,0)))</f>
        <v>79.434523809522943</v>
      </c>
      <c r="K1669" s="6">
        <f ca="1"/>
        <v>-4.4642857142853245</v>
      </c>
      <c r="L1669" s="6">
        <f ca="1"/>
        <v>-3.6904761904761472</v>
      </c>
      <c r="M1669" s="6">
        <f ca="1"/>
        <v>1.845238095238301</v>
      </c>
      <c r="N1669" s="6">
        <f ca="1"/>
        <v>-9.22619047619051E-2</v>
      </c>
      <c r="O1669" s="6">
        <f t="shared" ca="1" si="245"/>
        <v>33.452380952380324</v>
      </c>
      <c r="P1669" t="str">
        <f t="shared" si="246"/>
        <v>NA</v>
      </c>
      <c r="Q1669" s="10">
        <f t="shared" ca="1" si="247"/>
        <v>45.297619047618312</v>
      </c>
      <c r="R1669" s="10">
        <f t="shared" ca="1" si="248"/>
        <v>74.970238095237619</v>
      </c>
      <c r="S1669" s="10">
        <f t="shared" ca="1" si="249"/>
        <v>-29.672619047619307</v>
      </c>
      <c r="T1669" s="10">
        <f t="shared" ca="1" si="250"/>
        <v>321.61290322580805</v>
      </c>
      <c r="U1669" s="10">
        <f t="shared" ca="1" si="251"/>
        <v>321.61290322580805</v>
      </c>
      <c r="V1669">
        <f t="shared" si="252"/>
        <v>2</v>
      </c>
    </row>
    <row r="1670" spans="1:22" x14ac:dyDescent="0.25">
      <c r="A1670">
        <v>186</v>
      </c>
      <c r="B1670">
        <v>4</v>
      </c>
      <c r="C1670">
        <v>35</v>
      </c>
      <c r="D1670">
        <v>1</v>
      </c>
      <c r="E1670">
        <v>0</v>
      </c>
      <c r="F1670">
        <v>0</v>
      </c>
      <c r="G1670">
        <v>0</v>
      </c>
      <c r="H1670">
        <v>550</v>
      </c>
      <c r="I1670">
        <f t="shared" si="244"/>
        <v>1665</v>
      </c>
      <c r="J1670" s="6">
        <f t="array" aca="1" ref="J1670:N1670" ca="1">TRANSPOSE(ols(OFFSET($C$2:$C$10,I1670,0),OFFSET($D$2:$H$10,I1670,0)))</f>
        <v>79.434523809522943</v>
      </c>
      <c r="K1670" s="6">
        <f ca="1"/>
        <v>-4.4642857142853245</v>
      </c>
      <c r="L1670" s="6">
        <f ca="1"/>
        <v>-3.6904761904761472</v>
      </c>
      <c r="M1670" s="6">
        <f ca="1"/>
        <v>1.845238095238301</v>
      </c>
      <c r="N1670" s="6">
        <f ca="1"/>
        <v>-9.22619047619051E-2</v>
      </c>
      <c r="O1670" s="6">
        <f t="shared" ca="1" si="245"/>
        <v>28.690476190475138</v>
      </c>
      <c r="P1670" t="str">
        <f t="shared" si="246"/>
        <v>NA</v>
      </c>
      <c r="Q1670" s="10">
        <f t="shared" ca="1" si="247"/>
        <v>45.297619047618312</v>
      </c>
      <c r="R1670" s="10">
        <f t="shared" ca="1" si="248"/>
        <v>79.434523809522943</v>
      </c>
      <c r="S1670" s="10">
        <f t="shared" ca="1" si="249"/>
        <v>-34.136904761904631</v>
      </c>
      <c r="T1670" s="10">
        <f t="shared" ca="1" si="250"/>
        <v>369.99999999999721</v>
      </c>
      <c r="U1670" s="10">
        <f t="shared" ca="1" si="251"/>
        <v>369.99999999999721</v>
      </c>
      <c r="V1670">
        <f t="shared" si="252"/>
        <v>1</v>
      </c>
    </row>
    <row r="1671" spans="1:22" x14ac:dyDescent="0.25">
      <c r="A1671">
        <v>186</v>
      </c>
      <c r="B1671">
        <v>5</v>
      </c>
      <c r="C1671">
        <v>55</v>
      </c>
      <c r="D1671">
        <v>1</v>
      </c>
      <c r="E1671">
        <v>0</v>
      </c>
      <c r="F1671">
        <v>1</v>
      </c>
      <c r="G1671">
        <v>1</v>
      </c>
      <c r="H1671">
        <v>250</v>
      </c>
      <c r="I1671">
        <f t="shared" si="244"/>
        <v>1665</v>
      </c>
      <c r="J1671" s="6">
        <f t="array" aca="1" ref="J1671:N1671" ca="1">TRANSPOSE(ols(OFFSET($C$2:$C$10,I1671,0),OFFSET($D$2:$H$10,I1671,0)))</f>
        <v>79.434523809522943</v>
      </c>
      <c r="K1671" s="6">
        <f ca="1"/>
        <v>-4.4642857142853245</v>
      </c>
      <c r="L1671" s="6">
        <f ca="1"/>
        <v>-3.6904761904761472</v>
      </c>
      <c r="M1671" s="6">
        <f ca="1"/>
        <v>1.845238095238301</v>
      </c>
      <c r="N1671" s="6">
        <f ca="1"/>
        <v>-9.22619047619051E-2</v>
      </c>
      <c r="O1671" s="6">
        <f t="shared" ca="1" si="245"/>
        <v>54.523809523808822</v>
      </c>
      <c r="P1671" t="str">
        <f t="shared" si="246"/>
        <v>NA</v>
      </c>
      <c r="Q1671" s="10">
        <f t="shared" ca="1" si="247"/>
        <v>45.297619047618312</v>
      </c>
      <c r="R1671" s="10">
        <f t="shared" ca="1" si="248"/>
        <v>77.589285714285097</v>
      </c>
      <c r="S1671" s="10">
        <f t="shared" ca="1" si="249"/>
        <v>-32.291666666666785</v>
      </c>
      <c r="T1671" s="10">
        <f t="shared" ca="1" si="250"/>
        <v>350</v>
      </c>
      <c r="U1671" s="10">
        <f t="shared" ca="1" si="251"/>
        <v>350</v>
      </c>
      <c r="V1671">
        <f t="shared" si="252"/>
        <v>6</v>
      </c>
    </row>
    <row r="1672" spans="1:22" x14ac:dyDescent="0.25">
      <c r="A1672">
        <v>186</v>
      </c>
      <c r="B1672">
        <v>6</v>
      </c>
      <c r="C1672">
        <v>42.5</v>
      </c>
      <c r="D1672">
        <v>1</v>
      </c>
      <c r="E1672">
        <v>0</v>
      </c>
      <c r="F1672">
        <v>1</v>
      </c>
      <c r="G1672">
        <v>1</v>
      </c>
      <c r="H1672">
        <v>350</v>
      </c>
      <c r="I1672">
        <f t="shared" si="244"/>
        <v>1665</v>
      </c>
      <c r="J1672" s="6">
        <f t="array" aca="1" ref="J1672:N1672" ca="1">TRANSPOSE(ols(OFFSET($C$2:$C$10,I1672,0),OFFSET($D$2:$H$10,I1672,0)))</f>
        <v>79.434523809522943</v>
      </c>
      <c r="K1672" s="6">
        <f ca="1"/>
        <v>-4.4642857142853245</v>
      </c>
      <c r="L1672" s="6">
        <f ca="1"/>
        <v>-3.6904761904761472</v>
      </c>
      <c r="M1672" s="6">
        <f ca="1"/>
        <v>1.845238095238301</v>
      </c>
      <c r="N1672" s="6">
        <f ca="1"/>
        <v>-9.22619047619051E-2</v>
      </c>
      <c r="O1672" s="6">
        <f t="shared" ca="1" si="245"/>
        <v>45.297619047618312</v>
      </c>
      <c r="P1672">
        <f t="shared" ca="1" si="246"/>
        <v>45.297619047618312</v>
      </c>
      <c r="Q1672" s="10">
        <f t="shared" ca="1" si="247"/>
        <v>45.297619047618312</v>
      </c>
      <c r="R1672" s="10">
        <f t="shared" ca="1" si="248"/>
        <v>77.589285714285097</v>
      </c>
      <c r="S1672" s="10">
        <f t="shared" ca="1" si="249"/>
        <v>-32.291666666666785</v>
      </c>
      <c r="T1672" s="10">
        <f t="shared" ca="1" si="250"/>
        <v>350</v>
      </c>
      <c r="U1672" s="10">
        <f t="shared" ca="1" si="251"/>
        <v>350</v>
      </c>
      <c r="V1672">
        <f t="shared" si="252"/>
        <v>6</v>
      </c>
    </row>
    <row r="1673" spans="1:22" x14ac:dyDescent="0.25">
      <c r="A1673">
        <v>186</v>
      </c>
      <c r="B1673">
        <v>7</v>
      </c>
      <c r="C1673">
        <v>35</v>
      </c>
      <c r="D1673">
        <v>1</v>
      </c>
      <c r="E1673">
        <v>1</v>
      </c>
      <c r="F1673">
        <v>0</v>
      </c>
      <c r="G1673">
        <v>1</v>
      </c>
      <c r="H1673">
        <v>450</v>
      </c>
      <c r="I1673">
        <f t="shared" si="244"/>
        <v>1665</v>
      </c>
      <c r="J1673" s="6">
        <f t="array" aca="1" ref="J1673:N1673" ca="1">TRANSPOSE(ols(OFFSET($C$2:$C$10,I1673,0),OFFSET($D$2:$H$10,I1673,0)))</f>
        <v>79.434523809522943</v>
      </c>
      <c r="K1673" s="6">
        <f ca="1"/>
        <v>-4.4642857142853245</v>
      </c>
      <c r="L1673" s="6">
        <f ca="1"/>
        <v>-3.6904761904761472</v>
      </c>
      <c r="M1673" s="6">
        <f ca="1"/>
        <v>1.845238095238301</v>
      </c>
      <c r="N1673" s="6">
        <f ca="1"/>
        <v>-9.22619047619051E-2</v>
      </c>
      <c r="O1673" s="6">
        <f t="shared" ca="1" si="245"/>
        <v>35.297619047618625</v>
      </c>
      <c r="P1673" t="str">
        <f t="shared" si="246"/>
        <v>NA</v>
      </c>
      <c r="Q1673" s="10">
        <f t="shared" ca="1" si="247"/>
        <v>45.297619047618312</v>
      </c>
      <c r="R1673" s="10">
        <f t="shared" ca="1" si="248"/>
        <v>76.81547619047592</v>
      </c>
      <c r="S1673" s="10">
        <f t="shared" ca="1" si="249"/>
        <v>-31.517857142857608</v>
      </c>
      <c r="T1673" s="10">
        <f t="shared" ca="1" si="250"/>
        <v>341.61290322581021</v>
      </c>
      <c r="U1673" s="10">
        <f t="shared" ca="1" si="251"/>
        <v>341.61290322581021</v>
      </c>
      <c r="V1673">
        <f t="shared" si="252"/>
        <v>5</v>
      </c>
    </row>
    <row r="1674" spans="1:22" x14ac:dyDescent="0.25">
      <c r="A1674">
        <v>186</v>
      </c>
      <c r="B1674">
        <v>8</v>
      </c>
      <c r="C1674">
        <v>35</v>
      </c>
      <c r="D1674">
        <v>1</v>
      </c>
      <c r="E1674">
        <v>1</v>
      </c>
      <c r="F1674">
        <v>0</v>
      </c>
      <c r="G1674">
        <v>1</v>
      </c>
      <c r="H1674">
        <v>550</v>
      </c>
      <c r="I1674">
        <f t="shared" si="244"/>
        <v>1665</v>
      </c>
      <c r="J1674" s="6">
        <f t="array" aca="1" ref="J1674:N1674" ca="1">TRANSPOSE(ols(OFFSET($C$2:$C$10,I1674,0),OFFSET($D$2:$H$10,I1674,0)))</f>
        <v>79.434523809522943</v>
      </c>
      <c r="K1674" s="6">
        <f ca="1"/>
        <v>-4.4642857142853245</v>
      </c>
      <c r="L1674" s="6">
        <f ca="1"/>
        <v>-3.6904761904761472</v>
      </c>
      <c r="M1674" s="6">
        <f ca="1"/>
        <v>1.845238095238301</v>
      </c>
      <c r="N1674" s="6">
        <f ca="1"/>
        <v>-9.22619047619051E-2</v>
      </c>
      <c r="O1674" s="6">
        <f t="shared" ca="1" si="245"/>
        <v>26.071428571428115</v>
      </c>
      <c r="P1674" t="str">
        <f t="shared" si="246"/>
        <v>NA</v>
      </c>
      <c r="Q1674" s="10">
        <f t="shared" ca="1" si="247"/>
        <v>45.297619047618312</v>
      </c>
      <c r="R1674" s="10">
        <f t="shared" ca="1" si="248"/>
        <v>76.81547619047592</v>
      </c>
      <c r="S1674" s="10">
        <f t="shared" ca="1" si="249"/>
        <v>-31.517857142857608</v>
      </c>
      <c r="T1674" s="10">
        <f t="shared" ca="1" si="250"/>
        <v>341.61290322581021</v>
      </c>
      <c r="U1674" s="10">
        <f t="shared" ca="1" si="251"/>
        <v>341.61290322581021</v>
      </c>
      <c r="V1674">
        <f t="shared" si="252"/>
        <v>5</v>
      </c>
    </row>
    <row r="1675" spans="1:22" x14ac:dyDescent="0.25">
      <c r="A1675">
        <v>186</v>
      </c>
      <c r="B1675">
        <v>9</v>
      </c>
      <c r="C1675">
        <v>15</v>
      </c>
      <c r="D1675">
        <v>1</v>
      </c>
      <c r="E1675">
        <v>0</v>
      </c>
      <c r="F1675">
        <v>0</v>
      </c>
      <c r="G1675">
        <v>1</v>
      </c>
      <c r="H1675">
        <v>650</v>
      </c>
      <c r="I1675">
        <f t="shared" si="244"/>
        <v>1665</v>
      </c>
      <c r="J1675" s="6">
        <f t="array" aca="1" ref="J1675:N1675" ca="1">TRANSPOSE(ols(OFFSET($C$2:$C$10,I1675,0),OFFSET($D$2:$H$10,I1675,0)))</f>
        <v>79.434523809522943</v>
      </c>
      <c r="K1675" s="6">
        <f ca="1"/>
        <v>-4.4642857142853245</v>
      </c>
      <c r="L1675" s="6">
        <f ca="1"/>
        <v>-3.6904761904761472</v>
      </c>
      <c r="M1675" s="6">
        <f ca="1"/>
        <v>1.845238095238301</v>
      </c>
      <c r="N1675" s="6">
        <f ca="1"/>
        <v>-9.22619047619051E-2</v>
      </c>
      <c r="O1675" s="6">
        <f t="shared" ca="1" si="245"/>
        <v>21.309523809522929</v>
      </c>
      <c r="P1675" t="str">
        <f t="shared" si="246"/>
        <v>NA</v>
      </c>
      <c r="Q1675" s="10">
        <f t="shared" ca="1" si="247"/>
        <v>45.297619047618312</v>
      </c>
      <c r="R1675" s="10">
        <f t="shared" ca="1" si="248"/>
        <v>81.279761904761244</v>
      </c>
      <c r="S1675" s="10">
        <f t="shared" ca="1" si="249"/>
        <v>-35.982142857142932</v>
      </c>
      <c r="T1675" s="10">
        <f t="shared" ca="1" si="250"/>
        <v>389.99999999999937</v>
      </c>
      <c r="U1675" s="10">
        <f t="shared" ca="1" si="251"/>
        <v>389.99999999999937</v>
      </c>
      <c r="V1675">
        <f t="shared" si="252"/>
        <v>4</v>
      </c>
    </row>
    <row r="1676" spans="1:22" x14ac:dyDescent="0.25">
      <c r="A1676">
        <v>187</v>
      </c>
      <c r="B1676">
        <v>1</v>
      </c>
      <c r="C1676">
        <v>35</v>
      </c>
      <c r="D1676">
        <v>1</v>
      </c>
      <c r="E1676">
        <v>0</v>
      </c>
      <c r="F1676">
        <v>1</v>
      </c>
      <c r="G1676">
        <v>0</v>
      </c>
      <c r="H1676">
        <v>250</v>
      </c>
      <c r="I1676">
        <f t="shared" ref="I1676:I1739" si="253">IF(A1676&gt;A1675,I1675+9,I1675)</f>
        <v>1674</v>
      </c>
      <c r="J1676" s="6">
        <f t="array" aca="1" ref="J1676:N1676" ca="1">TRANSPOSE(ols(OFFSET($C$2:$C$10,I1676,0),OFFSET($D$2:$H$10,I1676,0)))</f>
        <v>139.70238095237801</v>
      </c>
      <c r="K1676" s="6">
        <f ca="1"/>
        <v>-16.428571428571331</v>
      </c>
      <c r="L1676" s="6">
        <f ca="1"/>
        <v>-49.047619047618355</v>
      </c>
      <c r="M1676" s="6">
        <f ca="1"/>
        <v>22.023809523809632</v>
      </c>
      <c r="N1676" s="6">
        <f ca="1"/>
        <v>-0.20119047619047592</v>
      </c>
      <c r="O1676" s="6">
        <f t="shared" ca="1" si="245"/>
        <v>40.357142857140673</v>
      </c>
      <c r="P1676" t="str">
        <f t="shared" si="246"/>
        <v>NA</v>
      </c>
      <c r="Q1676" s="10">
        <f t="shared" ca="1" si="247"/>
        <v>42.261904761902713</v>
      </c>
      <c r="R1676" s="10">
        <f t="shared" ca="1" si="248"/>
        <v>90.654761904759653</v>
      </c>
      <c r="S1676" s="10">
        <f t="shared" ca="1" si="249"/>
        <v>-48.39285714285694</v>
      </c>
      <c r="T1676" s="10">
        <f t="shared" ca="1" si="250"/>
        <v>240.53254437869754</v>
      </c>
      <c r="U1676" s="10" t="str">
        <f t="shared" ca="1" si="251"/>
        <v>OR</v>
      </c>
      <c r="V1676">
        <f t="shared" si="252"/>
        <v>3</v>
      </c>
    </row>
    <row r="1677" spans="1:22" x14ac:dyDescent="0.25">
      <c r="A1677">
        <v>187</v>
      </c>
      <c r="B1677">
        <v>2</v>
      </c>
      <c r="C1677">
        <v>55</v>
      </c>
      <c r="D1677">
        <v>1</v>
      </c>
      <c r="E1677">
        <v>1</v>
      </c>
      <c r="F1677">
        <v>0</v>
      </c>
      <c r="G1677">
        <v>0</v>
      </c>
      <c r="H1677">
        <v>350</v>
      </c>
      <c r="I1677">
        <f t="shared" si="253"/>
        <v>1674</v>
      </c>
      <c r="J1677" s="6">
        <f t="array" aca="1" ref="J1677:N1677" ca="1">TRANSPOSE(ols(OFFSET($C$2:$C$10,I1677,0),OFFSET($D$2:$H$10,I1677,0)))</f>
        <v>139.70238095237801</v>
      </c>
      <c r="K1677" s="6">
        <f ca="1"/>
        <v>-16.428571428571331</v>
      </c>
      <c r="L1677" s="6">
        <f ca="1"/>
        <v>-49.047619047618355</v>
      </c>
      <c r="M1677" s="6">
        <f ca="1"/>
        <v>22.023809523809632</v>
      </c>
      <c r="N1677" s="6">
        <f ca="1"/>
        <v>-0.20119047619047592</v>
      </c>
      <c r="O1677" s="6">
        <f t="shared" ca="1" si="245"/>
        <v>52.857142857140104</v>
      </c>
      <c r="P1677" t="str">
        <f t="shared" si="246"/>
        <v>NA</v>
      </c>
      <c r="Q1677" s="10">
        <f t="shared" ca="1" si="247"/>
        <v>42.261904761902713</v>
      </c>
      <c r="R1677" s="10">
        <f t="shared" ca="1" si="248"/>
        <v>123.27380952380668</v>
      </c>
      <c r="S1677" s="10">
        <f t="shared" ca="1" si="249"/>
        <v>-81.011904761903963</v>
      </c>
      <c r="T1677" s="10">
        <f t="shared" ca="1" si="250"/>
        <v>402.66272189348769</v>
      </c>
      <c r="U1677" s="10">
        <f t="shared" ca="1" si="251"/>
        <v>402.66272189348769</v>
      </c>
      <c r="V1677">
        <f t="shared" si="252"/>
        <v>2</v>
      </c>
    </row>
    <row r="1678" spans="1:22" x14ac:dyDescent="0.25">
      <c r="A1678">
        <v>187</v>
      </c>
      <c r="B1678">
        <v>3</v>
      </c>
      <c r="C1678">
        <v>35</v>
      </c>
      <c r="D1678">
        <v>1</v>
      </c>
      <c r="E1678">
        <v>1</v>
      </c>
      <c r="F1678">
        <v>0</v>
      </c>
      <c r="G1678">
        <v>0</v>
      </c>
      <c r="H1678">
        <v>450</v>
      </c>
      <c r="I1678">
        <f t="shared" si="253"/>
        <v>1674</v>
      </c>
      <c r="J1678" s="6">
        <f t="array" aca="1" ref="J1678:N1678" ca="1">TRANSPOSE(ols(OFFSET($C$2:$C$10,I1678,0),OFFSET($D$2:$H$10,I1678,0)))</f>
        <v>139.70238095237801</v>
      </c>
      <c r="K1678" s="6">
        <f ca="1"/>
        <v>-16.428571428571331</v>
      </c>
      <c r="L1678" s="6">
        <f ca="1"/>
        <v>-49.047619047618355</v>
      </c>
      <c r="M1678" s="6">
        <f ca="1"/>
        <v>22.023809523809632</v>
      </c>
      <c r="N1678" s="6">
        <f ca="1"/>
        <v>-0.20119047619047592</v>
      </c>
      <c r="O1678" s="6">
        <f t="shared" ca="1" si="245"/>
        <v>32.738095238092512</v>
      </c>
      <c r="P1678" t="str">
        <f t="shared" si="246"/>
        <v>NA</v>
      </c>
      <c r="Q1678" s="10">
        <f t="shared" ca="1" si="247"/>
        <v>42.261904761902713</v>
      </c>
      <c r="R1678" s="10">
        <f t="shared" ca="1" si="248"/>
        <v>123.27380952380668</v>
      </c>
      <c r="S1678" s="10">
        <f t="shared" ca="1" si="249"/>
        <v>-81.011904761903963</v>
      </c>
      <c r="T1678" s="10">
        <f t="shared" ca="1" si="250"/>
        <v>402.66272189348769</v>
      </c>
      <c r="U1678" s="10">
        <f t="shared" ca="1" si="251"/>
        <v>402.66272189348769</v>
      </c>
      <c r="V1678">
        <f t="shared" si="252"/>
        <v>2</v>
      </c>
    </row>
    <row r="1679" spans="1:22" x14ac:dyDescent="0.25">
      <c r="A1679">
        <v>187</v>
      </c>
      <c r="B1679">
        <v>4</v>
      </c>
      <c r="C1679">
        <v>30</v>
      </c>
      <c r="D1679">
        <v>1</v>
      </c>
      <c r="E1679">
        <v>0</v>
      </c>
      <c r="F1679">
        <v>0</v>
      </c>
      <c r="G1679">
        <v>0</v>
      </c>
      <c r="H1679">
        <v>550</v>
      </c>
      <c r="I1679">
        <f t="shared" si="253"/>
        <v>1674</v>
      </c>
      <c r="J1679" s="6">
        <f t="array" aca="1" ref="J1679:N1679" ca="1">TRANSPOSE(ols(OFFSET($C$2:$C$10,I1679,0),OFFSET($D$2:$H$10,I1679,0)))</f>
        <v>139.70238095237801</v>
      </c>
      <c r="K1679" s="6">
        <f ca="1"/>
        <v>-16.428571428571331</v>
      </c>
      <c r="L1679" s="6">
        <f ca="1"/>
        <v>-49.047619047618355</v>
      </c>
      <c r="M1679" s="6">
        <f ca="1"/>
        <v>22.023809523809632</v>
      </c>
      <c r="N1679" s="6">
        <f ca="1"/>
        <v>-0.20119047619047592</v>
      </c>
      <c r="O1679" s="6">
        <f t="shared" ca="1" si="245"/>
        <v>29.047619047616251</v>
      </c>
      <c r="P1679" t="str">
        <f t="shared" si="246"/>
        <v>NA</v>
      </c>
      <c r="Q1679" s="10">
        <f t="shared" ca="1" si="247"/>
        <v>42.261904761902713</v>
      </c>
      <c r="R1679" s="10">
        <f t="shared" ca="1" si="248"/>
        <v>139.70238095237801</v>
      </c>
      <c r="S1679" s="10">
        <f t="shared" ca="1" si="249"/>
        <v>-97.440476190475295</v>
      </c>
      <c r="T1679" s="10">
        <f t="shared" ca="1" si="250"/>
        <v>484.31952662721511</v>
      </c>
      <c r="U1679" s="10">
        <f t="shared" ca="1" si="251"/>
        <v>484.31952662721511</v>
      </c>
      <c r="V1679">
        <f t="shared" si="252"/>
        <v>1</v>
      </c>
    </row>
    <row r="1680" spans="1:22" x14ac:dyDescent="0.25">
      <c r="A1680">
        <v>187</v>
      </c>
      <c r="B1680">
        <v>5</v>
      </c>
      <c r="C1680">
        <v>60</v>
      </c>
      <c r="D1680">
        <v>1</v>
      </c>
      <c r="E1680">
        <v>0</v>
      </c>
      <c r="F1680">
        <v>1</v>
      </c>
      <c r="G1680">
        <v>1</v>
      </c>
      <c r="H1680">
        <v>250</v>
      </c>
      <c r="I1680">
        <f t="shared" si="253"/>
        <v>1674</v>
      </c>
      <c r="J1680" s="6">
        <f t="array" aca="1" ref="J1680:N1680" ca="1">TRANSPOSE(ols(OFFSET($C$2:$C$10,I1680,0),OFFSET($D$2:$H$10,I1680,0)))</f>
        <v>139.70238095237801</v>
      </c>
      <c r="K1680" s="6">
        <f ca="1"/>
        <v>-16.428571428571331</v>
      </c>
      <c r="L1680" s="6">
        <f ca="1"/>
        <v>-49.047619047618355</v>
      </c>
      <c r="M1680" s="6">
        <f ca="1"/>
        <v>22.023809523809632</v>
      </c>
      <c r="N1680" s="6">
        <f ca="1"/>
        <v>-0.20119047619047592</v>
      </c>
      <c r="O1680" s="6">
        <f t="shared" ca="1" si="245"/>
        <v>62.380952380950305</v>
      </c>
      <c r="P1680" t="str">
        <f t="shared" si="246"/>
        <v>NA</v>
      </c>
      <c r="Q1680" s="10">
        <f t="shared" ca="1" si="247"/>
        <v>42.261904761902713</v>
      </c>
      <c r="R1680" s="10">
        <f t="shared" ca="1" si="248"/>
        <v>112.67857142856928</v>
      </c>
      <c r="S1680" s="10">
        <f t="shared" ca="1" si="249"/>
        <v>-70.416666666666572</v>
      </c>
      <c r="T1680" s="10">
        <f t="shared" ca="1" si="250"/>
        <v>350</v>
      </c>
      <c r="U1680" s="10">
        <f t="shared" ca="1" si="251"/>
        <v>350</v>
      </c>
      <c r="V1680">
        <f t="shared" si="252"/>
        <v>6</v>
      </c>
    </row>
    <row r="1681" spans="1:22" x14ac:dyDescent="0.25">
      <c r="A1681">
        <v>187</v>
      </c>
      <c r="B1681">
        <v>6</v>
      </c>
      <c r="C1681">
        <v>50</v>
      </c>
      <c r="D1681">
        <v>1</v>
      </c>
      <c r="E1681">
        <v>0</v>
      </c>
      <c r="F1681">
        <v>1</v>
      </c>
      <c r="G1681">
        <v>1</v>
      </c>
      <c r="H1681">
        <v>350</v>
      </c>
      <c r="I1681">
        <f t="shared" si="253"/>
        <v>1674</v>
      </c>
      <c r="J1681" s="6">
        <f t="array" aca="1" ref="J1681:N1681" ca="1">TRANSPOSE(ols(OFFSET($C$2:$C$10,I1681,0),OFFSET($D$2:$H$10,I1681,0)))</f>
        <v>139.70238095237801</v>
      </c>
      <c r="K1681" s="6">
        <f ca="1"/>
        <v>-16.428571428571331</v>
      </c>
      <c r="L1681" s="6">
        <f ca="1"/>
        <v>-49.047619047618355</v>
      </c>
      <c r="M1681" s="6">
        <f ca="1"/>
        <v>22.023809523809632</v>
      </c>
      <c r="N1681" s="6">
        <f ca="1"/>
        <v>-0.20119047619047592</v>
      </c>
      <c r="O1681" s="6">
        <f t="shared" ca="1" si="245"/>
        <v>42.261904761902713</v>
      </c>
      <c r="P1681">
        <f t="shared" ca="1" si="246"/>
        <v>42.261904761902713</v>
      </c>
      <c r="Q1681" s="10">
        <f t="shared" ca="1" si="247"/>
        <v>42.261904761902713</v>
      </c>
      <c r="R1681" s="10">
        <f t="shared" ca="1" si="248"/>
        <v>112.67857142856928</v>
      </c>
      <c r="S1681" s="10">
        <f t="shared" ca="1" si="249"/>
        <v>-70.416666666666572</v>
      </c>
      <c r="T1681" s="10">
        <f t="shared" ca="1" si="250"/>
        <v>350</v>
      </c>
      <c r="U1681" s="10">
        <f t="shared" ca="1" si="251"/>
        <v>350</v>
      </c>
      <c r="V1681">
        <f t="shared" si="252"/>
        <v>6</v>
      </c>
    </row>
    <row r="1682" spans="1:22" x14ac:dyDescent="0.25">
      <c r="A1682">
        <v>187</v>
      </c>
      <c r="B1682">
        <v>7</v>
      </c>
      <c r="C1682">
        <v>55</v>
      </c>
      <c r="D1682">
        <v>1</v>
      </c>
      <c r="E1682">
        <v>1</v>
      </c>
      <c r="F1682">
        <v>0</v>
      </c>
      <c r="G1682">
        <v>1</v>
      </c>
      <c r="H1682">
        <v>450</v>
      </c>
      <c r="I1682">
        <f t="shared" si="253"/>
        <v>1674</v>
      </c>
      <c r="J1682" s="6">
        <f t="array" aca="1" ref="J1682:N1682" ca="1">TRANSPOSE(ols(OFFSET($C$2:$C$10,I1682,0),OFFSET($D$2:$H$10,I1682,0)))</f>
        <v>139.70238095237801</v>
      </c>
      <c r="K1682" s="6">
        <f ca="1"/>
        <v>-16.428571428571331</v>
      </c>
      <c r="L1682" s="6">
        <f ca="1"/>
        <v>-49.047619047618355</v>
      </c>
      <c r="M1682" s="6">
        <f ca="1"/>
        <v>22.023809523809632</v>
      </c>
      <c r="N1682" s="6">
        <f ca="1"/>
        <v>-0.20119047619047592</v>
      </c>
      <c r="O1682" s="6">
        <f t="shared" ca="1" si="245"/>
        <v>54.761904761902144</v>
      </c>
      <c r="P1682" t="str">
        <f t="shared" si="246"/>
        <v>NA</v>
      </c>
      <c r="Q1682" s="10">
        <f t="shared" ca="1" si="247"/>
        <v>42.261904761902713</v>
      </c>
      <c r="R1682" s="10">
        <f t="shared" ca="1" si="248"/>
        <v>145.29761904761631</v>
      </c>
      <c r="S1682" s="10">
        <f t="shared" ca="1" si="249"/>
        <v>-103.0357142857136</v>
      </c>
      <c r="T1682" s="10">
        <f t="shared" ca="1" si="250"/>
        <v>512.13017751479015</v>
      </c>
      <c r="U1682" s="10">
        <f t="shared" ca="1" si="251"/>
        <v>512.13017751479015</v>
      </c>
      <c r="V1682">
        <f t="shared" si="252"/>
        <v>5</v>
      </c>
    </row>
    <row r="1683" spans="1:22" x14ac:dyDescent="0.25">
      <c r="A1683">
        <v>187</v>
      </c>
      <c r="B1683">
        <v>8</v>
      </c>
      <c r="C1683">
        <v>30</v>
      </c>
      <c r="D1683">
        <v>1</v>
      </c>
      <c r="E1683">
        <v>1</v>
      </c>
      <c r="F1683">
        <v>0</v>
      </c>
      <c r="G1683">
        <v>1</v>
      </c>
      <c r="H1683">
        <v>550</v>
      </c>
      <c r="I1683">
        <f t="shared" si="253"/>
        <v>1674</v>
      </c>
      <c r="J1683" s="6">
        <f t="array" aca="1" ref="J1683:N1683" ca="1">TRANSPOSE(ols(OFFSET($C$2:$C$10,I1683,0),OFFSET($D$2:$H$10,I1683,0)))</f>
        <v>139.70238095237801</v>
      </c>
      <c r="K1683" s="6">
        <f ca="1"/>
        <v>-16.428571428571331</v>
      </c>
      <c r="L1683" s="6">
        <f ca="1"/>
        <v>-49.047619047618355</v>
      </c>
      <c r="M1683" s="6">
        <f ca="1"/>
        <v>22.023809523809632</v>
      </c>
      <c r="N1683" s="6">
        <f ca="1"/>
        <v>-0.20119047619047592</v>
      </c>
      <c r="O1683" s="6">
        <f t="shared" ca="1" si="245"/>
        <v>34.642857142854552</v>
      </c>
      <c r="P1683" t="str">
        <f t="shared" si="246"/>
        <v>NA</v>
      </c>
      <c r="Q1683" s="10">
        <f t="shared" ca="1" si="247"/>
        <v>42.261904761902713</v>
      </c>
      <c r="R1683" s="10">
        <f t="shared" ca="1" si="248"/>
        <v>145.29761904761631</v>
      </c>
      <c r="S1683" s="10">
        <f t="shared" ca="1" si="249"/>
        <v>-103.0357142857136</v>
      </c>
      <c r="T1683" s="10">
        <f t="shared" ca="1" si="250"/>
        <v>512.13017751479015</v>
      </c>
      <c r="U1683" s="10">
        <f t="shared" ca="1" si="251"/>
        <v>512.13017751479015</v>
      </c>
      <c r="V1683">
        <f t="shared" si="252"/>
        <v>5</v>
      </c>
    </row>
    <row r="1684" spans="1:22" x14ac:dyDescent="0.25">
      <c r="A1684">
        <v>187</v>
      </c>
      <c r="B1684">
        <v>9</v>
      </c>
      <c r="C1684">
        <v>30</v>
      </c>
      <c r="D1684">
        <v>1</v>
      </c>
      <c r="E1684">
        <v>0</v>
      </c>
      <c r="F1684">
        <v>0</v>
      </c>
      <c r="G1684">
        <v>1</v>
      </c>
      <c r="H1684">
        <v>650</v>
      </c>
      <c r="I1684">
        <f t="shared" si="253"/>
        <v>1674</v>
      </c>
      <c r="J1684" s="6">
        <f t="array" aca="1" ref="J1684:N1684" ca="1">TRANSPOSE(ols(OFFSET($C$2:$C$10,I1684,0),OFFSET($D$2:$H$10,I1684,0)))</f>
        <v>139.70238095237801</v>
      </c>
      <c r="K1684" s="6">
        <f ca="1"/>
        <v>-16.428571428571331</v>
      </c>
      <c r="L1684" s="6">
        <f ca="1"/>
        <v>-49.047619047618355</v>
      </c>
      <c r="M1684" s="6">
        <f ca="1"/>
        <v>22.023809523809632</v>
      </c>
      <c r="N1684" s="6">
        <f ca="1"/>
        <v>-0.20119047619047592</v>
      </c>
      <c r="O1684" s="6">
        <f t="shared" ca="1" si="245"/>
        <v>30.952380952378292</v>
      </c>
      <c r="P1684" t="str">
        <f t="shared" si="246"/>
        <v>NA</v>
      </c>
      <c r="Q1684" s="10">
        <f t="shared" ca="1" si="247"/>
        <v>42.261904761902713</v>
      </c>
      <c r="R1684" s="10">
        <f t="shared" ca="1" si="248"/>
        <v>161.72619047618764</v>
      </c>
      <c r="S1684" s="10">
        <f t="shared" ca="1" si="249"/>
        <v>-119.46428571428493</v>
      </c>
      <c r="T1684" s="10">
        <f t="shared" ca="1" si="250"/>
        <v>593.78698224851757</v>
      </c>
      <c r="U1684" s="10">
        <f t="shared" ca="1" si="251"/>
        <v>593.78698224851757</v>
      </c>
      <c r="V1684">
        <f t="shared" si="252"/>
        <v>4</v>
      </c>
    </row>
    <row r="1685" spans="1:22" x14ac:dyDescent="0.25">
      <c r="A1685">
        <v>188</v>
      </c>
      <c r="B1685">
        <v>1</v>
      </c>
      <c r="C1685">
        <v>50</v>
      </c>
      <c r="D1685">
        <v>1</v>
      </c>
      <c r="E1685">
        <v>0</v>
      </c>
      <c r="F1685">
        <v>1</v>
      </c>
      <c r="G1685">
        <v>0</v>
      </c>
      <c r="H1685">
        <v>250</v>
      </c>
      <c r="I1685">
        <f t="shared" si="253"/>
        <v>1683</v>
      </c>
      <c r="J1685" s="6">
        <f t="array" aca="1" ref="J1685:N1685" ca="1">TRANSPOSE(ols(OFFSET($C$2:$C$10,I1685,0),OFFSET($D$2:$H$10,I1685,0)))</f>
        <v>54.940476190475238</v>
      </c>
      <c r="K1685" s="6">
        <f ca="1"/>
        <v>3.2142857142855519</v>
      </c>
      <c r="L1685" s="6">
        <f ca="1"/>
        <v>1.1904761904747829</v>
      </c>
      <c r="M1685" s="6">
        <f ca="1"/>
        <v>-0.59523809523761884</v>
      </c>
      <c r="N1685" s="6">
        <f ca="1"/>
        <v>-2.0238095238097387E-2</v>
      </c>
      <c r="O1685" s="6">
        <f t="shared" ca="1" si="245"/>
        <v>51.07142857142567</v>
      </c>
      <c r="P1685" t="str">
        <f t="shared" si="246"/>
        <v>NA</v>
      </c>
      <c r="Q1685" s="10">
        <f t="shared" ca="1" si="247"/>
        <v>48.45238095237832</v>
      </c>
      <c r="R1685" s="10">
        <f t="shared" ca="1" si="248"/>
        <v>56.130952380950021</v>
      </c>
      <c r="S1685" s="10">
        <f t="shared" ca="1" si="249"/>
        <v>-7.6785714285717006</v>
      </c>
      <c r="T1685" s="10">
        <f t="shared" ca="1" si="250"/>
        <v>379.41176470585549</v>
      </c>
      <c r="U1685" s="10">
        <f t="shared" ca="1" si="251"/>
        <v>379.41176470585549</v>
      </c>
      <c r="V1685">
        <f t="shared" si="252"/>
        <v>3</v>
      </c>
    </row>
    <row r="1686" spans="1:22" x14ac:dyDescent="0.25">
      <c r="A1686">
        <v>188</v>
      </c>
      <c r="B1686">
        <v>2</v>
      </c>
      <c r="C1686">
        <v>50</v>
      </c>
      <c r="D1686">
        <v>1</v>
      </c>
      <c r="E1686">
        <v>1</v>
      </c>
      <c r="F1686">
        <v>0</v>
      </c>
      <c r="G1686">
        <v>0</v>
      </c>
      <c r="H1686">
        <v>350</v>
      </c>
      <c r="I1686">
        <f t="shared" si="253"/>
        <v>1683</v>
      </c>
      <c r="J1686" s="6">
        <f t="array" aca="1" ref="J1686:N1686" ca="1">TRANSPOSE(ols(OFFSET($C$2:$C$10,I1686,0),OFFSET($D$2:$H$10,I1686,0)))</f>
        <v>54.940476190475238</v>
      </c>
      <c r="K1686" s="6">
        <f ca="1"/>
        <v>3.2142857142855519</v>
      </c>
      <c r="L1686" s="6">
        <f ca="1"/>
        <v>1.1904761904747829</v>
      </c>
      <c r="M1686" s="6">
        <f ca="1"/>
        <v>-0.59523809523761884</v>
      </c>
      <c r="N1686" s="6">
        <f ca="1"/>
        <v>-2.0238095238097387E-2</v>
      </c>
      <c r="O1686" s="6">
        <f t="shared" ca="1" si="245"/>
        <v>51.071428571426708</v>
      </c>
      <c r="P1686" t="str">
        <f t="shared" si="246"/>
        <v>NA</v>
      </c>
      <c r="Q1686" s="10">
        <f t="shared" ca="1" si="247"/>
        <v>48.45238095237832</v>
      </c>
      <c r="R1686" s="10">
        <f t="shared" ca="1" si="248"/>
        <v>58.15476190476079</v>
      </c>
      <c r="S1686" s="10">
        <f t="shared" ca="1" si="249"/>
        <v>-9.7023809523824696</v>
      </c>
      <c r="T1686" s="10">
        <f t="shared" ca="1" si="250"/>
        <v>479.41176470590642</v>
      </c>
      <c r="U1686" s="10">
        <f t="shared" ca="1" si="251"/>
        <v>479.41176470590642</v>
      </c>
      <c r="V1686">
        <f t="shared" si="252"/>
        <v>2</v>
      </c>
    </row>
    <row r="1687" spans="1:22" x14ac:dyDescent="0.25">
      <c r="A1687">
        <v>188</v>
      </c>
      <c r="B1687">
        <v>3</v>
      </c>
      <c r="C1687">
        <v>50</v>
      </c>
      <c r="D1687">
        <v>1</v>
      </c>
      <c r="E1687">
        <v>1</v>
      </c>
      <c r="F1687">
        <v>0</v>
      </c>
      <c r="G1687">
        <v>0</v>
      </c>
      <c r="H1687">
        <v>450</v>
      </c>
      <c r="I1687">
        <f t="shared" si="253"/>
        <v>1683</v>
      </c>
      <c r="J1687" s="6">
        <f t="array" aca="1" ref="J1687:N1687" ca="1">TRANSPOSE(ols(OFFSET($C$2:$C$10,I1687,0),OFFSET($D$2:$H$10,I1687,0)))</f>
        <v>54.940476190475238</v>
      </c>
      <c r="K1687" s="6">
        <f ca="1"/>
        <v>3.2142857142855519</v>
      </c>
      <c r="L1687" s="6">
        <f ca="1"/>
        <v>1.1904761904747829</v>
      </c>
      <c r="M1687" s="6">
        <f ca="1"/>
        <v>-0.59523809523761884</v>
      </c>
      <c r="N1687" s="6">
        <f ca="1"/>
        <v>-2.0238095238097387E-2</v>
      </c>
      <c r="O1687" s="6">
        <f t="shared" ca="1" si="245"/>
        <v>49.047619047616962</v>
      </c>
      <c r="P1687" t="str">
        <f t="shared" si="246"/>
        <v>NA</v>
      </c>
      <c r="Q1687" s="10">
        <f t="shared" ca="1" si="247"/>
        <v>48.45238095237832</v>
      </c>
      <c r="R1687" s="10">
        <f t="shared" ca="1" si="248"/>
        <v>58.15476190476079</v>
      </c>
      <c r="S1687" s="10">
        <f t="shared" ca="1" si="249"/>
        <v>-9.7023809523824696</v>
      </c>
      <c r="T1687" s="10">
        <f t="shared" ca="1" si="250"/>
        <v>479.41176470590642</v>
      </c>
      <c r="U1687" s="10">
        <f t="shared" ca="1" si="251"/>
        <v>479.41176470590642</v>
      </c>
      <c r="V1687">
        <f t="shared" si="252"/>
        <v>2</v>
      </c>
    </row>
    <row r="1688" spans="1:22" x14ac:dyDescent="0.25">
      <c r="A1688">
        <v>188</v>
      </c>
      <c r="B1688">
        <v>4</v>
      </c>
      <c r="C1688">
        <v>45</v>
      </c>
      <c r="D1688">
        <v>1</v>
      </c>
      <c r="E1688">
        <v>0</v>
      </c>
      <c r="F1688">
        <v>0</v>
      </c>
      <c r="G1688">
        <v>0</v>
      </c>
      <c r="H1688">
        <v>550</v>
      </c>
      <c r="I1688">
        <f t="shared" si="253"/>
        <v>1683</v>
      </c>
      <c r="J1688" s="6">
        <f t="array" aca="1" ref="J1688:N1688" ca="1">TRANSPOSE(ols(OFFSET($C$2:$C$10,I1688,0),OFFSET($D$2:$H$10,I1688,0)))</f>
        <v>54.940476190475238</v>
      </c>
      <c r="K1688" s="6">
        <f ca="1"/>
        <v>3.2142857142855519</v>
      </c>
      <c r="L1688" s="6">
        <f ca="1"/>
        <v>1.1904761904747829</v>
      </c>
      <c r="M1688" s="6">
        <f ca="1"/>
        <v>-0.59523809523761884</v>
      </c>
      <c r="N1688" s="6">
        <f ca="1"/>
        <v>-2.0238095238097387E-2</v>
      </c>
      <c r="O1688" s="6">
        <f t="shared" ca="1" si="245"/>
        <v>43.809523809521679</v>
      </c>
      <c r="P1688" t="str">
        <f t="shared" si="246"/>
        <v>NA</v>
      </c>
      <c r="Q1688" s="10">
        <f t="shared" ca="1" si="247"/>
        <v>48.45238095237832</v>
      </c>
      <c r="R1688" s="10">
        <f t="shared" ca="1" si="248"/>
        <v>54.940476190475238</v>
      </c>
      <c r="S1688" s="10">
        <f t="shared" ca="1" si="249"/>
        <v>-6.4880952380969177</v>
      </c>
      <c r="T1688" s="10">
        <f t="shared" ca="1" si="250"/>
        <v>320.58823529416662</v>
      </c>
      <c r="U1688" s="10">
        <f t="shared" ca="1" si="251"/>
        <v>320.58823529416662</v>
      </c>
      <c r="V1688">
        <f t="shared" si="252"/>
        <v>1</v>
      </c>
    </row>
    <row r="1689" spans="1:22" x14ac:dyDescent="0.25">
      <c r="A1689">
        <v>188</v>
      </c>
      <c r="B1689">
        <v>5</v>
      </c>
      <c r="C1689">
        <v>50</v>
      </c>
      <c r="D1689">
        <v>1</v>
      </c>
      <c r="E1689">
        <v>0</v>
      </c>
      <c r="F1689">
        <v>1</v>
      </c>
      <c r="G1689">
        <v>1</v>
      </c>
      <c r="H1689">
        <v>250</v>
      </c>
      <c r="I1689">
        <f t="shared" si="253"/>
        <v>1683</v>
      </c>
      <c r="J1689" s="6">
        <f t="array" aca="1" ref="J1689:N1689" ca="1">TRANSPOSE(ols(OFFSET($C$2:$C$10,I1689,0),OFFSET($D$2:$H$10,I1689,0)))</f>
        <v>54.940476190475238</v>
      </c>
      <c r="K1689" s="6">
        <f ca="1"/>
        <v>3.2142857142855519</v>
      </c>
      <c r="L1689" s="6">
        <f ca="1"/>
        <v>1.1904761904747829</v>
      </c>
      <c r="M1689" s="6">
        <f ca="1"/>
        <v>-0.59523809523761884</v>
      </c>
      <c r="N1689" s="6">
        <f ca="1"/>
        <v>-2.0238095238097387E-2</v>
      </c>
      <c r="O1689" s="6">
        <f t="shared" ca="1" si="245"/>
        <v>50.476190476188052</v>
      </c>
      <c r="P1689" t="str">
        <f t="shared" si="246"/>
        <v>NA</v>
      </c>
      <c r="Q1689" s="10">
        <f t="shared" ca="1" si="247"/>
        <v>48.45238095237832</v>
      </c>
      <c r="R1689" s="10">
        <f t="shared" ca="1" si="248"/>
        <v>55.535714285712402</v>
      </c>
      <c r="S1689" s="10">
        <f t="shared" ca="1" si="249"/>
        <v>-7.0833333333340818</v>
      </c>
      <c r="T1689" s="10">
        <f t="shared" ca="1" si="250"/>
        <v>349.99999999999983</v>
      </c>
      <c r="U1689" s="10">
        <f t="shared" ca="1" si="251"/>
        <v>349.99999999999983</v>
      </c>
      <c r="V1689">
        <f t="shared" si="252"/>
        <v>6</v>
      </c>
    </row>
    <row r="1690" spans="1:22" x14ac:dyDescent="0.25">
      <c r="A1690">
        <v>188</v>
      </c>
      <c r="B1690">
        <v>6</v>
      </c>
      <c r="C1690">
        <v>50</v>
      </c>
      <c r="D1690">
        <v>1</v>
      </c>
      <c r="E1690">
        <v>0</v>
      </c>
      <c r="F1690">
        <v>1</v>
      </c>
      <c r="G1690">
        <v>1</v>
      </c>
      <c r="H1690">
        <v>350</v>
      </c>
      <c r="I1690">
        <f t="shared" si="253"/>
        <v>1683</v>
      </c>
      <c r="J1690" s="6">
        <f t="array" aca="1" ref="J1690:N1690" ca="1">TRANSPOSE(ols(OFFSET($C$2:$C$10,I1690,0),OFFSET($D$2:$H$10,I1690,0)))</f>
        <v>54.940476190475238</v>
      </c>
      <c r="K1690" s="6">
        <f ca="1"/>
        <v>3.2142857142855519</v>
      </c>
      <c r="L1690" s="6">
        <f ca="1"/>
        <v>1.1904761904747829</v>
      </c>
      <c r="M1690" s="6">
        <f ca="1"/>
        <v>-0.59523809523761884</v>
      </c>
      <c r="N1690" s="6">
        <f ca="1"/>
        <v>-2.0238095238097387E-2</v>
      </c>
      <c r="O1690" s="6">
        <f t="shared" ca="1" si="245"/>
        <v>48.45238095237832</v>
      </c>
      <c r="P1690">
        <f t="shared" ca="1" si="246"/>
        <v>48.45238095237832</v>
      </c>
      <c r="Q1690" s="10">
        <f t="shared" ca="1" si="247"/>
        <v>48.45238095237832</v>
      </c>
      <c r="R1690" s="10">
        <f t="shared" ca="1" si="248"/>
        <v>55.535714285712402</v>
      </c>
      <c r="S1690" s="10">
        <f t="shared" ca="1" si="249"/>
        <v>-7.0833333333340818</v>
      </c>
      <c r="T1690" s="10">
        <f t="shared" ca="1" si="250"/>
        <v>349.99999999999983</v>
      </c>
      <c r="U1690" s="10">
        <f t="shared" ca="1" si="251"/>
        <v>349.99999999999983</v>
      </c>
      <c r="V1690">
        <f t="shared" si="252"/>
        <v>6</v>
      </c>
    </row>
    <row r="1691" spans="1:22" x14ac:dyDescent="0.25">
      <c r="A1691">
        <v>188</v>
      </c>
      <c r="B1691">
        <v>7</v>
      </c>
      <c r="C1691">
        <v>50</v>
      </c>
      <c r="D1691">
        <v>1</v>
      </c>
      <c r="E1691">
        <v>1</v>
      </c>
      <c r="F1691">
        <v>0</v>
      </c>
      <c r="G1691">
        <v>1</v>
      </c>
      <c r="H1691">
        <v>450</v>
      </c>
      <c r="I1691">
        <f t="shared" si="253"/>
        <v>1683</v>
      </c>
      <c r="J1691" s="6">
        <f t="array" aca="1" ref="J1691:N1691" ca="1">TRANSPOSE(ols(OFFSET($C$2:$C$10,I1691,0),OFFSET($D$2:$H$10,I1691,0)))</f>
        <v>54.940476190475238</v>
      </c>
      <c r="K1691" s="6">
        <f ca="1"/>
        <v>3.2142857142855519</v>
      </c>
      <c r="L1691" s="6">
        <f ca="1"/>
        <v>1.1904761904747829</v>
      </c>
      <c r="M1691" s="6">
        <f ca="1"/>
        <v>-0.59523809523761884</v>
      </c>
      <c r="N1691" s="6">
        <f ca="1"/>
        <v>-2.0238095238097387E-2</v>
      </c>
      <c r="O1691" s="6">
        <f t="shared" ca="1" si="245"/>
        <v>48.452380952379343</v>
      </c>
      <c r="P1691" t="str">
        <f t="shared" si="246"/>
        <v>NA</v>
      </c>
      <c r="Q1691" s="10">
        <f t="shared" ca="1" si="247"/>
        <v>48.45238095237832</v>
      </c>
      <c r="R1691" s="10">
        <f t="shared" ca="1" si="248"/>
        <v>57.559523809523171</v>
      </c>
      <c r="S1691" s="10">
        <f t="shared" ca="1" si="249"/>
        <v>-9.1071428571448507</v>
      </c>
      <c r="T1691" s="10">
        <f t="shared" ca="1" si="250"/>
        <v>450.0000000000507</v>
      </c>
      <c r="U1691" s="10">
        <f t="shared" ca="1" si="251"/>
        <v>450.0000000000507</v>
      </c>
      <c r="V1691">
        <f t="shared" si="252"/>
        <v>5</v>
      </c>
    </row>
    <row r="1692" spans="1:22" x14ac:dyDescent="0.25">
      <c r="A1692">
        <v>188</v>
      </c>
      <c r="B1692">
        <v>8</v>
      </c>
      <c r="C1692">
        <v>45</v>
      </c>
      <c r="D1692">
        <v>1</v>
      </c>
      <c r="E1692">
        <v>1</v>
      </c>
      <c r="F1692">
        <v>0</v>
      </c>
      <c r="G1692">
        <v>1</v>
      </c>
      <c r="H1692">
        <v>550</v>
      </c>
      <c r="I1692">
        <f t="shared" si="253"/>
        <v>1683</v>
      </c>
      <c r="J1692" s="6">
        <f t="array" aca="1" ref="J1692:N1692" ca="1">TRANSPOSE(ols(OFFSET($C$2:$C$10,I1692,0),OFFSET($D$2:$H$10,I1692,0)))</f>
        <v>54.940476190475238</v>
      </c>
      <c r="K1692" s="6">
        <f ca="1"/>
        <v>3.2142857142855519</v>
      </c>
      <c r="L1692" s="6">
        <f ca="1"/>
        <v>1.1904761904747829</v>
      </c>
      <c r="M1692" s="6">
        <f ca="1"/>
        <v>-0.59523809523761884</v>
      </c>
      <c r="N1692" s="6">
        <f ca="1"/>
        <v>-2.0238095238097387E-2</v>
      </c>
      <c r="O1692" s="6">
        <f t="shared" ca="1" si="245"/>
        <v>46.428571428569612</v>
      </c>
      <c r="P1692" t="str">
        <f t="shared" si="246"/>
        <v>NA</v>
      </c>
      <c r="Q1692" s="10">
        <f t="shared" ca="1" si="247"/>
        <v>48.45238095237832</v>
      </c>
      <c r="R1692" s="10">
        <f t="shared" ca="1" si="248"/>
        <v>57.559523809523171</v>
      </c>
      <c r="S1692" s="10">
        <f t="shared" ca="1" si="249"/>
        <v>-9.1071428571448507</v>
      </c>
      <c r="T1692" s="10">
        <f t="shared" ca="1" si="250"/>
        <v>450.0000000000507</v>
      </c>
      <c r="U1692" s="10">
        <f t="shared" ca="1" si="251"/>
        <v>450.0000000000507</v>
      </c>
      <c r="V1692">
        <f t="shared" si="252"/>
        <v>5</v>
      </c>
    </row>
    <row r="1693" spans="1:22" x14ac:dyDescent="0.25">
      <c r="A1693">
        <v>188</v>
      </c>
      <c r="B1693">
        <v>9</v>
      </c>
      <c r="C1693">
        <v>40</v>
      </c>
      <c r="D1693">
        <v>1</v>
      </c>
      <c r="E1693">
        <v>0</v>
      </c>
      <c r="F1693">
        <v>0</v>
      </c>
      <c r="G1693">
        <v>1</v>
      </c>
      <c r="H1693">
        <v>650</v>
      </c>
      <c r="I1693">
        <f t="shared" si="253"/>
        <v>1683</v>
      </c>
      <c r="J1693" s="6">
        <f t="array" aca="1" ref="J1693:N1693" ca="1">TRANSPOSE(ols(OFFSET($C$2:$C$10,I1693,0),OFFSET($D$2:$H$10,I1693,0)))</f>
        <v>54.940476190475238</v>
      </c>
      <c r="K1693" s="6">
        <f ca="1"/>
        <v>3.2142857142855519</v>
      </c>
      <c r="L1693" s="6">
        <f ca="1"/>
        <v>1.1904761904747829</v>
      </c>
      <c r="M1693" s="6">
        <f ca="1"/>
        <v>-0.59523809523761884</v>
      </c>
      <c r="N1693" s="6">
        <f ca="1"/>
        <v>-2.0238095238097387E-2</v>
      </c>
      <c r="O1693" s="6">
        <f t="shared" ca="1" si="245"/>
        <v>41.190476190474314</v>
      </c>
      <c r="P1693" t="str">
        <f t="shared" si="246"/>
        <v>NA</v>
      </c>
      <c r="Q1693" s="10">
        <f t="shared" ca="1" si="247"/>
        <v>48.45238095237832</v>
      </c>
      <c r="R1693" s="10">
        <f t="shared" ca="1" si="248"/>
        <v>54.345238095237619</v>
      </c>
      <c r="S1693" s="10">
        <f t="shared" ca="1" si="249"/>
        <v>-5.8928571428592988</v>
      </c>
      <c r="T1693" s="10">
        <f t="shared" ca="1" si="250"/>
        <v>291.17647058831091</v>
      </c>
      <c r="U1693" s="10">
        <f t="shared" ca="1" si="251"/>
        <v>291.17647058831091</v>
      </c>
      <c r="V1693">
        <f t="shared" si="252"/>
        <v>4</v>
      </c>
    </row>
    <row r="1694" spans="1:22" x14ac:dyDescent="0.25">
      <c r="A1694">
        <v>189</v>
      </c>
      <c r="B1694">
        <v>1</v>
      </c>
      <c r="C1694">
        <v>100</v>
      </c>
      <c r="D1694">
        <v>1</v>
      </c>
      <c r="E1694">
        <v>0</v>
      </c>
      <c r="F1694">
        <v>1</v>
      </c>
      <c r="G1694">
        <v>0</v>
      </c>
      <c r="H1694">
        <v>250</v>
      </c>
      <c r="I1694">
        <f t="shared" si="253"/>
        <v>1692</v>
      </c>
      <c r="J1694" s="6">
        <f t="array" aca="1" ref="J1694:N1694" ca="1">TRANSPOSE(ols(OFFSET($C$2:$C$10,I1694,0),OFFSET($D$2:$H$10,I1694,0)))</f>
        <v>94.464285714284415</v>
      </c>
      <c r="K1694" s="6">
        <f ca="1"/>
        <v>18.928571428571558</v>
      </c>
      <c r="L1694" s="6">
        <f ca="1"/>
        <v>25.714285714284415</v>
      </c>
      <c r="M1694" s="6">
        <f ca="1"/>
        <v>-5.3571428571426623</v>
      </c>
      <c r="N1694" s="6">
        <f ca="1"/>
        <v>-8.2142857142859071E-2</v>
      </c>
      <c r="O1694" s="6">
        <f t="shared" ca="1" si="245"/>
        <v>99.642857142854069</v>
      </c>
      <c r="P1694" t="str">
        <f t="shared" si="246"/>
        <v>NA</v>
      </c>
      <c r="Q1694" s="10">
        <f t="shared" ca="1" si="247"/>
        <v>86.071428571425486</v>
      </c>
      <c r="R1694" s="10">
        <f t="shared" ca="1" si="248"/>
        <v>120.17857142856883</v>
      </c>
      <c r="S1694" s="10">
        <f t="shared" ca="1" si="249"/>
        <v>-34.107142857143344</v>
      </c>
      <c r="T1694" s="10">
        <f t="shared" ca="1" si="250"/>
        <v>415.21739130434401</v>
      </c>
      <c r="U1694" s="10">
        <f t="shared" ca="1" si="251"/>
        <v>415.21739130434401</v>
      </c>
      <c r="V1694">
        <f t="shared" si="252"/>
        <v>3</v>
      </c>
    </row>
    <row r="1695" spans="1:22" x14ac:dyDescent="0.25">
      <c r="A1695">
        <v>189</v>
      </c>
      <c r="B1695">
        <v>2</v>
      </c>
      <c r="C1695">
        <v>80</v>
      </c>
      <c r="D1695">
        <v>1</v>
      </c>
      <c r="E1695">
        <v>1</v>
      </c>
      <c r="F1695">
        <v>0</v>
      </c>
      <c r="G1695">
        <v>0</v>
      </c>
      <c r="H1695">
        <v>350</v>
      </c>
      <c r="I1695">
        <f t="shared" si="253"/>
        <v>1692</v>
      </c>
      <c r="J1695" s="6">
        <f t="array" aca="1" ref="J1695:N1695" ca="1">TRANSPOSE(ols(OFFSET($C$2:$C$10,I1695,0),OFFSET($D$2:$H$10,I1695,0)))</f>
        <v>94.464285714284415</v>
      </c>
      <c r="K1695" s="6">
        <f ca="1"/>
        <v>18.928571428571558</v>
      </c>
      <c r="L1695" s="6">
        <f ca="1"/>
        <v>25.714285714284415</v>
      </c>
      <c r="M1695" s="6">
        <f ca="1"/>
        <v>-5.3571428571426623</v>
      </c>
      <c r="N1695" s="6">
        <f ca="1"/>
        <v>-8.2142857142859071E-2</v>
      </c>
      <c r="O1695" s="6">
        <f t="shared" ca="1" si="245"/>
        <v>84.642857142855291</v>
      </c>
      <c r="P1695" t="str">
        <f t="shared" si="246"/>
        <v>NA</v>
      </c>
      <c r="Q1695" s="10">
        <f t="shared" ca="1" si="247"/>
        <v>86.071428571425486</v>
      </c>
      <c r="R1695" s="10">
        <f t="shared" ca="1" si="248"/>
        <v>113.39285714285597</v>
      </c>
      <c r="S1695" s="10">
        <f t="shared" ca="1" si="249"/>
        <v>-27.321428571430488</v>
      </c>
      <c r="T1695" s="10">
        <f t="shared" ca="1" si="250"/>
        <v>332.60869565218945</v>
      </c>
      <c r="U1695" s="10">
        <f t="shared" ca="1" si="251"/>
        <v>332.60869565218945</v>
      </c>
      <c r="V1695">
        <f t="shared" si="252"/>
        <v>2</v>
      </c>
    </row>
    <row r="1696" spans="1:22" x14ac:dyDescent="0.25">
      <c r="A1696">
        <v>189</v>
      </c>
      <c r="B1696">
        <v>3</v>
      </c>
      <c r="C1696">
        <v>75</v>
      </c>
      <c r="D1696">
        <v>1</v>
      </c>
      <c r="E1696">
        <v>1</v>
      </c>
      <c r="F1696">
        <v>0</v>
      </c>
      <c r="G1696">
        <v>0</v>
      </c>
      <c r="H1696">
        <v>450</v>
      </c>
      <c r="I1696">
        <f t="shared" si="253"/>
        <v>1692</v>
      </c>
      <c r="J1696" s="6">
        <f t="array" aca="1" ref="J1696:N1696" ca="1">TRANSPOSE(ols(OFFSET($C$2:$C$10,I1696,0),OFFSET($D$2:$H$10,I1696,0)))</f>
        <v>94.464285714284415</v>
      </c>
      <c r="K1696" s="6">
        <f ca="1"/>
        <v>18.928571428571558</v>
      </c>
      <c r="L1696" s="6">
        <f ca="1"/>
        <v>25.714285714284415</v>
      </c>
      <c r="M1696" s="6">
        <f ca="1"/>
        <v>-5.3571428571426623</v>
      </c>
      <c r="N1696" s="6">
        <f ca="1"/>
        <v>-8.2142857142859071E-2</v>
      </c>
      <c r="O1696" s="6">
        <f t="shared" ca="1" si="245"/>
        <v>76.428571428569398</v>
      </c>
      <c r="P1696" t="str">
        <f t="shared" si="246"/>
        <v>NA</v>
      </c>
      <c r="Q1696" s="10">
        <f t="shared" ca="1" si="247"/>
        <v>86.071428571425486</v>
      </c>
      <c r="R1696" s="10">
        <f t="shared" ca="1" si="248"/>
        <v>113.39285714285597</v>
      </c>
      <c r="S1696" s="10">
        <f t="shared" ca="1" si="249"/>
        <v>-27.321428571430488</v>
      </c>
      <c r="T1696" s="10">
        <f t="shared" ca="1" si="250"/>
        <v>332.60869565218945</v>
      </c>
      <c r="U1696" s="10">
        <f t="shared" ca="1" si="251"/>
        <v>332.60869565218945</v>
      </c>
      <c r="V1696">
        <f t="shared" si="252"/>
        <v>2</v>
      </c>
    </row>
    <row r="1697" spans="1:22" x14ac:dyDescent="0.25">
      <c r="A1697">
        <v>189</v>
      </c>
      <c r="B1697">
        <v>4</v>
      </c>
      <c r="C1697">
        <v>55</v>
      </c>
      <c r="D1697">
        <v>1</v>
      </c>
      <c r="E1697">
        <v>0</v>
      </c>
      <c r="F1697">
        <v>0</v>
      </c>
      <c r="G1697">
        <v>0</v>
      </c>
      <c r="H1697">
        <v>550</v>
      </c>
      <c r="I1697">
        <f t="shared" si="253"/>
        <v>1692</v>
      </c>
      <c r="J1697" s="6">
        <f t="array" aca="1" ref="J1697:N1697" ca="1">TRANSPOSE(ols(OFFSET($C$2:$C$10,I1697,0),OFFSET($D$2:$H$10,I1697,0)))</f>
        <v>94.464285714284415</v>
      </c>
      <c r="K1697" s="6">
        <f ca="1"/>
        <v>18.928571428571558</v>
      </c>
      <c r="L1697" s="6">
        <f ca="1"/>
        <v>25.714285714284415</v>
      </c>
      <c r="M1697" s="6">
        <f ca="1"/>
        <v>-5.3571428571426623</v>
      </c>
      <c r="N1697" s="6">
        <f ca="1"/>
        <v>-8.2142857142859071E-2</v>
      </c>
      <c r="O1697" s="6">
        <f t="shared" ca="1" si="245"/>
        <v>49.285714285711926</v>
      </c>
      <c r="P1697" t="str">
        <f t="shared" si="246"/>
        <v>NA</v>
      </c>
      <c r="Q1697" s="10">
        <f t="shared" ca="1" si="247"/>
        <v>86.071428571425486</v>
      </c>
      <c r="R1697" s="10">
        <f t="shared" ca="1" si="248"/>
        <v>94.464285714284415</v>
      </c>
      <c r="S1697" s="10">
        <f t="shared" ca="1" si="249"/>
        <v>-8.3928571428589294</v>
      </c>
      <c r="T1697" s="10">
        <f t="shared" ca="1" si="250"/>
        <v>102.17391304349761</v>
      </c>
      <c r="U1697" s="10" t="str">
        <f t="shared" ca="1" si="251"/>
        <v>OR</v>
      </c>
      <c r="V1697">
        <f t="shared" si="252"/>
        <v>1</v>
      </c>
    </row>
    <row r="1698" spans="1:22" x14ac:dyDescent="0.25">
      <c r="A1698">
        <v>189</v>
      </c>
      <c r="B1698">
        <v>5</v>
      </c>
      <c r="C1698">
        <v>100</v>
      </c>
      <c r="D1698">
        <v>1</v>
      </c>
      <c r="E1698">
        <v>0</v>
      </c>
      <c r="F1698">
        <v>1</v>
      </c>
      <c r="G1698">
        <v>1</v>
      </c>
      <c r="H1698">
        <v>250</v>
      </c>
      <c r="I1698">
        <f t="shared" si="253"/>
        <v>1692</v>
      </c>
      <c r="J1698" s="6">
        <f t="array" aca="1" ref="J1698:N1698" ca="1">TRANSPOSE(ols(OFFSET($C$2:$C$10,I1698,0),OFFSET($D$2:$H$10,I1698,0)))</f>
        <v>94.464285714284415</v>
      </c>
      <c r="K1698" s="6">
        <f ca="1"/>
        <v>18.928571428571558</v>
      </c>
      <c r="L1698" s="6">
        <f ca="1"/>
        <v>25.714285714284415</v>
      </c>
      <c r="M1698" s="6">
        <f ca="1"/>
        <v>-5.3571428571426623</v>
      </c>
      <c r="N1698" s="6">
        <f ca="1"/>
        <v>-8.2142857142859071E-2</v>
      </c>
      <c r="O1698" s="6">
        <f t="shared" ca="1" si="245"/>
        <v>94.285714285711407</v>
      </c>
      <c r="P1698" t="str">
        <f t="shared" si="246"/>
        <v>NA</v>
      </c>
      <c r="Q1698" s="10">
        <f t="shared" ca="1" si="247"/>
        <v>86.071428571425486</v>
      </c>
      <c r="R1698" s="10">
        <f t="shared" ca="1" si="248"/>
        <v>114.82142857142617</v>
      </c>
      <c r="S1698" s="10">
        <f t="shared" ca="1" si="249"/>
        <v>-28.750000000000682</v>
      </c>
      <c r="T1698" s="10">
        <f t="shared" ca="1" si="250"/>
        <v>350.00000000000011</v>
      </c>
      <c r="U1698" s="10">
        <f t="shared" ca="1" si="251"/>
        <v>350.00000000000011</v>
      </c>
      <c r="V1698">
        <f t="shared" si="252"/>
        <v>6</v>
      </c>
    </row>
    <row r="1699" spans="1:22" x14ac:dyDescent="0.25">
      <c r="A1699">
        <v>189</v>
      </c>
      <c r="B1699">
        <v>6</v>
      </c>
      <c r="C1699">
        <v>80</v>
      </c>
      <c r="D1699">
        <v>1</v>
      </c>
      <c r="E1699">
        <v>0</v>
      </c>
      <c r="F1699">
        <v>1</v>
      </c>
      <c r="G1699">
        <v>1</v>
      </c>
      <c r="H1699">
        <v>350</v>
      </c>
      <c r="I1699">
        <f t="shared" si="253"/>
        <v>1692</v>
      </c>
      <c r="J1699" s="6">
        <f t="array" aca="1" ref="J1699:N1699" ca="1">TRANSPOSE(ols(OFFSET($C$2:$C$10,I1699,0),OFFSET($D$2:$H$10,I1699,0)))</f>
        <v>94.464285714284415</v>
      </c>
      <c r="K1699" s="6">
        <f ca="1"/>
        <v>18.928571428571558</v>
      </c>
      <c r="L1699" s="6">
        <f ca="1"/>
        <v>25.714285714284415</v>
      </c>
      <c r="M1699" s="6">
        <f ca="1"/>
        <v>-5.3571428571426623</v>
      </c>
      <c r="N1699" s="6">
        <f ca="1"/>
        <v>-8.2142857142859071E-2</v>
      </c>
      <c r="O1699" s="6">
        <f t="shared" ca="1" si="245"/>
        <v>86.071428571425486</v>
      </c>
      <c r="P1699">
        <f t="shared" ca="1" si="246"/>
        <v>86.071428571425486</v>
      </c>
      <c r="Q1699" s="10">
        <f t="shared" ca="1" si="247"/>
        <v>86.071428571425486</v>
      </c>
      <c r="R1699" s="10">
        <f t="shared" ca="1" si="248"/>
        <v>114.82142857142617</v>
      </c>
      <c r="S1699" s="10">
        <f t="shared" ca="1" si="249"/>
        <v>-28.750000000000682</v>
      </c>
      <c r="T1699" s="10">
        <f t="shared" ca="1" si="250"/>
        <v>350.00000000000011</v>
      </c>
      <c r="U1699" s="10">
        <f t="shared" ca="1" si="251"/>
        <v>350.00000000000011</v>
      </c>
      <c r="V1699">
        <f t="shared" si="252"/>
        <v>6</v>
      </c>
    </row>
    <row r="1700" spans="1:22" x14ac:dyDescent="0.25">
      <c r="A1700">
        <v>189</v>
      </c>
      <c r="B1700">
        <v>7</v>
      </c>
      <c r="C1700">
        <v>70</v>
      </c>
      <c r="D1700">
        <v>1</v>
      </c>
      <c r="E1700">
        <v>1</v>
      </c>
      <c r="F1700">
        <v>0</v>
      </c>
      <c r="G1700">
        <v>1</v>
      </c>
      <c r="H1700">
        <v>450</v>
      </c>
      <c r="I1700">
        <f t="shared" si="253"/>
        <v>1692</v>
      </c>
      <c r="J1700" s="6">
        <f t="array" aca="1" ref="J1700:N1700" ca="1">TRANSPOSE(ols(OFFSET($C$2:$C$10,I1700,0),OFFSET($D$2:$H$10,I1700,0)))</f>
        <v>94.464285714284415</v>
      </c>
      <c r="K1700" s="6">
        <f ca="1"/>
        <v>18.928571428571558</v>
      </c>
      <c r="L1700" s="6">
        <f ca="1"/>
        <v>25.714285714284415</v>
      </c>
      <c r="M1700" s="6">
        <f ca="1"/>
        <v>-5.3571428571426623</v>
      </c>
      <c r="N1700" s="6">
        <f ca="1"/>
        <v>-8.2142857142859071E-2</v>
      </c>
      <c r="O1700" s="6">
        <f t="shared" ca="1" si="245"/>
        <v>71.071428571426736</v>
      </c>
      <c r="P1700" t="str">
        <f t="shared" si="246"/>
        <v>NA</v>
      </c>
      <c r="Q1700" s="10">
        <f t="shared" ca="1" si="247"/>
        <v>86.071428571425486</v>
      </c>
      <c r="R1700" s="10">
        <f t="shared" ca="1" si="248"/>
        <v>108.03571428571331</v>
      </c>
      <c r="S1700" s="10">
        <f t="shared" ca="1" si="249"/>
        <v>-21.964285714287826</v>
      </c>
      <c r="T1700" s="10">
        <f t="shared" ca="1" si="250"/>
        <v>267.39130434784551</v>
      </c>
      <c r="U1700" s="10">
        <f t="shared" ca="1" si="251"/>
        <v>267.39130434784551</v>
      </c>
      <c r="V1700">
        <f t="shared" si="252"/>
        <v>5</v>
      </c>
    </row>
    <row r="1701" spans="1:22" x14ac:dyDescent="0.25">
      <c r="A1701">
        <v>189</v>
      </c>
      <c r="B1701">
        <v>8</v>
      </c>
      <c r="C1701">
        <v>70</v>
      </c>
      <c r="D1701">
        <v>1</v>
      </c>
      <c r="E1701">
        <v>1</v>
      </c>
      <c r="F1701">
        <v>0</v>
      </c>
      <c r="G1701">
        <v>1</v>
      </c>
      <c r="H1701">
        <v>550</v>
      </c>
      <c r="I1701">
        <f t="shared" si="253"/>
        <v>1692</v>
      </c>
      <c r="J1701" s="6">
        <f t="array" aca="1" ref="J1701:N1701" ca="1">TRANSPOSE(ols(OFFSET($C$2:$C$10,I1701,0),OFFSET($D$2:$H$10,I1701,0)))</f>
        <v>94.464285714284415</v>
      </c>
      <c r="K1701" s="6">
        <f ca="1"/>
        <v>18.928571428571558</v>
      </c>
      <c r="L1701" s="6">
        <f ca="1"/>
        <v>25.714285714284415</v>
      </c>
      <c r="M1701" s="6">
        <f ca="1"/>
        <v>-5.3571428571426623</v>
      </c>
      <c r="N1701" s="6">
        <f ca="1"/>
        <v>-8.2142857142859071E-2</v>
      </c>
      <c r="O1701" s="6">
        <f t="shared" ca="1" si="245"/>
        <v>62.857142857140822</v>
      </c>
      <c r="P1701" t="str">
        <f t="shared" si="246"/>
        <v>NA</v>
      </c>
      <c r="Q1701" s="10">
        <f t="shared" ca="1" si="247"/>
        <v>86.071428571425486</v>
      </c>
      <c r="R1701" s="10">
        <f t="shared" ca="1" si="248"/>
        <v>108.03571428571331</v>
      </c>
      <c r="S1701" s="10">
        <f t="shared" ca="1" si="249"/>
        <v>-21.964285714287826</v>
      </c>
      <c r="T1701" s="10">
        <f t="shared" ca="1" si="250"/>
        <v>267.39130434784551</v>
      </c>
      <c r="U1701" s="10">
        <f t="shared" ca="1" si="251"/>
        <v>267.39130434784551</v>
      </c>
      <c r="V1701">
        <f t="shared" si="252"/>
        <v>5</v>
      </c>
    </row>
    <row r="1702" spans="1:22" x14ac:dyDescent="0.25">
      <c r="A1702">
        <v>189</v>
      </c>
      <c r="B1702">
        <v>9</v>
      </c>
      <c r="C1702">
        <v>30</v>
      </c>
      <c r="D1702">
        <v>1</v>
      </c>
      <c r="E1702">
        <v>0</v>
      </c>
      <c r="F1702">
        <v>0</v>
      </c>
      <c r="G1702">
        <v>1</v>
      </c>
      <c r="H1702">
        <v>650</v>
      </c>
      <c r="I1702">
        <f t="shared" si="253"/>
        <v>1692</v>
      </c>
      <c r="J1702" s="6">
        <f t="array" aca="1" ref="J1702:N1702" ca="1">TRANSPOSE(ols(OFFSET($C$2:$C$10,I1702,0),OFFSET($D$2:$H$10,I1702,0)))</f>
        <v>94.464285714284415</v>
      </c>
      <c r="K1702" s="6">
        <f ca="1"/>
        <v>18.928571428571558</v>
      </c>
      <c r="L1702" s="6">
        <f ca="1"/>
        <v>25.714285714284415</v>
      </c>
      <c r="M1702" s="6">
        <f ca="1"/>
        <v>-5.3571428571426623</v>
      </c>
      <c r="N1702" s="6">
        <f ca="1"/>
        <v>-8.2142857142859071E-2</v>
      </c>
      <c r="O1702" s="6">
        <f t="shared" ca="1" si="245"/>
        <v>35.714285714283356</v>
      </c>
      <c r="P1702" t="str">
        <f t="shared" si="246"/>
        <v>NA</v>
      </c>
      <c r="Q1702" s="10">
        <f t="shared" ca="1" si="247"/>
        <v>86.071428571425486</v>
      </c>
      <c r="R1702" s="10">
        <f t="shared" ca="1" si="248"/>
        <v>89.107142857141753</v>
      </c>
      <c r="S1702" s="10">
        <f t="shared" ca="1" si="249"/>
        <v>-3.0357142857162671</v>
      </c>
      <c r="T1702" s="10">
        <f t="shared" ca="1" si="250"/>
        <v>36.956521739153686</v>
      </c>
      <c r="U1702" s="10" t="str">
        <f t="shared" ca="1" si="251"/>
        <v>OR</v>
      </c>
      <c r="V1702">
        <f t="shared" si="252"/>
        <v>4</v>
      </c>
    </row>
    <row r="1703" spans="1:22" x14ac:dyDescent="0.25">
      <c r="A1703">
        <v>190</v>
      </c>
      <c r="B1703">
        <v>1</v>
      </c>
      <c r="C1703">
        <v>70</v>
      </c>
      <c r="D1703">
        <v>1</v>
      </c>
      <c r="E1703">
        <v>0</v>
      </c>
      <c r="F1703">
        <v>1</v>
      </c>
      <c r="G1703">
        <v>0</v>
      </c>
      <c r="H1703">
        <v>250</v>
      </c>
      <c r="I1703">
        <f t="shared" si="253"/>
        <v>1701</v>
      </c>
      <c r="J1703" s="6">
        <f t="array" aca="1" ref="J1703:N1703" ca="1">TRANSPOSE(ols(OFFSET($C$2:$C$10,I1703,0),OFFSET($D$2:$H$10,I1703,0)))</f>
        <v>121.96428571428532</v>
      </c>
      <c r="K1703" s="6">
        <f ca="1"/>
        <v>-6.0714285714282141</v>
      </c>
      <c r="L1703" s="6">
        <f ca="1"/>
        <v>-14.285714285714675</v>
      </c>
      <c r="M1703" s="6">
        <f ca="1"/>
        <v>4.6428571428573377</v>
      </c>
      <c r="N1703" s="6">
        <f ca="1"/>
        <v>-0.13214285714285801</v>
      </c>
      <c r="O1703" s="6">
        <f t="shared" ca="1" si="245"/>
        <v>74.642857142856144</v>
      </c>
      <c r="P1703" t="str">
        <f t="shared" si="246"/>
        <v>NA</v>
      </c>
      <c r="Q1703" s="10">
        <f t="shared" ca="1" si="247"/>
        <v>66.071428571427688</v>
      </c>
      <c r="R1703" s="10">
        <f t="shared" ca="1" si="248"/>
        <v>107.67857142857065</v>
      </c>
      <c r="S1703" s="10">
        <f t="shared" ca="1" si="249"/>
        <v>-41.607142857142961</v>
      </c>
      <c r="T1703" s="10">
        <f t="shared" ca="1" si="250"/>
        <v>314.86486486486359</v>
      </c>
      <c r="U1703" s="10">
        <f t="shared" ca="1" si="251"/>
        <v>314.86486486486359</v>
      </c>
      <c r="V1703">
        <f t="shared" si="252"/>
        <v>3</v>
      </c>
    </row>
    <row r="1704" spans="1:22" x14ac:dyDescent="0.25">
      <c r="A1704">
        <v>190</v>
      </c>
      <c r="B1704">
        <v>2</v>
      </c>
      <c r="C1704">
        <v>70</v>
      </c>
      <c r="D1704">
        <v>1</v>
      </c>
      <c r="E1704">
        <v>1</v>
      </c>
      <c r="F1704">
        <v>0</v>
      </c>
      <c r="G1704">
        <v>0</v>
      </c>
      <c r="H1704">
        <v>350</v>
      </c>
      <c r="I1704">
        <f t="shared" si="253"/>
        <v>1701</v>
      </c>
      <c r="J1704" s="6">
        <f t="array" aca="1" ref="J1704:N1704" ca="1">TRANSPOSE(ols(OFFSET($C$2:$C$10,I1704,0),OFFSET($D$2:$H$10,I1704,0)))</f>
        <v>121.96428571428532</v>
      </c>
      <c r="K1704" s="6">
        <f ca="1"/>
        <v>-6.0714285714282141</v>
      </c>
      <c r="L1704" s="6">
        <f ca="1"/>
        <v>-14.285714285714675</v>
      </c>
      <c r="M1704" s="6">
        <f ca="1"/>
        <v>4.6428571428573377</v>
      </c>
      <c r="N1704" s="6">
        <f ca="1"/>
        <v>-0.13214285714285801</v>
      </c>
      <c r="O1704" s="6">
        <f t="shared" ca="1" si="245"/>
        <v>69.642857142856812</v>
      </c>
      <c r="P1704" t="str">
        <f t="shared" si="246"/>
        <v>NA</v>
      </c>
      <c r="Q1704" s="10">
        <f t="shared" ca="1" si="247"/>
        <v>66.071428571427688</v>
      </c>
      <c r="R1704" s="10">
        <f t="shared" ca="1" si="248"/>
        <v>115.89285714285711</v>
      </c>
      <c r="S1704" s="10">
        <f t="shared" ca="1" si="249"/>
        <v>-49.821428571429422</v>
      </c>
      <c r="T1704" s="10">
        <f t="shared" ca="1" si="250"/>
        <v>377.02702702703101</v>
      </c>
      <c r="U1704" s="10">
        <f t="shared" ca="1" si="251"/>
        <v>377.02702702703101</v>
      </c>
      <c r="V1704">
        <f t="shared" si="252"/>
        <v>2</v>
      </c>
    </row>
    <row r="1705" spans="1:22" x14ac:dyDescent="0.25">
      <c r="A1705">
        <v>190</v>
      </c>
      <c r="B1705">
        <v>3</v>
      </c>
      <c r="C1705">
        <v>60</v>
      </c>
      <c r="D1705">
        <v>1</v>
      </c>
      <c r="E1705">
        <v>1</v>
      </c>
      <c r="F1705">
        <v>0</v>
      </c>
      <c r="G1705">
        <v>0</v>
      </c>
      <c r="H1705">
        <v>450</v>
      </c>
      <c r="I1705">
        <f t="shared" si="253"/>
        <v>1701</v>
      </c>
      <c r="J1705" s="6">
        <f t="array" aca="1" ref="J1705:N1705" ca="1">TRANSPOSE(ols(OFFSET($C$2:$C$10,I1705,0),OFFSET($D$2:$H$10,I1705,0)))</f>
        <v>121.96428571428532</v>
      </c>
      <c r="K1705" s="6">
        <f ca="1"/>
        <v>-6.0714285714282141</v>
      </c>
      <c r="L1705" s="6">
        <f ca="1"/>
        <v>-14.285714285714675</v>
      </c>
      <c r="M1705" s="6">
        <f ca="1"/>
        <v>4.6428571428573377</v>
      </c>
      <c r="N1705" s="6">
        <f ca="1"/>
        <v>-0.13214285714285801</v>
      </c>
      <c r="O1705" s="6">
        <f t="shared" ca="1" si="245"/>
        <v>56.428571428571004</v>
      </c>
      <c r="P1705" t="str">
        <f t="shared" si="246"/>
        <v>NA</v>
      </c>
      <c r="Q1705" s="10">
        <f t="shared" ca="1" si="247"/>
        <v>66.071428571427688</v>
      </c>
      <c r="R1705" s="10">
        <f t="shared" ca="1" si="248"/>
        <v>115.89285714285711</v>
      </c>
      <c r="S1705" s="10">
        <f t="shared" ca="1" si="249"/>
        <v>-49.821428571429422</v>
      </c>
      <c r="T1705" s="10">
        <f t="shared" ca="1" si="250"/>
        <v>377.02702702703101</v>
      </c>
      <c r="U1705" s="10">
        <f t="shared" ca="1" si="251"/>
        <v>377.02702702703101</v>
      </c>
      <c r="V1705">
        <f t="shared" si="252"/>
        <v>2</v>
      </c>
    </row>
    <row r="1706" spans="1:22" x14ac:dyDescent="0.25">
      <c r="A1706">
        <v>190</v>
      </c>
      <c r="B1706">
        <v>4</v>
      </c>
      <c r="C1706">
        <v>50</v>
      </c>
      <c r="D1706">
        <v>1</v>
      </c>
      <c r="E1706">
        <v>0</v>
      </c>
      <c r="F1706">
        <v>0</v>
      </c>
      <c r="G1706">
        <v>0</v>
      </c>
      <c r="H1706">
        <v>550</v>
      </c>
      <c r="I1706">
        <f t="shared" si="253"/>
        <v>1701</v>
      </c>
      <c r="J1706" s="6">
        <f t="array" aca="1" ref="J1706:N1706" ca="1">TRANSPOSE(ols(OFFSET($C$2:$C$10,I1706,0),OFFSET($D$2:$H$10,I1706,0)))</f>
        <v>121.96428571428532</v>
      </c>
      <c r="K1706" s="6">
        <f ca="1"/>
        <v>-6.0714285714282141</v>
      </c>
      <c r="L1706" s="6">
        <f ca="1"/>
        <v>-14.285714285714675</v>
      </c>
      <c r="M1706" s="6">
        <f ca="1"/>
        <v>4.6428571428573377</v>
      </c>
      <c r="N1706" s="6">
        <f ca="1"/>
        <v>-0.13214285714285801</v>
      </c>
      <c r="O1706" s="6">
        <f t="shared" ca="1" si="245"/>
        <v>49.285714285713425</v>
      </c>
      <c r="P1706" t="str">
        <f t="shared" si="246"/>
        <v>NA</v>
      </c>
      <c r="Q1706" s="10">
        <f t="shared" ca="1" si="247"/>
        <v>66.071428571427688</v>
      </c>
      <c r="R1706" s="10">
        <f t="shared" ca="1" si="248"/>
        <v>121.96428571428532</v>
      </c>
      <c r="S1706" s="10">
        <f t="shared" ca="1" si="249"/>
        <v>-55.892857142857636</v>
      </c>
      <c r="T1706" s="10">
        <f t="shared" ca="1" si="250"/>
        <v>422.97297297297393</v>
      </c>
      <c r="U1706" s="10">
        <f t="shared" ca="1" si="251"/>
        <v>422.97297297297393</v>
      </c>
      <c r="V1706">
        <f t="shared" si="252"/>
        <v>1</v>
      </c>
    </row>
    <row r="1707" spans="1:22" x14ac:dyDescent="0.25">
      <c r="A1707">
        <v>190</v>
      </c>
      <c r="B1707">
        <v>5</v>
      </c>
      <c r="C1707">
        <v>80</v>
      </c>
      <c r="D1707">
        <v>1</v>
      </c>
      <c r="E1707">
        <v>0</v>
      </c>
      <c r="F1707">
        <v>1</v>
      </c>
      <c r="G1707">
        <v>1</v>
      </c>
      <c r="H1707">
        <v>250</v>
      </c>
      <c r="I1707">
        <f t="shared" si="253"/>
        <v>1701</v>
      </c>
      <c r="J1707" s="6">
        <f t="array" aca="1" ref="J1707:N1707" ca="1">TRANSPOSE(ols(OFFSET($C$2:$C$10,I1707,0),OFFSET($D$2:$H$10,I1707,0)))</f>
        <v>121.96428571428532</v>
      </c>
      <c r="K1707" s="6">
        <f ca="1"/>
        <v>-6.0714285714282141</v>
      </c>
      <c r="L1707" s="6">
        <f ca="1"/>
        <v>-14.285714285714675</v>
      </c>
      <c r="M1707" s="6">
        <f ca="1"/>
        <v>4.6428571428573377</v>
      </c>
      <c r="N1707" s="6">
        <f ca="1"/>
        <v>-0.13214285714285801</v>
      </c>
      <c r="O1707" s="6">
        <f t="shared" ca="1" si="245"/>
        <v>79.285714285713482</v>
      </c>
      <c r="P1707" t="str">
        <f t="shared" si="246"/>
        <v>NA</v>
      </c>
      <c r="Q1707" s="10">
        <f t="shared" ca="1" si="247"/>
        <v>66.071428571427688</v>
      </c>
      <c r="R1707" s="10">
        <f t="shared" ca="1" si="248"/>
        <v>112.32142857142799</v>
      </c>
      <c r="S1707" s="10">
        <f t="shared" ca="1" si="249"/>
        <v>-46.250000000000298</v>
      </c>
      <c r="T1707" s="10">
        <f t="shared" ca="1" si="250"/>
        <v>350</v>
      </c>
      <c r="U1707" s="10">
        <f t="shared" ca="1" si="251"/>
        <v>350</v>
      </c>
      <c r="V1707">
        <f t="shared" si="252"/>
        <v>6</v>
      </c>
    </row>
    <row r="1708" spans="1:22" x14ac:dyDescent="0.25">
      <c r="A1708">
        <v>190</v>
      </c>
      <c r="B1708">
        <v>6</v>
      </c>
      <c r="C1708">
        <v>70</v>
      </c>
      <c r="D1708">
        <v>1</v>
      </c>
      <c r="E1708">
        <v>0</v>
      </c>
      <c r="F1708">
        <v>1</v>
      </c>
      <c r="G1708">
        <v>1</v>
      </c>
      <c r="H1708">
        <v>350</v>
      </c>
      <c r="I1708">
        <f t="shared" si="253"/>
        <v>1701</v>
      </c>
      <c r="J1708" s="6">
        <f t="array" aca="1" ref="J1708:N1708" ca="1">TRANSPOSE(ols(OFFSET($C$2:$C$10,I1708,0),OFFSET($D$2:$H$10,I1708,0)))</f>
        <v>121.96428571428532</v>
      </c>
      <c r="K1708" s="6">
        <f ca="1"/>
        <v>-6.0714285714282141</v>
      </c>
      <c r="L1708" s="6">
        <f ca="1"/>
        <v>-14.285714285714675</v>
      </c>
      <c r="M1708" s="6">
        <f ca="1"/>
        <v>4.6428571428573377</v>
      </c>
      <c r="N1708" s="6">
        <f ca="1"/>
        <v>-0.13214285714285801</v>
      </c>
      <c r="O1708" s="6">
        <f t="shared" ca="1" si="245"/>
        <v>66.071428571427688</v>
      </c>
      <c r="P1708">
        <f t="shared" ca="1" si="246"/>
        <v>66.071428571427688</v>
      </c>
      <c r="Q1708" s="10">
        <f t="shared" ca="1" si="247"/>
        <v>66.071428571427688</v>
      </c>
      <c r="R1708" s="10">
        <f t="shared" ca="1" si="248"/>
        <v>112.32142857142799</v>
      </c>
      <c r="S1708" s="10">
        <f t="shared" ca="1" si="249"/>
        <v>-46.250000000000298</v>
      </c>
      <c r="T1708" s="10">
        <f t="shared" ca="1" si="250"/>
        <v>350</v>
      </c>
      <c r="U1708" s="10">
        <f t="shared" ca="1" si="251"/>
        <v>350</v>
      </c>
      <c r="V1708">
        <f t="shared" si="252"/>
        <v>6</v>
      </c>
    </row>
    <row r="1709" spans="1:22" x14ac:dyDescent="0.25">
      <c r="A1709">
        <v>190</v>
      </c>
      <c r="B1709">
        <v>7</v>
      </c>
      <c r="C1709">
        <v>60</v>
      </c>
      <c r="D1709">
        <v>1</v>
      </c>
      <c r="E1709">
        <v>1</v>
      </c>
      <c r="F1709">
        <v>0</v>
      </c>
      <c r="G1709">
        <v>1</v>
      </c>
      <c r="H1709">
        <v>450</v>
      </c>
      <c r="I1709">
        <f t="shared" si="253"/>
        <v>1701</v>
      </c>
      <c r="J1709" s="6">
        <f t="array" aca="1" ref="J1709:N1709" ca="1">TRANSPOSE(ols(OFFSET($C$2:$C$10,I1709,0),OFFSET($D$2:$H$10,I1709,0)))</f>
        <v>121.96428571428532</v>
      </c>
      <c r="K1709" s="6">
        <f ca="1"/>
        <v>-6.0714285714282141</v>
      </c>
      <c r="L1709" s="6">
        <f ca="1"/>
        <v>-14.285714285714675</v>
      </c>
      <c r="M1709" s="6">
        <f ca="1"/>
        <v>4.6428571428573377</v>
      </c>
      <c r="N1709" s="6">
        <f ca="1"/>
        <v>-0.13214285714285801</v>
      </c>
      <c r="O1709" s="6">
        <f t="shared" ca="1" si="245"/>
        <v>61.071428571428342</v>
      </c>
      <c r="P1709" t="str">
        <f t="shared" si="246"/>
        <v>NA</v>
      </c>
      <c r="Q1709" s="10">
        <f t="shared" ca="1" si="247"/>
        <v>66.071428571427688</v>
      </c>
      <c r="R1709" s="10">
        <f t="shared" ca="1" si="248"/>
        <v>120.53571428571445</v>
      </c>
      <c r="S1709" s="10">
        <f t="shared" ca="1" si="249"/>
        <v>-54.46428571428676</v>
      </c>
      <c r="T1709" s="10">
        <f t="shared" ca="1" si="250"/>
        <v>412.16216216216736</v>
      </c>
      <c r="U1709" s="10">
        <f t="shared" ca="1" si="251"/>
        <v>412.16216216216736</v>
      </c>
      <c r="V1709">
        <f t="shared" si="252"/>
        <v>5</v>
      </c>
    </row>
    <row r="1710" spans="1:22" x14ac:dyDescent="0.25">
      <c r="A1710">
        <v>190</v>
      </c>
      <c r="B1710">
        <v>8</v>
      </c>
      <c r="C1710">
        <v>45</v>
      </c>
      <c r="D1710">
        <v>1</v>
      </c>
      <c r="E1710">
        <v>1</v>
      </c>
      <c r="F1710">
        <v>0</v>
      </c>
      <c r="G1710">
        <v>1</v>
      </c>
      <c r="H1710">
        <v>550</v>
      </c>
      <c r="I1710">
        <f t="shared" si="253"/>
        <v>1701</v>
      </c>
      <c r="J1710" s="6">
        <f t="array" aca="1" ref="J1710:N1710" ca="1">TRANSPOSE(ols(OFFSET($C$2:$C$10,I1710,0),OFFSET($D$2:$H$10,I1710,0)))</f>
        <v>121.96428571428532</v>
      </c>
      <c r="K1710" s="6">
        <f ca="1"/>
        <v>-6.0714285714282141</v>
      </c>
      <c r="L1710" s="6">
        <f ca="1"/>
        <v>-14.285714285714675</v>
      </c>
      <c r="M1710" s="6">
        <f ca="1"/>
        <v>4.6428571428573377</v>
      </c>
      <c r="N1710" s="6">
        <f ca="1"/>
        <v>-0.13214285714285801</v>
      </c>
      <c r="O1710" s="6">
        <f t="shared" ca="1" si="245"/>
        <v>47.857142857142549</v>
      </c>
      <c r="P1710" t="str">
        <f t="shared" si="246"/>
        <v>NA</v>
      </c>
      <c r="Q1710" s="10">
        <f t="shared" ca="1" si="247"/>
        <v>66.071428571427688</v>
      </c>
      <c r="R1710" s="10">
        <f t="shared" ca="1" si="248"/>
        <v>120.53571428571445</v>
      </c>
      <c r="S1710" s="10">
        <f t="shared" ca="1" si="249"/>
        <v>-54.46428571428676</v>
      </c>
      <c r="T1710" s="10">
        <f t="shared" ca="1" si="250"/>
        <v>412.16216216216736</v>
      </c>
      <c r="U1710" s="10">
        <f t="shared" ca="1" si="251"/>
        <v>412.16216216216736</v>
      </c>
      <c r="V1710">
        <f t="shared" si="252"/>
        <v>5</v>
      </c>
    </row>
    <row r="1711" spans="1:22" x14ac:dyDescent="0.25">
      <c r="A1711">
        <v>190</v>
      </c>
      <c r="B1711">
        <v>9</v>
      </c>
      <c r="C1711">
        <v>40</v>
      </c>
      <c r="D1711">
        <v>1</v>
      </c>
      <c r="E1711">
        <v>0</v>
      </c>
      <c r="F1711">
        <v>0</v>
      </c>
      <c r="G1711">
        <v>1</v>
      </c>
      <c r="H1711">
        <v>650</v>
      </c>
      <c r="I1711">
        <f t="shared" si="253"/>
        <v>1701</v>
      </c>
      <c r="J1711" s="6">
        <f t="array" aca="1" ref="J1711:N1711" ca="1">TRANSPOSE(ols(OFFSET($C$2:$C$10,I1711,0),OFFSET($D$2:$H$10,I1711,0)))</f>
        <v>121.96428571428532</v>
      </c>
      <c r="K1711" s="6">
        <f ca="1"/>
        <v>-6.0714285714282141</v>
      </c>
      <c r="L1711" s="6">
        <f ca="1"/>
        <v>-14.285714285714675</v>
      </c>
      <c r="M1711" s="6">
        <f ca="1"/>
        <v>4.6428571428573377</v>
      </c>
      <c r="N1711" s="6">
        <f ca="1"/>
        <v>-0.13214285714285801</v>
      </c>
      <c r="O1711" s="6">
        <f t="shared" ca="1" si="245"/>
        <v>40.714285714284955</v>
      </c>
      <c r="P1711" t="str">
        <f t="shared" si="246"/>
        <v>NA</v>
      </c>
      <c r="Q1711" s="10">
        <f t="shared" ca="1" si="247"/>
        <v>66.071428571427688</v>
      </c>
      <c r="R1711" s="10">
        <f t="shared" ca="1" si="248"/>
        <v>126.60714285714266</v>
      </c>
      <c r="S1711" s="10">
        <f t="shared" ca="1" si="249"/>
        <v>-60.535714285714974</v>
      </c>
      <c r="T1711" s="10">
        <f t="shared" ca="1" si="250"/>
        <v>458.10810810811034</v>
      </c>
      <c r="U1711" s="10">
        <f t="shared" ca="1" si="251"/>
        <v>458.10810810811034</v>
      </c>
      <c r="V1711">
        <f t="shared" si="252"/>
        <v>4</v>
      </c>
    </row>
    <row r="1712" spans="1:22" x14ac:dyDescent="0.25">
      <c r="A1712">
        <v>191</v>
      </c>
      <c r="B1712">
        <v>1</v>
      </c>
      <c r="C1712">
        <v>80</v>
      </c>
      <c r="D1712">
        <v>1</v>
      </c>
      <c r="E1712">
        <v>0</v>
      </c>
      <c r="F1712">
        <v>1</v>
      </c>
      <c r="G1712">
        <v>0</v>
      </c>
      <c r="H1712">
        <v>250</v>
      </c>
      <c r="I1712">
        <f t="shared" si="253"/>
        <v>1710</v>
      </c>
      <c r="J1712" s="6">
        <f t="array" aca="1" ref="J1712:N1712" ca="1">TRANSPOSE(ols(OFFSET($C$2:$C$10,I1712,0),OFFSET($D$2:$H$10,I1712,0)))</f>
        <v>99.107142857141298</v>
      </c>
      <c r="K1712" s="6">
        <f ca="1"/>
        <v>-4.2857142857146755</v>
      </c>
      <c r="L1712" s="6">
        <f ca="1"/>
        <v>2.8571428571422075</v>
      </c>
      <c r="M1712" s="6">
        <f ca="1"/>
        <v>16.071428571428896</v>
      </c>
      <c r="N1712" s="6">
        <f ca="1"/>
        <v>-0.10357142857143131</v>
      </c>
      <c r="O1712" s="6">
        <f t="shared" ca="1" si="245"/>
        <v>76.071428571425685</v>
      </c>
      <c r="P1712" t="str">
        <f t="shared" si="246"/>
        <v>NA</v>
      </c>
      <c r="Q1712" s="10">
        <f t="shared" ca="1" si="247"/>
        <v>81.785714285711435</v>
      </c>
      <c r="R1712" s="10">
        <f t="shared" ca="1" si="248"/>
        <v>101.96428571428351</v>
      </c>
      <c r="S1712" s="10">
        <f t="shared" ca="1" si="249"/>
        <v>-20.17857142857207</v>
      </c>
      <c r="T1712" s="10">
        <f t="shared" ca="1" si="250"/>
        <v>194.82758620689759</v>
      </c>
      <c r="U1712" s="10" t="str">
        <f t="shared" ca="1" si="251"/>
        <v>OR</v>
      </c>
      <c r="V1712">
        <f t="shared" si="252"/>
        <v>3</v>
      </c>
    </row>
    <row r="1713" spans="1:22" x14ac:dyDescent="0.25">
      <c r="A1713">
        <v>191</v>
      </c>
      <c r="B1713">
        <v>2</v>
      </c>
      <c r="C1713">
        <v>60</v>
      </c>
      <c r="D1713">
        <v>1</v>
      </c>
      <c r="E1713">
        <v>1</v>
      </c>
      <c r="F1713">
        <v>0</v>
      </c>
      <c r="G1713">
        <v>0</v>
      </c>
      <c r="H1713">
        <v>350</v>
      </c>
      <c r="I1713">
        <f t="shared" si="253"/>
        <v>1710</v>
      </c>
      <c r="J1713" s="6">
        <f t="array" aca="1" ref="J1713:N1713" ca="1">TRANSPOSE(ols(OFFSET($C$2:$C$10,I1713,0),OFFSET($D$2:$H$10,I1713,0)))</f>
        <v>99.107142857141298</v>
      </c>
      <c r="K1713" s="6">
        <f ca="1"/>
        <v>-4.2857142857146755</v>
      </c>
      <c r="L1713" s="6">
        <f ca="1"/>
        <v>2.8571428571422075</v>
      </c>
      <c r="M1713" s="6">
        <f ca="1"/>
        <v>16.071428571428896</v>
      </c>
      <c r="N1713" s="6">
        <f ca="1"/>
        <v>-0.10357142857143131</v>
      </c>
      <c r="O1713" s="6">
        <f t="shared" ca="1" si="245"/>
        <v>58.571428571425663</v>
      </c>
      <c r="P1713" t="str">
        <f t="shared" si="246"/>
        <v>NA</v>
      </c>
      <c r="Q1713" s="10">
        <f t="shared" ca="1" si="247"/>
        <v>81.785714285711435</v>
      </c>
      <c r="R1713" s="10">
        <f t="shared" ca="1" si="248"/>
        <v>94.821428571426623</v>
      </c>
      <c r="S1713" s="10">
        <f t="shared" ca="1" si="249"/>
        <v>-13.035714285715187</v>
      </c>
      <c r="T1713" s="10">
        <f t="shared" ca="1" si="250"/>
        <v>125.86206896552261</v>
      </c>
      <c r="U1713" s="10" t="str">
        <f t="shared" ca="1" si="251"/>
        <v>OR</v>
      </c>
      <c r="V1713">
        <f t="shared" si="252"/>
        <v>2</v>
      </c>
    </row>
    <row r="1714" spans="1:22" x14ac:dyDescent="0.25">
      <c r="A1714">
        <v>191</v>
      </c>
      <c r="B1714">
        <v>3</v>
      </c>
      <c r="C1714">
        <v>45</v>
      </c>
      <c r="D1714">
        <v>1</v>
      </c>
      <c r="E1714">
        <v>1</v>
      </c>
      <c r="F1714">
        <v>0</v>
      </c>
      <c r="G1714">
        <v>0</v>
      </c>
      <c r="H1714">
        <v>450</v>
      </c>
      <c r="I1714">
        <f t="shared" si="253"/>
        <v>1710</v>
      </c>
      <c r="J1714" s="6">
        <f t="array" aca="1" ref="J1714:N1714" ca="1">TRANSPOSE(ols(OFFSET($C$2:$C$10,I1714,0),OFFSET($D$2:$H$10,I1714,0)))</f>
        <v>99.107142857141298</v>
      </c>
      <c r="K1714" s="6">
        <f ca="1"/>
        <v>-4.2857142857146755</v>
      </c>
      <c r="L1714" s="6">
        <f ca="1"/>
        <v>2.8571428571422075</v>
      </c>
      <c r="M1714" s="6">
        <f ca="1"/>
        <v>16.071428571428896</v>
      </c>
      <c r="N1714" s="6">
        <f ca="1"/>
        <v>-0.10357142857143131</v>
      </c>
      <c r="O1714" s="6">
        <f t="shared" ca="1" si="245"/>
        <v>48.214285714282532</v>
      </c>
      <c r="P1714" t="str">
        <f t="shared" si="246"/>
        <v>NA</v>
      </c>
      <c r="Q1714" s="10">
        <f t="shared" ca="1" si="247"/>
        <v>81.785714285711435</v>
      </c>
      <c r="R1714" s="10">
        <f t="shared" ca="1" si="248"/>
        <v>94.821428571426623</v>
      </c>
      <c r="S1714" s="10">
        <f t="shared" ca="1" si="249"/>
        <v>-13.035714285715187</v>
      </c>
      <c r="T1714" s="10">
        <f t="shared" ca="1" si="250"/>
        <v>125.86206896552261</v>
      </c>
      <c r="U1714" s="10" t="str">
        <f t="shared" ca="1" si="251"/>
        <v>OR</v>
      </c>
      <c r="V1714">
        <f t="shared" si="252"/>
        <v>2</v>
      </c>
    </row>
    <row r="1715" spans="1:22" x14ac:dyDescent="0.25">
      <c r="A1715">
        <v>191</v>
      </c>
      <c r="B1715">
        <v>4</v>
      </c>
      <c r="C1715">
        <v>40</v>
      </c>
      <c r="D1715">
        <v>1</v>
      </c>
      <c r="E1715">
        <v>0</v>
      </c>
      <c r="F1715">
        <v>0</v>
      </c>
      <c r="G1715">
        <v>0</v>
      </c>
      <c r="H1715">
        <v>550</v>
      </c>
      <c r="I1715">
        <f t="shared" si="253"/>
        <v>1710</v>
      </c>
      <c r="J1715" s="6">
        <f t="array" aca="1" ref="J1715:N1715" ca="1">TRANSPOSE(ols(OFFSET($C$2:$C$10,I1715,0),OFFSET($D$2:$H$10,I1715,0)))</f>
        <v>99.107142857141298</v>
      </c>
      <c r="K1715" s="6">
        <f ca="1"/>
        <v>-4.2857142857146755</v>
      </c>
      <c r="L1715" s="6">
        <f ca="1"/>
        <v>2.8571428571422075</v>
      </c>
      <c r="M1715" s="6">
        <f ca="1"/>
        <v>16.071428571428896</v>
      </c>
      <c r="N1715" s="6">
        <f ca="1"/>
        <v>-0.10357142857143131</v>
      </c>
      <c r="O1715" s="6">
        <f t="shared" ca="1" si="245"/>
        <v>42.142857142854076</v>
      </c>
      <c r="P1715" t="str">
        <f t="shared" si="246"/>
        <v>NA</v>
      </c>
      <c r="Q1715" s="10">
        <f t="shared" ca="1" si="247"/>
        <v>81.785714285711435</v>
      </c>
      <c r="R1715" s="10">
        <f t="shared" ca="1" si="248"/>
        <v>99.107142857141298</v>
      </c>
      <c r="S1715" s="10">
        <f t="shared" ca="1" si="249"/>
        <v>-17.321428571429863</v>
      </c>
      <c r="T1715" s="10">
        <f t="shared" ca="1" si="250"/>
        <v>167.24137931035287</v>
      </c>
      <c r="U1715" s="10" t="str">
        <f t="shared" ca="1" si="251"/>
        <v>OR</v>
      </c>
      <c r="V1715">
        <f t="shared" si="252"/>
        <v>1</v>
      </c>
    </row>
    <row r="1716" spans="1:22" x14ac:dyDescent="0.25">
      <c r="A1716">
        <v>191</v>
      </c>
      <c r="B1716">
        <v>5</v>
      </c>
      <c r="C1716">
        <v>90</v>
      </c>
      <c r="D1716">
        <v>1</v>
      </c>
      <c r="E1716">
        <v>0</v>
      </c>
      <c r="F1716">
        <v>1</v>
      </c>
      <c r="G1716">
        <v>1</v>
      </c>
      <c r="H1716">
        <v>250</v>
      </c>
      <c r="I1716">
        <f t="shared" si="253"/>
        <v>1710</v>
      </c>
      <c r="J1716" s="6">
        <f t="array" aca="1" ref="J1716:N1716" ca="1">TRANSPOSE(ols(OFFSET($C$2:$C$10,I1716,0),OFFSET($D$2:$H$10,I1716,0)))</f>
        <v>99.107142857141298</v>
      </c>
      <c r="K1716" s="6">
        <f ca="1"/>
        <v>-4.2857142857146755</v>
      </c>
      <c r="L1716" s="6">
        <f ca="1"/>
        <v>2.8571428571422075</v>
      </c>
      <c r="M1716" s="6">
        <f ca="1"/>
        <v>16.071428571428896</v>
      </c>
      <c r="N1716" s="6">
        <f ca="1"/>
        <v>-0.10357142857143131</v>
      </c>
      <c r="O1716" s="6">
        <f t="shared" ca="1" si="245"/>
        <v>92.142857142854581</v>
      </c>
      <c r="P1716" t="str">
        <f t="shared" si="246"/>
        <v>NA</v>
      </c>
      <c r="Q1716" s="10">
        <f t="shared" ca="1" si="247"/>
        <v>81.785714285711435</v>
      </c>
      <c r="R1716" s="10">
        <f t="shared" ca="1" si="248"/>
        <v>118.0357142857124</v>
      </c>
      <c r="S1716" s="10">
        <f t="shared" ca="1" si="249"/>
        <v>-36.250000000000966</v>
      </c>
      <c r="T1716" s="10">
        <f t="shared" ca="1" si="250"/>
        <v>350.00000000000006</v>
      </c>
      <c r="U1716" s="10">
        <f t="shared" ca="1" si="251"/>
        <v>350.00000000000006</v>
      </c>
      <c r="V1716">
        <f t="shared" si="252"/>
        <v>6</v>
      </c>
    </row>
    <row r="1717" spans="1:22" x14ac:dyDescent="0.25">
      <c r="A1717">
        <v>191</v>
      </c>
      <c r="B1717">
        <v>6</v>
      </c>
      <c r="C1717">
        <v>80</v>
      </c>
      <c r="D1717">
        <v>1</v>
      </c>
      <c r="E1717">
        <v>0</v>
      </c>
      <c r="F1717">
        <v>1</v>
      </c>
      <c r="G1717">
        <v>1</v>
      </c>
      <c r="H1717">
        <v>350</v>
      </c>
      <c r="I1717">
        <f t="shared" si="253"/>
        <v>1710</v>
      </c>
      <c r="J1717" s="6">
        <f t="array" aca="1" ref="J1717:N1717" ca="1">TRANSPOSE(ols(OFFSET($C$2:$C$10,I1717,0),OFFSET($D$2:$H$10,I1717,0)))</f>
        <v>99.107142857141298</v>
      </c>
      <c r="K1717" s="6">
        <f ca="1"/>
        <v>-4.2857142857146755</v>
      </c>
      <c r="L1717" s="6">
        <f ca="1"/>
        <v>2.8571428571422075</v>
      </c>
      <c r="M1717" s="6">
        <f ca="1"/>
        <v>16.071428571428896</v>
      </c>
      <c r="N1717" s="6">
        <f ca="1"/>
        <v>-0.10357142857143131</v>
      </c>
      <c r="O1717" s="6">
        <f t="shared" ca="1" si="245"/>
        <v>81.785714285711435</v>
      </c>
      <c r="P1717">
        <f t="shared" ca="1" si="246"/>
        <v>81.785714285711435</v>
      </c>
      <c r="Q1717" s="10">
        <f t="shared" ca="1" si="247"/>
        <v>81.785714285711435</v>
      </c>
      <c r="R1717" s="10">
        <f t="shared" ca="1" si="248"/>
        <v>118.0357142857124</v>
      </c>
      <c r="S1717" s="10">
        <f t="shared" ca="1" si="249"/>
        <v>-36.250000000000966</v>
      </c>
      <c r="T1717" s="10">
        <f t="shared" ca="1" si="250"/>
        <v>350.00000000000006</v>
      </c>
      <c r="U1717" s="10">
        <f t="shared" ca="1" si="251"/>
        <v>350.00000000000006</v>
      </c>
      <c r="V1717">
        <f t="shared" si="252"/>
        <v>6</v>
      </c>
    </row>
    <row r="1718" spans="1:22" x14ac:dyDescent="0.25">
      <c r="A1718">
        <v>191</v>
      </c>
      <c r="B1718">
        <v>7</v>
      </c>
      <c r="C1718">
        <v>65</v>
      </c>
      <c r="D1718">
        <v>1</v>
      </c>
      <c r="E1718">
        <v>1</v>
      </c>
      <c r="F1718">
        <v>0</v>
      </c>
      <c r="G1718">
        <v>1</v>
      </c>
      <c r="H1718">
        <v>450</v>
      </c>
      <c r="I1718">
        <f t="shared" si="253"/>
        <v>1710</v>
      </c>
      <c r="J1718" s="6">
        <f t="array" aca="1" ref="J1718:N1718" ca="1">TRANSPOSE(ols(OFFSET($C$2:$C$10,I1718,0),OFFSET($D$2:$H$10,I1718,0)))</f>
        <v>99.107142857141298</v>
      </c>
      <c r="K1718" s="6">
        <f ca="1"/>
        <v>-4.2857142857146755</v>
      </c>
      <c r="L1718" s="6">
        <f ca="1"/>
        <v>2.8571428571422075</v>
      </c>
      <c r="M1718" s="6">
        <f ca="1"/>
        <v>16.071428571428896</v>
      </c>
      <c r="N1718" s="6">
        <f ca="1"/>
        <v>-0.10357142857143131</v>
      </c>
      <c r="O1718" s="6">
        <f t="shared" ca="1" si="245"/>
        <v>64.285714285711435</v>
      </c>
      <c r="P1718" t="str">
        <f t="shared" si="246"/>
        <v>NA</v>
      </c>
      <c r="Q1718" s="10">
        <f t="shared" ca="1" si="247"/>
        <v>81.785714285711435</v>
      </c>
      <c r="R1718" s="10">
        <f t="shared" ca="1" si="248"/>
        <v>110.89285714285552</v>
      </c>
      <c r="S1718" s="10">
        <f t="shared" ca="1" si="249"/>
        <v>-29.107142857144083</v>
      </c>
      <c r="T1718" s="10">
        <f t="shared" ca="1" si="250"/>
        <v>281.03448275862507</v>
      </c>
      <c r="U1718" s="10">
        <f t="shared" ca="1" si="251"/>
        <v>281.03448275862507</v>
      </c>
      <c r="V1718">
        <f t="shared" si="252"/>
        <v>5</v>
      </c>
    </row>
    <row r="1719" spans="1:22" x14ac:dyDescent="0.25">
      <c r="A1719">
        <v>191</v>
      </c>
      <c r="B1719">
        <v>8</v>
      </c>
      <c r="C1719">
        <v>55</v>
      </c>
      <c r="D1719">
        <v>1</v>
      </c>
      <c r="E1719">
        <v>1</v>
      </c>
      <c r="F1719">
        <v>0</v>
      </c>
      <c r="G1719">
        <v>1</v>
      </c>
      <c r="H1719">
        <v>550</v>
      </c>
      <c r="I1719">
        <f t="shared" si="253"/>
        <v>1710</v>
      </c>
      <c r="J1719" s="6">
        <f t="array" aca="1" ref="J1719:N1719" ca="1">TRANSPOSE(ols(OFFSET($C$2:$C$10,I1719,0),OFFSET($D$2:$H$10,I1719,0)))</f>
        <v>99.107142857141298</v>
      </c>
      <c r="K1719" s="6">
        <f ca="1"/>
        <v>-4.2857142857146755</v>
      </c>
      <c r="L1719" s="6">
        <f ca="1"/>
        <v>2.8571428571422075</v>
      </c>
      <c r="M1719" s="6">
        <f ca="1"/>
        <v>16.071428571428896</v>
      </c>
      <c r="N1719" s="6">
        <f ca="1"/>
        <v>-0.10357142857143131</v>
      </c>
      <c r="O1719" s="6">
        <f t="shared" ca="1" si="245"/>
        <v>53.928571428568297</v>
      </c>
      <c r="P1719" t="str">
        <f t="shared" si="246"/>
        <v>NA</v>
      </c>
      <c r="Q1719" s="10">
        <f t="shared" ca="1" si="247"/>
        <v>81.785714285711435</v>
      </c>
      <c r="R1719" s="10">
        <f t="shared" ca="1" si="248"/>
        <v>110.89285714285552</v>
      </c>
      <c r="S1719" s="10">
        <f t="shared" ca="1" si="249"/>
        <v>-29.107142857144083</v>
      </c>
      <c r="T1719" s="10">
        <f t="shared" ca="1" si="250"/>
        <v>281.03448275862507</v>
      </c>
      <c r="U1719" s="10">
        <f t="shared" ca="1" si="251"/>
        <v>281.03448275862507</v>
      </c>
      <c r="V1719">
        <f t="shared" si="252"/>
        <v>5</v>
      </c>
    </row>
    <row r="1720" spans="1:22" x14ac:dyDescent="0.25">
      <c r="A1720">
        <v>191</v>
      </c>
      <c r="B1720">
        <v>9</v>
      </c>
      <c r="C1720">
        <v>50</v>
      </c>
      <c r="D1720">
        <v>1</v>
      </c>
      <c r="E1720">
        <v>0</v>
      </c>
      <c r="F1720">
        <v>0</v>
      </c>
      <c r="G1720">
        <v>1</v>
      </c>
      <c r="H1720">
        <v>650</v>
      </c>
      <c r="I1720">
        <f t="shared" si="253"/>
        <v>1710</v>
      </c>
      <c r="J1720" s="6">
        <f t="array" aca="1" ref="J1720:N1720" ca="1">TRANSPOSE(ols(OFFSET($C$2:$C$10,I1720,0),OFFSET($D$2:$H$10,I1720,0)))</f>
        <v>99.107142857141298</v>
      </c>
      <c r="K1720" s="6">
        <f ca="1"/>
        <v>-4.2857142857146755</v>
      </c>
      <c r="L1720" s="6">
        <f ca="1"/>
        <v>2.8571428571422075</v>
      </c>
      <c r="M1720" s="6">
        <f ca="1"/>
        <v>16.071428571428896</v>
      </c>
      <c r="N1720" s="6">
        <f ca="1"/>
        <v>-0.10357142857143131</v>
      </c>
      <c r="O1720" s="6">
        <f t="shared" ca="1" si="245"/>
        <v>47.857142857139849</v>
      </c>
      <c r="P1720" t="str">
        <f t="shared" si="246"/>
        <v>NA</v>
      </c>
      <c r="Q1720" s="10">
        <f t="shared" ca="1" si="247"/>
        <v>81.785714285711435</v>
      </c>
      <c r="R1720" s="10">
        <f t="shared" ca="1" si="248"/>
        <v>115.17857142857019</v>
      </c>
      <c r="S1720" s="10">
        <f t="shared" ca="1" si="249"/>
        <v>-33.392857142858759</v>
      </c>
      <c r="T1720" s="10">
        <f t="shared" ca="1" si="250"/>
        <v>322.41379310345536</v>
      </c>
      <c r="U1720" s="10">
        <f t="shared" ca="1" si="251"/>
        <v>322.41379310345536</v>
      </c>
      <c r="V1720">
        <f t="shared" si="252"/>
        <v>4</v>
      </c>
    </row>
    <row r="1721" spans="1:22" x14ac:dyDescent="0.25">
      <c r="A1721">
        <v>192</v>
      </c>
      <c r="B1721">
        <v>1</v>
      </c>
      <c r="C1721">
        <v>100</v>
      </c>
      <c r="D1721">
        <v>1</v>
      </c>
      <c r="E1721">
        <v>0</v>
      </c>
      <c r="F1721">
        <v>1</v>
      </c>
      <c r="G1721">
        <v>0</v>
      </c>
      <c r="H1721">
        <v>250</v>
      </c>
      <c r="I1721">
        <f t="shared" si="253"/>
        <v>1719</v>
      </c>
      <c r="J1721" s="6">
        <f t="array" aca="1" ref="J1721:N1721" ca="1">TRANSPOSE(ols(OFFSET($C$2:$C$10,I1721,0),OFFSET($D$2:$H$10,I1721,0)))</f>
        <v>134.76190476190368</v>
      </c>
      <c r="K1721" s="6">
        <f ca="1"/>
        <v>-9.642857142856883</v>
      </c>
      <c r="L1721" s="6">
        <f ca="1"/>
        <v>14.761904761904134</v>
      </c>
      <c r="M1721" s="6">
        <f ca="1"/>
        <v>2.6190476190477057</v>
      </c>
      <c r="N1721" s="6">
        <f ca="1"/>
        <v>-0.18095238095238209</v>
      </c>
      <c r="O1721" s="6">
        <f t="shared" ca="1" si="245"/>
        <v>104.28571428571229</v>
      </c>
      <c r="P1721" t="str">
        <f t="shared" si="246"/>
        <v>NA</v>
      </c>
      <c r="Q1721" s="10">
        <f t="shared" ca="1" si="247"/>
        <v>88.809523809521792</v>
      </c>
      <c r="R1721" s="10">
        <f t="shared" ca="1" si="248"/>
        <v>149.52380952380781</v>
      </c>
      <c r="S1721" s="10">
        <f t="shared" ca="1" si="249"/>
        <v>-60.714285714286021</v>
      </c>
      <c r="T1721" s="10">
        <f t="shared" ca="1" si="250"/>
        <v>335.5263157894733</v>
      </c>
      <c r="U1721" s="10">
        <f t="shared" ca="1" si="251"/>
        <v>335.5263157894733</v>
      </c>
      <c r="V1721">
        <f t="shared" si="252"/>
        <v>3</v>
      </c>
    </row>
    <row r="1722" spans="1:22" x14ac:dyDescent="0.25">
      <c r="A1722">
        <v>192</v>
      </c>
      <c r="B1722">
        <v>2</v>
      </c>
      <c r="C1722">
        <v>75</v>
      </c>
      <c r="D1722">
        <v>1</v>
      </c>
      <c r="E1722">
        <v>1</v>
      </c>
      <c r="F1722">
        <v>0</v>
      </c>
      <c r="G1722">
        <v>0</v>
      </c>
      <c r="H1722">
        <v>350</v>
      </c>
      <c r="I1722">
        <f t="shared" si="253"/>
        <v>1719</v>
      </c>
      <c r="J1722" s="6">
        <f t="array" aca="1" ref="J1722:N1722" ca="1">TRANSPOSE(ols(OFFSET($C$2:$C$10,I1722,0),OFFSET($D$2:$H$10,I1722,0)))</f>
        <v>134.76190476190368</v>
      </c>
      <c r="K1722" s="6">
        <f ca="1"/>
        <v>-9.642857142856883</v>
      </c>
      <c r="L1722" s="6">
        <f ca="1"/>
        <v>14.761904761904134</v>
      </c>
      <c r="M1722" s="6">
        <f ca="1"/>
        <v>2.6190476190477057</v>
      </c>
      <c r="N1722" s="6">
        <f ca="1"/>
        <v>-0.18095238095238209</v>
      </c>
      <c r="O1722" s="6">
        <f t="shared" ca="1" si="245"/>
        <v>61.78571428571307</v>
      </c>
      <c r="P1722" t="str">
        <f t="shared" si="246"/>
        <v>NA</v>
      </c>
      <c r="Q1722" s="10">
        <f t="shared" ca="1" si="247"/>
        <v>88.809523809521792</v>
      </c>
      <c r="R1722" s="10">
        <f t="shared" ca="1" si="248"/>
        <v>125.1190476190468</v>
      </c>
      <c r="S1722" s="10">
        <f t="shared" ca="1" si="249"/>
        <v>-36.309523809525004</v>
      </c>
      <c r="T1722" s="10">
        <f t="shared" ca="1" si="250"/>
        <v>200.65789473684745</v>
      </c>
      <c r="U1722" s="10" t="str">
        <f t="shared" ca="1" si="251"/>
        <v>OR</v>
      </c>
      <c r="V1722">
        <f t="shared" si="252"/>
        <v>2</v>
      </c>
    </row>
    <row r="1723" spans="1:22" x14ac:dyDescent="0.25">
      <c r="A1723">
        <v>192</v>
      </c>
      <c r="B1723">
        <v>3</v>
      </c>
      <c r="C1723">
        <v>40</v>
      </c>
      <c r="D1723">
        <v>1</v>
      </c>
      <c r="E1723">
        <v>1</v>
      </c>
      <c r="F1723">
        <v>0</v>
      </c>
      <c r="G1723">
        <v>0</v>
      </c>
      <c r="H1723">
        <v>450</v>
      </c>
      <c r="I1723">
        <f t="shared" si="253"/>
        <v>1719</v>
      </c>
      <c r="J1723" s="6">
        <f t="array" aca="1" ref="J1723:N1723" ca="1">TRANSPOSE(ols(OFFSET($C$2:$C$10,I1723,0),OFFSET($D$2:$H$10,I1723,0)))</f>
        <v>134.76190476190368</v>
      </c>
      <c r="K1723" s="6">
        <f ca="1"/>
        <v>-9.642857142856883</v>
      </c>
      <c r="L1723" s="6">
        <f ca="1"/>
        <v>14.761904761904134</v>
      </c>
      <c r="M1723" s="6">
        <f ca="1"/>
        <v>2.6190476190477057</v>
      </c>
      <c r="N1723" s="6">
        <f ca="1"/>
        <v>-0.18095238095238209</v>
      </c>
      <c r="O1723" s="6">
        <f t="shared" ca="1" si="245"/>
        <v>43.690476190474854</v>
      </c>
      <c r="P1723" t="str">
        <f t="shared" si="246"/>
        <v>NA</v>
      </c>
      <c r="Q1723" s="10">
        <f t="shared" ca="1" si="247"/>
        <v>88.809523809521792</v>
      </c>
      <c r="R1723" s="10">
        <f t="shared" ca="1" si="248"/>
        <v>125.1190476190468</v>
      </c>
      <c r="S1723" s="10">
        <f t="shared" ca="1" si="249"/>
        <v>-36.309523809525004</v>
      </c>
      <c r="T1723" s="10">
        <f t="shared" ca="1" si="250"/>
        <v>200.65789473684745</v>
      </c>
      <c r="U1723" s="10" t="str">
        <f t="shared" ca="1" si="251"/>
        <v>OR</v>
      </c>
      <c r="V1723">
        <f t="shared" si="252"/>
        <v>2</v>
      </c>
    </row>
    <row r="1724" spans="1:22" x14ac:dyDescent="0.25">
      <c r="A1724">
        <v>192</v>
      </c>
      <c r="B1724">
        <v>4</v>
      </c>
      <c r="C1724">
        <v>30</v>
      </c>
      <c r="D1724">
        <v>1</v>
      </c>
      <c r="E1724">
        <v>0</v>
      </c>
      <c r="F1724">
        <v>0</v>
      </c>
      <c r="G1724">
        <v>0</v>
      </c>
      <c r="H1724">
        <v>550</v>
      </c>
      <c r="I1724">
        <f t="shared" si="253"/>
        <v>1719</v>
      </c>
      <c r="J1724" s="6">
        <f t="array" aca="1" ref="J1724:N1724" ca="1">TRANSPOSE(ols(OFFSET($C$2:$C$10,I1724,0),OFFSET($D$2:$H$10,I1724,0)))</f>
        <v>134.76190476190368</v>
      </c>
      <c r="K1724" s="6">
        <f ca="1"/>
        <v>-9.642857142856883</v>
      </c>
      <c r="L1724" s="6">
        <f ca="1"/>
        <v>14.761904761904134</v>
      </c>
      <c r="M1724" s="6">
        <f ca="1"/>
        <v>2.6190476190477057</v>
      </c>
      <c r="N1724" s="6">
        <f ca="1"/>
        <v>-0.18095238095238209</v>
      </c>
      <c r="O1724" s="6">
        <f t="shared" ca="1" si="245"/>
        <v>35.238095238093535</v>
      </c>
      <c r="P1724" t="str">
        <f t="shared" si="246"/>
        <v>NA</v>
      </c>
      <c r="Q1724" s="10">
        <f t="shared" ca="1" si="247"/>
        <v>88.809523809521792</v>
      </c>
      <c r="R1724" s="10">
        <f t="shared" ca="1" si="248"/>
        <v>134.76190476190368</v>
      </c>
      <c r="S1724" s="10">
        <f t="shared" ca="1" si="249"/>
        <v>-45.952380952381887</v>
      </c>
      <c r="T1724" s="10">
        <f t="shared" ca="1" si="250"/>
        <v>253.94736842105621</v>
      </c>
      <c r="U1724" s="10">
        <f t="shared" ca="1" si="251"/>
        <v>253.94736842105621</v>
      </c>
      <c r="V1724">
        <f t="shared" si="252"/>
        <v>1</v>
      </c>
    </row>
    <row r="1725" spans="1:22" x14ac:dyDescent="0.25">
      <c r="A1725">
        <v>192</v>
      </c>
      <c r="B1725">
        <v>5</v>
      </c>
      <c r="C1725">
        <v>100</v>
      </c>
      <c r="D1725">
        <v>1</v>
      </c>
      <c r="E1725">
        <v>0</v>
      </c>
      <c r="F1725">
        <v>1</v>
      </c>
      <c r="G1725">
        <v>1</v>
      </c>
      <c r="H1725">
        <v>250</v>
      </c>
      <c r="I1725">
        <f t="shared" si="253"/>
        <v>1719</v>
      </c>
      <c r="J1725" s="6">
        <f t="array" aca="1" ref="J1725:N1725" ca="1">TRANSPOSE(ols(OFFSET($C$2:$C$10,I1725,0),OFFSET($D$2:$H$10,I1725,0)))</f>
        <v>134.76190476190368</v>
      </c>
      <c r="K1725" s="6">
        <f ca="1"/>
        <v>-9.642857142856883</v>
      </c>
      <c r="L1725" s="6">
        <f ca="1"/>
        <v>14.761904761904134</v>
      </c>
      <c r="M1725" s="6">
        <f ca="1"/>
        <v>2.6190476190477057</v>
      </c>
      <c r="N1725" s="6">
        <f ca="1"/>
        <v>-0.18095238095238209</v>
      </c>
      <c r="O1725" s="6">
        <f t="shared" ca="1" si="245"/>
        <v>106.90476190475999</v>
      </c>
      <c r="P1725" t="str">
        <f t="shared" si="246"/>
        <v>NA</v>
      </c>
      <c r="Q1725" s="10">
        <f t="shared" ca="1" si="247"/>
        <v>88.809523809521792</v>
      </c>
      <c r="R1725" s="10">
        <f t="shared" ca="1" si="248"/>
        <v>152.14285714285552</v>
      </c>
      <c r="S1725" s="10">
        <f t="shared" ca="1" si="249"/>
        <v>-63.333333333333727</v>
      </c>
      <c r="T1725" s="10">
        <f t="shared" ca="1" si="250"/>
        <v>350</v>
      </c>
      <c r="U1725" s="10">
        <f t="shared" ca="1" si="251"/>
        <v>350</v>
      </c>
      <c r="V1725">
        <f t="shared" si="252"/>
        <v>6</v>
      </c>
    </row>
    <row r="1726" spans="1:22" x14ac:dyDescent="0.25">
      <c r="A1726">
        <v>192</v>
      </c>
      <c r="B1726">
        <v>6</v>
      </c>
      <c r="C1726">
        <v>100</v>
      </c>
      <c r="D1726">
        <v>1</v>
      </c>
      <c r="E1726">
        <v>0</v>
      </c>
      <c r="F1726">
        <v>1</v>
      </c>
      <c r="G1726">
        <v>1</v>
      </c>
      <c r="H1726">
        <v>350</v>
      </c>
      <c r="I1726">
        <f t="shared" si="253"/>
        <v>1719</v>
      </c>
      <c r="J1726" s="6">
        <f t="array" aca="1" ref="J1726:N1726" ca="1">TRANSPOSE(ols(OFFSET($C$2:$C$10,I1726,0),OFFSET($D$2:$H$10,I1726,0)))</f>
        <v>134.76190476190368</v>
      </c>
      <c r="K1726" s="6">
        <f ca="1"/>
        <v>-9.642857142856883</v>
      </c>
      <c r="L1726" s="6">
        <f ca="1"/>
        <v>14.761904761904134</v>
      </c>
      <c r="M1726" s="6">
        <f ca="1"/>
        <v>2.6190476190477057</v>
      </c>
      <c r="N1726" s="6">
        <f ca="1"/>
        <v>-0.18095238095238209</v>
      </c>
      <c r="O1726" s="6">
        <f t="shared" ca="1" si="245"/>
        <v>88.809523809521792</v>
      </c>
      <c r="P1726">
        <f t="shared" ca="1" si="246"/>
        <v>88.809523809521792</v>
      </c>
      <c r="Q1726" s="10">
        <f t="shared" ca="1" si="247"/>
        <v>88.809523809521792</v>
      </c>
      <c r="R1726" s="10">
        <f t="shared" ca="1" si="248"/>
        <v>152.14285714285552</v>
      </c>
      <c r="S1726" s="10">
        <f t="shared" ca="1" si="249"/>
        <v>-63.333333333333727</v>
      </c>
      <c r="T1726" s="10">
        <f t="shared" ca="1" si="250"/>
        <v>350</v>
      </c>
      <c r="U1726" s="10">
        <f t="shared" ca="1" si="251"/>
        <v>350</v>
      </c>
      <c r="V1726">
        <f t="shared" si="252"/>
        <v>6</v>
      </c>
    </row>
    <row r="1727" spans="1:22" x14ac:dyDescent="0.25">
      <c r="A1727">
        <v>192</v>
      </c>
      <c r="B1727">
        <v>7</v>
      </c>
      <c r="C1727">
        <v>40</v>
      </c>
      <c r="D1727">
        <v>1</v>
      </c>
      <c r="E1727">
        <v>1</v>
      </c>
      <c r="F1727">
        <v>0</v>
      </c>
      <c r="G1727">
        <v>1</v>
      </c>
      <c r="H1727">
        <v>450</v>
      </c>
      <c r="I1727">
        <f t="shared" si="253"/>
        <v>1719</v>
      </c>
      <c r="J1727" s="6">
        <f t="array" aca="1" ref="J1727:N1727" ca="1">TRANSPOSE(ols(OFFSET($C$2:$C$10,I1727,0),OFFSET($D$2:$H$10,I1727,0)))</f>
        <v>134.76190476190368</v>
      </c>
      <c r="K1727" s="6">
        <f ca="1"/>
        <v>-9.642857142856883</v>
      </c>
      <c r="L1727" s="6">
        <f ca="1"/>
        <v>14.761904761904134</v>
      </c>
      <c r="M1727" s="6">
        <f ca="1"/>
        <v>2.6190476190477057</v>
      </c>
      <c r="N1727" s="6">
        <f ca="1"/>
        <v>-0.18095238095238209</v>
      </c>
      <c r="O1727" s="6">
        <f t="shared" ca="1" si="245"/>
        <v>46.30952380952256</v>
      </c>
      <c r="P1727" t="str">
        <f t="shared" si="246"/>
        <v>NA</v>
      </c>
      <c r="Q1727" s="10">
        <f t="shared" ca="1" si="247"/>
        <v>88.809523809521792</v>
      </c>
      <c r="R1727" s="10">
        <f t="shared" ca="1" si="248"/>
        <v>127.7380952380945</v>
      </c>
      <c r="S1727" s="10">
        <f t="shared" ca="1" si="249"/>
        <v>-38.92857142857271</v>
      </c>
      <c r="T1727" s="10">
        <f t="shared" ca="1" si="250"/>
        <v>215.13157894737415</v>
      </c>
      <c r="U1727" s="10" t="str">
        <f t="shared" ca="1" si="251"/>
        <v>OR</v>
      </c>
      <c r="V1727">
        <f t="shared" si="252"/>
        <v>5</v>
      </c>
    </row>
    <row r="1728" spans="1:22" x14ac:dyDescent="0.25">
      <c r="A1728">
        <v>192</v>
      </c>
      <c r="B1728">
        <v>8</v>
      </c>
      <c r="C1728">
        <v>25</v>
      </c>
      <c r="D1728">
        <v>1</v>
      </c>
      <c r="E1728">
        <v>1</v>
      </c>
      <c r="F1728">
        <v>0</v>
      </c>
      <c r="G1728">
        <v>1</v>
      </c>
      <c r="H1728">
        <v>550</v>
      </c>
      <c r="I1728">
        <f t="shared" si="253"/>
        <v>1719</v>
      </c>
      <c r="J1728" s="6">
        <f t="array" aca="1" ref="J1728:N1728" ca="1">TRANSPOSE(ols(OFFSET($C$2:$C$10,I1728,0),OFFSET($D$2:$H$10,I1728,0)))</f>
        <v>134.76190476190368</v>
      </c>
      <c r="K1728" s="6">
        <f ca="1"/>
        <v>-9.642857142856883</v>
      </c>
      <c r="L1728" s="6">
        <f ca="1"/>
        <v>14.761904761904134</v>
      </c>
      <c r="M1728" s="6">
        <f ca="1"/>
        <v>2.6190476190477057</v>
      </c>
      <c r="N1728" s="6">
        <f ca="1"/>
        <v>-0.18095238095238209</v>
      </c>
      <c r="O1728" s="6">
        <f t="shared" ca="1" si="245"/>
        <v>28.214285714284358</v>
      </c>
      <c r="P1728" t="str">
        <f t="shared" si="246"/>
        <v>NA</v>
      </c>
      <c r="Q1728" s="10">
        <f t="shared" ca="1" si="247"/>
        <v>88.809523809521792</v>
      </c>
      <c r="R1728" s="10">
        <f t="shared" ca="1" si="248"/>
        <v>127.7380952380945</v>
      </c>
      <c r="S1728" s="10">
        <f t="shared" ca="1" si="249"/>
        <v>-38.92857142857271</v>
      </c>
      <c r="T1728" s="10">
        <f t="shared" ca="1" si="250"/>
        <v>215.13157894737415</v>
      </c>
      <c r="U1728" s="10" t="str">
        <f t="shared" ca="1" si="251"/>
        <v>OR</v>
      </c>
      <c r="V1728">
        <f t="shared" si="252"/>
        <v>5</v>
      </c>
    </row>
    <row r="1729" spans="1:22" x14ac:dyDescent="0.25">
      <c r="A1729">
        <v>192</v>
      </c>
      <c r="B1729">
        <v>9</v>
      </c>
      <c r="C1729">
        <v>25</v>
      </c>
      <c r="D1729">
        <v>1</v>
      </c>
      <c r="E1729">
        <v>0</v>
      </c>
      <c r="F1729">
        <v>0</v>
      </c>
      <c r="G1729">
        <v>1</v>
      </c>
      <c r="H1729">
        <v>650</v>
      </c>
      <c r="I1729">
        <f t="shared" si="253"/>
        <v>1719</v>
      </c>
      <c r="J1729" s="6">
        <f t="array" aca="1" ref="J1729:N1729" ca="1">TRANSPOSE(ols(OFFSET($C$2:$C$10,I1729,0),OFFSET($D$2:$H$10,I1729,0)))</f>
        <v>134.76190476190368</v>
      </c>
      <c r="K1729" s="6">
        <f ca="1"/>
        <v>-9.642857142856883</v>
      </c>
      <c r="L1729" s="6">
        <f ca="1"/>
        <v>14.761904761904134</v>
      </c>
      <c r="M1729" s="6">
        <f ca="1"/>
        <v>2.6190476190477057</v>
      </c>
      <c r="N1729" s="6">
        <f ca="1"/>
        <v>-0.18095238095238209</v>
      </c>
      <c r="O1729" s="6">
        <f t="shared" ca="1" si="245"/>
        <v>19.761904761903025</v>
      </c>
      <c r="P1729" t="str">
        <f t="shared" si="246"/>
        <v>NA</v>
      </c>
      <c r="Q1729" s="10">
        <f t="shared" ca="1" si="247"/>
        <v>88.809523809521792</v>
      </c>
      <c r="R1729" s="10">
        <f t="shared" ca="1" si="248"/>
        <v>137.38095238095138</v>
      </c>
      <c r="S1729" s="10">
        <f t="shared" ca="1" si="249"/>
        <v>-48.571428571429593</v>
      </c>
      <c r="T1729" s="10">
        <f t="shared" ca="1" si="250"/>
        <v>268.42105263158288</v>
      </c>
      <c r="U1729" s="10">
        <f t="shared" ca="1" si="251"/>
        <v>268.42105263158288</v>
      </c>
      <c r="V1729">
        <f t="shared" si="252"/>
        <v>4</v>
      </c>
    </row>
    <row r="1730" spans="1:22" x14ac:dyDescent="0.25">
      <c r="A1730">
        <v>193</v>
      </c>
      <c r="B1730">
        <v>1</v>
      </c>
      <c r="C1730">
        <v>75</v>
      </c>
      <c r="D1730">
        <v>1</v>
      </c>
      <c r="E1730">
        <v>0</v>
      </c>
      <c r="F1730">
        <v>1</v>
      </c>
      <c r="G1730">
        <v>0</v>
      </c>
      <c r="H1730">
        <v>250</v>
      </c>
      <c r="I1730">
        <f t="shared" si="253"/>
        <v>1728</v>
      </c>
      <c r="J1730" s="6">
        <f t="array" aca="1" ref="J1730:N1730" ca="1">TRANSPOSE(ols(OFFSET($C$2:$C$10,I1730,0),OFFSET($D$2:$H$10,I1730,0)))</f>
        <v>161.01190476190277</v>
      </c>
      <c r="K1730" s="6">
        <f ca="1"/>
        <v>-7.1428571428571104</v>
      </c>
      <c r="L1730" s="6">
        <f ca="1"/>
        <v>-20.238095238094047</v>
      </c>
      <c r="M1730" s="6">
        <f ca="1"/>
        <v>10.119047619047706</v>
      </c>
      <c r="N1730" s="6">
        <f ca="1"/>
        <v>-0.2559523809523796</v>
      </c>
      <c r="O1730" s="6">
        <f t="shared" ca="1" si="245"/>
        <v>76.785714285713823</v>
      </c>
      <c r="P1730" t="str">
        <f t="shared" si="246"/>
        <v>NA</v>
      </c>
      <c r="Q1730" s="10">
        <f t="shared" ca="1" si="247"/>
        <v>61.309523809523569</v>
      </c>
      <c r="R1730" s="10">
        <f t="shared" ca="1" si="248"/>
        <v>140.77380952380872</v>
      </c>
      <c r="S1730" s="10">
        <f t="shared" ca="1" si="249"/>
        <v>-79.464285714285154</v>
      </c>
      <c r="T1730" s="10">
        <f t="shared" ca="1" si="250"/>
        <v>310.46511627906921</v>
      </c>
      <c r="U1730" s="10">
        <f t="shared" ca="1" si="251"/>
        <v>310.46511627906921</v>
      </c>
      <c r="V1730">
        <f t="shared" si="252"/>
        <v>3</v>
      </c>
    </row>
    <row r="1731" spans="1:22" x14ac:dyDescent="0.25">
      <c r="A1731">
        <v>193</v>
      </c>
      <c r="B1731">
        <v>2</v>
      </c>
      <c r="C1731">
        <v>75</v>
      </c>
      <c r="D1731">
        <v>1</v>
      </c>
      <c r="E1731">
        <v>1</v>
      </c>
      <c r="F1731">
        <v>0</v>
      </c>
      <c r="G1731">
        <v>0</v>
      </c>
      <c r="H1731">
        <v>350</v>
      </c>
      <c r="I1731">
        <f t="shared" si="253"/>
        <v>1728</v>
      </c>
      <c r="J1731" s="6">
        <f t="array" aca="1" ref="J1731:N1731" ca="1">TRANSPOSE(ols(OFFSET($C$2:$C$10,I1731,0),OFFSET($D$2:$H$10,I1731,0)))</f>
        <v>161.01190476190277</v>
      </c>
      <c r="K1731" s="6">
        <f ca="1"/>
        <v>-7.1428571428571104</v>
      </c>
      <c r="L1731" s="6">
        <f ca="1"/>
        <v>-20.238095238094047</v>
      </c>
      <c r="M1731" s="6">
        <f ca="1"/>
        <v>10.119047619047706</v>
      </c>
      <c r="N1731" s="6">
        <f ca="1"/>
        <v>-0.2559523809523796</v>
      </c>
      <c r="O1731" s="6">
        <f t="shared" ref="O1731:O1794" ca="1" si="254">SUMPRODUCT(J1731:N1731,D1731:H1731)</f>
        <v>64.2857142857128</v>
      </c>
      <c r="P1731" t="str">
        <f t="shared" ref="P1731:P1794" si="255">IF(AND(F1731=1,G1731=1,H1731=350),O1731,"NA")</f>
        <v>NA</v>
      </c>
      <c r="Q1731" s="10">
        <f t="shared" ref="Q1731:Q1794" ca="1" si="256">AVERAGEIF($A$2:$A$5383,A1731,$P$2:$P$5383)</f>
        <v>61.309523809523569</v>
      </c>
      <c r="R1731" s="10">
        <f t="shared" ref="R1731:R1794" ca="1" si="257">O1731-N1731*H1731</f>
        <v>153.86904761904566</v>
      </c>
      <c r="S1731" s="10">
        <f t="shared" ref="S1731:S1794" ca="1" si="258">Q1731-R1731</f>
        <v>-92.559523809522091</v>
      </c>
      <c r="T1731" s="10">
        <f t="shared" ref="T1731:T1794" ca="1" si="259">S1731/N1731</f>
        <v>361.62790697673938</v>
      </c>
      <c r="U1731" s="10">
        <f t="shared" ref="U1731:U1794" ca="1" si="260">IF(OR(T1731&lt;250,T1731&gt;650),"OR",T1731)</f>
        <v>361.62790697673938</v>
      </c>
      <c r="V1731">
        <f t="shared" ref="V1731:V1794" si="261">IF(AND(E1731=1,G1731=0),2,IF(AND(F1731=1,G1731=0),3,IF(AND(E1731=1,G1731=1),5,IF(AND(F1731=1,G1731=1),6,IF(G1731=0,1,IF(G1731=1,4))))))</f>
        <v>2</v>
      </c>
    </row>
    <row r="1732" spans="1:22" x14ac:dyDescent="0.25">
      <c r="A1732">
        <v>193</v>
      </c>
      <c r="B1732">
        <v>3</v>
      </c>
      <c r="C1732">
        <v>25</v>
      </c>
      <c r="D1732">
        <v>1</v>
      </c>
      <c r="E1732">
        <v>1</v>
      </c>
      <c r="F1732">
        <v>0</v>
      </c>
      <c r="G1732">
        <v>0</v>
      </c>
      <c r="H1732">
        <v>450</v>
      </c>
      <c r="I1732">
        <f t="shared" si="253"/>
        <v>1728</v>
      </c>
      <c r="J1732" s="6">
        <f t="array" aca="1" ref="J1732:N1732" ca="1">TRANSPOSE(ols(OFFSET($C$2:$C$10,I1732,0),OFFSET($D$2:$H$10,I1732,0)))</f>
        <v>161.01190476190277</v>
      </c>
      <c r="K1732" s="6">
        <f ca="1"/>
        <v>-7.1428571428571104</v>
      </c>
      <c r="L1732" s="6">
        <f ca="1"/>
        <v>-20.238095238094047</v>
      </c>
      <c r="M1732" s="6">
        <f ca="1"/>
        <v>10.119047619047706</v>
      </c>
      <c r="N1732" s="6">
        <f ca="1"/>
        <v>-0.2559523809523796</v>
      </c>
      <c r="O1732" s="6">
        <f t="shared" ca="1" si="254"/>
        <v>38.69047619047484</v>
      </c>
      <c r="P1732" t="str">
        <f t="shared" si="255"/>
        <v>NA</v>
      </c>
      <c r="Q1732" s="10">
        <f t="shared" ca="1" si="256"/>
        <v>61.309523809523569</v>
      </c>
      <c r="R1732" s="10">
        <f t="shared" ca="1" si="257"/>
        <v>153.86904761904566</v>
      </c>
      <c r="S1732" s="10">
        <f t="shared" ca="1" si="258"/>
        <v>-92.559523809522091</v>
      </c>
      <c r="T1732" s="10">
        <f t="shared" ca="1" si="259"/>
        <v>361.62790697673938</v>
      </c>
      <c r="U1732" s="10">
        <f t="shared" ca="1" si="260"/>
        <v>361.62790697673938</v>
      </c>
      <c r="V1732">
        <f t="shared" si="261"/>
        <v>2</v>
      </c>
    </row>
    <row r="1733" spans="1:22" x14ac:dyDescent="0.25">
      <c r="A1733">
        <v>193</v>
      </c>
      <c r="B1733">
        <v>4</v>
      </c>
      <c r="C1733">
        <v>25</v>
      </c>
      <c r="D1733">
        <v>1</v>
      </c>
      <c r="E1733">
        <v>0</v>
      </c>
      <c r="F1733">
        <v>0</v>
      </c>
      <c r="G1733">
        <v>0</v>
      </c>
      <c r="H1733">
        <v>550</v>
      </c>
      <c r="I1733">
        <f t="shared" si="253"/>
        <v>1728</v>
      </c>
      <c r="J1733" s="6">
        <f t="array" aca="1" ref="J1733:N1733" ca="1">TRANSPOSE(ols(OFFSET($C$2:$C$10,I1733,0),OFFSET($D$2:$H$10,I1733,0)))</f>
        <v>161.01190476190277</v>
      </c>
      <c r="K1733" s="6">
        <f ca="1"/>
        <v>-7.1428571428571104</v>
      </c>
      <c r="L1733" s="6">
        <f ca="1"/>
        <v>-20.238095238094047</v>
      </c>
      <c r="M1733" s="6">
        <f ca="1"/>
        <v>10.119047619047706</v>
      </c>
      <c r="N1733" s="6">
        <f ca="1"/>
        <v>-0.2559523809523796</v>
      </c>
      <c r="O1733" s="6">
        <f t="shared" ca="1" si="254"/>
        <v>20.23809523809399</v>
      </c>
      <c r="P1733" t="str">
        <f t="shared" si="255"/>
        <v>NA</v>
      </c>
      <c r="Q1733" s="10">
        <f t="shared" ca="1" si="256"/>
        <v>61.309523809523569</v>
      </c>
      <c r="R1733" s="10">
        <f t="shared" ca="1" si="257"/>
        <v>161.01190476190277</v>
      </c>
      <c r="S1733" s="10">
        <f t="shared" ca="1" si="258"/>
        <v>-99.702380952379201</v>
      </c>
      <c r="T1733" s="10">
        <f t="shared" ca="1" si="259"/>
        <v>389.53488372092545</v>
      </c>
      <c r="U1733" s="10">
        <f t="shared" ca="1" si="260"/>
        <v>389.53488372092545</v>
      </c>
      <c r="V1733">
        <f t="shared" si="261"/>
        <v>1</v>
      </c>
    </row>
    <row r="1734" spans="1:22" x14ac:dyDescent="0.25">
      <c r="A1734">
        <v>193</v>
      </c>
      <c r="B1734">
        <v>5</v>
      </c>
      <c r="C1734">
        <v>75</v>
      </c>
      <c r="D1734">
        <v>1</v>
      </c>
      <c r="E1734">
        <v>0</v>
      </c>
      <c r="F1734">
        <v>1</v>
      </c>
      <c r="G1734">
        <v>1</v>
      </c>
      <c r="H1734">
        <v>250</v>
      </c>
      <c r="I1734">
        <f t="shared" si="253"/>
        <v>1728</v>
      </c>
      <c r="J1734" s="6">
        <f t="array" aca="1" ref="J1734:N1734" ca="1">TRANSPOSE(ols(OFFSET($C$2:$C$10,I1734,0),OFFSET($D$2:$H$10,I1734,0)))</f>
        <v>161.01190476190277</v>
      </c>
      <c r="K1734" s="6">
        <f ca="1"/>
        <v>-7.1428571428571104</v>
      </c>
      <c r="L1734" s="6">
        <f ca="1"/>
        <v>-20.238095238094047</v>
      </c>
      <c r="M1734" s="6">
        <f ca="1"/>
        <v>10.119047619047706</v>
      </c>
      <c r="N1734" s="6">
        <f ca="1"/>
        <v>-0.2559523809523796</v>
      </c>
      <c r="O1734" s="6">
        <f t="shared" ca="1" si="254"/>
        <v>86.904761904761529</v>
      </c>
      <c r="P1734" t="str">
        <f t="shared" si="255"/>
        <v>NA</v>
      </c>
      <c r="Q1734" s="10">
        <f t="shared" ca="1" si="256"/>
        <v>61.309523809523569</v>
      </c>
      <c r="R1734" s="10">
        <f t="shared" ca="1" si="257"/>
        <v>150.89285714285643</v>
      </c>
      <c r="S1734" s="10">
        <f t="shared" ca="1" si="258"/>
        <v>-89.58333333333286</v>
      </c>
      <c r="T1734" s="10">
        <f t="shared" ca="1" si="259"/>
        <v>350</v>
      </c>
      <c r="U1734" s="10">
        <f t="shared" ca="1" si="260"/>
        <v>350</v>
      </c>
      <c r="V1734">
        <f t="shared" si="261"/>
        <v>6</v>
      </c>
    </row>
    <row r="1735" spans="1:22" x14ac:dyDescent="0.25">
      <c r="A1735">
        <v>193</v>
      </c>
      <c r="B1735">
        <v>6</v>
      </c>
      <c r="C1735">
        <v>75</v>
      </c>
      <c r="D1735">
        <v>1</v>
      </c>
      <c r="E1735">
        <v>0</v>
      </c>
      <c r="F1735">
        <v>1</v>
      </c>
      <c r="G1735">
        <v>1</v>
      </c>
      <c r="H1735">
        <v>350</v>
      </c>
      <c r="I1735">
        <f t="shared" si="253"/>
        <v>1728</v>
      </c>
      <c r="J1735" s="6">
        <f t="array" aca="1" ref="J1735:N1735" ca="1">TRANSPOSE(ols(OFFSET($C$2:$C$10,I1735,0),OFFSET($D$2:$H$10,I1735,0)))</f>
        <v>161.01190476190277</v>
      </c>
      <c r="K1735" s="6">
        <f ca="1"/>
        <v>-7.1428571428571104</v>
      </c>
      <c r="L1735" s="6">
        <f ca="1"/>
        <v>-20.238095238094047</v>
      </c>
      <c r="M1735" s="6">
        <f ca="1"/>
        <v>10.119047619047706</v>
      </c>
      <c r="N1735" s="6">
        <f ca="1"/>
        <v>-0.2559523809523796</v>
      </c>
      <c r="O1735" s="6">
        <f t="shared" ca="1" si="254"/>
        <v>61.309523809523569</v>
      </c>
      <c r="P1735">
        <f t="shared" ca="1" si="255"/>
        <v>61.309523809523569</v>
      </c>
      <c r="Q1735" s="10">
        <f t="shared" ca="1" si="256"/>
        <v>61.309523809523569</v>
      </c>
      <c r="R1735" s="10">
        <f t="shared" ca="1" si="257"/>
        <v>150.89285714285643</v>
      </c>
      <c r="S1735" s="10">
        <f t="shared" ca="1" si="258"/>
        <v>-89.58333333333286</v>
      </c>
      <c r="T1735" s="10">
        <f t="shared" ca="1" si="259"/>
        <v>350</v>
      </c>
      <c r="U1735" s="10">
        <f t="shared" ca="1" si="260"/>
        <v>350</v>
      </c>
      <c r="V1735">
        <f t="shared" si="261"/>
        <v>6</v>
      </c>
    </row>
    <row r="1736" spans="1:22" x14ac:dyDescent="0.25">
      <c r="A1736">
        <v>193</v>
      </c>
      <c r="B1736">
        <v>7</v>
      </c>
      <c r="C1736">
        <v>50</v>
      </c>
      <c r="D1736">
        <v>1</v>
      </c>
      <c r="E1736">
        <v>1</v>
      </c>
      <c r="F1736">
        <v>0</v>
      </c>
      <c r="G1736">
        <v>1</v>
      </c>
      <c r="H1736">
        <v>450</v>
      </c>
      <c r="I1736">
        <f t="shared" si="253"/>
        <v>1728</v>
      </c>
      <c r="J1736" s="6">
        <f t="array" aca="1" ref="J1736:N1736" ca="1">TRANSPOSE(ols(OFFSET($C$2:$C$10,I1736,0),OFFSET($D$2:$H$10,I1736,0)))</f>
        <v>161.01190476190277</v>
      </c>
      <c r="K1736" s="6">
        <f ca="1"/>
        <v>-7.1428571428571104</v>
      </c>
      <c r="L1736" s="6">
        <f ca="1"/>
        <v>-20.238095238094047</v>
      </c>
      <c r="M1736" s="6">
        <f ca="1"/>
        <v>10.119047619047706</v>
      </c>
      <c r="N1736" s="6">
        <f ca="1"/>
        <v>-0.2559523809523796</v>
      </c>
      <c r="O1736" s="6">
        <f t="shared" ca="1" si="254"/>
        <v>48.809523809522545</v>
      </c>
      <c r="P1736" t="str">
        <f t="shared" si="255"/>
        <v>NA</v>
      </c>
      <c r="Q1736" s="10">
        <f t="shared" ca="1" si="256"/>
        <v>61.309523809523569</v>
      </c>
      <c r="R1736" s="10">
        <f t="shared" ca="1" si="257"/>
        <v>163.98809523809336</v>
      </c>
      <c r="S1736" s="10">
        <f t="shared" ca="1" si="258"/>
        <v>-102.6785714285698</v>
      </c>
      <c r="T1736" s="10">
        <f t="shared" ca="1" si="259"/>
        <v>401.16279069767018</v>
      </c>
      <c r="U1736" s="10">
        <f t="shared" ca="1" si="260"/>
        <v>401.16279069767018</v>
      </c>
      <c r="V1736">
        <f t="shared" si="261"/>
        <v>5</v>
      </c>
    </row>
    <row r="1737" spans="1:22" x14ac:dyDescent="0.25">
      <c r="A1737">
        <v>193</v>
      </c>
      <c r="B1737">
        <v>8</v>
      </c>
      <c r="C1737">
        <v>25</v>
      </c>
      <c r="D1737">
        <v>1</v>
      </c>
      <c r="E1737">
        <v>1</v>
      </c>
      <c r="F1737">
        <v>0</v>
      </c>
      <c r="G1737">
        <v>1</v>
      </c>
      <c r="H1737">
        <v>550</v>
      </c>
      <c r="I1737">
        <f t="shared" si="253"/>
        <v>1728</v>
      </c>
      <c r="J1737" s="6">
        <f t="array" aca="1" ref="J1737:N1737" ca="1">TRANSPOSE(ols(OFFSET($C$2:$C$10,I1737,0),OFFSET($D$2:$H$10,I1737,0)))</f>
        <v>161.01190476190277</v>
      </c>
      <c r="K1737" s="6">
        <f ca="1"/>
        <v>-7.1428571428571104</v>
      </c>
      <c r="L1737" s="6">
        <f ca="1"/>
        <v>-20.238095238094047</v>
      </c>
      <c r="M1737" s="6">
        <f ca="1"/>
        <v>10.119047619047706</v>
      </c>
      <c r="N1737" s="6">
        <f ca="1"/>
        <v>-0.2559523809523796</v>
      </c>
      <c r="O1737" s="6">
        <f t="shared" ca="1" si="254"/>
        <v>23.214285714284586</v>
      </c>
      <c r="P1737" t="str">
        <f t="shared" si="255"/>
        <v>NA</v>
      </c>
      <c r="Q1737" s="10">
        <f t="shared" ca="1" si="256"/>
        <v>61.309523809523569</v>
      </c>
      <c r="R1737" s="10">
        <f t="shared" ca="1" si="257"/>
        <v>163.98809523809336</v>
      </c>
      <c r="S1737" s="10">
        <f t="shared" ca="1" si="258"/>
        <v>-102.6785714285698</v>
      </c>
      <c r="T1737" s="10">
        <f t="shared" ca="1" si="259"/>
        <v>401.16279069767018</v>
      </c>
      <c r="U1737" s="10">
        <f t="shared" ca="1" si="260"/>
        <v>401.16279069767018</v>
      </c>
      <c r="V1737">
        <f t="shared" si="261"/>
        <v>5</v>
      </c>
    </row>
    <row r="1738" spans="1:22" x14ac:dyDescent="0.25">
      <c r="A1738">
        <v>193</v>
      </c>
      <c r="B1738">
        <v>9</v>
      </c>
      <c r="C1738">
        <v>0</v>
      </c>
      <c r="D1738">
        <v>1</v>
      </c>
      <c r="E1738">
        <v>0</v>
      </c>
      <c r="F1738">
        <v>0</v>
      </c>
      <c r="G1738">
        <v>1</v>
      </c>
      <c r="H1738">
        <v>650</v>
      </c>
      <c r="I1738">
        <f t="shared" si="253"/>
        <v>1728</v>
      </c>
      <c r="J1738" s="6">
        <f t="array" aca="1" ref="J1738:N1738" ca="1">TRANSPOSE(ols(OFFSET($C$2:$C$10,I1738,0),OFFSET($D$2:$H$10,I1738,0)))</f>
        <v>161.01190476190277</v>
      </c>
      <c r="K1738" s="6">
        <f ca="1"/>
        <v>-7.1428571428571104</v>
      </c>
      <c r="L1738" s="6">
        <f ca="1"/>
        <v>-20.238095238094047</v>
      </c>
      <c r="M1738" s="6">
        <f ca="1"/>
        <v>10.119047619047706</v>
      </c>
      <c r="N1738" s="6">
        <f ca="1"/>
        <v>-0.2559523809523796</v>
      </c>
      <c r="O1738" s="6">
        <f t="shared" ca="1" si="254"/>
        <v>4.761904761903736</v>
      </c>
      <c r="P1738" t="str">
        <f t="shared" si="255"/>
        <v>NA</v>
      </c>
      <c r="Q1738" s="10">
        <f t="shared" ca="1" si="256"/>
        <v>61.309523809523569</v>
      </c>
      <c r="R1738" s="10">
        <f t="shared" ca="1" si="257"/>
        <v>171.13095238095048</v>
      </c>
      <c r="S1738" s="10">
        <f t="shared" ca="1" si="258"/>
        <v>-109.82142857142691</v>
      </c>
      <c r="T1738" s="10">
        <f t="shared" ca="1" si="259"/>
        <v>429.06976744185624</v>
      </c>
      <c r="U1738" s="10">
        <f t="shared" ca="1" si="260"/>
        <v>429.06976744185624</v>
      </c>
      <c r="V1738">
        <f t="shared" si="261"/>
        <v>4</v>
      </c>
    </row>
    <row r="1739" spans="1:22" x14ac:dyDescent="0.25">
      <c r="A1739">
        <v>194</v>
      </c>
      <c r="B1739">
        <v>1</v>
      </c>
      <c r="C1739">
        <v>0</v>
      </c>
      <c r="D1739">
        <v>1</v>
      </c>
      <c r="E1739">
        <v>0</v>
      </c>
      <c r="F1739">
        <v>1</v>
      </c>
      <c r="G1739">
        <v>0</v>
      </c>
      <c r="H1739">
        <v>250</v>
      </c>
      <c r="I1739">
        <f t="shared" si="253"/>
        <v>1737</v>
      </c>
      <c r="J1739" s="6">
        <f t="array" aca="1" ref="J1739:N1739" ca="1">TRANSPOSE(ols(OFFSET($C$2:$C$10,I1739,0),OFFSET($D$2:$H$10,I1739,0)))</f>
        <v>9.642857142856883</v>
      </c>
      <c r="K1739" s="6">
        <f ca="1"/>
        <v>-3.2142857142856656</v>
      </c>
      <c r="L1739" s="6">
        <f ca="1"/>
        <v>2.1428571428571104</v>
      </c>
      <c r="M1739" s="6">
        <f ca="1"/>
        <v>16.428571428571445</v>
      </c>
      <c r="N1739" s="6">
        <f ca="1"/>
        <v>-2.1428571428571352E-2</v>
      </c>
      <c r="O1739" s="6">
        <f t="shared" ca="1" si="254"/>
        <v>6.4285714285711553</v>
      </c>
      <c r="P1739" t="str">
        <f t="shared" si="255"/>
        <v>NA</v>
      </c>
      <c r="Q1739" s="10">
        <f t="shared" ca="1" si="256"/>
        <v>20.714285714285467</v>
      </c>
      <c r="R1739" s="10">
        <f t="shared" ca="1" si="257"/>
        <v>11.785714285713993</v>
      </c>
      <c r="S1739" s="10">
        <f t="shared" ca="1" si="258"/>
        <v>8.9285714285714732</v>
      </c>
      <c r="T1739" s="10">
        <f t="shared" ca="1" si="259"/>
        <v>-416.66666666667021</v>
      </c>
      <c r="U1739" s="10" t="str">
        <f t="shared" ca="1" si="260"/>
        <v>OR</v>
      </c>
      <c r="V1739">
        <f t="shared" si="261"/>
        <v>3</v>
      </c>
    </row>
    <row r="1740" spans="1:22" x14ac:dyDescent="0.25">
      <c r="A1740">
        <v>194</v>
      </c>
      <c r="B1740">
        <v>2</v>
      </c>
      <c r="C1740">
        <v>0</v>
      </c>
      <c r="D1740">
        <v>1</v>
      </c>
      <c r="E1740">
        <v>1</v>
      </c>
      <c r="F1740">
        <v>0</v>
      </c>
      <c r="G1740">
        <v>0</v>
      </c>
      <c r="H1740">
        <v>350</v>
      </c>
      <c r="I1740">
        <f t="shared" ref="I1740:I1803" si="262">IF(A1740&gt;A1739,I1739+9,I1739)</f>
        <v>1737</v>
      </c>
      <c r="J1740" s="6">
        <f t="array" aca="1" ref="J1740:N1740" ca="1">TRANSPOSE(ols(OFFSET($C$2:$C$10,I1740,0),OFFSET($D$2:$H$10,I1740,0)))</f>
        <v>9.642857142856883</v>
      </c>
      <c r="K1740" s="6">
        <f ca="1"/>
        <v>-3.2142857142856656</v>
      </c>
      <c r="L1740" s="6">
        <f ca="1"/>
        <v>2.1428571428571104</v>
      </c>
      <c r="M1740" s="6">
        <f ca="1"/>
        <v>16.428571428571445</v>
      </c>
      <c r="N1740" s="6">
        <f ca="1"/>
        <v>-2.1428571428571352E-2</v>
      </c>
      <c r="O1740" s="6">
        <f t="shared" ca="1" si="254"/>
        <v>-1.0714285714287559</v>
      </c>
      <c r="P1740" t="str">
        <f t="shared" si="255"/>
        <v>NA</v>
      </c>
      <c r="Q1740" s="10">
        <f t="shared" ca="1" si="256"/>
        <v>20.714285714285467</v>
      </c>
      <c r="R1740" s="10">
        <f t="shared" ca="1" si="257"/>
        <v>6.4285714285712174</v>
      </c>
      <c r="S1740" s="10">
        <f t="shared" ca="1" si="258"/>
        <v>14.285714285714249</v>
      </c>
      <c r="T1740" s="10">
        <f t="shared" ca="1" si="259"/>
        <v>-666.66666666666731</v>
      </c>
      <c r="U1740" s="10" t="str">
        <f t="shared" ca="1" si="260"/>
        <v>OR</v>
      </c>
      <c r="V1740">
        <f t="shared" si="261"/>
        <v>2</v>
      </c>
    </row>
    <row r="1741" spans="1:22" x14ac:dyDescent="0.25">
      <c r="A1741">
        <v>194</v>
      </c>
      <c r="B1741">
        <v>3</v>
      </c>
      <c r="C1741">
        <v>0</v>
      </c>
      <c r="D1741">
        <v>1</v>
      </c>
      <c r="E1741">
        <v>1</v>
      </c>
      <c r="F1741">
        <v>0</v>
      </c>
      <c r="G1741">
        <v>0</v>
      </c>
      <c r="H1741">
        <v>450</v>
      </c>
      <c r="I1741">
        <f t="shared" si="262"/>
        <v>1737</v>
      </c>
      <c r="J1741" s="6">
        <f t="array" aca="1" ref="J1741:N1741" ca="1">TRANSPOSE(ols(OFFSET($C$2:$C$10,I1741,0),OFFSET($D$2:$H$10,I1741,0)))</f>
        <v>9.642857142856883</v>
      </c>
      <c r="K1741" s="6">
        <f ca="1"/>
        <v>-3.2142857142856656</v>
      </c>
      <c r="L1741" s="6">
        <f ca="1"/>
        <v>2.1428571428571104</v>
      </c>
      <c r="M1741" s="6">
        <f ca="1"/>
        <v>16.428571428571445</v>
      </c>
      <c r="N1741" s="6">
        <f ca="1"/>
        <v>-2.1428571428571352E-2</v>
      </c>
      <c r="O1741" s="6">
        <f t="shared" ca="1" si="254"/>
        <v>-3.2142857142858912</v>
      </c>
      <c r="P1741" t="str">
        <f t="shared" si="255"/>
        <v>NA</v>
      </c>
      <c r="Q1741" s="10">
        <f t="shared" ca="1" si="256"/>
        <v>20.714285714285467</v>
      </c>
      <c r="R1741" s="10">
        <f t="shared" ca="1" si="257"/>
        <v>6.4285714285712174</v>
      </c>
      <c r="S1741" s="10">
        <f t="shared" ca="1" si="258"/>
        <v>14.285714285714249</v>
      </c>
      <c r="T1741" s="10">
        <f t="shared" ca="1" si="259"/>
        <v>-666.66666666666731</v>
      </c>
      <c r="U1741" s="10" t="str">
        <f t="shared" ca="1" si="260"/>
        <v>OR</v>
      </c>
      <c r="V1741">
        <f t="shared" si="261"/>
        <v>2</v>
      </c>
    </row>
    <row r="1742" spans="1:22" x14ac:dyDescent="0.25">
      <c r="A1742">
        <v>194</v>
      </c>
      <c r="B1742">
        <v>4</v>
      </c>
      <c r="C1742">
        <v>0</v>
      </c>
      <c r="D1742">
        <v>1</v>
      </c>
      <c r="E1742">
        <v>0</v>
      </c>
      <c r="F1742">
        <v>0</v>
      </c>
      <c r="G1742">
        <v>0</v>
      </c>
      <c r="H1742">
        <v>550</v>
      </c>
      <c r="I1742">
        <f t="shared" si="262"/>
        <v>1737</v>
      </c>
      <c r="J1742" s="6">
        <f t="array" aca="1" ref="J1742:N1742" ca="1">TRANSPOSE(ols(OFFSET($C$2:$C$10,I1742,0),OFFSET($D$2:$H$10,I1742,0)))</f>
        <v>9.642857142856883</v>
      </c>
      <c r="K1742" s="6">
        <f ca="1"/>
        <v>-3.2142857142856656</v>
      </c>
      <c r="L1742" s="6">
        <f ca="1"/>
        <v>2.1428571428571104</v>
      </c>
      <c r="M1742" s="6">
        <f ca="1"/>
        <v>16.428571428571445</v>
      </c>
      <c r="N1742" s="6">
        <f ca="1"/>
        <v>-2.1428571428571352E-2</v>
      </c>
      <c r="O1742" s="6">
        <f t="shared" ca="1" si="254"/>
        <v>-2.1428571428573608</v>
      </c>
      <c r="P1742" t="str">
        <f t="shared" si="255"/>
        <v>NA</v>
      </c>
      <c r="Q1742" s="10">
        <f t="shared" ca="1" si="256"/>
        <v>20.714285714285467</v>
      </c>
      <c r="R1742" s="10">
        <f t="shared" ca="1" si="257"/>
        <v>9.642857142856883</v>
      </c>
      <c r="S1742" s="10">
        <f t="shared" ca="1" si="258"/>
        <v>11.071428571428584</v>
      </c>
      <c r="T1742" s="10">
        <f t="shared" ca="1" si="259"/>
        <v>-516.66666666666902</v>
      </c>
      <c r="U1742" s="10" t="str">
        <f t="shared" ca="1" si="260"/>
        <v>OR</v>
      </c>
      <c r="V1742">
        <f t="shared" si="261"/>
        <v>1</v>
      </c>
    </row>
    <row r="1743" spans="1:22" x14ac:dyDescent="0.25">
      <c r="A1743">
        <v>194</v>
      </c>
      <c r="B1743">
        <v>5</v>
      </c>
      <c r="C1743">
        <v>25</v>
      </c>
      <c r="D1743">
        <v>1</v>
      </c>
      <c r="E1743">
        <v>0</v>
      </c>
      <c r="F1743">
        <v>1</v>
      </c>
      <c r="G1743">
        <v>1</v>
      </c>
      <c r="H1743">
        <v>250</v>
      </c>
      <c r="I1743">
        <f t="shared" si="262"/>
        <v>1737</v>
      </c>
      <c r="J1743" s="6">
        <f t="array" aca="1" ref="J1743:N1743" ca="1">TRANSPOSE(ols(OFFSET($C$2:$C$10,I1743,0),OFFSET($D$2:$H$10,I1743,0)))</f>
        <v>9.642857142856883</v>
      </c>
      <c r="K1743" s="6">
        <f ca="1"/>
        <v>-3.2142857142856656</v>
      </c>
      <c r="L1743" s="6">
        <f ca="1"/>
        <v>2.1428571428571104</v>
      </c>
      <c r="M1743" s="6">
        <f ca="1"/>
        <v>16.428571428571445</v>
      </c>
      <c r="N1743" s="6">
        <f ca="1"/>
        <v>-2.1428571428571352E-2</v>
      </c>
      <c r="O1743" s="6">
        <f t="shared" ca="1" si="254"/>
        <v>22.857142857142598</v>
      </c>
      <c r="P1743" t="str">
        <f t="shared" si="255"/>
        <v>NA</v>
      </c>
      <c r="Q1743" s="10">
        <f t="shared" ca="1" si="256"/>
        <v>20.714285714285467</v>
      </c>
      <c r="R1743" s="10">
        <f t="shared" ca="1" si="257"/>
        <v>28.214285714285438</v>
      </c>
      <c r="S1743" s="10">
        <f t="shared" ca="1" si="258"/>
        <v>-7.4999999999999716</v>
      </c>
      <c r="T1743" s="10">
        <f t="shared" ca="1" si="259"/>
        <v>349.99999999999994</v>
      </c>
      <c r="U1743" s="10">
        <f t="shared" ca="1" si="260"/>
        <v>349.99999999999994</v>
      </c>
      <c r="V1743">
        <f t="shared" si="261"/>
        <v>6</v>
      </c>
    </row>
    <row r="1744" spans="1:22" x14ac:dyDescent="0.25">
      <c r="A1744">
        <v>194</v>
      </c>
      <c r="B1744">
        <v>6</v>
      </c>
      <c r="C1744">
        <v>25</v>
      </c>
      <c r="D1744">
        <v>1</v>
      </c>
      <c r="E1744">
        <v>0</v>
      </c>
      <c r="F1744">
        <v>1</v>
      </c>
      <c r="G1744">
        <v>1</v>
      </c>
      <c r="H1744">
        <v>350</v>
      </c>
      <c r="I1744">
        <f t="shared" si="262"/>
        <v>1737</v>
      </c>
      <c r="J1744" s="6">
        <f t="array" aca="1" ref="J1744:N1744" ca="1">TRANSPOSE(ols(OFFSET($C$2:$C$10,I1744,0),OFFSET($D$2:$H$10,I1744,0)))</f>
        <v>9.642857142856883</v>
      </c>
      <c r="K1744" s="6">
        <f ca="1"/>
        <v>-3.2142857142856656</v>
      </c>
      <c r="L1744" s="6">
        <f ca="1"/>
        <v>2.1428571428571104</v>
      </c>
      <c r="M1744" s="6">
        <f ca="1"/>
        <v>16.428571428571445</v>
      </c>
      <c r="N1744" s="6">
        <f ca="1"/>
        <v>-2.1428571428571352E-2</v>
      </c>
      <c r="O1744" s="6">
        <f t="shared" ca="1" si="254"/>
        <v>20.714285714285467</v>
      </c>
      <c r="P1744">
        <f t="shared" ca="1" si="255"/>
        <v>20.714285714285467</v>
      </c>
      <c r="Q1744" s="10">
        <f t="shared" ca="1" si="256"/>
        <v>20.714285714285467</v>
      </c>
      <c r="R1744" s="10">
        <f t="shared" ca="1" si="257"/>
        <v>28.214285714285438</v>
      </c>
      <c r="S1744" s="10">
        <f t="shared" ca="1" si="258"/>
        <v>-7.4999999999999716</v>
      </c>
      <c r="T1744" s="10">
        <f t="shared" ca="1" si="259"/>
        <v>349.99999999999994</v>
      </c>
      <c r="U1744" s="10">
        <f t="shared" ca="1" si="260"/>
        <v>349.99999999999994</v>
      </c>
      <c r="V1744">
        <f t="shared" si="261"/>
        <v>6</v>
      </c>
    </row>
    <row r="1745" spans="1:22" x14ac:dyDescent="0.25">
      <c r="A1745">
        <v>194</v>
      </c>
      <c r="B1745">
        <v>7</v>
      </c>
      <c r="C1745">
        <v>10</v>
      </c>
      <c r="D1745">
        <v>1</v>
      </c>
      <c r="E1745">
        <v>1</v>
      </c>
      <c r="F1745">
        <v>0</v>
      </c>
      <c r="G1745">
        <v>1</v>
      </c>
      <c r="H1745">
        <v>450</v>
      </c>
      <c r="I1745">
        <f t="shared" si="262"/>
        <v>1737</v>
      </c>
      <c r="J1745" s="6">
        <f t="array" aca="1" ref="J1745:N1745" ca="1">TRANSPOSE(ols(OFFSET($C$2:$C$10,I1745,0),OFFSET($D$2:$H$10,I1745,0)))</f>
        <v>9.642857142856883</v>
      </c>
      <c r="K1745" s="6">
        <f ca="1"/>
        <v>-3.2142857142856656</v>
      </c>
      <c r="L1745" s="6">
        <f ca="1"/>
        <v>2.1428571428571104</v>
      </c>
      <c r="M1745" s="6">
        <f ca="1"/>
        <v>16.428571428571445</v>
      </c>
      <c r="N1745" s="6">
        <f ca="1"/>
        <v>-2.1428571428571352E-2</v>
      </c>
      <c r="O1745" s="6">
        <f t="shared" ca="1" si="254"/>
        <v>13.214285714285554</v>
      </c>
      <c r="P1745" t="str">
        <f t="shared" si="255"/>
        <v>NA</v>
      </c>
      <c r="Q1745" s="10">
        <f t="shared" ca="1" si="256"/>
        <v>20.714285714285467</v>
      </c>
      <c r="R1745" s="10">
        <f t="shared" ca="1" si="257"/>
        <v>22.857142857142662</v>
      </c>
      <c r="S1745" s="10">
        <f t="shared" ca="1" si="258"/>
        <v>-2.1428571428571956</v>
      </c>
      <c r="T1745" s="10">
        <f t="shared" ca="1" si="259"/>
        <v>100.00000000000281</v>
      </c>
      <c r="U1745" s="10" t="str">
        <f t="shared" ca="1" si="260"/>
        <v>OR</v>
      </c>
      <c r="V1745">
        <f t="shared" si="261"/>
        <v>5</v>
      </c>
    </row>
    <row r="1746" spans="1:22" x14ac:dyDescent="0.25">
      <c r="A1746">
        <v>194</v>
      </c>
      <c r="B1746">
        <v>8</v>
      </c>
      <c r="C1746">
        <v>10</v>
      </c>
      <c r="D1746">
        <v>1</v>
      </c>
      <c r="E1746">
        <v>1</v>
      </c>
      <c r="F1746">
        <v>0</v>
      </c>
      <c r="G1746">
        <v>1</v>
      </c>
      <c r="H1746">
        <v>550</v>
      </c>
      <c r="I1746">
        <f t="shared" si="262"/>
        <v>1737</v>
      </c>
      <c r="J1746" s="6">
        <f t="array" aca="1" ref="J1746:N1746" ca="1">TRANSPOSE(ols(OFFSET($C$2:$C$10,I1746,0),OFFSET($D$2:$H$10,I1746,0)))</f>
        <v>9.642857142856883</v>
      </c>
      <c r="K1746" s="6">
        <f ca="1"/>
        <v>-3.2142857142856656</v>
      </c>
      <c r="L1746" s="6">
        <f ca="1"/>
        <v>2.1428571428571104</v>
      </c>
      <c r="M1746" s="6">
        <f ca="1"/>
        <v>16.428571428571445</v>
      </c>
      <c r="N1746" s="6">
        <f ca="1"/>
        <v>-2.1428571428571352E-2</v>
      </c>
      <c r="O1746" s="6">
        <f t="shared" ca="1" si="254"/>
        <v>11.071428571428418</v>
      </c>
      <c r="P1746" t="str">
        <f t="shared" si="255"/>
        <v>NA</v>
      </c>
      <c r="Q1746" s="10">
        <f t="shared" ca="1" si="256"/>
        <v>20.714285714285467</v>
      </c>
      <c r="R1746" s="10">
        <f t="shared" ca="1" si="257"/>
        <v>22.857142857142662</v>
      </c>
      <c r="S1746" s="10">
        <f t="shared" ca="1" si="258"/>
        <v>-2.1428571428571956</v>
      </c>
      <c r="T1746" s="10">
        <f t="shared" ca="1" si="259"/>
        <v>100.00000000000281</v>
      </c>
      <c r="U1746" s="10" t="str">
        <f t="shared" ca="1" si="260"/>
        <v>OR</v>
      </c>
      <c r="V1746">
        <f t="shared" si="261"/>
        <v>5</v>
      </c>
    </row>
    <row r="1747" spans="1:22" x14ac:dyDescent="0.25">
      <c r="A1747">
        <v>194</v>
      </c>
      <c r="B1747">
        <v>9</v>
      </c>
      <c r="C1747">
        <v>10</v>
      </c>
      <c r="D1747">
        <v>1</v>
      </c>
      <c r="E1747">
        <v>0</v>
      </c>
      <c r="F1747">
        <v>0</v>
      </c>
      <c r="G1747">
        <v>1</v>
      </c>
      <c r="H1747">
        <v>650</v>
      </c>
      <c r="I1747">
        <f t="shared" si="262"/>
        <v>1737</v>
      </c>
      <c r="J1747" s="6">
        <f t="array" aca="1" ref="J1747:N1747" ca="1">TRANSPOSE(ols(OFFSET($C$2:$C$10,I1747,0),OFFSET($D$2:$H$10,I1747,0)))</f>
        <v>9.642857142856883</v>
      </c>
      <c r="K1747" s="6">
        <f ca="1"/>
        <v>-3.2142857142856656</v>
      </c>
      <c r="L1747" s="6">
        <f ca="1"/>
        <v>2.1428571428571104</v>
      </c>
      <c r="M1747" s="6">
        <f ca="1"/>
        <v>16.428571428571445</v>
      </c>
      <c r="N1747" s="6">
        <f ca="1"/>
        <v>-2.1428571428571352E-2</v>
      </c>
      <c r="O1747" s="6">
        <f t="shared" ca="1" si="254"/>
        <v>12.142857142856949</v>
      </c>
      <c r="P1747" t="str">
        <f t="shared" si="255"/>
        <v>NA</v>
      </c>
      <c r="Q1747" s="10">
        <f t="shared" ca="1" si="256"/>
        <v>20.714285714285467</v>
      </c>
      <c r="R1747" s="10">
        <f t="shared" ca="1" si="257"/>
        <v>26.071428571428328</v>
      </c>
      <c r="S1747" s="10">
        <f t="shared" ca="1" si="258"/>
        <v>-5.3571428571428612</v>
      </c>
      <c r="T1747" s="10">
        <f t="shared" ca="1" si="259"/>
        <v>250.00000000000108</v>
      </c>
      <c r="U1747" s="10">
        <f t="shared" ca="1" si="260"/>
        <v>250.00000000000108</v>
      </c>
      <c r="V1747">
        <f t="shared" si="261"/>
        <v>4</v>
      </c>
    </row>
    <row r="1748" spans="1:22" x14ac:dyDescent="0.25">
      <c r="A1748">
        <v>195</v>
      </c>
      <c r="B1748">
        <v>1</v>
      </c>
      <c r="C1748">
        <v>0</v>
      </c>
      <c r="D1748">
        <v>1</v>
      </c>
      <c r="E1748">
        <v>0</v>
      </c>
      <c r="F1748">
        <v>1</v>
      </c>
      <c r="G1748">
        <v>0</v>
      </c>
      <c r="H1748">
        <v>250</v>
      </c>
      <c r="I1748">
        <f t="shared" si="262"/>
        <v>1746</v>
      </c>
      <c r="J1748" s="6">
        <f t="array" aca="1" ref="J1748:N1748" ca="1">TRANSPOSE(ols(OFFSET($C$2:$C$10,I1748,0),OFFSET($D$2:$H$10,I1748,0)))</f>
        <v>81.124999999998408</v>
      </c>
      <c r="K1748" s="6">
        <f ca="1"/>
        <v>-17.249999999999602</v>
      </c>
      <c r="L1748" s="6">
        <f ca="1"/>
        <v>-37.999999999999204</v>
      </c>
      <c r="M1748" s="6">
        <f ca="1"/>
        <v>32.249999999999915</v>
      </c>
      <c r="N1748" s="6">
        <f ca="1"/>
        <v>-0.15749999999999797</v>
      </c>
      <c r="O1748" s="6">
        <f t="shared" ca="1" si="254"/>
        <v>3.7499999999997087</v>
      </c>
      <c r="P1748" t="str">
        <f t="shared" si="255"/>
        <v>NA</v>
      </c>
      <c r="Q1748" s="10">
        <f t="shared" ca="1" si="256"/>
        <v>20.249999999999829</v>
      </c>
      <c r="R1748" s="10">
        <f t="shared" ca="1" si="257"/>
        <v>43.124999999999204</v>
      </c>
      <c r="S1748" s="10">
        <f t="shared" ca="1" si="258"/>
        <v>-22.874999999999375</v>
      </c>
      <c r="T1748" s="10">
        <f t="shared" ca="1" si="259"/>
        <v>145.23809523809314</v>
      </c>
      <c r="U1748" s="10" t="str">
        <f t="shared" ca="1" si="260"/>
        <v>OR</v>
      </c>
      <c r="V1748">
        <f t="shared" si="261"/>
        <v>3</v>
      </c>
    </row>
    <row r="1749" spans="1:22" x14ac:dyDescent="0.25">
      <c r="A1749">
        <v>195</v>
      </c>
      <c r="B1749">
        <v>2</v>
      </c>
      <c r="C1749">
        <v>0</v>
      </c>
      <c r="D1749">
        <v>1</v>
      </c>
      <c r="E1749">
        <v>1</v>
      </c>
      <c r="F1749">
        <v>0</v>
      </c>
      <c r="G1749">
        <v>0</v>
      </c>
      <c r="H1749">
        <v>350</v>
      </c>
      <c r="I1749">
        <f t="shared" si="262"/>
        <v>1746</v>
      </c>
      <c r="J1749" s="6">
        <f t="array" aca="1" ref="J1749:N1749" ca="1">TRANSPOSE(ols(OFFSET($C$2:$C$10,I1749,0),OFFSET($D$2:$H$10,I1749,0)))</f>
        <v>81.124999999998408</v>
      </c>
      <c r="K1749" s="6">
        <f ca="1"/>
        <v>-17.249999999999602</v>
      </c>
      <c r="L1749" s="6">
        <f ca="1"/>
        <v>-37.999999999999204</v>
      </c>
      <c r="M1749" s="6">
        <f ca="1"/>
        <v>32.249999999999915</v>
      </c>
      <c r="N1749" s="6">
        <f ca="1"/>
        <v>-0.15749999999999797</v>
      </c>
      <c r="O1749" s="6">
        <f t="shared" ca="1" si="254"/>
        <v>8.7499999999995168</v>
      </c>
      <c r="P1749" t="str">
        <f t="shared" si="255"/>
        <v>NA</v>
      </c>
      <c r="Q1749" s="10">
        <f t="shared" ca="1" si="256"/>
        <v>20.249999999999829</v>
      </c>
      <c r="R1749" s="10">
        <f t="shared" ca="1" si="257"/>
        <v>63.874999999998806</v>
      </c>
      <c r="S1749" s="10">
        <f t="shared" ca="1" si="258"/>
        <v>-43.624999999998977</v>
      </c>
      <c r="T1749" s="10">
        <f t="shared" ca="1" si="259"/>
        <v>276.98412698412403</v>
      </c>
      <c r="U1749" s="10">
        <f t="shared" ca="1" si="260"/>
        <v>276.98412698412403</v>
      </c>
      <c r="V1749">
        <f t="shared" si="261"/>
        <v>2</v>
      </c>
    </row>
    <row r="1750" spans="1:22" x14ac:dyDescent="0.25">
      <c r="A1750">
        <v>195</v>
      </c>
      <c r="B1750">
        <v>3</v>
      </c>
      <c r="C1750">
        <v>0</v>
      </c>
      <c r="D1750">
        <v>1</v>
      </c>
      <c r="E1750">
        <v>1</v>
      </c>
      <c r="F1750">
        <v>0</v>
      </c>
      <c r="G1750">
        <v>0</v>
      </c>
      <c r="H1750">
        <v>450</v>
      </c>
      <c r="I1750">
        <f t="shared" si="262"/>
        <v>1746</v>
      </c>
      <c r="J1750" s="6">
        <f t="array" aca="1" ref="J1750:N1750" ca="1">TRANSPOSE(ols(OFFSET($C$2:$C$10,I1750,0),OFFSET($D$2:$H$10,I1750,0)))</f>
        <v>81.124999999998408</v>
      </c>
      <c r="K1750" s="6">
        <f ca="1"/>
        <v>-17.249999999999602</v>
      </c>
      <c r="L1750" s="6">
        <f ca="1"/>
        <v>-37.999999999999204</v>
      </c>
      <c r="M1750" s="6">
        <f ca="1"/>
        <v>32.249999999999915</v>
      </c>
      <c r="N1750" s="6">
        <f ca="1"/>
        <v>-0.15749999999999797</v>
      </c>
      <c r="O1750" s="6">
        <f t="shared" ca="1" si="254"/>
        <v>-7.0000000000002842</v>
      </c>
      <c r="P1750" t="str">
        <f t="shared" si="255"/>
        <v>NA</v>
      </c>
      <c r="Q1750" s="10">
        <f t="shared" ca="1" si="256"/>
        <v>20.249999999999829</v>
      </c>
      <c r="R1750" s="10">
        <f t="shared" ca="1" si="257"/>
        <v>63.874999999998806</v>
      </c>
      <c r="S1750" s="10">
        <f t="shared" ca="1" si="258"/>
        <v>-43.624999999998977</v>
      </c>
      <c r="T1750" s="10">
        <f t="shared" ca="1" si="259"/>
        <v>276.98412698412403</v>
      </c>
      <c r="U1750" s="10">
        <f t="shared" ca="1" si="260"/>
        <v>276.98412698412403</v>
      </c>
      <c r="V1750">
        <f t="shared" si="261"/>
        <v>2</v>
      </c>
    </row>
    <row r="1751" spans="1:22" x14ac:dyDescent="0.25">
      <c r="A1751">
        <v>195</v>
      </c>
      <c r="B1751">
        <v>4</v>
      </c>
      <c r="C1751">
        <v>0</v>
      </c>
      <c r="D1751">
        <v>1</v>
      </c>
      <c r="E1751">
        <v>0</v>
      </c>
      <c r="F1751">
        <v>0</v>
      </c>
      <c r="G1751">
        <v>0</v>
      </c>
      <c r="H1751">
        <v>550</v>
      </c>
      <c r="I1751">
        <f t="shared" si="262"/>
        <v>1746</v>
      </c>
      <c r="J1751" s="6">
        <f t="array" aca="1" ref="J1751:N1751" ca="1">TRANSPOSE(ols(OFFSET($C$2:$C$10,I1751,0),OFFSET($D$2:$H$10,I1751,0)))</f>
        <v>81.124999999998408</v>
      </c>
      <c r="K1751" s="6">
        <f ca="1"/>
        <v>-17.249999999999602</v>
      </c>
      <c r="L1751" s="6">
        <f ca="1"/>
        <v>-37.999999999999204</v>
      </c>
      <c r="M1751" s="6">
        <f ca="1"/>
        <v>32.249999999999915</v>
      </c>
      <c r="N1751" s="6">
        <f ca="1"/>
        <v>-0.15749999999999797</v>
      </c>
      <c r="O1751" s="6">
        <f t="shared" ca="1" si="254"/>
        <v>-5.5000000000004832</v>
      </c>
      <c r="P1751" t="str">
        <f t="shared" si="255"/>
        <v>NA</v>
      </c>
      <c r="Q1751" s="10">
        <f t="shared" ca="1" si="256"/>
        <v>20.249999999999829</v>
      </c>
      <c r="R1751" s="10">
        <f t="shared" ca="1" si="257"/>
        <v>81.124999999998408</v>
      </c>
      <c r="S1751" s="10">
        <f t="shared" ca="1" si="258"/>
        <v>-60.874999999998579</v>
      </c>
      <c r="T1751" s="10">
        <f t="shared" ca="1" si="259"/>
        <v>386.50793650793247</v>
      </c>
      <c r="U1751" s="10">
        <f t="shared" ca="1" si="260"/>
        <v>386.50793650793247</v>
      </c>
      <c r="V1751">
        <f t="shared" si="261"/>
        <v>1</v>
      </c>
    </row>
    <row r="1752" spans="1:22" x14ac:dyDescent="0.25">
      <c r="A1752">
        <v>195</v>
      </c>
      <c r="B1752">
        <v>5</v>
      </c>
      <c r="C1752">
        <v>50</v>
      </c>
      <c r="D1752">
        <v>1</v>
      </c>
      <c r="E1752">
        <v>0</v>
      </c>
      <c r="F1752">
        <v>1</v>
      </c>
      <c r="G1752">
        <v>1</v>
      </c>
      <c r="H1752">
        <v>250</v>
      </c>
      <c r="I1752">
        <f t="shared" si="262"/>
        <v>1746</v>
      </c>
      <c r="J1752" s="6">
        <f t="array" aca="1" ref="J1752:N1752" ca="1">TRANSPOSE(ols(OFFSET($C$2:$C$10,I1752,0),OFFSET($D$2:$H$10,I1752,0)))</f>
        <v>81.124999999998408</v>
      </c>
      <c r="K1752" s="6">
        <f ca="1"/>
        <v>-17.249999999999602</v>
      </c>
      <c r="L1752" s="6">
        <f ca="1"/>
        <v>-37.999999999999204</v>
      </c>
      <c r="M1752" s="6">
        <f ca="1"/>
        <v>32.249999999999915</v>
      </c>
      <c r="N1752" s="6">
        <f ca="1"/>
        <v>-0.15749999999999797</v>
      </c>
      <c r="O1752" s="6">
        <f t="shared" ca="1" si="254"/>
        <v>35.999999999999623</v>
      </c>
      <c r="P1752" t="str">
        <f t="shared" si="255"/>
        <v>NA</v>
      </c>
      <c r="Q1752" s="10">
        <f t="shared" ca="1" si="256"/>
        <v>20.249999999999829</v>
      </c>
      <c r="R1752" s="10">
        <f t="shared" ca="1" si="257"/>
        <v>75.374999999999119</v>
      </c>
      <c r="S1752" s="10">
        <f t="shared" ca="1" si="258"/>
        <v>-55.124999999999289</v>
      </c>
      <c r="T1752" s="10">
        <f t="shared" ca="1" si="259"/>
        <v>350</v>
      </c>
      <c r="U1752" s="10">
        <f t="shared" ca="1" si="260"/>
        <v>350</v>
      </c>
      <c r="V1752">
        <f t="shared" si="261"/>
        <v>6</v>
      </c>
    </row>
    <row r="1753" spans="1:22" x14ac:dyDescent="0.25">
      <c r="A1753">
        <v>195</v>
      </c>
      <c r="B1753">
        <v>6</v>
      </c>
      <c r="C1753">
        <v>10</v>
      </c>
      <c r="D1753">
        <v>1</v>
      </c>
      <c r="E1753">
        <v>0</v>
      </c>
      <c r="F1753">
        <v>1</v>
      </c>
      <c r="G1753">
        <v>1</v>
      </c>
      <c r="H1753">
        <v>350</v>
      </c>
      <c r="I1753">
        <f t="shared" si="262"/>
        <v>1746</v>
      </c>
      <c r="J1753" s="6">
        <f t="array" aca="1" ref="J1753:N1753" ca="1">TRANSPOSE(ols(OFFSET($C$2:$C$10,I1753,0),OFFSET($D$2:$H$10,I1753,0)))</f>
        <v>81.124999999998408</v>
      </c>
      <c r="K1753" s="6">
        <f ca="1"/>
        <v>-17.249999999999602</v>
      </c>
      <c r="L1753" s="6">
        <f ca="1"/>
        <v>-37.999999999999204</v>
      </c>
      <c r="M1753" s="6">
        <f ca="1"/>
        <v>32.249999999999915</v>
      </c>
      <c r="N1753" s="6">
        <f ca="1"/>
        <v>-0.15749999999999797</v>
      </c>
      <c r="O1753" s="6">
        <f t="shared" ca="1" si="254"/>
        <v>20.249999999999829</v>
      </c>
      <c r="P1753">
        <f t="shared" ca="1" si="255"/>
        <v>20.249999999999829</v>
      </c>
      <c r="Q1753" s="10">
        <f t="shared" ca="1" si="256"/>
        <v>20.249999999999829</v>
      </c>
      <c r="R1753" s="10">
        <f t="shared" ca="1" si="257"/>
        <v>75.374999999999119</v>
      </c>
      <c r="S1753" s="10">
        <f t="shared" ca="1" si="258"/>
        <v>-55.124999999999289</v>
      </c>
      <c r="T1753" s="10">
        <f t="shared" ca="1" si="259"/>
        <v>350</v>
      </c>
      <c r="U1753" s="10">
        <f t="shared" ca="1" si="260"/>
        <v>350</v>
      </c>
      <c r="V1753">
        <f t="shared" si="261"/>
        <v>6</v>
      </c>
    </row>
    <row r="1754" spans="1:22" x14ac:dyDescent="0.25">
      <c r="A1754">
        <v>195</v>
      </c>
      <c r="B1754">
        <v>7</v>
      </c>
      <c r="C1754">
        <v>20</v>
      </c>
      <c r="D1754">
        <v>1</v>
      </c>
      <c r="E1754">
        <v>1</v>
      </c>
      <c r="F1754">
        <v>0</v>
      </c>
      <c r="G1754">
        <v>1</v>
      </c>
      <c r="H1754">
        <v>450</v>
      </c>
      <c r="I1754">
        <f t="shared" si="262"/>
        <v>1746</v>
      </c>
      <c r="J1754" s="6">
        <f t="array" aca="1" ref="J1754:N1754" ca="1">TRANSPOSE(ols(OFFSET($C$2:$C$10,I1754,0),OFFSET($D$2:$H$10,I1754,0)))</f>
        <v>81.124999999998408</v>
      </c>
      <c r="K1754" s="6">
        <f ca="1"/>
        <v>-17.249999999999602</v>
      </c>
      <c r="L1754" s="6">
        <f ca="1"/>
        <v>-37.999999999999204</v>
      </c>
      <c r="M1754" s="6">
        <f ca="1"/>
        <v>32.249999999999915</v>
      </c>
      <c r="N1754" s="6">
        <f ca="1"/>
        <v>-0.15749999999999797</v>
      </c>
      <c r="O1754" s="6">
        <f t="shared" ca="1" si="254"/>
        <v>25.249999999999631</v>
      </c>
      <c r="P1754" t="str">
        <f t="shared" si="255"/>
        <v>NA</v>
      </c>
      <c r="Q1754" s="10">
        <f t="shared" ca="1" si="256"/>
        <v>20.249999999999829</v>
      </c>
      <c r="R1754" s="10">
        <f t="shared" ca="1" si="257"/>
        <v>96.124999999998721</v>
      </c>
      <c r="S1754" s="10">
        <f t="shared" ca="1" si="258"/>
        <v>-75.874999999998892</v>
      </c>
      <c r="T1754" s="10">
        <f t="shared" ca="1" si="259"/>
        <v>481.74603174603089</v>
      </c>
      <c r="U1754" s="10">
        <f t="shared" ca="1" si="260"/>
        <v>481.74603174603089</v>
      </c>
      <c r="V1754">
        <f t="shared" si="261"/>
        <v>5</v>
      </c>
    </row>
    <row r="1755" spans="1:22" x14ac:dyDescent="0.25">
      <c r="A1755">
        <v>195</v>
      </c>
      <c r="B1755">
        <v>8</v>
      </c>
      <c r="C1755">
        <v>16.5</v>
      </c>
      <c r="D1755">
        <v>1</v>
      </c>
      <c r="E1755">
        <v>1</v>
      </c>
      <c r="F1755">
        <v>0</v>
      </c>
      <c r="G1755">
        <v>1</v>
      </c>
      <c r="H1755">
        <v>550</v>
      </c>
      <c r="I1755">
        <f t="shared" si="262"/>
        <v>1746</v>
      </c>
      <c r="J1755" s="6">
        <f t="array" aca="1" ref="J1755:N1755" ca="1">TRANSPOSE(ols(OFFSET($C$2:$C$10,I1755,0),OFFSET($D$2:$H$10,I1755,0)))</f>
        <v>81.124999999998408</v>
      </c>
      <c r="K1755" s="6">
        <f ca="1"/>
        <v>-17.249999999999602</v>
      </c>
      <c r="L1755" s="6">
        <f ca="1"/>
        <v>-37.999999999999204</v>
      </c>
      <c r="M1755" s="6">
        <f ca="1"/>
        <v>32.249999999999915</v>
      </c>
      <c r="N1755" s="6">
        <f ca="1"/>
        <v>-0.15749999999999797</v>
      </c>
      <c r="O1755" s="6">
        <f t="shared" ca="1" si="254"/>
        <v>9.4999999999998295</v>
      </c>
      <c r="P1755" t="str">
        <f t="shared" si="255"/>
        <v>NA</v>
      </c>
      <c r="Q1755" s="10">
        <f t="shared" ca="1" si="256"/>
        <v>20.249999999999829</v>
      </c>
      <c r="R1755" s="10">
        <f t="shared" ca="1" si="257"/>
        <v>96.124999999998721</v>
      </c>
      <c r="S1755" s="10">
        <f t="shared" ca="1" si="258"/>
        <v>-75.874999999998892</v>
      </c>
      <c r="T1755" s="10">
        <f t="shared" ca="1" si="259"/>
        <v>481.74603174603089</v>
      </c>
      <c r="U1755" s="10">
        <f t="shared" ca="1" si="260"/>
        <v>481.74603174603089</v>
      </c>
      <c r="V1755">
        <f t="shared" si="261"/>
        <v>5</v>
      </c>
    </row>
    <row r="1756" spans="1:22" x14ac:dyDescent="0.25">
      <c r="A1756">
        <v>195</v>
      </c>
      <c r="B1756">
        <v>9</v>
      </c>
      <c r="C1756">
        <v>5.5</v>
      </c>
      <c r="D1756">
        <v>1</v>
      </c>
      <c r="E1756">
        <v>0</v>
      </c>
      <c r="F1756">
        <v>0</v>
      </c>
      <c r="G1756">
        <v>1</v>
      </c>
      <c r="H1756">
        <v>650</v>
      </c>
      <c r="I1756">
        <f t="shared" si="262"/>
        <v>1746</v>
      </c>
      <c r="J1756" s="6">
        <f t="array" aca="1" ref="J1756:N1756" ca="1">TRANSPOSE(ols(OFFSET($C$2:$C$10,I1756,0),OFFSET($D$2:$H$10,I1756,0)))</f>
        <v>81.124999999998408</v>
      </c>
      <c r="K1756" s="6">
        <f ca="1"/>
        <v>-17.249999999999602</v>
      </c>
      <c r="L1756" s="6">
        <f ca="1"/>
        <v>-37.999999999999204</v>
      </c>
      <c r="M1756" s="6">
        <f ca="1"/>
        <v>32.249999999999915</v>
      </c>
      <c r="N1756" s="6">
        <f ca="1"/>
        <v>-0.15749999999999797</v>
      </c>
      <c r="O1756" s="6">
        <f t="shared" ca="1" si="254"/>
        <v>10.999999999999645</v>
      </c>
      <c r="P1756" t="str">
        <f t="shared" si="255"/>
        <v>NA</v>
      </c>
      <c r="Q1756" s="10">
        <f t="shared" ca="1" si="256"/>
        <v>20.249999999999829</v>
      </c>
      <c r="R1756" s="10">
        <f t="shared" ca="1" si="257"/>
        <v>113.37499999999832</v>
      </c>
      <c r="S1756" s="10">
        <f t="shared" ca="1" si="258"/>
        <v>-93.124999999998494</v>
      </c>
      <c r="T1756" s="10">
        <f t="shared" ca="1" si="259"/>
        <v>591.26984126983928</v>
      </c>
      <c r="U1756" s="10">
        <f t="shared" ca="1" si="260"/>
        <v>591.26984126983928</v>
      </c>
      <c r="V1756">
        <f t="shared" si="261"/>
        <v>4</v>
      </c>
    </row>
    <row r="1757" spans="1:22" x14ac:dyDescent="0.25">
      <c r="A1757">
        <v>196</v>
      </c>
      <c r="B1757">
        <v>1</v>
      </c>
      <c r="C1757">
        <v>60</v>
      </c>
      <c r="D1757">
        <v>1</v>
      </c>
      <c r="E1757">
        <v>0</v>
      </c>
      <c r="F1757">
        <v>1</v>
      </c>
      <c r="G1757">
        <v>0</v>
      </c>
      <c r="H1757">
        <v>250</v>
      </c>
      <c r="I1757">
        <f t="shared" si="262"/>
        <v>1755</v>
      </c>
      <c r="J1757" s="6">
        <f t="array" aca="1" ref="J1757:N1757" ca="1">TRANSPOSE(ols(OFFSET($C$2:$C$10,I1757,0),OFFSET($D$2:$H$10,I1757,0)))</f>
        <v>60.773809523810087</v>
      </c>
      <c r="K1757" s="6">
        <f ca="1"/>
        <v>5.7142857142855519</v>
      </c>
      <c r="L1757" s="6">
        <f ca="1"/>
        <v>9.5238095238091773</v>
      </c>
      <c r="M1757" s="6">
        <f ca="1"/>
        <v>-2.261904761904475</v>
      </c>
      <c r="N1757" s="6">
        <f ca="1"/>
        <v>-3.6904761904763106E-2</v>
      </c>
      <c r="O1757" s="6">
        <f t="shared" ca="1" si="254"/>
        <v>61.071428571428484</v>
      </c>
      <c r="P1757" t="str">
        <f t="shared" si="255"/>
        <v>NA</v>
      </c>
      <c r="Q1757" s="10">
        <f t="shared" ca="1" si="256"/>
        <v>55.119047619047706</v>
      </c>
      <c r="R1757" s="10">
        <f t="shared" ca="1" si="257"/>
        <v>70.297619047619264</v>
      </c>
      <c r="S1757" s="10">
        <f t="shared" ca="1" si="258"/>
        <v>-15.178571428571558</v>
      </c>
      <c r="T1757" s="10">
        <f t="shared" ca="1" si="259"/>
        <v>411.29032258063529</v>
      </c>
      <c r="U1757" s="10">
        <f t="shared" ca="1" si="260"/>
        <v>411.29032258063529</v>
      </c>
      <c r="V1757">
        <f t="shared" si="261"/>
        <v>3</v>
      </c>
    </row>
    <row r="1758" spans="1:22" x14ac:dyDescent="0.25">
      <c r="A1758">
        <v>196</v>
      </c>
      <c r="B1758">
        <v>2</v>
      </c>
      <c r="C1758">
        <v>55</v>
      </c>
      <c r="D1758">
        <v>1</v>
      </c>
      <c r="E1758">
        <v>1</v>
      </c>
      <c r="F1758">
        <v>0</v>
      </c>
      <c r="G1758">
        <v>0</v>
      </c>
      <c r="H1758">
        <v>350</v>
      </c>
      <c r="I1758">
        <f t="shared" si="262"/>
        <v>1755</v>
      </c>
      <c r="J1758" s="6">
        <f t="array" aca="1" ref="J1758:N1758" ca="1">TRANSPOSE(ols(OFFSET($C$2:$C$10,I1758,0),OFFSET($D$2:$H$10,I1758,0)))</f>
        <v>60.773809523810087</v>
      </c>
      <c r="K1758" s="6">
        <f ca="1"/>
        <v>5.7142857142855519</v>
      </c>
      <c r="L1758" s="6">
        <f ca="1"/>
        <v>9.5238095238091773</v>
      </c>
      <c r="M1758" s="6">
        <f ca="1"/>
        <v>-2.261904761904475</v>
      </c>
      <c r="N1758" s="6">
        <f ca="1"/>
        <v>-3.6904761904763106E-2</v>
      </c>
      <c r="O1758" s="6">
        <f t="shared" ca="1" si="254"/>
        <v>53.571428571428555</v>
      </c>
      <c r="P1758" t="str">
        <f t="shared" si="255"/>
        <v>NA</v>
      </c>
      <c r="Q1758" s="10">
        <f t="shared" ca="1" si="256"/>
        <v>55.119047619047706</v>
      </c>
      <c r="R1758" s="10">
        <f t="shared" ca="1" si="257"/>
        <v>66.488095238095639</v>
      </c>
      <c r="S1758" s="10">
        <f t="shared" ca="1" si="258"/>
        <v>-11.369047619047933</v>
      </c>
      <c r="T1758" s="10">
        <f t="shared" ca="1" si="259"/>
        <v>308.06451612903072</v>
      </c>
      <c r="U1758" s="10">
        <f t="shared" ca="1" si="260"/>
        <v>308.06451612903072</v>
      </c>
      <c r="V1758">
        <f t="shared" si="261"/>
        <v>2</v>
      </c>
    </row>
    <row r="1759" spans="1:22" x14ac:dyDescent="0.25">
      <c r="A1759">
        <v>196</v>
      </c>
      <c r="B1759">
        <v>3</v>
      </c>
      <c r="C1759">
        <v>50</v>
      </c>
      <c r="D1759">
        <v>1</v>
      </c>
      <c r="E1759">
        <v>1</v>
      </c>
      <c r="F1759">
        <v>0</v>
      </c>
      <c r="G1759">
        <v>0</v>
      </c>
      <c r="H1759">
        <v>450</v>
      </c>
      <c r="I1759">
        <f t="shared" si="262"/>
        <v>1755</v>
      </c>
      <c r="J1759" s="6">
        <f t="array" aca="1" ref="J1759:N1759" ca="1">TRANSPOSE(ols(OFFSET($C$2:$C$10,I1759,0),OFFSET($D$2:$H$10,I1759,0)))</f>
        <v>60.773809523810087</v>
      </c>
      <c r="K1759" s="6">
        <f ca="1"/>
        <v>5.7142857142855519</v>
      </c>
      <c r="L1759" s="6">
        <f ca="1"/>
        <v>9.5238095238091773</v>
      </c>
      <c r="M1759" s="6">
        <f ca="1"/>
        <v>-2.261904761904475</v>
      </c>
      <c r="N1759" s="6">
        <f ca="1"/>
        <v>-3.6904761904763106E-2</v>
      </c>
      <c r="O1759" s="6">
        <f t="shared" ca="1" si="254"/>
        <v>49.880952380952237</v>
      </c>
      <c r="P1759" t="str">
        <f t="shared" si="255"/>
        <v>NA</v>
      </c>
      <c r="Q1759" s="10">
        <f t="shared" ca="1" si="256"/>
        <v>55.119047619047706</v>
      </c>
      <c r="R1759" s="10">
        <f t="shared" ca="1" si="257"/>
        <v>66.488095238095639</v>
      </c>
      <c r="S1759" s="10">
        <f t="shared" ca="1" si="258"/>
        <v>-11.369047619047933</v>
      </c>
      <c r="T1759" s="10">
        <f t="shared" ca="1" si="259"/>
        <v>308.06451612903072</v>
      </c>
      <c r="U1759" s="10">
        <f t="shared" ca="1" si="260"/>
        <v>308.06451612903072</v>
      </c>
      <c r="V1759">
        <f t="shared" si="261"/>
        <v>2</v>
      </c>
    </row>
    <row r="1760" spans="1:22" x14ac:dyDescent="0.25">
      <c r="A1760">
        <v>196</v>
      </c>
      <c r="B1760">
        <v>4</v>
      </c>
      <c r="C1760">
        <v>40</v>
      </c>
      <c r="D1760">
        <v>1</v>
      </c>
      <c r="E1760">
        <v>0</v>
      </c>
      <c r="F1760">
        <v>0</v>
      </c>
      <c r="G1760">
        <v>0</v>
      </c>
      <c r="H1760">
        <v>550</v>
      </c>
      <c r="I1760">
        <f t="shared" si="262"/>
        <v>1755</v>
      </c>
      <c r="J1760" s="6">
        <f t="array" aca="1" ref="J1760:N1760" ca="1">TRANSPOSE(ols(OFFSET($C$2:$C$10,I1760,0),OFFSET($D$2:$H$10,I1760,0)))</f>
        <v>60.773809523810087</v>
      </c>
      <c r="K1760" s="6">
        <f ca="1"/>
        <v>5.7142857142855519</v>
      </c>
      <c r="L1760" s="6">
        <f ca="1"/>
        <v>9.5238095238091773</v>
      </c>
      <c r="M1760" s="6">
        <f ca="1"/>
        <v>-2.261904761904475</v>
      </c>
      <c r="N1760" s="6">
        <f ca="1"/>
        <v>-3.6904761904763106E-2</v>
      </c>
      <c r="O1760" s="6">
        <f t="shared" ca="1" si="254"/>
        <v>40.476190476190382</v>
      </c>
      <c r="P1760" t="str">
        <f t="shared" si="255"/>
        <v>NA</v>
      </c>
      <c r="Q1760" s="10">
        <f t="shared" ca="1" si="256"/>
        <v>55.119047619047706</v>
      </c>
      <c r="R1760" s="10">
        <f t="shared" ca="1" si="257"/>
        <v>60.773809523810087</v>
      </c>
      <c r="S1760" s="10">
        <f t="shared" ca="1" si="258"/>
        <v>-5.6547619047623812</v>
      </c>
      <c r="T1760" s="10">
        <f t="shared" ca="1" si="259"/>
        <v>153.22580645162083</v>
      </c>
      <c r="U1760" s="10" t="str">
        <f t="shared" ca="1" si="260"/>
        <v>OR</v>
      </c>
      <c r="V1760">
        <f t="shared" si="261"/>
        <v>1</v>
      </c>
    </row>
    <row r="1761" spans="1:22" x14ac:dyDescent="0.25">
      <c r="A1761">
        <v>196</v>
      </c>
      <c r="B1761">
        <v>5</v>
      </c>
      <c r="C1761">
        <v>60</v>
      </c>
      <c r="D1761">
        <v>1</v>
      </c>
      <c r="E1761">
        <v>0</v>
      </c>
      <c r="F1761">
        <v>1</v>
      </c>
      <c r="G1761">
        <v>1</v>
      </c>
      <c r="H1761">
        <v>250</v>
      </c>
      <c r="I1761">
        <f t="shared" si="262"/>
        <v>1755</v>
      </c>
      <c r="J1761" s="6">
        <f t="array" aca="1" ref="J1761:N1761" ca="1">TRANSPOSE(ols(OFFSET($C$2:$C$10,I1761,0),OFFSET($D$2:$H$10,I1761,0)))</f>
        <v>60.773809523810087</v>
      </c>
      <c r="K1761" s="6">
        <f ca="1"/>
        <v>5.7142857142855519</v>
      </c>
      <c r="L1761" s="6">
        <f ca="1"/>
        <v>9.5238095238091773</v>
      </c>
      <c r="M1761" s="6">
        <f ca="1"/>
        <v>-2.261904761904475</v>
      </c>
      <c r="N1761" s="6">
        <f ca="1"/>
        <v>-3.6904761904763106E-2</v>
      </c>
      <c r="O1761" s="6">
        <f t="shared" ca="1" si="254"/>
        <v>58.809523809524009</v>
      </c>
      <c r="P1761" t="str">
        <f t="shared" si="255"/>
        <v>NA</v>
      </c>
      <c r="Q1761" s="10">
        <f t="shared" ca="1" si="256"/>
        <v>55.119047619047706</v>
      </c>
      <c r="R1761" s="10">
        <f t="shared" ca="1" si="257"/>
        <v>68.035714285714789</v>
      </c>
      <c r="S1761" s="10">
        <f t="shared" ca="1" si="258"/>
        <v>-12.916666666667084</v>
      </c>
      <c r="T1761" s="10">
        <f t="shared" ca="1" si="259"/>
        <v>349.99999999999989</v>
      </c>
      <c r="U1761" s="10">
        <f t="shared" ca="1" si="260"/>
        <v>349.99999999999989</v>
      </c>
      <c r="V1761">
        <f t="shared" si="261"/>
        <v>6</v>
      </c>
    </row>
    <row r="1762" spans="1:22" x14ac:dyDescent="0.25">
      <c r="A1762">
        <v>196</v>
      </c>
      <c r="B1762">
        <v>6</v>
      </c>
      <c r="C1762">
        <v>55</v>
      </c>
      <c r="D1762">
        <v>1</v>
      </c>
      <c r="E1762">
        <v>0</v>
      </c>
      <c r="F1762">
        <v>1</v>
      </c>
      <c r="G1762">
        <v>1</v>
      </c>
      <c r="H1762">
        <v>350</v>
      </c>
      <c r="I1762">
        <f t="shared" si="262"/>
        <v>1755</v>
      </c>
      <c r="J1762" s="6">
        <f t="array" aca="1" ref="J1762:N1762" ca="1">TRANSPOSE(ols(OFFSET($C$2:$C$10,I1762,0),OFFSET($D$2:$H$10,I1762,0)))</f>
        <v>60.773809523810087</v>
      </c>
      <c r="K1762" s="6">
        <f ca="1"/>
        <v>5.7142857142855519</v>
      </c>
      <c r="L1762" s="6">
        <f ca="1"/>
        <v>9.5238095238091773</v>
      </c>
      <c r="M1762" s="6">
        <f ca="1"/>
        <v>-2.261904761904475</v>
      </c>
      <c r="N1762" s="6">
        <f ca="1"/>
        <v>-3.6904761904763106E-2</v>
      </c>
      <c r="O1762" s="6">
        <f t="shared" ca="1" si="254"/>
        <v>55.119047619047706</v>
      </c>
      <c r="P1762">
        <f t="shared" ca="1" si="255"/>
        <v>55.119047619047706</v>
      </c>
      <c r="Q1762" s="10">
        <f t="shared" ca="1" si="256"/>
        <v>55.119047619047706</v>
      </c>
      <c r="R1762" s="10">
        <f t="shared" ca="1" si="257"/>
        <v>68.035714285714789</v>
      </c>
      <c r="S1762" s="10">
        <f t="shared" ca="1" si="258"/>
        <v>-12.916666666667084</v>
      </c>
      <c r="T1762" s="10">
        <f t="shared" ca="1" si="259"/>
        <v>349.99999999999989</v>
      </c>
      <c r="U1762" s="10">
        <f t="shared" ca="1" si="260"/>
        <v>349.99999999999989</v>
      </c>
      <c r="V1762">
        <f t="shared" si="261"/>
        <v>6</v>
      </c>
    </row>
    <row r="1763" spans="1:22" x14ac:dyDescent="0.25">
      <c r="A1763">
        <v>196</v>
      </c>
      <c r="B1763">
        <v>7</v>
      </c>
      <c r="C1763">
        <v>45</v>
      </c>
      <c r="D1763">
        <v>1</v>
      </c>
      <c r="E1763">
        <v>1</v>
      </c>
      <c r="F1763">
        <v>0</v>
      </c>
      <c r="G1763">
        <v>1</v>
      </c>
      <c r="H1763">
        <v>450</v>
      </c>
      <c r="I1763">
        <f t="shared" si="262"/>
        <v>1755</v>
      </c>
      <c r="J1763" s="6">
        <f t="array" aca="1" ref="J1763:N1763" ca="1">TRANSPOSE(ols(OFFSET($C$2:$C$10,I1763,0),OFFSET($D$2:$H$10,I1763,0)))</f>
        <v>60.773809523810087</v>
      </c>
      <c r="K1763" s="6">
        <f ca="1"/>
        <v>5.7142857142855519</v>
      </c>
      <c r="L1763" s="6">
        <f ca="1"/>
        <v>9.5238095238091773</v>
      </c>
      <c r="M1763" s="6">
        <f ca="1"/>
        <v>-2.261904761904475</v>
      </c>
      <c r="N1763" s="6">
        <f ca="1"/>
        <v>-3.6904761904763106E-2</v>
      </c>
      <c r="O1763" s="6">
        <f t="shared" ca="1" si="254"/>
        <v>47.619047619047763</v>
      </c>
      <c r="P1763" t="str">
        <f t="shared" si="255"/>
        <v>NA</v>
      </c>
      <c r="Q1763" s="10">
        <f t="shared" ca="1" si="256"/>
        <v>55.119047619047706</v>
      </c>
      <c r="R1763" s="10">
        <f t="shared" ca="1" si="257"/>
        <v>64.226190476191164</v>
      </c>
      <c r="S1763" s="10">
        <f t="shared" ca="1" si="258"/>
        <v>-9.1071428571434581</v>
      </c>
      <c r="T1763" s="10">
        <f t="shared" ca="1" si="259"/>
        <v>246.77419354839535</v>
      </c>
      <c r="U1763" s="10" t="str">
        <f t="shared" ca="1" si="260"/>
        <v>OR</v>
      </c>
      <c r="V1763">
        <f t="shared" si="261"/>
        <v>5</v>
      </c>
    </row>
    <row r="1764" spans="1:22" x14ac:dyDescent="0.25">
      <c r="A1764">
        <v>196</v>
      </c>
      <c r="B1764">
        <v>8</v>
      </c>
      <c r="C1764">
        <v>45</v>
      </c>
      <c r="D1764">
        <v>1</v>
      </c>
      <c r="E1764">
        <v>1</v>
      </c>
      <c r="F1764">
        <v>0</v>
      </c>
      <c r="G1764">
        <v>1</v>
      </c>
      <c r="H1764">
        <v>550</v>
      </c>
      <c r="I1764">
        <f t="shared" si="262"/>
        <v>1755</v>
      </c>
      <c r="J1764" s="6">
        <f t="array" aca="1" ref="J1764:N1764" ca="1">TRANSPOSE(ols(OFFSET($C$2:$C$10,I1764,0),OFFSET($D$2:$H$10,I1764,0)))</f>
        <v>60.773809523810087</v>
      </c>
      <c r="K1764" s="6">
        <f ca="1"/>
        <v>5.7142857142855519</v>
      </c>
      <c r="L1764" s="6">
        <f ca="1"/>
        <v>9.5238095238091773</v>
      </c>
      <c r="M1764" s="6">
        <f ca="1"/>
        <v>-2.261904761904475</v>
      </c>
      <c r="N1764" s="6">
        <f ca="1"/>
        <v>-3.6904761904763106E-2</v>
      </c>
      <c r="O1764" s="6">
        <f t="shared" ca="1" si="254"/>
        <v>43.928571428571459</v>
      </c>
      <c r="P1764" t="str">
        <f t="shared" si="255"/>
        <v>NA</v>
      </c>
      <c r="Q1764" s="10">
        <f t="shared" ca="1" si="256"/>
        <v>55.119047619047706</v>
      </c>
      <c r="R1764" s="10">
        <f t="shared" ca="1" si="257"/>
        <v>64.226190476191164</v>
      </c>
      <c r="S1764" s="10">
        <f t="shared" ca="1" si="258"/>
        <v>-9.1071428571434581</v>
      </c>
      <c r="T1764" s="10">
        <f t="shared" ca="1" si="259"/>
        <v>246.77419354839535</v>
      </c>
      <c r="U1764" s="10" t="str">
        <f t="shared" ca="1" si="260"/>
        <v>OR</v>
      </c>
      <c r="V1764">
        <f t="shared" si="261"/>
        <v>5</v>
      </c>
    </row>
    <row r="1765" spans="1:22" x14ac:dyDescent="0.25">
      <c r="A1765">
        <v>196</v>
      </c>
      <c r="B1765">
        <v>9</v>
      </c>
      <c r="C1765">
        <v>35</v>
      </c>
      <c r="D1765">
        <v>1</v>
      </c>
      <c r="E1765">
        <v>0</v>
      </c>
      <c r="F1765">
        <v>0</v>
      </c>
      <c r="G1765">
        <v>1</v>
      </c>
      <c r="H1765">
        <v>650</v>
      </c>
      <c r="I1765">
        <f t="shared" si="262"/>
        <v>1755</v>
      </c>
      <c r="J1765" s="6">
        <f t="array" aca="1" ref="J1765:N1765" ca="1">TRANSPOSE(ols(OFFSET($C$2:$C$10,I1765,0),OFFSET($D$2:$H$10,I1765,0)))</f>
        <v>60.773809523810087</v>
      </c>
      <c r="K1765" s="6">
        <f ca="1"/>
        <v>5.7142857142855519</v>
      </c>
      <c r="L1765" s="6">
        <f ca="1"/>
        <v>9.5238095238091773</v>
      </c>
      <c r="M1765" s="6">
        <f ca="1"/>
        <v>-2.261904761904475</v>
      </c>
      <c r="N1765" s="6">
        <f ca="1"/>
        <v>-3.6904761904763106E-2</v>
      </c>
      <c r="O1765" s="6">
        <f t="shared" ca="1" si="254"/>
        <v>34.523809523809589</v>
      </c>
      <c r="P1765" t="str">
        <f t="shared" si="255"/>
        <v>NA</v>
      </c>
      <c r="Q1765" s="10">
        <f t="shared" ca="1" si="256"/>
        <v>55.119047619047706</v>
      </c>
      <c r="R1765" s="10">
        <f t="shared" ca="1" si="257"/>
        <v>58.511904761905612</v>
      </c>
      <c r="S1765" s="10">
        <f t="shared" ca="1" si="258"/>
        <v>-3.3928571428579062</v>
      </c>
      <c r="T1765" s="10">
        <f t="shared" ca="1" si="259"/>
        <v>91.935483870985436</v>
      </c>
      <c r="U1765" s="10" t="str">
        <f t="shared" ca="1" si="260"/>
        <v>OR</v>
      </c>
      <c r="V1765">
        <f t="shared" si="261"/>
        <v>4</v>
      </c>
    </row>
    <row r="1766" spans="1:22" x14ac:dyDescent="0.25">
      <c r="A1766">
        <v>197</v>
      </c>
      <c r="B1766">
        <v>1</v>
      </c>
      <c r="C1766">
        <v>90</v>
      </c>
      <c r="D1766">
        <v>1</v>
      </c>
      <c r="E1766">
        <v>0</v>
      </c>
      <c r="F1766">
        <v>1</v>
      </c>
      <c r="G1766">
        <v>0</v>
      </c>
      <c r="H1766">
        <v>250</v>
      </c>
      <c r="I1766">
        <f t="shared" si="262"/>
        <v>1764</v>
      </c>
      <c r="J1766" s="6">
        <f t="array" aca="1" ref="J1766:N1766" ca="1">TRANSPOSE(ols(OFFSET($C$2:$C$10,I1766,0),OFFSET($D$2:$H$10,I1766,0)))</f>
        <v>129.99999999999818</v>
      </c>
      <c r="K1766" s="6">
        <f ca="1"/>
        <v>2.5</v>
      </c>
      <c r="L1766" s="6">
        <f ca="1"/>
        <v>-2.5</v>
      </c>
      <c r="M1766" s="6">
        <f ca="1"/>
        <v>5.0000000000002274</v>
      </c>
      <c r="N1766" s="6">
        <f ca="1"/>
        <v>-0.15000000000000213</v>
      </c>
      <c r="O1766" s="6">
        <f t="shared" ca="1" si="254"/>
        <v>89.999999999997641</v>
      </c>
      <c r="P1766" t="str">
        <f t="shared" si="255"/>
        <v>NA</v>
      </c>
      <c r="Q1766" s="10">
        <f t="shared" ca="1" si="256"/>
        <v>79.999999999997669</v>
      </c>
      <c r="R1766" s="10">
        <f t="shared" ca="1" si="257"/>
        <v>127.49999999999818</v>
      </c>
      <c r="S1766" s="10">
        <f t="shared" ca="1" si="258"/>
        <v>-47.500000000000512</v>
      </c>
      <c r="T1766" s="10">
        <f t="shared" ca="1" si="259"/>
        <v>316.66666666666561</v>
      </c>
      <c r="U1766" s="10">
        <f t="shared" ca="1" si="260"/>
        <v>316.66666666666561</v>
      </c>
      <c r="V1766">
        <f t="shared" si="261"/>
        <v>3</v>
      </c>
    </row>
    <row r="1767" spans="1:22" x14ac:dyDescent="0.25">
      <c r="A1767">
        <v>197</v>
      </c>
      <c r="B1767">
        <v>2</v>
      </c>
      <c r="C1767">
        <v>82.5</v>
      </c>
      <c r="D1767">
        <v>1</v>
      </c>
      <c r="E1767">
        <v>1</v>
      </c>
      <c r="F1767">
        <v>0</v>
      </c>
      <c r="G1767">
        <v>0</v>
      </c>
      <c r="H1767">
        <v>350</v>
      </c>
      <c r="I1767">
        <f t="shared" si="262"/>
        <v>1764</v>
      </c>
      <c r="J1767" s="6">
        <f t="array" aca="1" ref="J1767:N1767" ca="1">TRANSPOSE(ols(OFFSET($C$2:$C$10,I1767,0),OFFSET($D$2:$H$10,I1767,0)))</f>
        <v>129.99999999999818</v>
      </c>
      <c r="K1767" s="6">
        <f ca="1"/>
        <v>2.5</v>
      </c>
      <c r="L1767" s="6">
        <f ca="1"/>
        <v>-2.5</v>
      </c>
      <c r="M1767" s="6">
        <f ca="1"/>
        <v>5.0000000000002274</v>
      </c>
      <c r="N1767" s="6">
        <f ca="1"/>
        <v>-0.15000000000000213</v>
      </c>
      <c r="O1767" s="6">
        <f t="shared" ca="1" si="254"/>
        <v>79.999999999997442</v>
      </c>
      <c r="P1767" t="str">
        <f t="shared" si="255"/>
        <v>NA</v>
      </c>
      <c r="Q1767" s="10">
        <f t="shared" ca="1" si="256"/>
        <v>79.999999999997669</v>
      </c>
      <c r="R1767" s="10">
        <f t="shared" ca="1" si="257"/>
        <v>132.49999999999818</v>
      </c>
      <c r="S1767" s="10">
        <f t="shared" ca="1" si="258"/>
        <v>-52.500000000000512</v>
      </c>
      <c r="T1767" s="10">
        <f t="shared" ca="1" si="259"/>
        <v>349.99999999999841</v>
      </c>
      <c r="U1767" s="10">
        <f t="shared" ca="1" si="260"/>
        <v>349.99999999999841</v>
      </c>
      <c r="V1767">
        <f t="shared" si="261"/>
        <v>2</v>
      </c>
    </row>
    <row r="1768" spans="1:22" x14ac:dyDescent="0.25">
      <c r="A1768">
        <v>197</v>
      </c>
      <c r="B1768">
        <v>3</v>
      </c>
      <c r="C1768">
        <v>62.5</v>
      </c>
      <c r="D1768">
        <v>1</v>
      </c>
      <c r="E1768">
        <v>1</v>
      </c>
      <c r="F1768">
        <v>0</v>
      </c>
      <c r="G1768">
        <v>0</v>
      </c>
      <c r="H1768">
        <v>450</v>
      </c>
      <c r="I1768">
        <f t="shared" si="262"/>
        <v>1764</v>
      </c>
      <c r="J1768" s="6">
        <f t="array" aca="1" ref="J1768:N1768" ca="1">TRANSPOSE(ols(OFFSET($C$2:$C$10,I1768,0),OFFSET($D$2:$H$10,I1768,0)))</f>
        <v>129.99999999999818</v>
      </c>
      <c r="K1768" s="6">
        <f ca="1"/>
        <v>2.5</v>
      </c>
      <c r="L1768" s="6">
        <f ca="1"/>
        <v>-2.5</v>
      </c>
      <c r="M1768" s="6">
        <f ca="1"/>
        <v>5.0000000000002274</v>
      </c>
      <c r="N1768" s="6">
        <f ca="1"/>
        <v>-0.15000000000000213</v>
      </c>
      <c r="O1768" s="6">
        <f t="shared" ca="1" si="254"/>
        <v>64.999999999997215</v>
      </c>
      <c r="P1768" t="str">
        <f t="shared" si="255"/>
        <v>NA</v>
      </c>
      <c r="Q1768" s="10">
        <f t="shared" ca="1" si="256"/>
        <v>79.999999999997669</v>
      </c>
      <c r="R1768" s="10">
        <f t="shared" ca="1" si="257"/>
        <v>132.49999999999818</v>
      </c>
      <c r="S1768" s="10">
        <f t="shared" ca="1" si="258"/>
        <v>-52.500000000000512</v>
      </c>
      <c r="T1768" s="10">
        <f t="shared" ca="1" si="259"/>
        <v>349.99999999999841</v>
      </c>
      <c r="U1768" s="10">
        <f t="shared" ca="1" si="260"/>
        <v>349.99999999999841</v>
      </c>
      <c r="V1768">
        <f t="shared" si="261"/>
        <v>2</v>
      </c>
    </row>
    <row r="1769" spans="1:22" x14ac:dyDescent="0.25">
      <c r="A1769">
        <v>197</v>
      </c>
      <c r="B1769">
        <v>4</v>
      </c>
      <c r="C1769">
        <v>47.5</v>
      </c>
      <c r="D1769">
        <v>1</v>
      </c>
      <c r="E1769">
        <v>0</v>
      </c>
      <c r="F1769">
        <v>0</v>
      </c>
      <c r="G1769">
        <v>0</v>
      </c>
      <c r="H1769">
        <v>550</v>
      </c>
      <c r="I1769">
        <f t="shared" si="262"/>
        <v>1764</v>
      </c>
      <c r="J1769" s="6">
        <f t="array" aca="1" ref="J1769:N1769" ca="1">TRANSPOSE(ols(OFFSET($C$2:$C$10,I1769,0),OFFSET($D$2:$H$10,I1769,0)))</f>
        <v>129.99999999999818</v>
      </c>
      <c r="K1769" s="6">
        <f ca="1"/>
        <v>2.5</v>
      </c>
      <c r="L1769" s="6">
        <f ca="1"/>
        <v>-2.5</v>
      </c>
      <c r="M1769" s="6">
        <f ca="1"/>
        <v>5.0000000000002274</v>
      </c>
      <c r="N1769" s="6">
        <f ca="1"/>
        <v>-0.15000000000000213</v>
      </c>
      <c r="O1769" s="6">
        <f t="shared" ca="1" si="254"/>
        <v>47.499999999997016</v>
      </c>
      <c r="P1769" t="str">
        <f t="shared" si="255"/>
        <v>NA</v>
      </c>
      <c r="Q1769" s="10">
        <f t="shared" ca="1" si="256"/>
        <v>79.999999999997669</v>
      </c>
      <c r="R1769" s="10">
        <f t="shared" ca="1" si="257"/>
        <v>129.99999999999818</v>
      </c>
      <c r="S1769" s="10">
        <f t="shared" ca="1" si="258"/>
        <v>-50.000000000000512</v>
      </c>
      <c r="T1769" s="10">
        <f t="shared" ca="1" si="259"/>
        <v>333.33333333333201</v>
      </c>
      <c r="U1769" s="10">
        <f t="shared" ca="1" si="260"/>
        <v>333.33333333333201</v>
      </c>
      <c r="V1769">
        <f t="shared" si="261"/>
        <v>1</v>
      </c>
    </row>
    <row r="1770" spans="1:22" x14ac:dyDescent="0.25">
      <c r="A1770">
        <v>197</v>
      </c>
      <c r="B1770">
        <v>5</v>
      </c>
      <c r="C1770">
        <v>92.5</v>
      </c>
      <c r="D1770">
        <v>1</v>
      </c>
      <c r="E1770">
        <v>0</v>
      </c>
      <c r="F1770">
        <v>1</v>
      </c>
      <c r="G1770">
        <v>1</v>
      </c>
      <c r="H1770">
        <v>250</v>
      </c>
      <c r="I1770">
        <f t="shared" si="262"/>
        <v>1764</v>
      </c>
      <c r="J1770" s="6">
        <f t="array" aca="1" ref="J1770:N1770" ca="1">TRANSPOSE(ols(OFFSET($C$2:$C$10,I1770,0),OFFSET($D$2:$H$10,I1770,0)))</f>
        <v>129.99999999999818</v>
      </c>
      <c r="K1770" s="6">
        <f ca="1"/>
        <v>2.5</v>
      </c>
      <c r="L1770" s="6">
        <f ca="1"/>
        <v>-2.5</v>
      </c>
      <c r="M1770" s="6">
        <f ca="1"/>
        <v>5.0000000000002274</v>
      </c>
      <c r="N1770" s="6">
        <f ca="1"/>
        <v>-0.15000000000000213</v>
      </c>
      <c r="O1770" s="6">
        <f t="shared" ca="1" si="254"/>
        <v>94.999999999997868</v>
      </c>
      <c r="P1770" t="str">
        <f t="shared" si="255"/>
        <v>NA</v>
      </c>
      <c r="Q1770" s="10">
        <f t="shared" ca="1" si="256"/>
        <v>79.999999999997669</v>
      </c>
      <c r="R1770" s="10">
        <f t="shared" ca="1" si="257"/>
        <v>132.49999999999841</v>
      </c>
      <c r="S1770" s="10">
        <f t="shared" ca="1" si="258"/>
        <v>-52.500000000000739</v>
      </c>
      <c r="T1770" s="10">
        <f t="shared" ca="1" si="259"/>
        <v>349.99999999999994</v>
      </c>
      <c r="U1770" s="10">
        <f t="shared" ca="1" si="260"/>
        <v>349.99999999999994</v>
      </c>
      <c r="V1770">
        <f t="shared" si="261"/>
        <v>6</v>
      </c>
    </row>
    <row r="1771" spans="1:22" x14ac:dyDescent="0.25">
      <c r="A1771">
        <v>197</v>
      </c>
      <c r="B1771">
        <v>6</v>
      </c>
      <c r="C1771">
        <v>82.5</v>
      </c>
      <c r="D1771">
        <v>1</v>
      </c>
      <c r="E1771">
        <v>0</v>
      </c>
      <c r="F1771">
        <v>1</v>
      </c>
      <c r="G1771">
        <v>1</v>
      </c>
      <c r="H1771">
        <v>350</v>
      </c>
      <c r="I1771">
        <f t="shared" si="262"/>
        <v>1764</v>
      </c>
      <c r="J1771" s="6">
        <f t="array" aca="1" ref="J1771:N1771" ca="1">TRANSPOSE(ols(OFFSET($C$2:$C$10,I1771,0),OFFSET($D$2:$H$10,I1771,0)))</f>
        <v>129.99999999999818</v>
      </c>
      <c r="K1771" s="6">
        <f ca="1"/>
        <v>2.5</v>
      </c>
      <c r="L1771" s="6">
        <f ca="1"/>
        <v>-2.5</v>
      </c>
      <c r="M1771" s="6">
        <f ca="1"/>
        <v>5.0000000000002274</v>
      </c>
      <c r="N1771" s="6">
        <f ca="1"/>
        <v>-0.15000000000000213</v>
      </c>
      <c r="O1771" s="6">
        <f t="shared" ca="1" si="254"/>
        <v>79.999999999997669</v>
      </c>
      <c r="P1771">
        <f t="shared" ca="1" si="255"/>
        <v>79.999999999997669</v>
      </c>
      <c r="Q1771" s="10">
        <f t="shared" ca="1" si="256"/>
        <v>79.999999999997669</v>
      </c>
      <c r="R1771" s="10">
        <f t="shared" ca="1" si="257"/>
        <v>132.49999999999841</v>
      </c>
      <c r="S1771" s="10">
        <f t="shared" ca="1" si="258"/>
        <v>-52.500000000000739</v>
      </c>
      <c r="T1771" s="10">
        <f t="shared" ca="1" si="259"/>
        <v>349.99999999999994</v>
      </c>
      <c r="U1771" s="10">
        <f t="shared" ca="1" si="260"/>
        <v>349.99999999999994</v>
      </c>
      <c r="V1771">
        <f t="shared" si="261"/>
        <v>6</v>
      </c>
    </row>
    <row r="1772" spans="1:22" x14ac:dyDescent="0.25">
      <c r="A1772">
        <v>197</v>
      </c>
      <c r="B1772">
        <v>7</v>
      </c>
      <c r="C1772">
        <v>70</v>
      </c>
      <c r="D1772">
        <v>1</v>
      </c>
      <c r="E1772">
        <v>1</v>
      </c>
      <c r="F1772">
        <v>0</v>
      </c>
      <c r="G1772">
        <v>1</v>
      </c>
      <c r="H1772">
        <v>450</v>
      </c>
      <c r="I1772">
        <f t="shared" si="262"/>
        <v>1764</v>
      </c>
      <c r="J1772" s="6">
        <f t="array" aca="1" ref="J1772:N1772" ca="1">TRANSPOSE(ols(OFFSET($C$2:$C$10,I1772,0),OFFSET($D$2:$H$10,I1772,0)))</f>
        <v>129.99999999999818</v>
      </c>
      <c r="K1772" s="6">
        <f ca="1"/>
        <v>2.5</v>
      </c>
      <c r="L1772" s="6">
        <f ca="1"/>
        <v>-2.5</v>
      </c>
      <c r="M1772" s="6">
        <f ca="1"/>
        <v>5.0000000000002274</v>
      </c>
      <c r="N1772" s="6">
        <f ca="1"/>
        <v>-0.15000000000000213</v>
      </c>
      <c r="O1772" s="6">
        <f t="shared" ca="1" si="254"/>
        <v>69.999999999997442</v>
      </c>
      <c r="P1772" t="str">
        <f t="shared" si="255"/>
        <v>NA</v>
      </c>
      <c r="Q1772" s="10">
        <f t="shared" ca="1" si="256"/>
        <v>79.999999999997669</v>
      </c>
      <c r="R1772" s="10">
        <f t="shared" ca="1" si="257"/>
        <v>137.49999999999841</v>
      </c>
      <c r="S1772" s="10">
        <f t="shared" ca="1" si="258"/>
        <v>-57.500000000000739</v>
      </c>
      <c r="T1772" s="10">
        <f t="shared" ca="1" si="259"/>
        <v>383.3333333333328</v>
      </c>
      <c r="U1772" s="10">
        <f t="shared" ca="1" si="260"/>
        <v>383.3333333333328</v>
      </c>
      <c r="V1772">
        <f t="shared" si="261"/>
        <v>5</v>
      </c>
    </row>
    <row r="1773" spans="1:22" x14ac:dyDescent="0.25">
      <c r="A1773">
        <v>197</v>
      </c>
      <c r="B1773">
        <v>8</v>
      </c>
      <c r="C1773">
        <v>55</v>
      </c>
      <c r="D1773">
        <v>1</v>
      </c>
      <c r="E1773">
        <v>1</v>
      </c>
      <c r="F1773">
        <v>0</v>
      </c>
      <c r="G1773">
        <v>1</v>
      </c>
      <c r="H1773">
        <v>550</v>
      </c>
      <c r="I1773">
        <f t="shared" si="262"/>
        <v>1764</v>
      </c>
      <c r="J1773" s="6">
        <f t="array" aca="1" ref="J1773:N1773" ca="1">TRANSPOSE(ols(OFFSET($C$2:$C$10,I1773,0),OFFSET($D$2:$H$10,I1773,0)))</f>
        <v>129.99999999999818</v>
      </c>
      <c r="K1773" s="6">
        <f ca="1"/>
        <v>2.5</v>
      </c>
      <c r="L1773" s="6">
        <f ca="1"/>
        <v>-2.5</v>
      </c>
      <c r="M1773" s="6">
        <f ca="1"/>
        <v>5.0000000000002274</v>
      </c>
      <c r="N1773" s="6">
        <f ca="1"/>
        <v>-0.15000000000000213</v>
      </c>
      <c r="O1773" s="6">
        <f t="shared" ca="1" si="254"/>
        <v>54.999999999997243</v>
      </c>
      <c r="P1773" t="str">
        <f t="shared" si="255"/>
        <v>NA</v>
      </c>
      <c r="Q1773" s="10">
        <f t="shared" ca="1" si="256"/>
        <v>79.999999999997669</v>
      </c>
      <c r="R1773" s="10">
        <f t="shared" ca="1" si="257"/>
        <v>137.49999999999841</v>
      </c>
      <c r="S1773" s="10">
        <f t="shared" ca="1" si="258"/>
        <v>-57.500000000000739</v>
      </c>
      <c r="T1773" s="10">
        <f t="shared" ca="1" si="259"/>
        <v>383.3333333333328</v>
      </c>
      <c r="U1773" s="10">
        <f t="shared" ca="1" si="260"/>
        <v>383.3333333333328</v>
      </c>
      <c r="V1773">
        <f t="shared" si="261"/>
        <v>5</v>
      </c>
    </row>
    <row r="1774" spans="1:22" x14ac:dyDescent="0.25">
      <c r="A1774">
        <v>197</v>
      </c>
      <c r="B1774">
        <v>9</v>
      </c>
      <c r="C1774">
        <v>37.5</v>
      </c>
      <c r="D1774">
        <v>1</v>
      </c>
      <c r="E1774">
        <v>0</v>
      </c>
      <c r="F1774">
        <v>0</v>
      </c>
      <c r="G1774">
        <v>1</v>
      </c>
      <c r="H1774">
        <v>650</v>
      </c>
      <c r="I1774">
        <f t="shared" si="262"/>
        <v>1764</v>
      </c>
      <c r="J1774" s="6">
        <f t="array" aca="1" ref="J1774:N1774" ca="1">TRANSPOSE(ols(OFFSET($C$2:$C$10,I1774,0),OFFSET($D$2:$H$10,I1774,0)))</f>
        <v>129.99999999999818</v>
      </c>
      <c r="K1774" s="6">
        <f ca="1"/>
        <v>2.5</v>
      </c>
      <c r="L1774" s="6">
        <f ca="1"/>
        <v>-2.5</v>
      </c>
      <c r="M1774" s="6">
        <f ca="1"/>
        <v>5.0000000000002274</v>
      </c>
      <c r="N1774" s="6">
        <f ca="1"/>
        <v>-0.15000000000000213</v>
      </c>
      <c r="O1774" s="6">
        <f t="shared" ca="1" si="254"/>
        <v>37.499999999997016</v>
      </c>
      <c r="P1774" t="str">
        <f t="shared" si="255"/>
        <v>NA</v>
      </c>
      <c r="Q1774" s="10">
        <f t="shared" ca="1" si="256"/>
        <v>79.999999999997669</v>
      </c>
      <c r="R1774" s="10">
        <f t="shared" ca="1" si="257"/>
        <v>134.99999999999841</v>
      </c>
      <c r="S1774" s="10">
        <f t="shared" ca="1" si="258"/>
        <v>-55.000000000000739</v>
      </c>
      <c r="T1774" s="10">
        <f t="shared" ca="1" si="259"/>
        <v>366.6666666666664</v>
      </c>
      <c r="U1774" s="10">
        <f t="shared" ca="1" si="260"/>
        <v>366.6666666666664</v>
      </c>
      <c r="V1774">
        <f t="shared" si="261"/>
        <v>4</v>
      </c>
    </row>
    <row r="1775" spans="1:22" x14ac:dyDescent="0.25">
      <c r="A1775">
        <v>198</v>
      </c>
      <c r="B1775">
        <v>1</v>
      </c>
      <c r="C1775">
        <v>91</v>
      </c>
      <c r="D1775">
        <v>1</v>
      </c>
      <c r="E1775">
        <v>0</v>
      </c>
      <c r="F1775">
        <v>1</v>
      </c>
      <c r="G1775">
        <v>0</v>
      </c>
      <c r="H1775">
        <v>250</v>
      </c>
      <c r="I1775">
        <f t="shared" si="262"/>
        <v>1773</v>
      </c>
      <c r="J1775" s="6">
        <f t="array" aca="1" ref="J1775:N1775" ca="1">TRANSPOSE(ols(OFFSET($C$2:$C$10,I1775,0),OFFSET($D$2:$H$10,I1775,0)))</f>
        <v>196.52380952380736</v>
      </c>
      <c r="K1775" s="6">
        <f ca="1"/>
        <v>-8.035714285713766</v>
      </c>
      <c r="L1775" s="6">
        <f ca="1"/>
        <v>-32.476190476189004</v>
      </c>
      <c r="M1775" s="6">
        <f ca="1"/>
        <v>-3.7619047619045887</v>
      </c>
      <c r="N1775" s="6">
        <f ca="1"/>
        <v>-0.26190476190476275</v>
      </c>
      <c r="O1775" s="6">
        <f t="shared" ca="1" si="254"/>
        <v>98.571428571427674</v>
      </c>
      <c r="P1775" t="str">
        <f t="shared" si="255"/>
        <v>NA</v>
      </c>
      <c r="Q1775" s="10">
        <f t="shared" ca="1" si="256"/>
        <v>68.619047619046796</v>
      </c>
      <c r="R1775" s="10">
        <f t="shared" ca="1" si="257"/>
        <v>164.04761904761835</v>
      </c>
      <c r="S1775" s="10">
        <f t="shared" ca="1" si="258"/>
        <v>-95.428571428571558</v>
      </c>
      <c r="T1775" s="10">
        <f t="shared" ca="1" si="259"/>
        <v>364.36363636363569</v>
      </c>
      <c r="U1775" s="10">
        <f t="shared" ca="1" si="260"/>
        <v>364.36363636363569</v>
      </c>
      <c r="V1775">
        <f t="shared" si="261"/>
        <v>3</v>
      </c>
    </row>
    <row r="1776" spans="1:22" x14ac:dyDescent="0.25">
      <c r="A1776">
        <v>198</v>
      </c>
      <c r="B1776">
        <v>2</v>
      </c>
      <c r="C1776">
        <v>95</v>
      </c>
      <c r="D1776">
        <v>1</v>
      </c>
      <c r="E1776">
        <v>1</v>
      </c>
      <c r="F1776">
        <v>0</v>
      </c>
      <c r="G1776">
        <v>0</v>
      </c>
      <c r="H1776">
        <v>350</v>
      </c>
      <c r="I1776">
        <f t="shared" si="262"/>
        <v>1773</v>
      </c>
      <c r="J1776" s="6">
        <f t="array" aca="1" ref="J1776:N1776" ca="1">TRANSPOSE(ols(OFFSET($C$2:$C$10,I1776,0),OFFSET($D$2:$H$10,I1776,0)))</f>
        <v>196.52380952380736</v>
      </c>
      <c r="K1776" s="6">
        <f ca="1"/>
        <v>-8.035714285713766</v>
      </c>
      <c r="L1776" s="6">
        <f ca="1"/>
        <v>-32.476190476189004</v>
      </c>
      <c r="M1776" s="6">
        <f ca="1"/>
        <v>-3.7619047619045887</v>
      </c>
      <c r="N1776" s="6">
        <f ca="1"/>
        <v>-0.26190476190476275</v>
      </c>
      <c r="O1776" s="6">
        <f t="shared" ca="1" si="254"/>
        <v>96.821428571426623</v>
      </c>
      <c r="P1776" t="str">
        <f t="shared" si="255"/>
        <v>NA</v>
      </c>
      <c r="Q1776" s="10">
        <f t="shared" ca="1" si="256"/>
        <v>68.619047619046796</v>
      </c>
      <c r="R1776" s="10">
        <f t="shared" ca="1" si="257"/>
        <v>188.48809523809359</v>
      </c>
      <c r="S1776" s="10">
        <f t="shared" ca="1" si="258"/>
        <v>-119.8690476190468</v>
      </c>
      <c r="T1776" s="10">
        <f t="shared" ca="1" si="259"/>
        <v>457.68181818181358</v>
      </c>
      <c r="U1776" s="10">
        <f t="shared" ca="1" si="260"/>
        <v>457.68181818181358</v>
      </c>
      <c r="V1776">
        <f t="shared" si="261"/>
        <v>2</v>
      </c>
    </row>
    <row r="1777" spans="1:22" x14ac:dyDescent="0.25">
      <c r="A1777">
        <v>198</v>
      </c>
      <c r="B1777">
        <v>3</v>
      </c>
      <c r="C1777">
        <v>77.5</v>
      </c>
      <c r="D1777">
        <v>1</v>
      </c>
      <c r="E1777">
        <v>1</v>
      </c>
      <c r="F1777">
        <v>0</v>
      </c>
      <c r="G1777">
        <v>0</v>
      </c>
      <c r="H1777">
        <v>450</v>
      </c>
      <c r="I1777">
        <f t="shared" si="262"/>
        <v>1773</v>
      </c>
      <c r="J1777" s="6">
        <f t="array" aca="1" ref="J1777:N1777" ca="1">TRANSPOSE(ols(OFFSET($C$2:$C$10,I1777,0),OFFSET($D$2:$H$10,I1777,0)))</f>
        <v>196.52380952380736</v>
      </c>
      <c r="K1777" s="6">
        <f ca="1"/>
        <v>-8.035714285713766</v>
      </c>
      <c r="L1777" s="6">
        <f ca="1"/>
        <v>-32.476190476189004</v>
      </c>
      <c r="M1777" s="6">
        <f ca="1"/>
        <v>-3.7619047619045887</v>
      </c>
      <c r="N1777" s="6">
        <f ca="1"/>
        <v>-0.26190476190476275</v>
      </c>
      <c r="O1777" s="6">
        <f t="shared" ca="1" si="254"/>
        <v>70.630952380950362</v>
      </c>
      <c r="P1777" t="str">
        <f t="shared" si="255"/>
        <v>NA</v>
      </c>
      <c r="Q1777" s="10">
        <f t="shared" ca="1" si="256"/>
        <v>68.619047619046796</v>
      </c>
      <c r="R1777" s="10">
        <f t="shared" ca="1" si="257"/>
        <v>188.48809523809359</v>
      </c>
      <c r="S1777" s="10">
        <f t="shared" ca="1" si="258"/>
        <v>-119.8690476190468</v>
      </c>
      <c r="T1777" s="10">
        <f t="shared" ca="1" si="259"/>
        <v>457.68181818181358</v>
      </c>
      <c r="U1777" s="10">
        <f t="shared" ca="1" si="260"/>
        <v>457.68181818181358</v>
      </c>
      <c r="V1777">
        <f t="shared" si="261"/>
        <v>2</v>
      </c>
    </row>
    <row r="1778" spans="1:22" x14ac:dyDescent="0.25">
      <c r="A1778">
        <v>198</v>
      </c>
      <c r="B1778">
        <v>4</v>
      </c>
      <c r="C1778">
        <v>55</v>
      </c>
      <c r="D1778">
        <v>1</v>
      </c>
      <c r="E1778">
        <v>0</v>
      </c>
      <c r="F1778">
        <v>0</v>
      </c>
      <c r="G1778">
        <v>0</v>
      </c>
      <c r="H1778">
        <v>550</v>
      </c>
      <c r="I1778">
        <f t="shared" si="262"/>
        <v>1773</v>
      </c>
      <c r="J1778" s="6">
        <f t="array" aca="1" ref="J1778:N1778" ca="1">TRANSPOSE(ols(OFFSET($C$2:$C$10,I1778,0),OFFSET($D$2:$H$10,I1778,0)))</f>
        <v>196.52380952380736</v>
      </c>
      <c r="K1778" s="6">
        <f ca="1"/>
        <v>-8.035714285713766</v>
      </c>
      <c r="L1778" s="6">
        <f ca="1"/>
        <v>-32.476190476189004</v>
      </c>
      <c r="M1778" s="6">
        <f ca="1"/>
        <v>-3.7619047619045887</v>
      </c>
      <c r="N1778" s="6">
        <f ca="1"/>
        <v>-0.26190476190476275</v>
      </c>
      <c r="O1778" s="6">
        <f t="shared" ca="1" si="254"/>
        <v>52.476190476187838</v>
      </c>
      <c r="P1778" t="str">
        <f t="shared" si="255"/>
        <v>NA</v>
      </c>
      <c r="Q1778" s="10">
        <f t="shared" ca="1" si="256"/>
        <v>68.619047619046796</v>
      </c>
      <c r="R1778" s="10">
        <f t="shared" ca="1" si="257"/>
        <v>196.52380952380736</v>
      </c>
      <c r="S1778" s="10">
        <f t="shared" ca="1" si="258"/>
        <v>-127.90476190476056</v>
      </c>
      <c r="T1778" s="10">
        <f t="shared" ca="1" si="259"/>
        <v>488.36363636362967</v>
      </c>
      <c r="U1778" s="10">
        <f t="shared" ca="1" si="260"/>
        <v>488.36363636362967</v>
      </c>
      <c r="V1778">
        <f t="shared" si="261"/>
        <v>1</v>
      </c>
    </row>
    <row r="1779" spans="1:22" x14ac:dyDescent="0.25">
      <c r="A1779">
        <v>198</v>
      </c>
      <c r="B1779">
        <v>5</v>
      </c>
      <c r="C1779">
        <v>91</v>
      </c>
      <c r="D1779">
        <v>1</v>
      </c>
      <c r="E1779">
        <v>0</v>
      </c>
      <c r="F1779">
        <v>1</v>
      </c>
      <c r="G1779">
        <v>1</v>
      </c>
      <c r="H1779">
        <v>250</v>
      </c>
      <c r="I1779">
        <f t="shared" si="262"/>
        <v>1773</v>
      </c>
      <c r="J1779" s="6">
        <f t="array" aca="1" ref="J1779:N1779" ca="1">TRANSPOSE(ols(OFFSET($C$2:$C$10,I1779,0),OFFSET($D$2:$H$10,I1779,0)))</f>
        <v>196.52380952380736</v>
      </c>
      <c r="K1779" s="6">
        <f ca="1"/>
        <v>-8.035714285713766</v>
      </c>
      <c r="L1779" s="6">
        <f ca="1"/>
        <v>-32.476190476189004</v>
      </c>
      <c r="M1779" s="6">
        <f ca="1"/>
        <v>-3.7619047619045887</v>
      </c>
      <c r="N1779" s="6">
        <f ca="1"/>
        <v>-0.26190476190476275</v>
      </c>
      <c r="O1779" s="6">
        <f t="shared" ca="1" si="254"/>
        <v>94.809523809523085</v>
      </c>
      <c r="P1779" t="str">
        <f t="shared" si="255"/>
        <v>NA</v>
      </c>
      <c r="Q1779" s="10">
        <f t="shared" ca="1" si="256"/>
        <v>68.619047619046796</v>
      </c>
      <c r="R1779" s="10">
        <f t="shared" ca="1" si="257"/>
        <v>160.28571428571377</v>
      </c>
      <c r="S1779" s="10">
        <f t="shared" ca="1" si="258"/>
        <v>-91.66666666666697</v>
      </c>
      <c r="T1779" s="10">
        <f t="shared" ca="1" si="259"/>
        <v>350</v>
      </c>
      <c r="U1779" s="10">
        <f t="shared" ca="1" si="260"/>
        <v>350</v>
      </c>
      <c r="V1779">
        <f t="shared" si="261"/>
        <v>6</v>
      </c>
    </row>
    <row r="1780" spans="1:22" x14ac:dyDescent="0.25">
      <c r="A1780">
        <v>198</v>
      </c>
      <c r="B1780">
        <v>6</v>
      </c>
      <c r="C1780">
        <v>80</v>
      </c>
      <c r="D1780">
        <v>1</v>
      </c>
      <c r="E1780">
        <v>0</v>
      </c>
      <c r="F1780">
        <v>1</v>
      </c>
      <c r="G1780">
        <v>1</v>
      </c>
      <c r="H1780">
        <v>350</v>
      </c>
      <c r="I1780">
        <f t="shared" si="262"/>
        <v>1773</v>
      </c>
      <c r="J1780" s="6">
        <f t="array" aca="1" ref="J1780:N1780" ca="1">TRANSPOSE(ols(OFFSET($C$2:$C$10,I1780,0),OFFSET($D$2:$H$10,I1780,0)))</f>
        <v>196.52380952380736</v>
      </c>
      <c r="K1780" s="6">
        <f ca="1"/>
        <v>-8.035714285713766</v>
      </c>
      <c r="L1780" s="6">
        <f ca="1"/>
        <v>-32.476190476189004</v>
      </c>
      <c r="M1780" s="6">
        <f ca="1"/>
        <v>-3.7619047619045887</v>
      </c>
      <c r="N1780" s="6">
        <f ca="1"/>
        <v>-0.26190476190476275</v>
      </c>
      <c r="O1780" s="6">
        <f t="shared" ca="1" si="254"/>
        <v>68.619047619046796</v>
      </c>
      <c r="P1780">
        <f t="shared" ca="1" si="255"/>
        <v>68.619047619046796</v>
      </c>
      <c r="Q1780" s="10">
        <f t="shared" ca="1" si="256"/>
        <v>68.619047619046796</v>
      </c>
      <c r="R1780" s="10">
        <f t="shared" ca="1" si="257"/>
        <v>160.28571428571377</v>
      </c>
      <c r="S1780" s="10">
        <f t="shared" ca="1" si="258"/>
        <v>-91.66666666666697</v>
      </c>
      <c r="T1780" s="10">
        <f t="shared" ca="1" si="259"/>
        <v>350</v>
      </c>
      <c r="U1780" s="10">
        <f t="shared" ca="1" si="260"/>
        <v>350</v>
      </c>
      <c r="V1780">
        <f t="shared" si="261"/>
        <v>6</v>
      </c>
    </row>
    <row r="1781" spans="1:22" x14ac:dyDescent="0.25">
      <c r="A1781">
        <v>198</v>
      </c>
      <c r="B1781">
        <v>7</v>
      </c>
      <c r="C1781">
        <v>72.5</v>
      </c>
      <c r="D1781">
        <v>1</v>
      </c>
      <c r="E1781">
        <v>1</v>
      </c>
      <c r="F1781">
        <v>0</v>
      </c>
      <c r="G1781">
        <v>1</v>
      </c>
      <c r="H1781">
        <v>450</v>
      </c>
      <c r="I1781">
        <f t="shared" si="262"/>
        <v>1773</v>
      </c>
      <c r="J1781" s="6">
        <f t="array" aca="1" ref="J1781:N1781" ca="1">TRANSPOSE(ols(OFFSET($C$2:$C$10,I1781,0),OFFSET($D$2:$H$10,I1781,0)))</f>
        <v>196.52380952380736</v>
      </c>
      <c r="K1781" s="6">
        <f ca="1"/>
        <v>-8.035714285713766</v>
      </c>
      <c r="L1781" s="6">
        <f ca="1"/>
        <v>-32.476190476189004</v>
      </c>
      <c r="M1781" s="6">
        <f ca="1"/>
        <v>-3.7619047619045887</v>
      </c>
      <c r="N1781" s="6">
        <f ca="1"/>
        <v>-0.26190476190476275</v>
      </c>
      <c r="O1781" s="6">
        <f t="shared" ca="1" si="254"/>
        <v>66.869047619045773</v>
      </c>
      <c r="P1781" t="str">
        <f t="shared" si="255"/>
        <v>NA</v>
      </c>
      <c r="Q1781" s="10">
        <f t="shared" ca="1" si="256"/>
        <v>68.619047619046796</v>
      </c>
      <c r="R1781" s="10">
        <f t="shared" ca="1" si="257"/>
        <v>184.726190476189</v>
      </c>
      <c r="S1781" s="10">
        <f t="shared" ca="1" si="258"/>
        <v>-116.10714285714221</v>
      </c>
      <c r="T1781" s="10">
        <f t="shared" ca="1" si="259"/>
        <v>443.31818181817789</v>
      </c>
      <c r="U1781" s="10">
        <f t="shared" ca="1" si="260"/>
        <v>443.31818181817789</v>
      </c>
      <c r="V1781">
        <f t="shared" si="261"/>
        <v>5</v>
      </c>
    </row>
    <row r="1782" spans="1:22" x14ac:dyDescent="0.25">
      <c r="A1782">
        <v>198</v>
      </c>
      <c r="B1782">
        <v>8</v>
      </c>
      <c r="C1782">
        <v>30</v>
      </c>
      <c r="D1782">
        <v>1</v>
      </c>
      <c r="E1782">
        <v>1</v>
      </c>
      <c r="F1782">
        <v>0</v>
      </c>
      <c r="G1782">
        <v>1</v>
      </c>
      <c r="H1782">
        <v>550</v>
      </c>
      <c r="I1782">
        <f t="shared" si="262"/>
        <v>1773</v>
      </c>
      <c r="J1782" s="6">
        <f t="array" aca="1" ref="J1782:N1782" ca="1">TRANSPOSE(ols(OFFSET($C$2:$C$10,I1782,0),OFFSET($D$2:$H$10,I1782,0)))</f>
        <v>196.52380952380736</v>
      </c>
      <c r="K1782" s="6">
        <f ca="1"/>
        <v>-8.035714285713766</v>
      </c>
      <c r="L1782" s="6">
        <f ca="1"/>
        <v>-32.476190476189004</v>
      </c>
      <c r="M1782" s="6">
        <f ca="1"/>
        <v>-3.7619047619045887</v>
      </c>
      <c r="N1782" s="6">
        <f ca="1"/>
        <v>-0.26190476190476275</v>
      </c>
      <c r="O1782" s="6">
        <f t="shared" ca="1" si="254"/>
        <v>40.678571428569484</v>
      </c>
      <c r="P1782" t="str">
        <f t="shared" si="255"/>
        <v>NA</v>
      </c>
      <c r="Q1782" s="10">
        <f t="shared" ca="1" si="256"/>
        <v>68.619047619046796</v>
      </c>
      <c r="R1782" s="10">
        <f t="shared" ca="1" si="257"/>
        <v>184.726190476189</v>
      </c>
      <c r="S1782" s="10">
        <f t="shared" ca="1" si="258"/>
        <v>-116.10714285714221</v>
      </c>
      <c r="T1782" s="10">
        <f t="shared" ca="1" si="259"/>
        <v>443.31818181817789</v>
      </c>
      <c r="U1782" s="10">
        <f t="shared" ca="1" si="260"/>
        <v>443.31818181817789</v>
      </c>
      <c r="V1782">
        <f t="shared" si="261"/>
        <v>5</v>
      </c>
    </row>
    <row r="1783" spans="1:22" x14ac:dyDescent="0.25">
      <c r="A1783">
        <v>198</v>
      </c>
      <c r="B1783">
        <v>9</v>
      </c>
      <c r="C1783">
        <v>20</v>
      </c>
      <c r="D1783">
        <v>1</v>
      </c>
      <c r="E1783">
        <v>0</v>
      </c>
      <c r="F1783">
        <v>0</v>
      </c>
      <c r="G1783">
        <v>1</v>
      </c>
      <c r="H1783">
        <v>650</v>
      </c>
      <c r="I1783">
        <f t="shared" si="262"/>
        <v>1773</v>
      </c>
      <c r="J1783" s="6">
        <f t="array" aca="1" ref="J1783:N1783" ca="1">TRANSPOSE(ols(OFFSET($C$2:$C$10,I1783,0),OFFSET($D$2:$H$10,I1783,0)))</f>
        <v>196.52380952380736</v>
      </c>
      <c r="K1783" s="6">
        <f ca="1"/>
        <v>-8.035714285713766</v>
      </c>
      <c r="L1783" s="6">
        <f ca="1"/>
        <v>-32.476190476189004</v>
      </c>
      <c r="M1783" s="6">
        <f ca="1"/>
        <v>-3.7619047619045887</v>
      </c>
      <c r="N1783" s="6">
        <f ca="1"/>
        <v>-0.26190476190476275</v>
      </c>
      <c r="O1783" s="6">
        <f t="shared" ca="1" si="254"/>
        <v>22.523809523806989</v>
      </c>
      <c r="P1783" t="str">
        <f t="shared" si="255"/>
        <v>NA</v>
      </c>
      <c r="Q1783" s="10">
        <f t="shared" ca="1" si="256"/>
        <v>68.619047619046796</v>
      </c>
      <c r="R1783" s="10">
        <f t="shared" ca="1" si="257"/>
        <v>192.76190476190277</v>
      </c>
      <c r="S1783" s="10">
        <f t="shared" ca="1" si="258"/>
        <v>-124.14285714285597</v>
      </c>
      <c r="T1783" s="10">
        <f t="shared" ca="1" si="259"/>
        <v>473.99999999999403</v>
      </c>
      <c r="U1783" s="10">
        <f t="shared" ca="1" si="260"/>
        <v>473.99999999999403</v>
      </c>
      <c r="V1783">
        <f t="shared" si="261"/>
        <v>4</v>
      </c>
    </row>
    <row r="1784" spans="1:22" x14ac:dyDescent="0.25">
      <c r="A1784">
        <v>199</v>
      </c>
      <c r="B1784">
        <v>1</v>
      </c>
      <c r="C1784">
        <v>75</v>
      </c>
      <c r="D1784">
        <v>1</v>
      </c>
      <c r="E1784">
        <v>0</v>
      </c>
      <c r="F1784">
        <v>1</v>
      </c>
      <c r="G1784">
        <v>0</v>
      </c>
      <c r="H1784">
        <v>250</v>
      </c>
      <c r="I1784">
        <f t="shared" si="262"/>
        <v>1782</v>
      </c>
      <c r="J1784" s="6">
        <f t="array" aca="1" ref="J1784:N1784" ca="1">TRANSPOSE(ols(OFFSET($C$2:$C$10,I1784,0),OFFSET($D$2:$H$10,I1784,0)))</f>
        <v>95.059523809523853</v>
      </c>
      <c r="K1784" s="6">
        <f ca="1"/>
        <v>1.785714285713766</v>
      </c>
      <c r="L1784" s="6">
        <f ca="1"/>
        <v>-1.1904761904761472</v>
      </c>
      <c r="M1784" s="6">
        <f ca="1"/>
        <v>0.59523809523852833</v>
      </c>
      <c r="N1784" s="6">
        <f ca="1"/>
        <v>-7.9761904761907587E-2</v>
      </c>
      <c r="O1784" s="6">
        <f t="shared" ca="1" si="254"/>
        <v>73.928571428570805</v>
      </c>
      <c r="P1784" t="str">
        <f t="shared" si="255"/>
        <v>NA</v>
      </c>
      <c r="Q1784" s="10">
        <f t="shared" ca="1" si="256"/>
        <v>66.547619047618582</v>
      </c>
      <c r="R1784" s="10">
        <f t="shared" ca="1" si="257"/>
        <v>93.869047619047706</v>
      </c>
      <c r="S1784" s="10">
        <f t="shared" ca="1" si="258"/>
        <v>-27.321428571429124</v>
      </c>
      <c r="T1784" s="10">
        <f t="shared" ca="1" si="259"/>
        <v>342.53731343283062</v>
      </c>
      <c r="U1784" s="10">
        <f t="shared" ca="1" si="260"/>
        <v>342.53731343283062</v>
      </c>
      <c r="V1784">
        <f t="shared" si="261"/>
        <v>3</v>
      </c>
    </row>
    <row r="1785" spans="1:22" x14ac:dyDescent="0.25">
      <c r="A1785">
        <v>199</v>
      </c>
      <c r="B1785">
        <v>2</v>
      </c>
      <c r="C1785">
        <v>70</v>
      </c>
      <c r="D1785">
        <v>1</v>
      </c>
      <c r="E1785">
        <v>1</v>
      </c>
      <c r="F1785">
        <v>0</v>
      </c>
      <c r="G1785">
        <v>0</v>
      </c>
      <c r="H1785">
        <v>350</v>
      </c>
      <c r="I1785">
        <f t="shared" si="262"/>
        <v>1782</v>
      </c>
      <c r="J1785" s="6">
        <f t="array" aca="1" ref="J1785:N1785" ca="1">TRANSPOSE(ols(OFFSET($C$2:$C$10,I1785,0),OFFSET($D$2:$H$10,I1785,0)))</f>
        <v>95.059523809523853</v>
      </c>
      <c r="K1785" s="6">
        <f ca="1"/>
        <v>1.785714285713766</v>
      </c>
      <c r="L1785" s="6">
        <f ca="1"/>
        <v>-1.1904761904761472</v>
      </c>
      <c r="M1785" s="6">
        <f ca="1"/>
        <v>0.59523809523852833</v>
      </c>
      <c r="N1785" s="6">
        <f ca="1"/>
        <v>-7.9761904761907587E-2</v>
      </c>
      <c r="O1785" s="6">
        <f t="shared" ca="1" si="254"/>
        <v>68.928571428569967</v>
      </c>
      <c r="P1785" t="str">
        <f t="shared" si="255"/>
        <v>NA</v>
      </c>
      <c r="Q1785" s="10">
        <f t="shared" ca="1" si="256"/>
        <v>66.547619047618582</v>
      </c>
      <c r="R1785" s="10">
        <f t="shared" ca="1" si="257"/>
        <v>96.845238095237619</v>
      </c>
      <c r="S1785" s="10">
        <f t="shared" ca="1" si="258"/>
        <v>-30.297619047619037</v>
      </c>
      <c r="T1785" s="10">
        <f t="shared" ca="1" si="259"/>
        <v>379.85074626864315</v>
      </c>
      <c r="U1785" s="10">
        <f t="shared" ca="1" si="260"/>
        <v>379.85074626864315</v>
      </c>
      <c r="V1785">
        <f t="shared" si="261"/>
        <v>2</v>
      </c>
    </row>
    <row r="1786" spans="1:22" x14ac:dyDescent="0.25">
      <c r="A1786">
        <v>199</v>
      </c>
      <c r="B1786">
        <v>3</v>
      </c>
      <c r="C1786">
        <v>60</v>
      </c>
      <c r="D1786">
        <v>1</v>
      </c>
      <c r="E1786">
        <v>1</v>
      </c>
      <c r="F1786">
        <v>0</v>
      </c>
      <c r="G1786">
        <v>0</v>
      </c>
      <c r="H1786">
        <v>450</v>
      </c>
      <c r="I1786">
        <f t="shared" si="262"/>
        <v>1782</v>
      </c>
      <c r="J1786" s="6">
        <f t="array" aca="1" ref="J1786:N1786" ca="1">TRANSPOSE(ols(OFFSET($C$2:$C$10,I1786,0),OFFSET($D$2:$H$10,I1786,0)))</f>
        <v>95.059523809523853</v>
      </c>
      <c r="K1786" s="6">
        <f ca="1"/>
        <v>1.785714285713766</v>
      </c>
      <c r="L1786" s="6">
        <f ca="1"/>
        <v>-1.1904761904761472</v>
      </c>
      <c r="M1786" s="6">
        <f ca="1"/>
        <v>0.59523809523852833</v>
      </c>
      <c r="N1786" s="6">
        <f ca="1"/>
        <v>-7.9761904761907587E-2</v>
      </c>
      <c r="O1786" s="6">
        <f t="shared" ca="1" si="254"/>
        <v>60.952380952379201</v>
      </c>
      <c r="P1786" t="str">
        <f t="shared" si="255"/>
        <v>NA</v>
      </c>
      <c r="Q1786" s="10">
        <f t="shared" ca="1" si="256"/>
        <v>66.547619047618582</v>
      </c>
      <c r="R1786" s="10">
        <f t="shared" ca="1" si="257"/>
        <v>96.845238095237619</v>
      </c>
      <c r="S1786" s="10">
        <f t="shared" ca="1" si="258"/>
        <v>-30.297619047619037</v>
      </c>
      <c r="T1786" s="10">
        <f t="shared" ca="1" si="259"/>
        <v>379.85074626864315</v>
      </c>
      <c r="U1786" s="10">
        <f t="shared" ca="1" si="260"/>
        <v>379.85074626864315</v>
      </c>
      <c r="V1786">
        <f t="shared" si="261"/>
        <v>2</v>
      </c>
    </row>
    <row r="1787" spans="1:22" x14ac:dyDescent="0.25">
      <c r="A1787">
        <v>199</v>
      </c>
      <c r="B1787">
        <v>4</v>
      </c>
      <c r="C1787">
        <v>50</v>
      </c>
      <c r="D1787">
        <v>1</v>
      </c>
      <c r="E1787">
        <v>0</v>
      </c>
      <c r="F1787">
        <v>0</v>
      </c>
      <c r="G1787">
        <v>0</v>
      </c>
      <c r="H1787">
        <v>550</v>
      </c>
      <c r="I1787">
        <f t="shared" si="262"/>
        <v>1782</v>
      </c>
      <c r="J1787" s="6">
        <f t="array" aca="1" ref="J1787:N1787" ca="1">TRANSPOSE(ols(OFFSET($C$2:$C$10,I1787,0),OFFSET($D$2:$H$10,I1787,0)))</f>
        <v>95.059523809523853</v>
      </c>
      <c r="K1787" s="6">
        <f ca="1"/>
        <v>1.785714285713766</v>
      </c>
      <c r="L1787" s="6">
        <f ca="1"/>
        <v>-1.1904761904761472</v>
      </c>
      <c r="M1787" s="6">
        <f ca="1"/>
        <v>0.59523809523852833</v>
      </c>
      <c r="N1787" s="6">
        <f ca="1"/>
        <v>-7.9761904761907587E-2</v>
      </c>
      <c r="O1787" s="6">
        <f t="shared" ca="1" si="254"/>
        <v>51.190476190474683</v>
      </c>
      <c r="P1787" t="str">
        <f t="shared" si="255"/>
        <v>NA</v>
      </c>
      <c r="Q1787" s="10">
        <f t="shared" ca="1" si="256"/>
        <v>66.547619047618582</v>
      </c>
      <c r="R1787" s="10">
        <f t="shared" ca="1" si="257"/>
        <v>95.059523809523853</v>
      </c>
      <c r="S1787" s="10">
        <f t="shared" ca="1" si="258"/>
        <v>-28.511904761905271</v>
      </c>
      <c r="T1787" s="10">
        <f t="shared" ca="1" si="259"/>
        <v>357.4626865671579</v>
      </c>
      <c r="U1787" s="10">
        <f t="shared" ca="1" si="260"/>
        <v>357.4626865671579</v>
      </c>
      <c r="V1787">
        <f t="shared" si="261"/>
        <v>1</v>
      </c>
    </row>
    <row r="1788" spans="1:22" x14ac:dyDescent="0.25">
      <c r="A1788">
        <v>199</v>
      </c>
      <c r="B1788">
        <v>5</v>
      </c>
      <c r="C1788">
        <v>75</v>
      </c>
      <c r="D1788">
        <v>1</v>
      </c>
      <c r="E1788">
        <v>0</v>
      </c>
      <c r="F1788">
        <v>1</v>
      </c>
      <c r="G1788">
        <v>1</v>
      </c>
      <c r="H1788">
        <v>250</v>
      </c>
      <c r="I1788">
        <f t="shared" si="262"/>
        <v>1782</v>
      </c>
      <c r="J1788" s="6">
        <f t="array" aca="1" ref="J1788:N1788" ca="1">TRANSPOSE(ols(OFFSET($C$2:$C$10,I1788,0),OFFSET($D$2:$H$10,I1788,0)))</f>
        <v>95.059523809523853</v>
      </c>
      <c r="K1788" s="6">
        <f ca="1"/>
        <v>1.785714285713766</v>
      </c>
      <c r="L1788" s="6">
        <f ca="1"/>
        <v>-1.1904761904761472</v>
      </c>
      <c r="M1788" s="6">
        <f ca="1"/>
        <v>0.59523809523852833</v>
      </c>
      <c r="N1788" s="6">
        <f ca="1"/>
        <v>-7.9761904761907587E-2</v>
      </c>
      <c r="O1788" s="6">
        <f t="shared" ca="1" si="254"/>
        <v>74.523809523809334</v>
      </c>
      <c r="P1788" t="str">
        <f t="shared" si="255"/>
        <v>NA</v>
      </c>
      <c r="Q1788" s="10">
        <f t="shared" ca="1" si="256"/>
        <v>66.547619047618582</v>
      </c>
      <c r="R1788" s="10">
        <f t="shared" ca="1" si="257"/>
        <v>94.464285714286234</v>
      </c>
      <c r="S1788" s="10">
        <f t="shared" ca="1" si="258"/>
        <v>-27.916666666667652</v>
      </c>
      <c r="T1788" s="10">
        <f t="shared" ca="1" si="259"/>
        <v>349.99999999999994</v>
      </c>
      <c r="U1788" s="10">
        <f t="shared" ca="1" si="260"/>
        <v>349.99999999999994</v>
      </c>
      <c r="V1788">
        <f t="shared" si="261"/>
        <v>6</v>
      </c>
    </row>
    <row r="1789" spans="1:22" x14ac:dyDescent="0.25">
      <c r="A1789">
        <v>199</v>
      </c>
      <c r="B1789">
        <v>6</v>
      </c>
      <c r="C1789">
        <v>65</v>
      </c>
      <c r="D1789">
        <v>1</v>
      </c>
      <c r="E1789">
        <v>0</v>
      </c>
      <c r="F1789">
        <v>1</v>
      </c>
      <c r="G1789">
        <v>1</v>
      </c>
      <c r="H1789">
        <v>350</v>
      </c>
      <c r="I1789">
        <f t="shared" si="262"/>
        <v>1782</v>
      </c>
      <c r="J1789" s="6">
        <f t="array" aca="1" ref="J1789:N1789" ca="1">TRANSPOSE(ols(OFFSET($C$2:$C$10,I1789,0),OFFSET($D$2:$H$10,I1789,0)))</f>
        <v>95.059523809523853</v>
      </c>
      <c r="K1789" s="6">
        <f ca="1"/>
        <v>1.785714285713766</v>
      </c>
      <c r="L1789" s="6">
        <f ca="1"/>
        <v>-1.1904761904761472</v>
      </c>
      <c r="M1789" s="6">
        <f ca="1"/>
        <v>0.59523809523852833</v>
      </c>
      <c r="N1789" s="6">
        <f ca="1"/>
        <v>-7.9761904761907587E-2</v>
      </c>
      <c r="O1789" s="6">
        <f t="shared" ca="1" si="254"/>
        <v>66.547619047618582</v>
      </c>
      <c r="P1789">
        <f t="shared" ca="1" si="255"/>
        <v>66.547619047618582</v>
      </c>
      <c r="Q1789" s="10">
        <f t="shared" ca="1" si="256"/>
        <v>66.547619047618582</v>
      </c>
      <c r="R1789" s="10">
        <f t="shared" ca="1" si="257"/>
        <v>94.464285714286234</v>
      </c>
      <c r="S1789" s="10">
        <f t="shared" ca="1" si="258"/>
        <v>-27.916666666667652</v>
      </c>
      <c r="T1789" s="10">
        <f t="shared" ca="1" si="259"/>
        <v>349.99999999999994</v>
      </c>
      <c r="U1789" s="10">
        <f t="shared" ca="1" si="260"/>
        <v>349.99999999999994</v>
      </c>
      <c r="V1789">
        <f t="shared" si="261"/>
        <v>6</v>
      </c>
    </row>
    <row r="1790" spans="1:22" x14ac:dyDescent="0.25">
      <c r="A1790">
        <v>199</v>
      </c>
      <c r="B1790">
        <v>7</v>
      </c>
      <c r="C1790">
        <v>60</v>
      </c>
      <c r="D1790">
        <v>1</v>
      </c>
      <c r="E1790">
        <v>1</v>
      </c>
      <c r="F1790">
        <v>0</v>
      </c>
      <c r="G1790">
        <v>1</v>
      </c>
      <c r="H1790">
        <v>450</v>
      </c>
      <c r="I1790">
        <f t="shared" si="262"/>
        <v>1782</v>
      </c>
      <c r="J1790" s="6">
        <f t="array" aca="1" ref="J1790:N1790" ca="1">TRANSPOSE(ols(OFFSET($C$2:$C$10,I1790,0),OFFSET($D$2:$H$10,I1790,0)))</f>
        <v>95.059523809523853</v>
      </c>
      <c r="K1790" s="6">
        <f ca="1"/>
        <v>1.785714285713766</v>
      </c>
      <c r="L1790" s="6">
        <f ca="1"/>
        <v>-1.1904761904761472</v>
      </c>
      <c r="M1790" s="6">
        <f ca="1"/>
        <v>0.59523809523852833</v>
      </c>
      <c r="N1790" s="6">
        <f ca="1"/>
        <v>-7.9761904761907587E-2</v>
      </c>
      <c r="O1790" s="6">
        <f t="shared" ca="1" si="254"/>
        <v>61.547619047617729</v>
      </c>
      <c r="P1790" t="str">
        <f t="shared" si="255"/>
        <v>NA</v>
      </c>
      <c r="Q1790" s="10">
        <f t="shared" ca="1" si="256"/>
        <v>66.547619047618582</v>
      </c>
      <c r="R1790" s="10">
        <f t="shared" ca="1" si="257"/>
        <v>97.440476190476147</v>
      </c>
      <c r="S1790" s="10">
        <f t="shared" ca="1" si="258"/>
        <v>-30.892857142857565</v>
      </c>
      <c r="T1790" s="10">
        <f t="shared" ca="1" si="259"/>
        <v>387.31343283581248</v>
      </c>
      <c r="U1790" s="10">
        <f t="shared" ca="1" si="260"/>
        <v>387.31343283581248</v>
      </c>
      <c r="V1790">
        <f t="shared" si="261"/>
        <v>5</v>
      </c>
    </row>
    <row r="1791" spans="1:22" x14ac:dyDescent="0.25">
      <c r="A1791">
        <v>199</v>
      </c>
      <c r="B1791">
        <v>8</v>
      </c>
      <c r="C1791">
        <v>55</v>
      </c>
      <c r="D1791">
        <v>1</v>
      </c>
      <c r="E1791">
        <v>1</v>
      </c>
      <c r="F1791">
        <v>0</v>
      </c>
      <c r="G1791">
        <v>1</v>
      </c>
      <c r="H1791">
        <v>550</v>
      </c>
      <c r="I1791">
        <f t="shared" si="262"/>
        <v>1782</v>
      </c>
      <c r="J1791" s="6">
        <f t="array" aca="1" ref="J1791:N1791" ca="1">TRANSPOSE(ols(OFFSET($C$2:$C$10,I1791,0),OFFSET($D$2:$H$10,I1791,0)))</f>
        <v>95.059523809523853</v>
      </c>
      <c r="K1791" s="6">
        <f ca="1"/>
        <v>1.785714285713766</v>
      </c>
      <c r="L1791" s="6">
        <f ca="1"/>
        <v>-1.1904761904761472</v>
      </c>
      <c r="M1791" s="6">
        <f ca="1"/>
        <v>0.59523809523852833</v>
      </c>
      <c r="N1791" s="6">
        <f ca="1"/>
        <v>-7.9761904761907587E-2</v>
      </c>
      <c r="O1791" s="6">
        <f t="shared" ca="1" si="254"/>
        <v>53.571428571426978</v>
      </c>
      <c r="P1791" t="str">
        <f t="shared" si="255"/>
        <v>NA</v>
      </c>
      <c r="Q1791" s="10">
        <f t="shared" ca="1" si="256"/>
        <v>66.547619047618582</v>
      </c>
      <c r="R1791" s="10">
        <f t="shared" ca="1" si="257"/>
        <v>97.440476190476147</v>
      </c>
      <c r="S1791" s="10">
        <f t="shared" ca="1" si="258"/>
        <v>-30.892857142857565</v>
      </c>
      <c r="T1791" s="10">
        <f t="shared" ca="1" si="259"/>
        <v>387.31343283581248</v>
      </c>
      <c r="U1791" s="10">
        <f t="shared" ca="1" si="260"/>
        <v>387.31343283581248</v>
      </c>
      <c r="V1791">
        <f t="shared" si="261"/>
        <v>5</v>
      </c>
    </row>
    <row r="1792" spans="1:22" x14ac:dyDescent="0.25">
      <c r="A1792">
        <v>199</v>
      </c>
      <c r="B1792">
        <v>9</v>
      </c>
      <c r="C1792">
        <v>45</v>
      </c>
      <c r="D1792">
        <v>1</v>
      </c>
      <c r="E1792">
        <v>0</v>
      </c>
      <c r="F1792">
        <v>0</v>
      </c>
      <c r="G1792">
        <v>1</v>
      </c>
      <c r="H1792">
        <v>650</v>
      </c>
      <c r="I1792">
        <f t="shared" si="262"/>
        <v>1782</v>
      </c>
      <c r="J1792" s="6">
        <f t="array" aca="1" ref="J1792:N1792" ca="1">TRANSPOSE(ols(OFFSET($C$2:$C$10,I1792,0),OFFSET($D$2:$H$10,I1792,0)))</f>
        <v>95.059523809523853</v>
      </c>
      <c r="K1792" s="6">
        <f ca="1"/>
        <v>1.785714285713766</v>
      </c>
      <c r="L1792" s="6">
        <f ca="1"/>
        <v>-1.1904761904761472</v>
      </c>
      <c r="M1792" s="6">
        <f ca="1"/>
        <v>0.59523809523852833</v>
      </c>
      <c r="N1792" s="6">
        <f ca="1"/>
        <v>-7.9761904761907587E-2</v>
      </c>
      <c r="O1792" s="6">
        <f t="shared" ca="1" si="254"/>
        <v>43.809523809522446</v>
      </c>
      <c r="P1792" t="str">
        <f t="shared" si="255"/>
        <v>NA</v>
      </c>
      <c r="Q1792" s="10">
        <f t="shared" ca="1" si="256"/>
        <v>66.547619047618582</v>
      </c>
      <c r="R1792" s="10">
        <f t="shared" ca="1" si="257"/>
        <v>95.654761904762381</v>
      </c>
      <c r="S1792" s="10">
        <f t="shared" ca="1" si="258"/>
        <v>-29.107142857143799</v>
      </c>
      <c r="T1792" s="10">
        <f t="shared" ca="1" si="259"/>
        <v>364.92537313432723</v>
      </c>
      <c r="U1792" s="10">
        <f t="shared" ca="1" si="260"/>
        <v>364.92537313432723</v>
      </c>
      <c r="V1792">
        <f t="shared" si="261"/>
        <v>4</v>
      </c>
    </row>
    <row r="1793" spans="1:22" x14ac:dyDescent="0.25">
      <c r="A1793">
        <v>200</v>
      </c>
      <c r="B1793">
        <v>1</v>
      </c>
      <c r="C1793">
        <v>90</v>
      </c>
      <c r="D1793">
        <v>1</v>
      </c>
      <c r="E1793">
        <v>0</v>
      </c>
      <c r="F1793">
        <v>1</v>
      </c>
      <c r="G1793">
        <v>0</v>
      </c>
      <c r="H1793">
        <v>250</v>
      </c>
      <c r="I1793">
        <f t="shared" si="262"/>
        <v>1791</v>
      </c>
      <c r="J1793" s="6">
        <f t="array" aca="1" ref="J1793:N1793" ca="1">TRANSPOSE(ols(OFFSET($C$2:$C$10,I1793,0),OFFSET($D$2:$H$10,I1793,0)))</f>
        <v>105.35714285714175</v>
      </c>
      <c r="K1793" s="6">
        <f ca="1"/>
        <v>-19.285714285714107</v>
      </c>
      <c r="L1793" s="6">
        <f ca="1"/>
        <v>22.857142857143572</v>
      </c>
      <c r="M1793" s="6">
        <f ca="1"/>
        <v>3.571428571428612</v>
      </c>
      <c r="N1793" s="6">
        <f ca="1"/>
        <v>-0.17857142857142527</v>
      </c>
      <c r="O1793" s="6">
        <f t="shared" ca="1" si="254"/>
        <v>83.57142857142901</v>
      </c>
      <c r="P1793" t="str">
        <f t="shared" si="255"/>
        <v>NA</v>
      </c>
      <c r="Q1793" s="10">
        <f t="shared" ca="1" si="256"/>
        <v>69.285714285715088</v>
      </c>
      <c r="R1793" s="10">
        <f t="shared" ca="1" si="257"/>
        <v>128.21428571428532</v>
      </c>
      <c r="S1793" s="10">
        <f t="shared" ca="1" si="258"/>
        <v>-58.928571428570237</v>
      </c>
      <c r="T1793" s="10">
        <f t="shared" ca="1" si="259"/>
        <v>329.99999999999943</v>
      </c>
      <c r="U1793" s="10">
        <f t="shared" ca="1" si="260"/>
        <v>329.99999999999943</v>
      </c>
      <c r="V1793">
        <f t="shared" si="261"/>
        <v>3</v>
      </c>
    </row>
    <row r="1794" spans="1:22" x14ac:dyDescent="0.25">
      <c r="A1794">
        <v>200</v>
      </c>
      <c r="B1794">
        <v>2</v>
      </c>
      <c r="C1794">
        <v>30</v>
      </c>
      <c r="D1794">
        <v>1</v>
      </c>
      <c r="E1794">
        <v>1</v>
      </c>
      <c r="F1794">
        <v>0</v>
      </c>
      <c r="G1794">
        <v>0</v>
      </c>
      <c r="H1794">
        <v>350</v>
      </c>
      <c r="I1794">
        <f t="shared" si="262"/>
        <v>1791</v>
      </c>
      <c r="J1794" s="6">
        <f t="array" aca="1" ref="J1794:N1794" ca="1">TRANSPOSE(ols(OFFSET($C$2:$C$10,I1794,0),OFFSET($D$2:$H$10,I1794,0)))</f>
        <v>105.35714285714175</v>
      </c>
      <c r="K1794" s="6">
        <f ca="1"/>
        <v>-19.285714285714107</v>
      </c>
      <c r="L1794" s="6">
        <f ca="1"/>
        <v>22.857142857143572</v>
      </c>
      <c r="M1794" s="6">
        <f ca="1"/>
        <v>3.571428571428612</v>
      </c>
      <c r="N1794" s="6">
        <f ca="1"/>
        <v>-0.17857142857142527</v>
      </c>
      <c r="O1794" s="6">
        <f t="shared" ca="1" si="254"/>
        <v>23.571428571428797</v>
      </c>
      <c r="P1794" t="str">
        <f t="shared" si="255"/>
        <v>NA</v>
      </c>
      <c r="Q1794" s="10">
        <f t="shared" ca="1" si="256"/>
        <v>69.285714285715088</v>
      </c>
      <c r="R1794" s="10">
        <f t="shared" ca="1" si="257"/>
        <v>86.071428571427646</v>
      </c>
      <c r="S1794" s="10">
        <f t="shared" ca="1" si="258"/>
        <v>-16.785714285712558</v>
      </c>
      <c r="T1794" s="10">
        <f t="shared" ca="1" si="259"/>
        <v>93.999999999992056</v>
      </c>
      <c r="U1794" s="10" t="str">
        <f t="shared" ca="1" si="260"/>
        <v>OR</v>
      </c>
      <c r="V1794">
        <f t="shared" si="261"/>
        <v>2</v>
      </c>
    </row>
    <row r="1795" spans="1:22" x14ac:dyDescent="0.25">
      <c r="A1795">
        <v>200</v>
      </c>
      <c r="B1795">
        <v>3</v>
      </c>
      <c r="C1795">
        <v>0</v>
      </c>
      <c r="D1795">
        <v>1</v>
      </c>
      <c r="E1795">
        <v>1</v>
      </c>
      <c r="F1795">
        <v>0</v>
      </c>
      <c r="G1795">
        <v>0</v>
      </c>
      <c r="H1795">
        <v>450</v>
      </c>
      <c r="I1795">
        <f t="shared" si="262"/>
        <v>1791</v>
      </c>
      <c r="J1795" s="6">
        <f t="array" aca="1" ref="J1795:N1795" ca="1">TRANSPOSE(ols(OFFSET($C$2:$C$10,I1795,0),OFFSET($D$2:$H$10,I1795,0)))</f>
        <v>105.35714285714175</v>
      </c>
      <c r="K1795" s="6">
        <f ca="1"/>
        <v>-19.285714285714107</v>
      </c>
      <c r="L1795" s="6">
        <f ca="1"/>
        <v>22.857142857143572</v>
      </c>
      <c r="M1795" s="6">
        <f ca="1"/>
        <v>3.571428571428612</v>
      </c>
      <c r="N1795" s="6">
        <f ca="1"/>
        <v>-0.17857142857142527</v>
      </c>
      <c r="O1795" s="6">
        <f t="shared" ref="O1795:O1858" ca="1" si="263">SUMPRODUCT(J1795:N1795,D1795:H1795)</f>
        <v>5.7142857142862766</v>
      </c>
      <c r="P1795" t="str">
        <f t="shared" ref="P1795:P1858" si="264">IF(AND(F1795=1,G1795=1,H1795=350),O1795,"NA")</f>
        <v>NA</v>
      </c>
      <c r="Q1795" s="10">
        <f t="shared" ref="Q1795:Q1858" ca="1" si="265">AVERAGEIF($A$2:$A$5383,A1795,$P$2:$P$5383)</f>
        <v>69.285714285715088</v>
      </c>
      <c r="R1795" s="10">
        <f t="shared" ref="R1795:R1858" ca="1" si="266">O1795-N1795*H1795</f>
        <v>86.071428571427646</v>
      </c>
      <c r="S1795" s="10">
        <f t="shared" ref="S1795:S1858" ca="1" si="267">Q1795-R1795</f>
        <v>-16.785714285712558</v>
      </c>
      <c r="T1795" s="10">
        <f t="shared" ref="T1795:T1858" ca="1" si="268">S1795/N1795</f>
        <v>93.999999999992056</v>
      </c>
      <c r="U1795" s="10" t="str">
        <f t="shared" ref="U1795:U1858" ca="1" si="269">IF(OR(T1795&lt;250,T1795&gt;650),"OR",T1795)</f>
        <v>OR</v>
      </c>
      <c r="V1795">
        <f t="shared" ref="V1795:V1858" si="270">IF(AND(E1795=1,G1795=0),2,IF(AND(F1795=1,G1795=0),3,IF(AND(E1795=1,G1795=1),5,IF(AND(F1795=1,G1795=1),6,IF(G1795=0,1,IF(G1795=1,4))))))</f>
        <v>2</v>
      </c>
    </row>
    <row r="1796" spans="1:22" x14ac:dyDescent="0.25">
      <c r="A1796">
        <v>200</v>
      </c>
      <c r="B1796">
        <v>4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550</v>
      </c>
      <c r="I1796">
        <f t="shared" si="262"/>
        <v>1791</v>
      </c>
      <c r="J1796" s="6">
        <f t="array" aca="1" ref="J1796:N1796" ca="1">TRANSPOSE(ols(OFFSET($C$2:$C$10,I1796,0),OFFSET($D$2:$H$10,I1796,0)))</f>
        <v>105.35714285714175</v>
      </c>
      <c r="K1796" s="6">
        <f ca="1"/>
        <v>-19.285714285714107</v>
      </c>
      <c r="L1796" s="6">
        <f ca="1"/>
        <v>22.857142857143572</v>
      </c>
      <c r="M1796" s="6">
        <f ca="1"/>
        <v>3.571428571428612</v>
      </c>
      <c r="N1796" s="6">
        <f ca="1"/>
        <v>-0.17857142857142527</v>
      </c>
      <c r="O1796" s="6">
        <f t="shared" ca="1" si="263"/>
        <v>7.1428571428578493</v>
      </c>
      <c r="P1796" t="str">
        <f t="shared" si="264"/>
        <v>NA</v>
      </c>
      <c r="Q1796" s="10">
        <f t="shared" ca="1" si="265"/>
        <v>69.285714285715088</v>
      </c>
      <c r="R1796" s="10">
        <f t="shared" ca="1" si="266"/>
        <v>105.35714285714175</v>
      </c>
      <c r="S1796" s="10">
        <f t="shared" ca="1" si="267"/>
        <v>-36.071428571426665</v>
      </c>
      <c r="T1796" s="10">
        <f t="shared" ca="1" si="268"/>
        <v>201.99999999999307</v>
      </c>
      <c r="U1796" s="10" t="str">
        <f t="shared" ca="1" si="269"/>
        <v>OR</v>
      </c>
      <c r="V1796">
        <f t="shared" si="270"/>
        <v>1</v>
      </c>
    </row>
    <row r="1797" spans="1:22" x14ac:dyDescent="0.25">
      <c r="A1797">
        <v>200</v>
      </c>
      <c r="B1797">
        <v>5</v>
      </c>
      <c r="C1797">
        <v>90</v>
      </c>
      <c r="D1797">
        <v>1</v>
      </c>
      <c r="E1797">
        <v>0</v>
      </c>
      <c r="F1797">
        <v>1</v>
      </c>
      <c r="G1797">
        <v>1</v>
      </c>
      <c r="H1797">
        <v>250</v>
      </c>
      <c r="I1797">
        <f t="shared" si="262"/>
        <v>1791</v>
      </c>
      <c r="J1797" s="6">
        <f t="array" aca="1" ref="J1797:N1797" ca="1">TRANSPOSE(ols(OFFSET($C$2:$C$10,I1797,0),OFFSET($D$2:$H$10,I1797,0)))</f>
        <v>105.35714285714175</v>
      </c>
      <c r="K1797" s="6">
        <f ca="1"/>
        <v>-19.285714285714107</v>
      </c>
      <c r="L1797" s="6">
        <f ca="1"/>
        <v>22.857142857143572</v>
      </c>
      <c r="M1797" s="6">
        <f ca="1"/>
        <v>3.571428571428612</v>
      </c>
      <c r="N1797" s="6">
        <f ca="1"/>
        <v>-0.17857142857142527</v>
      </c>
      <c r="O1797" s="6">
        <f t="shared" ca="1" si="263"/>
        <v>87.142857142857622</v>
      </c>
      <c r="P1797" t="str">
        <f t="shared" si="264"/>
        <v>NA</v>
      </c>
      <c r="Q1797" s="10">
        <f t="shared" ca="1" si="265"/>
        <v>69.285714285715088</v>
      </c>
      <c r="R1797" s="10">
        <f t="shared" ca="1" si="266"/>
        <v>131.78571428571394</v>
      </c>
      <c r="S1797" s="10">
        <f t="shared" ca="1" si="267"/>
        <v>-62.499999999998849</v>
      </c>
      <c r="T1797" s="10">
        <f t="shared" ca="1" si="268"/>
        <v>350</v>
      </c>
      <c r="U1797" s="10">
        <f t="shared" ca="1" si="269"/>
        <v>350</v>
      </c>
      <c r="V1797">
        <f t="shared" si="270"/>
        <v>6</v>
      </c>
    </row>
    <row r="1798" spans="1:22" x14ac:dyDescent="0.25">
      <c r="A1798">
        <v>200</v>
      </c>
      <c r="B1798">
        <v>6</v>
      </c>
      <c r="C1798">
        <v>60</v>
      </c>
      <c r="D1798">
        <v>1</v>
      </c>
      <c r="E1798">
        <v>0</v>
      </c>
      <c r="F1798">
        <v>1</v>
      </c>
      <c r="G1798">
        <v>1</v>
      </c>
      <c r="H1798">
        <v>350</v>
      </c>
      <c r="I1798">
        <f t="shared" si="262"/>
        <v>1791</v>
      </c>
      <c r="J1798" s="6">
        <f t="array" aca="1" ref="J1798:N1798" ca="1">TRANSPOSE(ols(OFFSET($C$2:$C$10,I1798,0),OFFSET($D$2:$H$10,I1798,0)))</f>
        <v>105.35714285714175</v>
      </c>
      <c r="K1798" s="6">
        <f ca="1"/>
        <v>-19.285714285714107</v>
      </c>
      <c r="L1798" s="6">
        <f ca="1"/>
        <v>22.857142857143572</v>
      </c>
      <c r="M1798" s="6">
        <f ca="1"/>
        <v>3.571428571428612</v>
      </c>
      <c r="N1798" s="6">
        <f ca="1"/>
        <v>-0.17857142857142527</v>
      </c>
      <c r="O1798" s="6">
        <f t="shared" ca="1" si="263"/>
        <v>69.285714285715088</v>
      </c>
      <c r="P1798">
        <f t="shared" ca="1" si="264"/>
        <v>69.285714285715088</v>
      </c>
      <c r="Q1798" s="10">
        <f t="shared" ca="1" si="265"/>
        <v>69.285714285715088</v>
      </c>
      <c r="R1798" s="10">
        <f t="shared" ca="1" si="266"/>
        <v>131.78571428571394</v>
      </c>
      <c r="S1798" s="10">
        <f t="shared" ca="1" si="267"/>
        <v>-62.499999999998849</v>
      </c>
      <c r="T1798" s="10">
        <f t="shared" ca="1" si="268"/>
        <v>350</v>
      </c>
      <c r="U1798" s="10">
        <f t="shared" ca="1" si="269"/>
        <v>350</v>
      </c>
      <c r="V1798">
        <f t="shared" si="270"/>
        <v>6</v>
      </c>
    </row>
    <row r="1799" spans="1:22" x14ac:dyDescent="0.25">
      <c r="A1799">
        <v>200</v>
      </c>
      <c r="B1799">
        <v>7</v>
      </c>
      <c r="C1799">
        <v>0</v>
      </c>
      <c r="D1799">
        <v>1</v>
      </c>
      <c r="E1799">
        <v>1</v>
      </c>
      <c r="F1799">
        <v>0</v>
      </c>
      <c r="G1799">
        <v>1</v>
      </c>
      <c r="H1799">
        <v>450</v>
      </c>
      <c r="I1799">
        <f t="shared" si="262"/>
        <v>1791</v>
      </c>
      <c r="J1799" s="6">
        <f t="array" aca="1" ref="J1799:N1799" ca="1">TRANSPOSE(ols(OFFSET($C$2:$C$10,I1799,0),OFFSET($D$2:$H$10,I1799,0)))</f>
        <v>105.35714285714175</v>
      </c>
      <c r="K1799" s="6">
        <f ca="1"/>
        <v>-19.285714285714107</v>
      </c>
      <c r="L1799" s="6">
        <f ca="1"/>
        <v>22.857142857143572</v>
      </c>
      <c r="M1799" s="6">
        <f ca="1"/>
        <v>3.571428571428612</v>
      </c>
      <c r="N1799" s="6">
        <f ca="1"/>
        <v>-0.17857142857142527</v>
      </c>
      <c r="O1799" s="6">
        <f t="shared" ca="1" si="263"/>
        <v>9.2857142857148887</v>
      </c>
      <c r="P1799" t="str">
        <f t="shared" si="264"/>
        <v>NA</v>
      </c>
      <c r="Q1799" s="10">
        <f t="shared" ca="1" si="265"/>
        <v>69.285714285715088</v>
      </c>
      <c r="R1799" s="10">
        <f t="shared" ca="1" si="266"/>
        <v>89.642857142856258</v>
      </c>
      <c r="S1799" s="10">
        <f t="shared" ca="1" si="267"/>
        <v>-20.35714285714117</v>
      </c>
      <c r="T1799" s="10">
        <f t="shared" ca="1" si="268"/>
        <v>113.99999999999265</v>
      </c>
      <c r="U1799" s="10" t="str">
        <f t="shared" ca="1" si="269"/>
        <v>OR</v>
      </c>
      <c r="V1799">
        <f t="shared" si="270"/>
        <v>5</v>
      </c>
    </row>
    <row r="1800" spans="1:22" x14ac:dyDescent="0.25">
      <c r="A1800">
        <v>200</v>
      </c>
      <c r="B1800">
        <v>8</v>
      </c>
      <c r="C1800">
        <v>0</v>
      </c>
      <c r="D1800">
        <v>1</v>
      </c>
      <c r="E1800">
        <v>1</v>
      </c>
      <c r="F1800">
        <v>0</v>
      </c>
      <c r="G1800">
        <v>1</v>
      </c>
      <c r="H1800">
        <v>550</v>
      </c>
      <c r="I1800">
        <f t="shared" si="262"/>
        <v>1791</v>
      </c>
      <c r="J1800" s="6">
        <f t="array" aca="1" ref="J1800:N1800" ca="1">TRANSPOSE(ols(OFFSET($C$2:$C$10,I1800,0),OFFSET($D$2:$H$10,I1800,0)))</f>
        <v>105.35714285714175</v>
      </c>
      <c r="K1800" s="6">
        <f ca="1"/>
        <v>-19.285714285714107</v>
      </c>
      <c r="L1800" s="6">
        <f ca="1"/>
        <v>22.857142857143572</v>
      </c>
      <c r="M1800" s="6">
        <f ca="1"/>
        <v>3.571428571428612</v>
      </c>
      <c r="N1800" s="6">
        <f ca="1"/>
        <v>-0.17857142857142527</v>
      </c>
      <c r="O1800" s="6">
        <f t="shared" ca="1" si="263"/>
        <v>-8.5714285714276457</v>
      </c>
      <c r="P1800" t="str">
        <f t="shared" si="264"/>
        <v>NA</v>
      </c>
      <c r="Q1800" s="10">
        <f t="shared" ca="1" si="265"/>
        <v>69.285714285715088</v>
      </c>
      <c r="R1800" s="10">
        <f t="shared" ca="1" si="266"/>
        <v>89.642857142856258</v>
      </c>
      <c r="S1800" s="10">
        <f t="shared" ca="1" si="267"/>
        <v>-20.35714285714117</v>
      </c>
      <c r="T1800" s="10">
        <f t="shared" ca="1" si="268"/>
        <v>113.99999999999265</v>
      </c>
      <c r="U1800" s="10" t="str">
        <f t="shared" ca="1" si="269"/>
        <v>OR</v>
      </c>
      <c r="V1800">
        <f t="shared" si="270"/>
        <v>5</v>
      </c>
    </row>
    <row r="1801" spans="1:22" x14ac:dyDescent="0.25">
      <c r="A1801">
        <v>200</v>
      </c>
      <c r="B1801">
        <v>9</v>
      </c>
      <c r="C1801">
        <v>0</v>
      </c>
      <c r="D1801">
        <v>1</v>
      </c>
      <c r="E1801">
        <v>0</v>
      </c>
      <c r="F1801">
        <v>0</v>
      </c>
      <c r="G1801">
        <v>1</v>
      </c>
      <c r="H1801">
        <v>650</v>
      </c>
      <c r="I1801">
        <f t="shared" si="262"/>
        <v>1791</v>
      </c>
      <c r="J1801" s="6">
        <f t="array" aca="1" ref="J1801:N1801" ca="1">TRANSPOSE(ols(OFFSET($C$2:$C$10,I1801,0),OFFSET($D$2:$H$10,I1801,0)))</f>
        <v>105.35714285714175</v>
      </c>
      <c r="K1801" s="6">
        <f ca="1"/>
        <v>-19.285714285714107</v>
      </c>
      <c r="L1801" s="6">
        <f ca="1"/>
        <v>22.857142857143572</v>
      </c>
      <c r="M1801" s="6">
        <f ca="1"/>
        <v>3.571428571428612</v>
      </c>
      <c r="N1801" s="6">
        <f ca="1"/>
        <v>-0.17857142857142527</v>
      </c>
      <c r="O1801" s="6">
        <f t="shared" ca="1" si="263"/>
        <v>-7.1428571428560588</v>
      </c>
      <c r="P1801" t="str">
        <f t="shared" si="264"/>
        <v>NA</v>
      </c>
      <c r="Q1801" s="10">
        <f t="shared" ca="1" si="265"/>
        <v>69.285714285715088</v>
      </c>
      <c r="R1801" s="10">
        <f t="shared" ca="1" si="266"/>
        <v>108.92857142857036</v>
      </c>
      <c r="S1801" s="10">
        <f t="shared" ca="1" si="267"/>
        <v>-39.642857142855277</v>
      </c>
      <c r="T1801" s="10">
        <f t="shared" ca="1" si="268"/>
        <v>221.99999999999366</v>
      </c>
      <c r="U1801" s="10" t="str">
        <f t="shared" ca="1" si="269"/>
        <v>OR</v>
      </c>
      <c r="V1801">
        <f t="shared" si="270"/>
        <v>4</v>
      </c>
    </row>
    <row r="1802" spans="1:22" x14ac:dyDescent="0.25">
      <c r="A1802">
        <v>201</v>
      </c>
      <c r="B1802">
        <v>1</v>
      </c>
      <c r="C1802">
        <v>50</v>
      </c>
      <c r="D1802">
        <v>1</v>
      </c>
      <c r="E1802">
        <v>0</v>
      </c>
      <c r="F1802">
        <v>1</v>
      </c>
      <c r="G1802">
        <v>0</v>
      </c>
      <c r="H1802">
        <v>250</v>
      </c>
      <c r="I1802">
        <f t="shared" si="262"/>
        <v>1800</v>
      </c>
      <c r="J1802" s="6">
        <f t="array" aca="1" ref="J1802:N1802" ca="1">TRANSPOSE(ols(OFFSET($C$2:$C$10,I1802,0),OFFSET($D$2:$H$10,I1802,0)))</f>
        <v>172.61904761904498</v>
      </c>
      <c r="K1802" s="6">
        <f ca="1"/>
        <v>-8.928571428570649</v>
      </c>
      <c r="L1802" s="6">
        <f ca="1"/>
        <v>-27.38095238095093</v>
      </c>
      <c r="M1802" s="6">
        <f ca="1"/>
        <v>26.190476190476033</v>
      </c>
      <c r="N1802" s="6">
        <f ca="1"/>
        <v>-0.30952380952380842</v>
      </c>
      <c r="O1802" s="6">
        <f t="shared" ca="1" si="263"/>
        <v>67.857142857141937</v>
      </c>
      <c r="P1802" t="str">
        <f t="shared" si="264"/>
        <v>NA</v>
      </c>
      <c r="Q1802" s="10">
        <f t="shared" ca="1" si="265"/>
        <v>63.095238095237136</v>
      </c>
      <c r="R1802" s="10">
        <f t="shared" ca="1" si="266"/>
        <v>145.23809523809405</v>
      </c>
      <c r="S1802" s="10">
        <f t="shared" ca="1" si="267"/>
        <v>-82.142857142856911</v>
      </c>
      <c r="T1802" s="10">
        <f t="shared" ca="1" si="268"/>
        <v>265.38461538461559</v>
      </c>
      <c r="U1802" s="10">
        <f t="shared" ca="1" si="269"/>
        <v>265.38461538461559</v>
      </c>
      <c r="V1802">
        <f t="shared" si="270"/>
        <v>3</v>
      </c>
    </row>
    <row r="1803" spans="1:22" x14ac:dyDescent="0.25">
      <c r="A1803">
        <v>201</v>
      </c>
      <c r="B1803">
        <v>2</v>
      </c>
      <c r="C1803">
        <v>50</v>
      </c>
      <c r="D1803">
        <v>1</v>
      </c>
      <c r="E1803">
        <v>1</v>
      </c>
      <c r="F1803">
        <v>0</v>
      </c>
      <c r="G1803">
        <v>0</v>
      </c>
      <c r="H1803">
        <v>350</v>
      </c>
      <c r="I1803">
        <f t="shared" si="262"/>
        <v>1800</v>
      </c>
      <c r="J1803" s="6">
        <f t="array" aca="1" ref="J1803:N1803" ca="1">TRANSPOSE(ols(OFFSET($C$2:$C$10,I1803,0),OFFSET($D$2:$H$10,I1803,0)))</f>
        <v>172.61904761904498</v>
      </c>
      <c r="K1803" s="6">
        <f ca="1"/>
        <v>-8.928571428570649</v>
      </c>
      <c r="L1803" s="6">
        <f ca="1"/>
        <v>-27.38095238095093</v>
      </c>
      <c r="M1803" s="6">
        <f ca="1"/>
        <v>26.190476190476033</v>
      </c>
      <c r="N1803" s="6">
        <f ca="1"/>
        <v>-0.30952380952380842</v>
      </c>
      <c r="O1803" s="6">
        <f t="shared" ca="1" si="263"/>
        <v>55.357142857141383</v>
      </c>
      <c r="P1803" t="str">
        <f t="shared" si="264"/>
        <v>NA</v>
      </c>
      <c r="Q1803" s="10">
        <f t="shared" ca="1" si="265"/>
        <v>63.095238095237136</v>
      </c>
      <c r="R1803" s="10">
        <f t="shared" ca="1" si="266"/>
        <v>163.69047619047433</v>
      </c>
      <c r="S1803" s="10">
        <f t="shared" ca="1" si="267"/>
        <v>-100.59523809523719</v>
      </c>
      <c r="T1803" s="10">
        <f t="shared" ca="1" si="268"/>
        <v>324.99999999999824</v>
      </c>
      <c r="U1803" s="10">
        <f t="shared" ca="1" si="269"/>
        <v>324.99999999999824</v>
      </c>
      <c r="V1803">
        <f t="shared" si="270"/>
        <v>2</v>
      </c>
    </row>
    <row r="1804" spans="1:22" x14ac:dyDescent="0.25">
      <c r="A1804">
        <v>201</v>
      </c>
      <c r="B1804">
        <v>3</v>
      </c>
      <c r="C1804">
        <v>50</v>
      </c>
      <c r="D1804">
        <v>1</v>
      </c>
      <c r="E1804">
        <v>1</v>
      </c>
      <c r="F1804">
        <v>0</v>
      </c>
      <c r="G1804">
        <v>0</v>
      </c>
      <c r="H1804">
        <v>450</v>
      </c>
      <c r="I1804">
        <f t="shared" ref="I1804:I1867" si="271">IF(A1804&gt;A1803,I1803+9,I1803)</f>
        <v>1800</v>
      </c>
      <c r="J1804" s="6">
        <f t="array" aca="1" ref="J1804:N1804" ca="1">TRANSPOSE(ols(OFFSET($C$2:$C$10,I1804,0),OFFSET($D$2:$H$10,I1804,0)))</f>
        <v>172.61904761904498</v>
      </c>
      <c r="K1804" s="6">
        <f ca="1"/>
        <v>-8.928571428570649</v>
      </c>
      <c r="L1804" s="6">
        <f ca="1"/>
        <v>-27.38095238095093</v>
      </c>
      <c r="M1804" s="6">
        <f ca="1"/>
        <v>26.190476190476033</v>
      </c>
      <c r="N1804" s="6">
        <f ca="1"/>
        <v>-0.30952380952380842</v>
      </c>
      <c r="O1804" s="6">
        <f t="shared" ca="1" si="263"/>
        <v>24.404761904760534</v>
      </c>
      <c r="P1804" t="str">
        <f t="shared" si="264"/>
        <v>NA</v>
      </c>
      <c r="Q1804" s="10">
        <f t="shared" ca="1" si="265"/>
        <v>63.095238095237136</v>
      </c>
      <c r="R1804" s="10">
        <f t="shared" ca="1" si="266"/>
        <v>163.69047619047433</v>
      </c>
      <c r="S1804" s="10">
        <f t="shared" ca="1" si="267"/>
        <v>-100.59523809523719</v>
      </c>
      <c r="T1804" s="10">
        <f t="shared" ca="1" si="268"/>
        <v>324.99999999999824</v>
      </c>
      <c r="U1804" s="10">
        <f t="shared" ca="1" si="269"/>
        <v>324.99999999999824</v>
      </c>
      <c r="V1804">
        <f t="shared" si="270"/>
        <v>2</v>
      </c>
    </row>
    <row r="1805" spans="1:22" x14ac:dyDescent="0.25">
      <c r="A1805">
        <v>201</v>
      </c>
      <c r="B1805">
        <v>4</v>
      </c>
      <c r="C1805">
        <v>0</v>
      </c>
      <c r="D1805">
        <v>1</v>
      </c>
      <c r="E1805">
        <v>0</v>
      </c>
      <c r="F1805">
        <v>0</v>
      </c>
      <c r="G1805">
        <v>0</v>
      </c>
      <c r="H1805">
        <v>550</v>
      </c>
      <c r="I1805">
        <f t="shared" si="271"/>
        <v>1800</v>
      </c>
      <c r="J1805" s="6">
        <f t="array" aca="1" ref="J1805:N1805" ca="1">TRANSPOSE(ols(OFFSET($C$2:$C$10,I1805,0),OFFSET($D$2:$H$10,I1805,0)))</f>
        <v>172.61904761904498</v>
      </c>
      <c r="K1805" s="6">
        <f ca="1"/>
        <v>-8.928571428570649</v>
      </c>
      <c r="L1805" s="6">
        <f ca="1"/>
        <v>-27.38095238095093</v>
      </c>
      <c r="M1805" s="6">
        <f ca="1"/>
        <v>26.190476190476033</v>
      </c>
      <c r="N1805" s="6">
        <f ca="1"/>
        <v>-0.30952380952380842</v>
      </c>
      <c r="O1805" s="6">
        <f t="shared" ca="1" si="263"/>
        <v>2.3809523809503332</v>
      </c>
      <c r="P1805" t="str">
        <f t="shared" si="264"/>
        <v>NA</v>
      </c>
      <c r="Q1805" s="10">
        <f t="shared" ca="1" si="265"/>
        <v>63.095238095237136</v>
      </c>
      <c r="R1805" s="10">
        <f t="shared" ca="1" si="266"/>
        <v>172.61904761904498</v>
      </c>
      <c r="S1805" s="10">
        <f t="shared" ca="1" si="267"/>
        <v>-109.52380952380784</v>
      </c>
      <c r="T1805" s="10">
        <f t="shared" ca="1" si="268"/>
        <v>353.84615384614966</v>
      </c>
      <c r="U1805" s="10">
        <f t="shared" ca="1" si="269"/>
        <v>353.84615384614966</v>
      </c>
      <c r="V1805">
        <f t="shared" si="270"/>
        <v>1</v>
      </c>
    </row>
    <row r="1806" spans="1:22" x14ac:dyDescent="0.25">
      <c r="A1806">
        <v>201</v>
      </c>
      <c r="B1806">
        <v>5</v>
      </c>
      <c r="C1806">
        <v>100</v>
      </c>
      <c r="D1806">
        <v>1</v>
      </c>
      <c r="E1806">
        <v>0</v>
      </c>
      <c r="F1806">
        <v>1</v>
      </c>
      <c r="G1806">
        <v>1</v>
      </c>
      <c r="H1806">
        <v>250</v>
      </c>
      <c r="I1806">
        <f t="shared" si="271"/>
        <v>1800</v>
      </c>
      <c r="J1806" s="6">
        <f t="array" aca="1" ref="J1806:N1806" ca="1">TRANSPOSE(ols(OFFSET($C$2:$C$10,I1806,0),OFFSET($D$2:$H$10,I1806,0)))</f>
        <v>172.61904761904498</v>
      </c>
      <c r="K1806" s="6">
        <f ca="1"/>
        <v>-8.928571428570649</v>
      </c>
      <c r="L1806" s="6">
        <f ca="1"/>
        <v>-27.38095238095093</v>
      </c>
      <c r="M1806" s="6">
        <f ca="1"/>
        <v>26.190476190476033</v>
      </c>
      <c r="N1806" s="6">
        <f ca="1"/>
        <v>-0.30952380952380842</v>
      </c>
      <c r="O1806" s="6">
        <f t="shared" ca="1" si="263"/>
        <v>94.047619047617971</v>
      </c>
      <c r="P1806" t="str">
        <f t="shared" si="264"/>
        <v>NA</v>
      </c>
      <c r="Q1806" s="10">
        <f t="shared" ca="1" si="265"/>
        <v>63.095238095237136</v>
      </c>
      <c r="R1806" s="10">
        <f t="shared" ca="1" si="266"/>
        <v>171.42857142857008</v>
      </c>
      <c r="S1806" s="10">
        <f t="shared" ca="1" si="267"/>
        <v>-108.33333333333294</v>
      </c>
      <c r="T1806" s="10">
        <f t="shared" ca="1" si="268"/>
        <v>350</v>
      </c>
      <c r="U1806" s="10">
        <f t="shared" ca="1" si="269"/>
        <v>350</v>
      </c>
      <c r="V1806">
        <f t="shared" si="270"/>
        <v>6</v>
      </c>
    </row>
    <row r="1807" spans="1:22" x14ac:dyDescent="0.25">
      <c r="A1807">
        <v>201</v>
      </c>
      <c r="B1807">
        <v>6</v>
      </c>
      <c r="C1807">
        <v>75</v>
      </c>
      <c r="D1807">
        <v>1</v>
      </c>
      <c r="E1807">
        <v>0</v>
      </c>
      <c r="F1807">
        <v>1</v>
      </c>
      <c r="G1807">
        <v>1</v>
      </c>
      <c r="H1807">
        <v>350</v>
      </c>
      <c r="I1807">
        <f t="shared" si="271"/>
        <v>1800</v>
      </c>
      <c r="J1807" s="6">
        <f t="array" aca="1" ref="J1807:N1807" ca="1">TRANSPOSE(ols(OFFSET($C$2:$C$10,I1807,0),OFFSET($D$2:$H$10,I1807,0)))</f>
        <v>172.61904761904498</v>
      </c>
      <c r="K1807" s="6">
        <f ca="1"/>
        <v>-8.928571428570649</v>
      </c>
      <c r="L1807" s="6">
        <f ca="1"/>
        <v>-27.38095238095093</v>
      </c>
      <c r="M1807" s="6">
        <f ca="1"/>
        <v>26.190476190476033</v>
      </c>
      <c r="N1807" s="6">
        <f ca="1"/>
        <v>-0.30952380952380842</v>
      </c>
      <c r="O1807" s="6">
        <f t="shared" ca="1" si="263"/>
        <v>63.095238095237136</v>
      </c>
      <c r="P1807">
        <f t="shared" ca="1" si="264"/>
        <v>63.095238095237136</v>
      </c>
      <c r="Q1807" s="10">
        <f t="shared" ca="1" si="265"/>
        <v>63.095238095237136</v>
      </c>
      <c r="R1807" s="10">
        <f t="shared" ca="1" si="266"/>
        <v>171.42857142857008</v>
      </c>
      <c r="S1807" s="10">
        <f t="shared" ca="1" si="267"/>
        <v>-108.33333333333294</v>
      </c>
      <c r="T1807" s="10">
        <f t="shared" ca="1" si="268"/>
        <v>350</v>
      </c>
      <c r="U1807" s="10">
        <f t="shared" ca="1" si="269"/>
        <v>350</v>
      </c>
      <c r="V1807">
        <f t="shared" si="270"/>
        <v>6</v>
      </c>
    </row>
    <row r="1808" spans="1:22" x14ac:dyDescent="0.25">
      <c r="A1808">
        <v>201</v>
      </c>
      <c r="B1808">
        <v>7</v>
      </c>
      <c r="C1808">
        <v>50</v>
      </c>
      <c r="D1808">
        <v>1</v>
      </c>
      <c r="E1808">
        <v>1</v>
      </c>
      <c r="F1808">
        <v>0</v>
      </c>
      <c r="G1808">
        <v>1</v>
      </c>
      <c r="H1808">
        <v>450</v>
      </c>
      <c r="I1808">
        <f t="shared" si="271"/>
        <v>1800</v>
      </c>
      <c r="J1808" s="6">
        <f t="array" aca="1" ref="J1808:N1808" ca="1">TRANSPOSE(ols(OFFSET($C$2:$C$10,I1808,0),OFFSET($D$2:$H$10,I1808,0)))</f>
        <v>172.61904761904498</v>
      </c>
      <c r="K1808" s="6">
        <f ca="1"/>
        <v>-8.928571428570649</v>
      </c>
      <c r="L1808" s="6">
        <f ca="1"/>
        <v>-27.38095238095093</v>
      </c>
      <c r="M1808" s="6">
        <f ca="1"/>
        <v>26.190476190476033</v>
      </c>
      <c r="N1808" s="6">
        <f ca="1"/>
        <v>-0.30952380952380842</v>
      </c>
      <c r="O1808" s="6">
        <f t="shared" ca="1" si="263"/>
        <v>50.595238095236567</v>
      </c>
      <c r="P1808" t="str">
        <f t="shared" si="264"/>
        <v>NA</v>
      </c>
      <c r="Q1808" s="10">
        <f t="shared" ca="1" si="265"/>
        <v>63.095238095237136</v>
      </c>
      <c r="R1808" s="10">
        <f t="shared" ca="1" si="266"/>
        <v>189.88095238095036</v>
      </c>
      <c r="S1808" s="10">
        <f t="shared" ca="1" si="267"/>
        <v>-126.78571428571323</v>
      </c>
      <c r="T1808" s="10">
        <f t="shared" ca="1" si="268"/>
        <v>409.61538461538265</v>
      </c>
      <c r="U1808" s="10">
        <f t="shared" ca="1" si="269"/>
        <v>409.61538461538265</v>
      </c>
      <c r="V1808">
        <f t="shared" si="270"/>
        <v>5</v>
      </c>
    </row>
    <row r="1809" spans="1:22" x14ac:dyDescent="0.25">
      <c r="A1809">
        <v>201</v>
      </c>
      <c r="B1809">
        <v>8</v>
      </c>
      <c r="C1809">
        <v>0</v>
      </c>
      <c r="D1809">
        <v>1</v>
      </c>
      <c r="E1809">
        <v>1</v>
      </c>
      <c r="F1809">
        <v>0</v>
      </c>
      <c r="G1809">
        <v>1</v>
      </c>
      <c r="H1809">
        <v>550</v>
      </c>
      <c r="I1809">
        <f t="shared" si="271"/>
        <v>1800</v>
      </c>
      <c r="J1809" s="6">
        <f t="array" aca="1" ref="J1809:N1809" ca="1">TRANSPOSE(ols(OFFSET($C$2:$C$10,I1809,0),OFFSET($D$2:$H$10,I1809,0)))</f>
        <v>172.61904761904498</v>
      </c>
      <c r="K1809" s="6">
        <f ca="1"/>
        <v>-8.928571428570649</v>
      </c>
      <c r="L1809" s="6">
        <f ca="1"/>
        <v>-27.38095238095093</v>
      </c>
      <c r="M1809" s="6">
        <f ca="1"/>
        <v>26.190476190476033</v>
      </c>
      <c r="N1809" s="6">
        <f ca="1"/>
        <v>-0.30952380952380842</v>
      </c>
      <c r="O1809" s="6">
        <f t="shared" ca="1" si="263"/>
        <v>19.642857142855718</v>
      </c>
      <c r="P1809" t="str">
        <f t="shared" si="264"/>
        <v>NA</v>
      </c>
      <c r="Q1809" s="10">
        <f t="shared" ca="1" si="265"/>
        <v>63.095238095237136</v>
      </c>
      <c r="R1809" s="10">
        <f t="shared" ca="1" si="266"/>
        <v>189.88095238095036</v>
      </c>
      <c r="S1809" s="10">
        <f t="shared" ca="1" si="267"/>
        <v>-126.78571428571323</v>
      </c>
      <c r="T1809" s="10">
        <f t="shared" ca="1" si="268"/>
        <v>409.61538461538265</v>
      </c>
      <c r="U1809" s="10">
        <f t="shared" ca="1" si="269"/>
        <v>409.61538461538265</v>
      </c>
      <c r="V1809">
        <f t="shared" si="270"/>
        <v>5</v>
      </c>
    </row>
    <row r="1810" spans="1:22" x14ac:dyDescent="0.25">
      <c r="A1810">
        <v>201</v>
      </c>
      <c r="B1810">
        <v>9</v>
      </c>
      <c r="C1810">
        <v>0</v>
      </c>
      <c r="D1810">
        <v>1</v>
      </c>
      <c r="E1810">
        <v>0</v>
      </c>
      <c r="F1810">
        <v>0</v>
      </c>
      <c r="G1810">
        <v>1</v>
      </c>
      <c r="H1810">
        <v>650</v>
      </c>
      <c r="I1810">
        <f t="shared" si="271"/>
        <v>1800</v>
      </c>
      <c r="J1810" s="6">
        <f t="array" aca="1" ref="J1810:N1810" ca="1">TRANSPOSE(ols(OFFSET($C$2:$C$10,I1810,0),OFFSET($D$2:$H$10,I1810,0)))</f>
        <v>172.61904761904498</v>
      </c>
      <c r="K1810" s="6">
        <f ca="1"/>
        <v>-8.928571428570649</v>
      </c>
      <c r="L1810" s="6">
        <f ca="1"/>
        <v>-27.38095238095093</v>
      </c>
      <c r="M1810" s="6">
        <f ca="1"/>
        <v>26.190476190476033</v>
      </c>
      <c r="N1810" s="6">
        <f ca="1"/>
        <v>-0.30952380952380842</v>
      </c>
      <c r="O1810" s="6">
        <f t="shared" ca="1" si="263"/>
        <v>-2.3809523809544544</v>
      </c>
      <c r="P1810" t="str">
        <f t="shared" si="264"/>
        <v>NA</v>
      </c>
      <c r="Q1810" s="10">
        <f t="shared" ca="1" si="265"/>
        <v>63.095238095237136</v>
      </c>
      <c r="R1810" s="10">
        <f t="shared" ca="1" si="266"/>
        <v>198.80952380952101</v>
      </c>
      <c r="S1810" s="10">
        <f t="shared" ca="1" si="267"/>
        <v>-135.71428571428387</v>
      </c>
      <c r="T1810" s="10">
        <f t="shared" ca="1" si="268"/>
        <v>438.46153846153408</v>
      </c>
      <c r="U1810" s="10">
        <f t="shared" ca="1" si="269"/>
        <v>438.46153846153408</v>
      </c>
      <c r="V1810">
        <f t="shared" si="270"/>
        <v>4</v>
      </c>
    </row>
    <row r="1811" spans="1:22" x14ac:dyDescent="0.25">
      <c r="A1811">
        <v>202</v>
      </c>
      <c r="B1811">
        <v>1</v>
      </c>
      <c r="C1811">
        <v>70</v>
      </c>
      <c r="D1811">
        <v>1</v>
      </c>
      <c r="E1811">
        <v>0</v>
      </c>
      <c r="F1811">
        <v>1</v>
      </c>
      <c r="G1811">
        <v>0</v>
      </c>
      <c r="H1811">
        <v>250</v>
      </c>
      <c r="I1811">
        <f t="shared" si="271"/>
        <v>1809</v>
      </c>
      <c r="J1811" s="6">
        <f t="array" aca="1" ref="J1811:N1811" ca="1">TRANSPOSE(ols(OFFSET($C$2:$C$10,I1811,0),OFFSET($D$2:$H$10,I1811,0)))</f>
        <v>107.61904761904771</v>
      </c>
      <c r="K1811" s="6">
        <f ca="1"/>
        <v>-3.9285714285715585</v>
      </c>
      <c r="L1811" s="6">
        <f ca="1"/>
        <v>-7.3809523809532038</v>
      </c>
      <c r="M1811" s="6">
        <f ca="1"/>
        <v>11.190476190476602</v>
      </c>
      <c r="N1811" s="6">
        <f ca="1"/>
        <v>-0.10952380952381091</v>
      </c>
      <c r="O1811" s="6">
        <f t="shared" ca="1" si="263"/>
        <v>72.857142857141781</v>
      </c>
      <c r="P1811" t="str">
        <f t="shared" si="264"/>
        <v>NA</v>
      </c>
      <c r="Q1811" s="10">
        <f t="shared" ca="1" si="265"/>
        <v>73.095238095237278</v>
      </c>
      <c r="R1811" s="10">
        <f t="shared" ca="1" si="266"/>
        <v>100.2380952380945</v>
      </c>
      <c r="S1811" s="10">
        <f t="shared" ca="1" si="267"/>
        <v>-27.142857142857224</v>
      </c>
      <c r="T1811" s="10">
        <f t="shared" ca="1" si="268"/>
        <v>247.82608695651933</v>
      </c>
      <c r="U1811" s="10" t="str">
        <f t="shared" ca="1" si="269"/>
        <v>OR</v>
      </c>
      <c r="V1811">
        <f t="shared" si="270"/>
        <v>3</v>
      </c>
    </row>
    <row r="1812" spans="1:22" x14ac:dyDescent="0.25">
      <c r="A1812">
        <v>202</v>
      </c>
      <c r="B1812">
        <v>2</v>
      </c>
      <c r="C1812">
        <v>65</v>
      </c>
      <c r="D1812">
        <v>1</v>
      </c>
      <c r="E1812">
        <v>1</v>
      </c>
      <c r="F1812">
        <v>0</v>
      </c>
      <c r="G1812">
        <v>0</v>
      </c>
      <c r="H1812">
        <v>350</v>
      </c>
      <c r="I1812">
        <f t="shared" si="271"/>
        <v>1809</v>
      </c>
      <c r="J1812" s="6">
        <f t="array" aca="1" ref="J1812:N1812" ca="1">TRANSPOSE(ols(OFFSET($C$2:$C$10,I1812,0),OFFSET($D$2:$H$10,I1812,0)))</f>
        <v>107.61904761904771</v>
      </c>
      <c r="K1812" s="6">
        <f ca="1"/>
        <v>-3.9285714285715585</v>
      </c>
      <c r="L1812" s="6">
        <f ca="1"/>
        <v>-7.3809523809532038</v>
      </c>
      <c r="M1812" s="6">
        <f ca="1"/>
        <v>11.190476190476602</v>
      </c>
      <c r="N1812" s="6">
        <f ca="1"/>
        <v>-0.10952380952381091</v>
      </c>
      <c r="O1812" s="6">
        <f t="shared" ca="1" si="263"/>
        <v>65.357142857142321</v>
      </c>
      <c r="P1812" t="str">
        <f t="shared" si="264"/>
        <v>NA</v>
      </c>
      <c r="Q1812" s="10">
        <f t="shared" ca="1" si="265"/>
        <v>73.095238095237278</v>
      </c>
      <c r="R1812" s="10">
        <f t="shared" ca="1" si="266"/>
        <v>103.69047619047615</v>
      </c>
      <c r="S1812" s="10">
        <f t="shared" ca="1" si="267"/>
        <v>-30.595238095238869</v>
      </c>
      <c r="T1812" s="10">
        <f t="shared" ca="1" si="268"/>
        <v>279.34782608696003</v>
      </c>
      <c r="U1812" s="10">
        <f t="shared" ca="1" si="269"/>
        <v>279.34782608696003</v>
      </c>
      <c r="V1812">
        <f t="shared" si="270"/>
        <v>2</v>
      </c>
    </row>
    <row r="1813" spans="1:22" x14ac:dyDescent="0.25">
      <c r="A1813">
        <v>202</v>
      </c>
      <c r="B1813">
        <v>3</v>
      </c>
      <c r="C1813">
        <v>55</v>
      </c>
      <c r="D1813">
        <v>1</v>
      </c>
      <c r="E1813">
        <v>1</v>
      </c>
      <c r="F1813">
        <v>0</v>
      </c>
      <c r="G1813">
        <v>0</v>
      </c>
      <c r="H1813">
        <v>450</v>
      </c>
      <c r="I1813">
        <f t="shared" si="271"/>
        <v>1809</v>
      </c>
      <c r="J1813" s="6">
        <f t="array" aca="1" ref="J1813:N1813" ca="1">TRANSPOSE(ols(OFFSET($C$2:$C$10,I1813,0),OFFSET($D$2:$H$10,I1813,0)))</f>
        <v>107.61904761904771</v>
      </c>
      <c r="K1813" s="6">
        <f ca="1"/>
        <v>-3.9285714285715585</v>
      </c>
      <c r="L1813" s="6">
        <f ca="1"/>
        <v>-7.3809523809532038</v>
      </c>
      <c r="M1813" s="6">
        <f ca="1"/>
        <v>11.190476190476602</v>
      </c>
      <c r="N1813" s="6">
        <f ca="1"/>
        <v>-0.10952380952381091</v>
      </c>
      <c r="O1813" s="6">
        <f t="shared" ca="1" si="263"/>
        <v>54.404761904761237</v>
      </c>
      <c r="P1813" t="str">
        <f t="shared" si="264"/>
        <v>NA</v>
      </c>
      <c r="Q1813" s="10">
        <f t="shared" ca="1" si="265"/>
        <v>73.095238095237278</v>
      </c>
      <c r="R1813" s="10">
        <f t="shared" ca="1" si="266"/>
        <v>103.69047619047615</v>
      </c>
      <c r="S1813" s="10">
        <f t="shared" ca="1" si="267"/>
        <v>-30.595238095238869</v>
      </c>
      <c r="T1813" s="10">
        <f t="shared" ca="1" si="268"/>
        <v>279.34782608696003</v>
      </c>
      <c r="U1813" s="10">
        <f t="shared" ca="1" si="269"/>
        <v>279.34782608696003</v>
      </c>
      <c r="V1813">
        <f t="shared" si="270"/>
        <v>2</v>
      </c>
    </row>
    <row r="1814" spans="1:22" x14ac:dyDescent="0.25">
      <c r="A1814">
        <v>202</v>
      </c>
      <c r="B1814">
        <v>4</v>
      </c>
      <c r="C1814">
        <v>50</v>
      </c>
      <c r="D1814">
        <v>1</v>
      </c>
      <c r="E1814">
        <v>0</v>
      </c>
      <c r="F1814">
        <v>0</v>
      </c>
      <c r="G1814">
        <v>0</v>
      </c>
      <c r="H1814">
        <v>550</v>
      </c>
      <c r="I1814">
        <f t="shared" si="271"/>
        <v>1809</v>
      </c>
      <c r="J1814" s="6">
        <f t="array" aca="1" ref="J1814:N1814" ca="1">TRANSPOSE(ols(OFFSET($C$2:$C$10,I1814,0),OFFSET($D$2:$H$10,I1814,0)))</f>
        <v>107.61904761904771</v>
      </c>
      <c r="K1814" s="6">
        <f ca="1"/>
        <v>-3.9285714285715585</v>
      </c>
      <c r="L1814" s="6">
        <f ca="1"/>
        <v>-7.3809523809532038</v>
      </c>
      <c r="M1814" s="6">
        <f ca="1"/>
        <v>11.190476190476602</v>
      </c>
      <c r="N1814" s="6">
        <f ca="1"/>
        <v>-0.10952380952381091</v>
      </c>
      <c r="O1814" s="6">
        <f t="shared" ca="1" si="263"/>
        <v>47.380952380951705</v>
      </c>
      <c r="P1814" t="str">
        <f t="shared" si="264"/>
        <v>NA</v>
      </c>
      <c r="Q1814" s="10">
        <f t="shared" ca="1" si="265"/>
        <v>73.095238095237278</v>
      </c>
      <c r="R1814" s="10">
        <f t="shared" ca="1" si="266"/>
        <v>107.61904761904771</v>
      </c>
      <c r="S1814" s="10">
        <f t="shared" ca="1" si="267"/>
        <v>-34.523809523810428</v>
      </c>
      <c r="T1814" s="10">
        <f t="shared" ca="1" si="268"/>
        <v>315.21739130435208</v>
      </c>
      <c r="U1814" s="10">
        <f t="shared" ca="1" si="269"/>
        <v>315.21739130435208</v>
      </c>
      <c r="V1814">
        <f t="shared" si="270"/>
        <v>1</v>
      </c>
    </row>
    <row r="1815" spans="1:22" x14ac:dyDescent="0.25">
      <c r="A1815">
        <v>202</v>
      </c>
      <c r="B1815">
        <v>5</v>
      </c>
      <c r="C1815">
        <v>80</v>
      </c>
      <c r="D1815">
        <v>1</v>
      </c>
      <c r="E1815">
        <v>0</v>
      </c>
      <c r="F1815">
        <v>1</v>
      </c>
      <c r="G1815">
        <v>1</v>
      </c>
      <c r="H1815">
        <v>250</v>
      </c>
      <c r="I1815">
        <f t="shared" si="271"/>
        <v>1809</v>
      </c>
      <c r="J1815" s="6">
        <f t="array" aca="1" ref="J1815:N1815" ca="1">TRANSPOSE(ols(OFFSET($C$2:$C$10,I1815,0),OFFSET($D$2:$H$10,I1815,0)))</f>
        <v>107.61904761904771</v>
      </c>
      <c r="K1815" s="6">
        <f ca="1"/>
        <v>-3.9285714285715585</v>
      </c>
      <c r="L1815" s="6">
        <f ca="1"/>
        <v>-7.3809523809532038</v>
      </c>
      <c r="M1815" s="6">
        <f ca="1"/>
        <v>11.190476190476602</v>
      </c>
      <c r="N1815" s="6">
        <f ca="1"/>
        <v>-0.10952380952381091</v>
      </c>
      <c r="O1815" s="6">
        <f t="shared" ca="1" si="263"/>
        <v>84.047619047618383</v>
      </c>
      <c r="P1815" t="str">
        <f t="shared" si="264"/>
        <v>NA</v>
      </c>
      <c r="Q1815" s="10">
        <f t="shared" ca="1" si="265"/>
        <v>73.095238095237278</v>
      </c>
      <c r="R1815" s="10">
        <f t="shared" ca="1" si="266"/>
        <v>111.4285714285711</v>
      </c>
      <c r="S1815" s="10">
        <f t="shared" ca="1" si="267"/>
        <v>-38.333333333333826</v>
      </c>
      <c r="T1815" s="10">
        <f t="shared" ca="1" si="268"/>
        <v>350.00000000000006</v>
      </c>
      <c r="U1815" s="10">
        <f t="shared" ca="1" si="269"/>
        <v>350.00000000000006</v>
      </c>
      <c r="V1815">
        <f t="shared" si="270"/>
        <v>6</v>
      </c>
    </row>
    <row r="1816" spans="1:22" x14ac:dyDescent="0.25">
      <c r="A1816">
        <v>202</v>
      </c>
      <c r="B1816">
        <v>6</v>
      </c>
      <c r="C1816">
        <v>80</v>
      </c>
      <c r="D1816">
        <v>1</v>
      </c>
      <c r="E1816">
        <v>0</v>
      </c>
      <c r="F1816">
        <v>1</v>
      </c>
      <c r="G1816">
        <v>1</v>
      </c>
      <c r="H1816">
        <v>350</v>
      </c>
      <c r="I1816">
        <f t="shared" si="271"/>
        <v>1809</v>
      </c>
      <c r="J1816" s="6">
        <f t="array" aca="1" ref="J1816:N1816" ca="1">TRANSPOSE(ols(OFFSET($C$2:$C$10,I1816,0),OFFSET($D$2:$H$10,I1816,0)))</f>
        <v>107.61904761904771</v>
      </c>
      <c r="K1816" s="6">
        <f ca="1"/>
        <v>-3.9285714285715585</v>
      </c>
      <c r="L1816" s="6">
        <f ca="1"/>
        <v>-7.3809523809532038</v>
      </c>
      <c r="M1816" s="6">
        <f ca="1"/>
        <v>11.190476190476602</v>
      </c>
      <c r="N1816" s="6">
        <f ca="1"/>
        <v>-0.10952380952381091</v>
      </c>
      <c r="O1816" s="6">
        <f t="shared" ca="1" si="263"/>
        <v>73.095238095237278</v>
      </c>
      <c r="P1816">
        <f t="shared" ca="1" si="264"/>
        <v>73.095238095237278</v>
      </c>
      <c r="Q1816" s="10">
        <f t="shared" ca="1" si="265"/>
        <v>73.095238095237278</v>
      </c>
      <c r="R1816" s="10">
        <f t="shared" ca="1" si="266"/>
        <v>111.4285714285711</v>
      </c>
      <c r="S1816" s="10">
        <f t="shared" ca="1" si="267"/>
        <v>-38.333333333333826</v>
      </c>
      <c r="T1816" s="10">
        <f t="shared" ca="1" si="268"/>
        <v>350.00000000000006</v>
      </c>
      <c r="U1816" s="10">
        <f t="shared" ca="1" si="269"/>
        <v>350.00000000000006</v>
      </c>
      <c r="V1816">
        <f t="shared" si="270"/>
        <v>6</v>
      </c>
    </row>
    <row r="1817" spans="1:22" x14ac:dyDescent="0.25">
      <c r="A1817">
        <v>202</v>
      </c>
      <c r="B1817">
        <v>7</v>
      </c>
      <c r="C1817">
        <v>70</v>
      </c>
      <c r="D1817">
        <v>1</v>
      </c>
      <c r="E1817">
        <v>1</v>
      </c>
      <c r="F1817">
        <v>0</v>
      </c>
      <c r="G1817">
        <v>1</v>
      </c>
      <c r="H1817">
        <v>450</v>
      </c>
      <c r="I1817">
        <f t="shared" si="271"/>
        <v>1809</v>
      </c>
      <c r="J1817" s="6">
        <f t="array" aca="1" ref="J1817:N1817" ca="1">TRANSPOSE(ols(OFFSET($C$2:$C$10,I1817,0),OFFSET($D$2:$H$10,I1817,0)))</f>
        <v>107.61904761904771</v>
      </c>
      <c r="K1817" s="6">
        <f ca="1"/>
        <v>-3.9285714285715585</v>
      </c>
      <c r="L1817" s="6">
        <f ca="1"/>
        <v>-7.3809523809532038</v>
      </c>
      <c r="M1817" s="6">
        <f ca="1"/>
        <v>11.190476190476602</v>
      </c>
      <c r="N1817" s="6">
        <f ca="1"/>
        <v>-0.10952380952381091</v>
      </c>
      <c r="O1817" s="6">
        <f t="shared" ca="1" si="263"/>
        <v>65.595238095237846</v>
      </c>
      <c r="P1817" t="str">
        <f t="shared" si="264"/>
        <v>NA</v>
      </c>
      <c r="Q1817" s="10">
        <f t="shared" ca="1" si="265"/>
        <v>73.095238095237278</v>
      </c>
      <c r="R1817" s="10">
        <f t="shared" ca="1" si="266"/>
        <v>114.88095238095275</v>
      </c>
      <c r="S1817" s="10">
        <f t="shared" ca="1" si="267"/>
        <v>-41.785714285715471</v>
      </c>
      <c r="T1817" s="10">
        <f t="shared" ca="1" si="268"/>
        <v>381.52173913044078</v>
      </c>
      <c r="U1817" s="10">
        <f t="shared" ca="1" si="269"/>
        <v>381.52173913044078</v>
      </c>
      <c r="V1817">
        <f t="shared" si="270"/>
        <v>5</v>
      </c>
    </row>
    <row r="1818" spans="1:22" x14ac:dyDescent="0.25">
      <c r="A1818">
        <v>202</v>
      </c>
      <c r="B1818">
        <v>8</v>
      </c>
      <c r="C1818">
        <v>50</v>
      </c>
      <c r="D1818">
        <v>1</v>
      </c>
      <c r="E1818">
        <v>1</v>
      </c>
      <c r="F1818">
        <v>0</v>
      </c>
      <c r="G1818">
        <v>1</v>
      </c>
      <c r="H1818">
        <v>550</v>
      </c>
      <c r="I1818">
        <f t="shared" si="271"/>
        <v>1809</v>
      </c>
      <c r="J1818" s="6">
        <f t="array" aca="1" ref="J1818:N1818" ca="1">TRANSPOSE(ols(OFFSET($C$2:$C$10,I1818,0),OFFSET($D$2:$H$10,I1818,0)))</f>
        <v>107.61904761904771</v>
      </c>
      <c r="K1818" s="6">
        <f ca="1"/>
        <v>-3.9285714285715585</v>
      </c>
      <c r="L1818" s="6">
        <f ca="1"/>
        <v>-7.3809523809532038</v>
      </c>
      <c r="M1818" s="6">
        <f ca="1"/>
        <v>11.190476190476602</v>
      </c>
      <c r="N1818" s="6">
        <f ca="1"/>
        <v>-0.10952380952381091</v>
      </c>
      <c r="O1818" s="6">
        <f t="shared" ca="1" si="263"/>
        <v>54.642857142856748</v>
      </c>
      <c r="P1818" t="str">
        <f t="shared" si="264"/>
        <v>NA</v>
      </c>
      <c r="Q1818" s="10">
        <f t="shared" ca="1" si="265"/>
        <v>73.095238095237278</v>
      </c>
      <c r="R1818" s="10">
        <f t="shared" ca="1" si="266"/>
        <v>114.88095238095275</v>
      </c>
      <c r="S1818" s="10">
        <f t="shared" ca="1" si="267"/>
        <v>-41.785714285715471</v>
      </c>
      <c r="T1818" s="10">
        <f t="shared" ca="1" si="268"/>
        <v>381.52173913044078</v>
      </c>
      <c r="U1818" s="10">
        <f t="shared" ca="1" si="269"/>
        <v>381.52173913044078</v>
      </c>
      <c r="V1818">
        <f t="shared" si="270"/>
        <v>5</v>
      </c>
    </row>
    <row r="1819" spans="1:22" x14ac:dyDescent="0.25">
      <c r="A1819">
        <v>202</v>
      </c>
      <c r="B1819">
        <v>9</v>
      </c>
      <c r="C1819">
        <v>45</v>
      </c>
      <c r="D1819">
        <v>1</v>
      </c>
      <c r="E1819">
        <v>0</v>
      </c>
      <c r="F1819">
        <v>0</v>
      </c>
      <c r="G1819">
        <v>1</v>
      </c>
      <c r="H1819">
        <v>650</v>
      </c>
      <c r="I1819">
        <f t="shared" si="271"/>
        <v>1809</v>
      </c>
      <c r="J1819" s="6">
        <f t="array" aca="1" ref="J1819:N1819" ca="1">TRANSPOSE(ols(OFFSET($C$2:$C$10,I1819,0),OFFSET($D$2:$H$10,I1819,0)))</f>
        <v>107.61904761904771</v>
      </c>
      <c r="K1819" s="6">
        <f ca="1"/>
        <v>-3.9285714285715585</v>
      </c>
      <c r="L1819" s="6">
        <f ca="1"/>
        <v>-7.3809523809532038</v>
      </c>
      <c r="M1819" s="6">
        <f ca="1"/>
        <v>11.190476190476602</v>
      </c>
      <c r="N1819" s="6">
        <f ca="1"/>
        <v>-0.10952380952381091</v>
      </c>
      <c r="O1819" s="6">
        <f t="shared" ca="1" si="263"/>
        <v>47.619047619047222</v>
      </c>
      <c r="P1819" t="str">
        <f t="shared" si="264"/>
        <v>NA</v>
      </c>
      <c r="Q1819" s="10">
        <f t="shared" ca="1" si="265"/>
        <v>73.095238095237278</v>
      </c>
      <c r="R1819" s="10">
        <f t="shared" ca="1" si="266"/>
        <v>118.80952380952431</v>
      </c>
      <c r="S1819" s="10">
        <f t="shared" ca="1" si="267"/>
        <v>-45.71428571428703</v>
      </c>
      <c r="T1819" s="10">
        <f t="shared" ca="1" si="268"/>
        <v>417.39130434783283</v>
      </c>
      <c r="U1819" s="10">
        <f t="shared" ca="1" si="269"/>
        <v>417.39130434783283</v>
      </c>
      <c r="V1819">
        <f t="shared" si="270"/>
        <v>4</v>
      </c>
    </row>
    <row r="1820" spans="1:22" x14ac:dyDescent="0.25">
      <c r="A1820">
        <v>203</v>
      </c>
      <c r="B1820">
        <v>1</v>
      </c>
      <c r="C1820">
        <v>100</v>
      </c>
      <c r="D1820">
        <v>1</v>
      </c>
      <c r="E1820">
        <v>0</v>
      </c>
      <c r="F1820">
        <v>1</v>
      </c>
      <c r="G1820">
        <v>0</v>
      </c>
      <c r="H1820">
        <v>250</v>
      </c>
      <c r="I1820">
        <f t="shared" si="271"/>
        <v>1818</v>
      </c>
      <c r="J1820" s="6">
        <f t="array" aca="1" ref="J1820:N1820" ca="1">TRANSPOSE(ols(OFFSET($C$2:$C$10,I1820,0),OFFSET($D$2:$H$10,I1820,0)))</f>
        <v>144.22619047618718</v>
      </c>
      <c r="K1820" s="6">
        <f ca="1"/>
        <v>-3.2142857142857792</v>
      </c>
      <c r="L1820" s="6">
        <f ca="1"/>
        <v>-4.5238095238082678</v>
      </c>
      <c r="M1820" s="6">
        <f ca="1"/>
        <v>2.2619047619052708</v>
      </c>
      <c r="N1820" s="6">
        <f ca="1"/>
        <v>-0.16309523809523618</v>
      </c>
      <c r="O1820" s="6">
        <f t="shared" ca="1" si="263"/>
        <v>98.928571428569867</v>
      </c>
      <c r="P1820" t="str">
        <f t="shared" si="264"/>
        <v>NA</v>
      </c>
      <c r="Q1820" s="10">
        <f t="shared" ca="1" si="265"/>
        <v>84.880952380951527</v>
      </c>
      <c r="R1820" s="10">
        <f t="shared" ca="1" si="266"/>
        <v>139.70238095237892</v>
      </c>
      <c r="S1820" s="10">
        <f t="shared" ca="1" si="267"/>
        <v>-54.82142857142739</v>
      </c>
      <c r="T1820" s="10">
        <f t="shared" ca="1" si="268"/>
        <v>336.13138686131055</v>
      </c>
      <c r="U1820" s="10">
        <f t="shared" ca="1" si="269"/>
        <v>336.13138686131055</v>
      </c>
      <c r="V1820">
        <f t="shared" si="270"/>
        <v>3</v>
      </c>
    </row>
    <row r="1821" spans="1:22" x14ac:dyDescent="0.25">
      <c r="A1821">
        <v>203</v>
      </c>
      <c r="B1821">
        <v>2</v>
      </c>
      <c r="C1821">
        <v>85</v>
      </c>
      <c r="D1821">
        <v>1</v>
      </c>
      <c r="E1821">
        <v>1</v>
      </c>
      <c r="F1821">
        <v>0</v>
      </c>
      <c r="G1821">
        <v>0</v>
      </c>
      <c r="H1821">
        <v>350</v>
      </c>
      <c r="I1821">
        <f t="shared" si="271"/>
        <v>1818</v>
      </c>
      <c r="J1821" s="6">
        <f t="array" aca="1" ref="J1821:N1821" ca="1">TRANSPOSE(ols(OFFSET($C$2:$C$10,I1821,0),OFFSET($D$2:$H$10,I1821,0)))</f>
        <v>144.22619047618718</v>
      </c>
      <c r="K1821" s="6">
        <f ca="1"/>
        <v>-3.2142857142857792</v>
      </c>
      <c r="L1821" s="6">
        <f ca="1"/>
        <v>-4.5238095238082678</v>
      </c>
      <c r="M1821" s="6">
        <f ca="1"/>
        <v>2.2619047619052708</v>
      </c>
      <c r="N1821" s="6">
        <f ca="1"/>
        <v>-0.16309523809523618</v>
      </c>
      <c r="O1821" s="6">
        <f t="shared" ca="1" si="263"/>
        <v>83.928571428568745</v>
      </c>
      <c r="P1821" t="str">
        <f t="shared" si="264"/>
        <v>NA</v>
      </c>
      <c r="Q1821" s="10">
        <f t="shared" ca="1" si="265"/>
        <v>84.880952380951527</v>
      </c>
      <c r="R1821" s="10">
        <f t="shared" ca="1" si="266"/>
        <v>141.01190476190141</v>
      </c>
      <c r="S1821" s="10">
        <f t="shared" ca="1" si="267"/>
        <v>-56.130952380949878</v>
      </c>
      <c r="T1821" s="10">
        <f t="shared" ca="1" si="268"/>
        <v>344.16058394159455</v>
      </c>
      <c r="U1821" s="10">
        <f t="shared" ca="1" si="269"/>
        <v>344.16058394159455</v>
      </c>
      <c r="V1821">
        <f t="shared" si="270"/>
        <v>2</v>
      </c>
    </row>
    <row r="1822" spans="1:22" x14ac:dyDescent="0.25">
      <c r="A1822">
        <v>203</v>
      </c>
      <c r="B1822">
        <v>3</v>
      </c>
      <c r="C1822">
        <v>70</v>
      </c>
      <c r="D1822">
        <v>1</v>
      </c>
      <c r="E1822">
        <v>1</v>
      </c>
      <c r="F1822">
        <v>0</v>
      </c>
      <c r="G1822">
        <v>0</v>
      </c>
      <c r="H1822">
        <v>450</v>
      </c>
      <c r="I1822">
        <f t="shared" si="271"/>
        <v>1818</v>
      </c>
      <c r="J1822" s="6">
        <f t="array" aca="1" ref="J1822:N1822" ca="1">TRANSPOSE(ols(OFFSET($C$2:$C$10,I1822,0),OFFSET($D$2:$H$10,I1822,0)))</f>
        <v>144.22619047618718</v>
      </c>
      <c r="K1822" s="6">
        <f ca="1"/>
        <v>-3.2142857142857792</v>
      </c>
      <c r="L1822" s="6">
        <f ca="1"/>
        <v>-4.5238095238082678</v>
      </c>
      <c r="M1822" s="6">
        <f ca="1"/>
        <v>2.2619047619052708</v>
      </c>
      <c r="N1822" s="6">
        <f ca="1"/>
        <v>-0.16309523809523618</v>
      </c>
      <c r="O1822" s="6">
        <f t="shared" ca="1" si="263"/>
        <v>67.619047619045119</v>
      </c>
      <c r="P1822" t="str">
        <f t="shared" si="264"/>
        <v>NA</v>
      </c>
      <c r="Q1822" s="10">
        <f t="shared" ca="1" si="265"/>
        <v>84.880952380951527</v>
      </c>
      <c r="R1822" s="10">
        <f t="shared" ca="1" si="266"/>
        <v>141.01190476190141</v>
      </c>
      <c r="S1822" s="10">
        <f t="shared" ca="1" si="267"/>
        <v>-56.130952380949878</v>
      </c>
      <c r="T1822" s="10">
        <f t="shared" ca="1" si="268"/>
        <v>344.16058394159455</v>
      </c>
      <c r="U1822" s="10">
        <f t="shared" ca="1" si="269"/>
        <v>344.16058394159455</v>
      </c>
      <c r="V1822">
        <f t="shared" si="270"/>
        <v>2</v>
      </c>
    </row>
    <row r="1823" spans="1:22" x14ac:dyDescent="0.25">
      <c r="A1823">
        <v>203</v>
      </c>
      <c r="B1823">
        <v>4</v>
      </c>
      <c r="C1823">
        <v>50</v>
      </c>
      <c r="D1823">
        <v>1</v>
      </c>
      <c r="E1823">
        <v>0</v>
      </c>
      <c r="F1823">
        <v>0</v>
      </c>
      <c r="G1823">
        <v>0</v>
      </c>
      <c r="H1823">
        <v>550</v>
      </c>
      <c r="I1823">
        <f t="shared" si="271"/>
        <v>1818</v>
      </c>
      <c r="J1823" s="6">
        <f t="array" aca="1" ref="J1823:N1823" ca="1">TRANSPOSE(ols(OFFSET($C$2:$C$10,I1823,0),OFFSET($D$2:$H$10,I1823,0)))</f>
        <v>144.22619047618718</v>
      </c>
      <c r="K1823" s="6">
        <f ca="1"/>
        <v>-3.2142857142857792</v>
      </c>
      <c r="L1823" s="6">
        <f ca="1"/>
        <v>-4.5238095238082678</v>
      </c>
      <c r="M1823" s="6">
        <f ca="1"/>
        <v>2.2619047619052708</v>
      </c>
      <c r="N1823" s="6">
        <f ca="1"/>
        <v>-0.16309523809523618</v>
      </c>
      <c r="O1823" s="6">
        <f t="shared" ca="1" si="263"/>
        <v>54.523809523807287</v>
      </c>
      <c r="P1823" t="str">
        <f t="shared" si="264"/>
        <v>NA</v>
      </c>
      <c r="Q1823" s="10">
        <f t="shared" ca="1" si="265"/>
        <v>84.880952380951527</v>
      </c>
      <c r="R1823" s="10">
        <f t="shared" ca="1" si="266"/>
        <v>144.22619047618718</v>
      </c>
      <c r="S1823" s="10">
        <f t="shared" ca="1" si="267"/>
        <v>-59.345238095235658</v>
      </c>
      <c r="T1823" s="10">
        <f t="shared" ca="1" si="268"/>
        <v>363.86861313867547</v>
      </c>
      <c r="U1823" s="10">
        <f t="shared" ca="1" si="269"/>
        <v>363.86861313867547</v>
      </c>
      <c r="V1823">
        <f t="shared" si="270"/>
        <v>1</v>
      </c>
    </row>
    <row r="1824" spans="1:22" x14ac:dyDescent="0.25">
      <c r="A1824">
        <v>203</v>
      </c>
      <c r="B1824">
        <v>5</v>
      </c>
      <c r="C1824">
        <v>100</v>
      </c>
      <c r="D1824">
        <v>1</v>
      </c>
      <c r="E1824">
        <v>0</v>
      </c>
      <c r="F1824">
        <v>1</v>
      </c>
      <c r="G1824">
        <v>1</v>
      </c>
      <c r="H1824">
        <v>250</v>
      </c>
      <c r="I1824">
        <f t="shared" si="271"/>
        <v>1818</v>
      </c>
      <c r="J1824" s="6">
        <f t="array" aca="1" ref="J1824:N1824" ca="1">TRANSPOSE(ols(OFFSET($C$2:$C$10,I1824,0),OFFSET($D$2:$H$10,I1824,0)))</f>
        <v>144.22619047618718</v>
      </c>
      <c r="K1824" s="6">
        <f ca="1"/>
        <v>-3.2142857142857792</v>
      </c>
      <c r="L1824" s="6">
        <f ca="1"/>
        <v>-4.5238095238082678</v>
      </c>
      <c r="M1824" s="6">
        <f ca="1"/>
        <v>2.2619047619052708</v>
      </c>
      <c r="N1824" s="6">
        <f ca="1"/>
        <v>-0.16309523809523618</v>
      </c>
      <c r="O1824" s="6">
        <f t="shared" ca="1" si="263"/>
        <v>101.19047619047514</v>
      </c>
      <c r="P1824" t="str">
        <f t="shared" si="264"/>
        <v>NA</v>
      </c>
      <c r="Q1824" s="10">
        <f t="shared" ca="1" si="265"/>
        <v>84.880952380951527</v>
      </c>
      <c r="R1824" s="10">
        <f t="shared" ca="1" si="266"/>
        <v>141.96428571428419</v>
      </c>
      <c r="S1824" s="10">
        <f t="shared" ca="1" si="267"/>
        <v>-57.083333333332661</v>
      </c>
      <c r="T1824" s="10">
        <f t="shared" ca="1" si="268"/>
        <v>350</v>
      </c>
      <c r="U1824" s="10">
        <f t="shared" ca="1" si="269"/>
        <v>350</v>
      </c>
      <c r="V1824">
        <f t="shared" si="270"/>
        <v>6</v>
      </c>
    </row>
    <row r="1825" spans="1:22" x14ac:dyDescent="0.25">
      <c r="A1825">
        <v>203</v>
      </c>
      <c r="B1825">
        <v>6</v>
      </c>
      <c r="C1825">
        <v>85</v>
      </c>
      <c r="D1825">
        <v>1</v>
      </c>
      <c r="E1825">
        <v>0</v>
      </c>
      <c r="F1825">
        <v>1</v>
      </c>
      <c r="G1825">
        <v>1</v>
      </c>
      <c r="H1825">
        <v>350</v>
      </c>
      <c r="I1825">
        <f t="shared" si="271"/>
        <v>1818</v>
      </c>
      <c r="J1825" s="6">
        <f t="array" aca="1" ref="J1825:N1825" ca="1">TRANSPOSE(ols(OFFSET($C$2:$C$10,I1825,0),OFFSET($D$2:$H$10,I1825,0)))</f>
        <v>144.22619047618718</v>
      </c>
      <c r="K1825" s="6">
        <f ca="1"/>
        <v>-3.2142857142857792</v>
      </c>
      <c r="L1825" s="6">
        <f ca="1"/>
        <v>-4.5238095238082678</v>
      </c>
      <c r="M1825" s="6">
        <f ca="1"/>
        <v>2.2619047619052708</v>
      </c>
      <c r="N1825" s="6">
        <f ca="1"/>
        <v>-0.16309523809523618</v>
      </c>
      <c r="O1825" s="6">
        <f t="shared" ca="1" si="263"/>
        <v>84.880952380951527</v>
      </c>
      <c r="P1825">
        <f t="shared" ca="1" si="264"/>
        <v>84.880952380951527</v>
      </c>
      <c r="Q1825" s="10">
        <f t="shared" ca="1" si="265"/>
        <v>84.880952380951527</v>
      </c>
      <c r="R1825" s="10">
        <f t="shared" ca="1" si="266"/>
        <v>141.96428571428419</v>
      </c>
      <c r="S1825" s="10">
        <f t="shared" ca="1" si="267"/>
        <v>-57.083333333332661</v>
      </c>
      <c r="T1825" s="10">
        <f t="shared" ca="1" si="268"/>
        <v>350</v>
      </c>
      <c r="U1825" s="10">
        <f t="shared" ca="1" si="269"/>
        <v>350</v>
      </c>
      <c r="V1825">
        <f t="shared" si="270"/>
        <v>6</v>
      </c>
    </row>
    <row r="1826" spans="1:22" x14ac:dyDescent="0.25">
      <c r="A1826">
        <v>203</v>
      </c>
      <c r="B1826">
        <v>7</v>
      </c>
      <c r="C1826">
        <v>70</v>
      </c>
      <c r="D1826">
        <v>1</v>
      </c>
      <c r="E1826">
        <v>1</v>
      </c>
      <c r="F1826">
        <v>0</v>
      </c>
      <c r="G1826">
        <v>1</v>
      </c>
      <c r="H1826">
        <v>450</v>
      </c>
      <c r="I1826">
        <f t="shared" si="271"/>
        <v>1818</v>
      </c>
      <c r="J1826" s="6">
        <f t="array" aca="1" ref="J1826:N1826" ca="1">TRANSPOSE(ols(OFFSET($C$2:$C$10,I1826,0),OFFSET($D$2:$H$10,I1826,0)))</f>
        <v>144.22619047618718</v>
      </c>
      <c r="K1826" s="6">
        <f ca="1"/>
        <v>-3.2142857142857792</v>
      </c>
      <c r="L1826" s="6">
        <f ca="1"/>
        <v>-4.5238095238082678</v>
      </c>
      <c r="M1826" s="6">
        <f ca="1"/>
        <v>2.2619047619052708</v>
      </c>
      <c r="N1826" s="6">
        <f ca="1"/>
        <v>-0.16309523809523618</v>
      </c>
      <c r="O1826" s="6">
        <f t="shared" ca="1" si="263"/>
        <v>69.88095238095039</v>
      </c>
      <c r="P1826" t="str">
        <f t="shared" si="264"/>
        <v>NA</v>
      </c>
      <c r="Q1826" s="10">
        <f t="shared" ca="1" si="265"/>
        <v>84.880952380951527</v>
      </c>
      <c r="R1826" s="10">
        <f t="shared" ca="1" si="266"/>
        <v>143.27380952380668</v>
      </c>
      <c r="S1826" s="10">
        <f t="shared" ca="1" si="267"/>
        <v>-58.392857142855149</v>
      </c>
      <c r="T1826" s="10">
        <f t="shared" ca="1" si="268"/>
        <v>358.02919708028395</v>
      </c>
      <c r="U1826" s="10">
        <f t="shared" ca="1" si="269"/>
        <v>358.02919708028395</v>
      </c>
      <c r="V1826">
        <f t="shared" si="270"/>
        <v>5</v>
      </c>
    </row>
    <row r="1827" spans="1:22" x14ac:dyDescent="0.25">
      <c r="A1827">
        <v>203</v>
      </c>
      <c r="B1827">
        <v>8</v>
      </c>
      <c r="C1827">
        <v>50</v>
      </c>
      <c r="D1827">
        <v>1</v>
      </c>
      <c r="E1827">
        <v>1</v>
      </c>
      <c r="F1827">
        <v>0</v>
      </c>
      <c r="G1827">
        <v>1</v>
      </c>
      <c r="H1827">
        <v>550</v>
      </c>
      <c r="I1827">
        <f t="shared" si="271"/>
        <v>1818</v>
      </c>
      <c r="J1827" s="6">
        <f t="array" aca="1" ref="J1827:N1827" ca="1">TRANSPOSE(ols(OFFSET($C$2:$C$10,I1827,0),OFFSET($D$2:$H$10,I1827,0)))</f>
        <v>144.22619047618718</v>
      </c>
      <c r="K1827" s="6">
        <f ca="1"/>
        <v>-3.2142857142857792</v>
      </c>
      <c r="L1827" s="6">
        <f ca="1"/>
        <v>-4.5238095238082678</v>
      </c>
      <c r="M1827" s="6">
        <f ca="1"/>
        <v>2.2619047619052708</v>
      </c>
      <c r="N1827" s="6">
        <f ca="1"/>
        <v>-0.16309523809523618</v>
      </c>
      <c r="O1827" s="6">
        <f t="shared" ca="1" si="263"/>
        <v>53.571428571426779</v>
      </c>
      <c r="P1827" t="str">
        <f t="shared" si="264"/>
        <v>NA</v>
      </c>
      <c r="Q1827" s="10">
        <f t="shared" ca="1" si="265"/>
        <v>84.880952380951527</v>
      </c>
      <c r="R1827" s="10">
        <f t="shared" ca="1" si="266"/>
        <v>143.27380952380668</v>
      </c>
      <c r="S1827" s="10">
        <f t="shared" ca="1" si="267"/>
        <v>-58.392857142855149</v>
      </c>
      <c r="T1827" s="10">
        <f t="shared" ca="1" si="268"/>
        <v>358.02919708028395</v>
      </c>
      <c r="U1827" s="10">
        <f t="shared" ca="1" si="269"/>
        <v>358.02919708028395</v>
      </c>
      <c r="V1827">
        <f t="shared" si="270"/>
        <v>5</v>
      </c>
    </row>
    <row r="1828" spans="1:22" x14ac:dyDescent="0.25">
      <c r="A1828">
        <v>203</v>
      </c>
      <c r="B1828">
        <v>9</v>
      </c>
      <c r="C1828">
        <v>45</v>
      </c>
      <c r="D1828">
        <v>1</v>
      </c>
      <c r="E1828">
        <v>0</v>
      </c>
      <c r="F1828">
        <v>0</v>
      </c>
      <c r="G1828">
        <v>1</v>
      </c>
      <c r="H1828">
        <v>650</v>
      </c>
      <c r="I1828">
        <f t="shared" si="271"/>
        <v>1818</v>
      </c>
      <c r="J1828" s="6">
        <f t="array" aca="1" ref="J1828:N1828" ca="1">TRANSPOSE(ols(OFFSET($C$2:$C$10,I1828,0),OFFSET($D$2:$H$10,I1828,0)))</f>
        <v>144.22619047618718</v>
      </c>
      <c r="K1828" s="6">
        <f ca="1"/>
        <v>-3.2142857142857792</v>
      </c>
      <c r="L1828" s="6">
        <f ca="1"/>
        <v>-4.5238095238082678</v>
      </c>
      <c r="M1828" s="6">
        <f ca="1"/>
        <v>2.2619047619052708</v>
      </c>
      <c r="N1828" s="6">
        <f ca="1"/>
        <v>-0.16309523809523618</v>
      </c>
      <c r="O1828" s="6">
        <f t="shared" ca="1" si="263"/>
        <v>40.476190476188933</v>
      </c>
      <c r="P1828" t="str">
        <f t="shared" si="264"/>
        <v>NA</v>
      </c>
      <c r="Q1828" s="10">
        <f t="shared" ca="1" si="265"/>
        <v>84.880952380951527</v>
      </c>
      <c r="R1828" s="10">
        <f t="shared" ca="1" si="266"/>
        <v>146.48809523809246</v>
      </c>
      <c r="S1828" s="10">
        <f t="shared" ca="1" si="267"/>
        <v>-61.607142857140929</v>
      </c>
      <c r="T1828" s="10">
        <f t="shared" ca="1" si="268"/>
        <v>377.73722627736487</v>
      </c>
      <c r="U1828" s="10">
        <f t="shared" ca="1" si="269"/>
        <v>377.73722627736487</v>
      </c>
      <c r="V1828">
        <f t="shared" si="270"/>
        <v>4</v>
      </c>
    </row>
    <row r="1829" spans="1:22" x14ac:dyDescent="0.25">
      <c r="A1829">
        <v>204</v>
      </c>
      <c r="B1829">
        <v>1</v>
      </c>
      <c r="C1829">
        <v>50</v>
      </c>
      <c r="D1829">
        <v>1</v>
      </c>
      <c r="E1829">
        <v>0</v>
      </c>
      <c r="F1829">
        <v>1</v>
      </c>
      <c r="G1829">
        <v>0</v>
      </c>
      <c r="H1829">
        <v>250</v>
      </c>
      <c r="I1829">
        <f t="shared" si="271"/>
        <v>1827</v>
      </c>
      <c r="J1829" s="6">
        <f t="array" aca="1" ref="J1829:N1829" ca="1">TRANSPOSE(ols(OFFSET($C$2:$C$10,I1829,0),OFFSET($D$2:$H$10,I1829,0)))</f>
        <v>234.40476190475965</v>
      </c>
      <c r="K1829" s="6">
        <f ca="1"/>
        <v>-12.85714285714198</v>
      </c>
      <c r="L1829" s="6">
        <f ca="1"/>
        <v>-68.095238095236709</v>
      </c>
      <c r="M1829" s="6">
        <f ca="1"/>
        <v>34.047619047619037</v>
      </c>
      <c r="N1829" s="6">
        <f ca="1"/>
        <v>-0.40238095238095006</v>
      </c>
      <c r="O1829" s="6">
        <f t="shared" ca="1" si="263"/>
        <v>65.714285714285424</v>
      </c>
      <c r="P1829" t="str">
        <f t="shared" si="264"/>
        <v>NA</v>
      </c>
      <c r="Q1829" s="10">
        <f t="shared" ca="1" si="265"/>
        <v>59.523809523809462</v>
      </c>
      <c r="R1829" s="10">
        <f t="shared" ca="1" si="266"/>
        <v>166.30952380952294</v>
      </c>
      <c r="S1829" s="10">
        <f t="shared" ca="1" si="267"/>
        <v>-106.78571428571348</v>
      </c>
      <c r="T1829" s="10">
        <f t="shared" ca="1" si="268"/>
        <v>265.3846153846149</v>
      </c>
      <c r="U1829" s="10">
        <f t="shared" ca="1" si="269"/>
        <v>265.3846153846149</v>
      </c>
      <c r="V1829">
        <f t="shared" si="270"/>
        <v>3</v>
      </c>
    </row>
    <row r="1830" spans="1:22" x14ac:dyDescent="0.25">
      <c r="A1830">
        <v>204</v>
      </c>
      <c r="B1830">
        <v>2</v>
      </c>
      <c r="C1830">
        <v>80</v>
      </c>
      <c r="D1830">
        <v>1</v>
      </c>
      <c r="E1830">
        <v>1</v>
      </c>
      <c r="F1830">
        <v>0</v>
      </c>
      <c r="G1830">
        <v>0</v>
      </c>
      <c r="H1830">
        <v>350</v>
      </c>
      <c r="I1830">
        <f t="shared" si="271"/>
        <v>1827</v>
      </c>
      <c r="J1830" s="6">
        <f t="array" aca="1" ref="J1830:N1830" ca="1">TRANSPOSE(ols(OFFSET($C$2:$C$10,I1830,0),OFFSET($D$2:$H$10,I1830,0)))</f>
        <v>234.40476190475965</v>
      </c>
      <c r="K1830" s="6">
        <f ca="1"/>
        <v>-12.85714285714198</v>
      </c>
      <c r="L1830" s="6">
        <f ca="1"/>
        <v>-68.095238095236709</v>
      </c>
      <c r="M1830" s="6">
        <f ca="1"/>
        <v>34.047619047619037</v>
      </c>
      <c r="N1830" s="6">
        <f ca="1"/>
        <v>-0.40238095238095006</v>
      </c>
      <c r="O1830" s="6">
        <f t="shared" ca="1" si="263"/>
        <v>80.714285714285154</v>
      </c>
      <c r="P1830" t="str">
        <f t="shared" si="264"/>
        <v>NA</v>
      </c>
      <c r="Q1830" s="10">
        <f t="shared" ca="1" si="265"/>
        <v>59.523809523809462</v>
      </c>
      <c r="R1830" s="10">
        <f t="shared" ca="1" si="266"/>
        <v>221.54761904761767</v>
      </c>
      <c r="S1830" s="10">
        <f t="shared" ca="1" si="267"/>
        <v>-162.02380952380821</v>
      </c>
      <c r="T1830" s="10">
        <f t="shared" ca="1" si="268"/>
        <v>402.66272189349019</v>
      </c>
      <c r="U1830" s="10">
        <f t="shared" ca="1" si="269"/>
        <v>402.66272189349019</v>
      </c>
      <c r="V1830">
        <f t="shared" si="270"/>
        <v>2</v>
      </c>
    </row>
    <row r="1831" spans="1:22" x14ac:dyDescent="0.25">
      <c r="A1831">
        <v>204</v>
      </c>
      <c r="B1831">
        <v>3</v>
      </c>
      <c r="C1831">
        <v>50</v>
      </c>
      <c r="D1831">
        <v>1</v>
      </c>
      <c r="E1831">
        <v>1</v>
      </c>
      <c r="F1831">
        <v>0</v>
      </c>
      <c r="G1831">
        <v>0</v>
      </c>
      <c r="H1831">
        <v>450</v>
      </c>
      <c r="I1831">
        <f t="shared" si="271"/>
        <v>1827</v>
      </c>
      <c r="J1831" s="6">
        <f t="array" aca="1" ref="J1831:N1831" ca="1">TRANSPOSE(ols(OFFSET($C$2:$C$10,I1831,0),OFFSET($D$2:$H$10,I1831,0)))</f>
        <v>234.40476190475965</v>
      </c>
      <c r="K1831" s="6">
        <f ca="1"/>
        <v>-12.85714285714198</v>
      </c>
      <c r="L1831" s="6">
        <f ca="1"/>
        <v>-68.095238095236709</v>
      </c>
      <c r="M1831" s="6">
        <f ca="1"/>
        <v>34.047619047619037</v>
      </c>
      <c r="N1831" s="6">
        <f ca="1"/>
        <v>-0.40238095238095006</v>
      </c>
      <c r="O1831" s="6">
        <f t="shared" ca="1" si="263"/>
        <v>40.476190476190141</v>
      </c>
      <c r="P1831" t="str">
        <f t="shared" si="264"/>
        <v>NA</v>
      </c>
      <c r="Q1831" s="10">
        <f t="shared" ca="1" si="265"/>
        <v>59.523809523809462</v>
      </c>
      <c r="R1831" s="10">
        <f t="shared" ca="1" si="266"/>
        <v>221.54761904761767</v>
      </c>
      <c r="S1831" s="10">
        <f t="shared" ca="1" si="267"/>
        <v>-162.02380952380821</v>
      </c>
      <c r="T1831" s="10">
        <f t="shared" ca="1" si="268"/>
        <v>402.66272189349019</v>
      </c>
      <c r="U1831" s="10">
        <f t="shared" ca="1" si="269"/>
        <v>402.66272189349019</v>
      </c>
      <c r="V1831">
        <f t="shared" si="270"/>
        <v>2</v>
      </c>
    </row>
    <row r="1832" spans="1:22" x14ac:dyDescent="0.25">
      <c r="A1832">
        <v>204</v>
      </c>
      <c r="B1832">
        <v>4</v>
      </c>
      <c r="C1832">
        <v>20</v>
      </c>
      <c r="D1832">
        <v>1</v>
      </c>
      <c r="E1832">
        <v>0</v>
      </c>
      <c r="F1832">
        <v>0</v>
      </c>
      <c r="G1832">
        <v>0</v>
      </c>
      <c r="H1832">
        <v>550</v>
      </c>
      <c r="I1832">
        <f t="shared" si="271"/>
        <v>1827</v>
      </c>
      <c r="J1832" s="6">
        <f t="array" aca="1" ref="J1832:N1832" ca="1">TRANSPOSE(ols(OFFSET($C$2:$C$10,I1832,0),OFFSET($D$2:$H$10,I1832,0)))</f>
        <v>234.40476190475965</v>
      </c>
      <c r="K1832" s="6">
        <f ca="1"/>
        <v>-12.85714285714198</v>
      </c>
      <c r="L1832" s="6">
        <f ca="1"/>
        <v>-68.095238095236709</v>
      </c>
      <c r="M1832" s="6">
        <f ca="1"/>
        <v>34.047619047619037</v>
      </c>
      <c r="N1832" s="6">
        <f ca="1"/>
        <v>-0.40238095238095006</v>
      </c>
      <c r="O1832" s="6">
        <f t="shared" ca="1" si="263"/>
        <v>13.095238095237107</v>
      </c>
      <c r="P1832" t="str">
        <f t="shared" si="264"/>
        <v>NA</v>
      </c>
      <c r="Q1832" s="10">
        <f t="shared" ca="1" si="265"/>
        <v>59.523809523809462</v>
      </c>
      <c r="R1832" s="10">
        <f t="shared" ca="1" si="266"/>
        <v>234.40476190475965</v>
      </c>
      <c r="S1832" s="10">
        <f t="shared" ca="1" si="267"/>
        <v>-174.88095238095019</v>
      </c>
      <c r="T1832" s="10">
        <f t="shared" ca="1" si="268"/>
        <v>434.61538461538169</v>
      </c>
      <c r="U1832" s="10">
        <f t="shared" ca="1" si="269"/>
        <v>434.61538461538169</v>
      </c>
      <c r="V1832">
        <f t="shared" si="270"/>
        <v>1</v>
      </c>
    </row>
    <row r="1833" spans="1:22" x14ac:dyDescent="0.25">
      <c r="A1833">
        <v>204</v>
      </c>
      <c r="B1833">
        <v>5</v>
      </c>
      <c r="C1833">
        <v>95</v>
      </c>
      <c r="D1833">
        <v>1</v>
      </c>
      <c r="E1833">
        <v>0</v>
      </c>
      <c r="F1833">
        <v>1</v>
      </c>
      <c r="G1833">
        <v>1</v>
      </c>
      <c r="H1833">
        <v>250</v>
      </c>
      <c r="I1833">
        <f t="shared" si="271"/>
        <v>1827</v>
      </c>
      <c r="J1833" s="6">
        <f t="array" aca="1" ref="J1833:N1833" ca="1">TRANSPOSE(ols(OFFSET($C$2:$C$10,I1833,0),OFFSET($D$2:$H$10,I1833,0)))</f>
        <v>234.40476190475965</v>
      </c>
      <c r="K1833" s="6">
        <f ca="1"/>
        <v>-12.85714285714198</v>
      </c>
      <c r="L1833" s="6">
        <f ca="1"/>
        <v>-68.095238095236709</v>
      </c>
      <c r="M1833" s="6">
        <f ca="1"/>
        <v>34.047619047619037</v>
      </c>
      <c r="N1833" s="6">
        <f ca="1"/>
        <v>-0.40238095238095006</v>
      </c>
      <c r="O1833" s="6">
        <f t="shared" ca="1" si="263"/>
        <v>99.761904761904461</v>
      </c>
      <c r="P1833" t="str">
        <f t="shared" si="264"/>
        <v>NA</v>
      </c>
      <c r="Q1833" s="10">
        <f t="shared" ca="1" si="265"/>
        <v>59.523809523809462</v>
      </c>
      <c r="R1833" s="10">
        <f t="shared" ca="1" si="266"/>
        <v>200.35714285714198</v>
      </c>
      <c r="S1833" s="10">
        <f t="shared" ca="1" si="267"/>
        <v>-140.83333333333252</v>
      </c>
      <c r="T1833" s="10">
        <f t="shared" ca="1" si="268"/>
        <v>350</v>
      </c>
      <c r="U1833" s="10">
        <f t="shared" ca="1" si="269"/>
        <v>350</v>
      </c>
      <c r="V1833">
        <f t="shared" si="270"/>
        <v>6</v>
      </c>
    </row>
    <row r="1834" spans="1:22" x14ac:dyDescent="0.25">
      <c r="A1834">
        <v>204</v>
      </c>
      <c r="B1834">
        <v>6</v>
      </c>
      <c r="C1834">
        <v>80</v>
      </c>
      <c r="D1834">
        <v>1</v>
      </c>
      <c r="E1834">
        <v>0</v>
      </c>
      <c r="F1834">
        <v>1</v>
      </c>
      <c r="G1834">
        <v>1</v>
      </c>
      <c r="H1834">
        <v>350</v>
      </c>
      <c r="I1834">
        <f t="shared" si="271"/>
        <v>1827</v>
      </c>
      <c r="J1834" s="6">
        <f t="array" aca="1" ref="J1834:N1834" ca="1">TRANSPOSE(ols(OFFSET($C$2:$C$10,I1834,0),OFFSET($D$2:$H$10,I1834,0)))</f>
        <v>234.40476190475965</v>
      </c>
      <c r="K1834" s="6">
        <f ca="1"/>
        <v>-12.85714285714198</v>
      </c>
      <c r="L1834" s="6">
        <f ca="1"/>
        <v>-68.095238095236709</v>
      </c>
      <c r="M1834" s="6">
        <f ca="1"/>
        <v>34.047619047619037</v>
      </c>
      <c r="N1834" s="6">
        <f ca="1"/>
        <v>-0.40238095238095006</v>
      </c>
      <c r="O1834" s="6">
        <f t="shared" ca="1" si="263"/>
        <v>59.523809523809462</v>
      </c>
      <c r="P1834">
        <f t="shared" ca="1" si="264"/>
        <v>59.523809523809462</v>
      </c>
      <c r="Q1834" s="10">
        <f t="shared" ca="1" si="265"/>
        <v>59.523809523809462</v>
      </c>
      <c r="R1834" s="10">
        <f t="shared" ca="1" si="266"/>
        <v>200.35714285714198</v>
      </c>
      <c r="S1834" s="10">
        <f t="shared" ca="1" si="267"/>
        <v>-140.83333333333252</v>
      </c>
      <c r="T1834" s="10">
        <f t="shared" ca="1" si="268"/>
        <v>350</v>
      </c>
      <c r="U1834" s="10">
        <f t="shared" ca="1" si="269"/>
        <v>350</v>
      </c>
      <c r="V1834">
        <f t="shared" si="270"/>
        <v>6</v>
      </c>
    </row>
    <row r="1835" spans="1:22" x14ac:dyDescent="0.25">
      <c r="A1835">
        <v>204</v>
      </c>
      <c r="B1835">
        <v>7</v>
      </c>
      <c r="C1835">
        <v>80</v>
      </c>
      <c r="D1835">
        <v>1</v>
      </c>
      <c r="E1835">
        <v>1</v>
      </c>
      <c r="F1835">
        <v>0</v>
      </c>
      <c r="G1835">
        <v>1</v>
      </c>
      <c r="H1835">
        <v>450</v>
      </c>
      <c r="I1835">
        <f t="shared" si="271"/>
        <v>1827</v>
      </c>
      <c r="J1835" s="6">
        <f t="array" aca="1" ref="J1835:N1835" ca="1">TRANSPOSE(ols(OFFSET($C$2:$C$10,I1835,0),OFFSET($D$2:$H$10,I1835,0)))</f>
        <v>234.40476190475965</v>
      </c>
      <c r="K1835" s="6">
        <f ca="1"/>
        <v>-12.85714285714198</v>
      </c>
      <c r="L1835" s="6">
        <f ca="1"/>
        <v>-68.095238095236709</v>
      </c>
      <c r="M1835" s="6">
        <f ca="1"/>
        <v>34.047619047619037</v>
      </c>
      <c r="N1835" s="6">
        <f ca="1"/>
        <v>-0.40238095238095006</v>
      </c>
      <c r="O1835" s="6">
        <f t="shared" ca="1" si="263"/>
        <v>74.523809523809177</v>
      </c>
      <c r="P1835" t="str">
        <f t="shared" si="264"/>
        <v>NA</v>
      </c>
      <c r="Q1835" s="10">
        <f t="shared" ca="1" si="265"/>
        <v>59.523809523809462</v>
      </c>
      <c r="R1835" s="10">
        <f t="shared" ca="1" si="266"/>
        <v>255.59523809523671</v>
      </c>
      <c r="S1835" s="10">
        <f t="shared" ca="1" si="267"/>
        <v>-196.07142857142725</v>
      </c>
      <c r="T1835" s="10">
        <f t="shared" ca="1" si="268"/>
        <v>487.27810650887528</v>
      </c>
      <c r="U1835" s="10">
        <f t="shared" ca="1" si="269"/>
        <v>487.27810650887528</v>
      </c>
      <c r="V1835">
        <f t="shared" si="270"/>
        <v>5</v>
      </c>
    </row>
    <row r="1836" spans="1:22" x14ac:dyDescent="0.25">
      <c r="A1836">
        <v>204</v>
      </c>
      <c r="B1836">
        <v>8</v>
      </c>
      <c r="C1836">
        <v>20</v>
      </c>
      <c r="D1836">
        <v>1</v>
      </c>
      <c r="E1836">
        <v>1</v>
      </c>
      <c r="F1836">
        <v>0</v>
      </c>
      <c r="G1836">
        <v>1</v>
      </c>
      <c r="H1836">
        <v>550</v>
      </c>
      <c r="I1836">
        <f t="shared" si="271"/>
        <v>1827</v>
      </c>
      <c r="J1836" s="6">
        <f t="array" aca="1" ref="J1836:N1836" ca="1">TRANSPOSE(ols(OFFSET($C$2:$C$10,I1836,0),OFFSET($D$2:$H$10,I1836,0)))</f>
        <v>234.40476190475965</v>
      </c>
      <c r="K1836" s="6">
        <f ca="1"/>
        <v>-12.85714285714198</v>
      </c>
      <c r="L1836" s="6">
        <f ca="1"/>
        <v>-68.095238095236709</v>
      </c>
      <c r="M1836" s="6">
        <f ca="1"/>
        <v>34.047619047619037</v>
      </c>
      <c r="N1836" s="6">
        <f ca="1"/>
        <v>-0.40238095238095006</v>
      </c>
      <c r="O1836" s="6">
        <f t="shared" ca="1" si="263"/>
        <v>34.285714285714164</v>
      </c>
      <c r="P1836" t="str">
        <f t="shared" si="264"/>
        <v>NA</v>
      </c>
      <c r="Q1836" s="10">
        <f t="shared" ca="1" si="265"/>
        <v>59.523809523809462</v>
      </c>
      <c r="R1836" s="10">
        <f t="shared" ca="1" si="266"/>
        <v>255.59523809523671</v>
      </c>
      <c r="S1836" s="10">
        <f t="shared" ca="1" si="267"/>
        <v>-196.07142857142725</v>
      </c>
      <c r="T1836" s="10">
        <f t="shared" ca="1" si="268"/>
        <v>487.27810650887528</v>
      </c>
      <c r="U1836" s="10">
        <f t="shared" ca="1" si="269"/>
        <v>487.27810650887528</v>
      </c>
      <c r="V1836">
        <f t="shared" si="270"/>
        <v>5</v>
      </c>
    </row>
    <row r="1837" spans="1:22" x14ac:dyDescent="0.25">
      <c r="A1837">
        <v>204</v>
      </c>
      <c r="B1837">
        <v>9</v>
      </c>
      <c r="C1837">
        <v>0</v>
      </c>
      <c r="D1837">
        <v>1</v>
      </c>
      <c r="E1837">
        <v>0</v>
      </c>
      <c r="F1837">
        <v>0</v>
      </c>
      <c r="G1837">
        <v>1</v>
      </c>
      <c r="H1837">
        <v>650</v>
      </c>
      <c r="I1837">
        <f t="shared" si="271"/>
        <v>1827</v>
      </c>
      <c r="J1837" s="6">
        <f t="array" aca="1" ref="J1837:N1837" ca="1">TRANSPOSE(ols(OFFSET($C$2:$C$10,I1837,0),OFFSET($D$2:$H$10,I1837,0)))</f>
        <v>234.40476190475965</v>
      </c>
      <c r="K1837" s="6">
        <f ca="1"/>
        <v>-12.85714285714198</v>
      </c>
      <c r="L1837" s="6">
        <f ca="1"/>
        <v>-68.095238095236709</v>
      </c>
      <c r="M1837" s="6">
        <f ca="1"/>
        <v>34.047619047619037</v>
      </c>
      <c r="N1837" s="6">
        <f ca="1"/>
        <v>-0.40238095238095006</v>
      </c>
      <c r="O1837" s="6">
        <f t="shared" ca="1" si="263"/>
        <v>6.9047619047611306</v>
      </c>
      <c r="P1837" t="str">
        <f t="shared" si="264"/>
        <v>NA</v>
      </c>
      <c r="Q1837" s="10">
        <f t="shared" ca="1" si="265"/>
        <v>59.523809523809462</v>
      </c>
      <c r="R1837" s="10">
        <f t="shared" ca="1" si="266"/>
        <v>268.45238095237869</v>
      </c>
      <c r="S1837" s="10">
        <f t="shared" ca="1" si="267"/>
        <v>-208.92857142856923</v>
      </c>
      <c r="T1837" s="10">
        <f t="shared" ca="1" si="268"/>
        <v>519.23076923076678</v>
      </c>
      <c r="U1837" s="10">
        <f t="shared" ca="1" si="269"/>
        <v>519.23076923076678</v>
      </c>
      <c r="V1837">
        <f t="shared" si="270"/>
        <v>4</v>
      </c>
    </row>
    <row r="1838" spans="1:22" x14ac:dyDescent="0.25">
      <c r="A1838">
        <v>205</v>
      </c>
      <c r="B1838">
        <v>1</v>
      </c>
      <c r="C1838">
        <v>20</v>
      </c>
      <c r="D1838">
        <v>1</v>
      </c>
      <c r="E1838">
        <v>0</v>
      </c>
      <c r="F1838">
        <v>1</v>
      </c>
      <c r="G1838">
        <v>0</v>
      </c>
      <c r="H1838">
        <v>250</v>
      </c>
      <c r="I1838">
        <f t="shared" si="271"/>
        <v>1836</v>
      </c>
      <c r="J1838" s="6">
        <f t="array" aca="1" ref="J1838:N1838" ca="1">TRANSPOSE(ols(OFFSET($C$2:$C$10,I1838,0),OFFSET($D$2:$H$10,I1838,0)))</f>
        <v>21.994047619047251</v>
      </c>
      <c r="K1838" s="6">
        <f ca="1"/>
        <v>4.8214285714284415</v>
      </c>
      <c r="L1838" s="6">
        <f ca="1"/>
        <v>2.619047619047933</v>
      </c>
      <c r="M1838" s="6">
        <f ca="1"/>
        <v>2.4404761904762609</v>
      </c>
      <c r="N1838" s="6">
        <f ca="1"/>
        <v>-2.2023809523809668E-2</v>
      </c>
      <c r="O1838" s="6">
        <f t="shared" ca="1" si="263"/>
        <v>19.107142857142769</v>
      </c>
      <c r="P1838" t="str">
        <f t="shared" si="264"/>
        <v>NA</v>
      </c>
      <c r="Q1838" s="10">
        <f t="shared" ca="1" si="265"/>
        <v>19.345238095238059</v>
      </c>
      <c r="R1838" s="10">
        <f t="shared" ca="1" si="266"/>
        <v>24.613095238095184</v>
      </c>
      <c r="S1838" s="10">
        <f t="shared" ca="1" si="267"/>
        <v>-5.2678571428571246</v>
      </c>
      <c r="T1838" s="10">
        <f t="shared" ca="1" si="268"/>
        <v>239.18918918918681</v>
      </c>
      <c r="U1838" s="10" t="str">
        <f t="shared" ca="1" si="269"/>
        <v>OR</v>
      </c>
      <c r="V1838">
        <f t="shared" si="270"/>
        <v>3</v>
      </c>
    </row>
    <row r="1839" spans="1:22" x14ac:dyDescent="0.25">
      <c r="A1839">
        <v>205</v>
      </c>
      <c r="B1839">
        <v>2</v>
      </c>
      <c r="C1839">
        <v>20</v>
      </c>
      <c r="D1839">
        <v>1</v>
      </c>
      <c r="E1839">
        <v>1</v>
      </c>
      <c r="F1839">
        <v>0</v>
      </c>
      <c r="G1839">
        <v>0</v>
      </c>
      <c r="H1839">
        <v>350</v>
      </c>
      <c r="I1839">
        <f t="shared" si="271"/>
        <v>1836</v>
      </c>
      <c r="J1839" s="6">
        <f t="array" aca="1" ref="J1839:N1839" ca="1">TRANSPOSE(ols(OFFSET($C$2:$C$10,I1839,0),OFFSET($D$2:$H$10,I1839,0)))</f>
        <v>21.994047619047251</v>
      </c>
      <c r="K1839" s="6">
        <f ca="1"/>
        <v>4.8214285714284415</v>
      </c>
      <c r="L1839" s="6">
        <f ca="1"/>
        <v>2.619047619047933</v>
      </c>
      <c r="M1839" s="6">
        <f ca="1"/>
        <v>2.4404761904762609</v>
      </c>
      <c r="N1839" s="6">
        <f ca="1"/>
        <v>-2.2023809523809668E-2</v>
      </c>
      <c r="O1839" s="6">
        <f t="shared" ca="1" si="263"/>
        <v>19.107142857142307</v>
      </c>
      <c r="P1839" t="str">
        <f t="shared" si="264"/>
        <v>NA</v>
      </c>
      <c r="Q1839" s="10">
        <f t="shared" ca="1" si="265"/>
        <v>19.345238095238059</v>
      </c>
      <c r="R1839" s="10">
        <f t="shared" ca="1" si="266"/>
        <v>26.815476190475692</v>
      </c>
      <c r="S1839" s="10">
        <f t="shared" ca="1" si="267"/>
        <v>-7.470238095237633</v>
      </c>
      <c r="T1839" s="10">
        <f t="shared" ca="1" si="268"/>
        <v>339.18918918916597</v>
      </c>
      <c r="U1839" s="10">
        <f t="shared" ca="1" si="269"/>
        <v>339.18918918916597</v>
      </c>
      <c r="V1839">
        <f t="shared" si="270"/>
        <v>2</v>
      </c>
    </row>
    <row r="1840" spans="1:22" x14ac:dyDescent="0.25">
      <c r="A1840">
        <v>205</v>
      </c>
      <c r="B1840">
        <v>3</v>
      </c>
      <c r="C1840">
        <v>15</v>
      </c>
      <c r="D1840">
        <v>1</v>
      </c>
      <c r="E1840">
        <v>1</v>
      </c>
      <c r="F1840">
        <v>0</v>
      </c>
      <c r="G1840">
        <v>0</v>
      </c>
      <c r="H1840">
        <v>450</v>
      </c>
      <c r="I1840">
        <f t="shared" si="271"/>
        <v>1836</v>
      </c>
      <c r="J1840" s="6">
        <f t="array" aca="1" ref="J1840:N1840" ca="1">TRANSPOSE(ols(OFFSET($C$2:$C$10,I1840,0),OFFSET($D$2:$H$10,I1840,0)))</f>
        <v>21.994047619047251</v>
      </c>
      <c r="K1840" s="6">
        <f ca="1"/>
        <v>4.8214285714284415</v>
      </c>
      <c r="L1840" s="6">
        <f ca="1"/>
        <v>2.619047619047933</v>
      </c>
      <c r="M1840" s="6">
        <f ca="1"/>
        <v>2.4404761904762609</v>
      </c>
      <c r="N1840" s="6">
        <f ca="1"/>
        <v>-2.2023809523809668E-2</v>
      </c>
      <c r="O1840" s="6">
        <f t="shared" ca="1" si="263"/>
        <v>16.904761904761344</v>
      </c>
      <c r="P1840" t="str">
        <f t="shared" si="264"/>
        <v>NA</v>
      </c>
      <c r="Q1840" s="10">
        <f t="shared" ca="1" si="265"/>
        <v>19.345238095238059</v>
      </c>
      <c r="R1840" s="10">
        <f t="shared" ca="1" si="266"/>
        <v>26.815476190475692</v>
      </c>
      <c r="S1840" s="10">
        <f t="shared" ca="1" si="267"/>
        <v>-7.470238095237633</v>
      </c>
      <c r="T1840" s="10">
        <f t="shared" ca="1" si="268"/>
        <v>339.18918918916597</v>
      </c>
      <c r="U1840" s="10">
        <f t="shared" ca="1" si="269"/>
        <v>339.18918918916597</v>
      </c>
      <c r="V1840">
        <f t="shared" si="270"/>
        <v>2</v>
      </c>
    </row>
    <row r="1841" spans="1:22" x14ac:dyDescent="0.25">
      <c r="A1841">
        <v>205</v>
      </c>
      <c r="B1841">
        <v>4</v>
      </c>
      <c r="C1841">
        <v>10</v>
      </c>
      <c r="D1841">
        <v>1</v>
      </c>
      <c r="E1841">
        <v>0</v>
      </c>
      <c r="F1841">
        <v>0</v>
      </c>
      <c r="G1841">
        <v>0</v>
      </c>
      <c r="H1841">
        <v>550</v>
      </c>
      <c r="I1841">
        <f t="shared" si="271"/>
        <v>1836</v>
      </c>
      <c r="J1841" s="6">
        <f t="array" aca="1" ref="J1841:N1841" ca="1">TRANSPOSE(ols(OFFSET($C$2:$C$10,I1841,0),OFFSET($D$2:$H$10,I1841,0)))</f>
        <v>21.994047619047251</v>
      </c>
      <c r="K1841" s="6">
        <f ca="1"/>
        <v>4.8214285714284415</v>
      </c>
      <c r="L1841" s="6">
        <f ca="1"/>
        <v>2.619047619047933</v>
      </c>
      <c r="M1841" s="6">
        <f ca="1"/>
        <v>2.4404761904762609</v>
      </c>
      <c r="N1841" s="6">
        <f ca="1"/>
        <v>-2.2023809523809668E-2</v>
      </c>
      <c r="O1841" s="6">
        <f t="shared" ca="1" si="263"/>
        <v>9.8809523809519337</v>
      </c>
      <c r="P1841" t="str">
        <f t="shared" si="264"/>
        <v>NA</v>
      </c>
      <c r="Q1841" s="10">
        <f t="shared" ca="1" si="265"/>
        <v>19.345238095238059</v>
      </c>
      <c r="R1841" s="10">
        <f t="shared" ca="1" si="266"/>
        <v>21.994047619047251</v>
      </c>
      <c r="S1841" s="10">
        <f t="shared" ca="1" si="267"/>
        <v>-2.6488095238091915</v>
      </c>
      <c r="T1841" s="10">
        <f t="shared" ca="1" si="268"/>
        <v>120.2702702702544</v>
      </c>
      <c r="U1841" s="10" t="str">
        <f t="shared" ca="1" si="269"/>
        <v>OR</v>
      </c>
      <c r="V1841">
        <f t="shared" si="270"/>
        <v>1</v>
      </c>
    </row>
    <row r="1842" spans="1:22" x14ac:dyDescent="0.25">
      <c r="A1842">
        <v>205</v>
      </c>
      <c r="B1842">
        <v>5</v>
      </c>
      <c r="C1842">
        <v>20</v>
      </c>
      <c r="D1842">
        <v>1</v>
      </c>
      <c r="E1842">
        <v>0</v>
      </c>
      <c r="F1842">
        <v>1</v>
      </c>
      <c r="G1842">
        <v>1</v>
      </c>
      <c r="H1842">
        <v>250</v>
      </c>
      <c r="I1842">
        <f t="shared" si="271"/>
        <v>1836</v>
      </c>
      <c r="J1842" s="6">
        <f t="array" aca="1" ref="J1842:N1842" ca="1">TRANSPOSE(ols(OFFSET($C$2:$C$10,I1842,0),OFFSET($D$2:$H$10,I1842,0)))</f>
        <v>21.994047619047251</v>
      </c>
      <c r="K1842" s="6">
        <f ca="1"/>
        <v>4.8214285714284415</v>
      </c>
      <c r="L1842" s="6">
        <f ca="1"/>
        <v>2.619047619047933</v>
      </c>
      <c r="M1842" s="6">
        <f ca="1"/>
        <v>2.4404761904762609</v>
      </c>
      <c r="N1842" s="6">
        <f ca="1"/>
        <v>-2.2023809523809668E-2</v>
      </c>
      <c r="O1842" s="6">
        <f t="shared" ca="1" si="263"/>
        <v>21.54761904761903</v>
      </c>
      <c r="P1842" t="str">
        <f t="shared" si="264"/>
        <v>NA</v>
      </c>
      <c r="Q1842" s="10">
        <f t="shared" ca="1" si="265"/>
        <v>19.345238095238059</v>
      </c>
      <c r="R1842" s="10">
        <f t="shared" ca="1" si="266"/>
        <v>27.053571428571445</v>
      </c>
      <c r="S1842" s="10">
        <f t="shared" ca="1" si="267"/>
        <v>-7.7083333333333854</v>
      </c>
      <c r="T1842" s="10">
        <f t="shared" ca="1" si="268"/>
        <v>350.00000000000006</v>
      </c>
      <c r="U1842" s="10">
        <f t="shared" ca="1" si="269"/>
        <v>350.00000000000006</v>
      </c>
      <c r="V1842">
        <f t="shared" si="270"/>
        <v>6</v>
      </c>
    </row>
    <row r="1843" spans="1:22" x14ac:dyDescent="0.25">
      <c r="A1843">
        <v>205</v>
      </c>
      <c r="B1843">
        <v>6</v>
      </c>
      <c r="C1843">
        <v>20</v>
      </c>
      <c r="D1843">
        <v>1</v>
      </c>
      <c r="E1843">
        <v>0</v>
      </c>
      <c r="F1843">
        <v>1</v>
      </c>
      <c r="G1843">
        <v>1</v>
      </c>
      <c r="H1843">
        <v>350</v>
      </c>
      <c r="I1843">
        <f t="shared" si="271"/>
        <v>1836</v>
      </c>
      <c r="J1843" s="6">
        <f t="array" aca="1" ref="J1843:N1843" ca="1">TRANSPOSE(ols(OFFSET($C$2:$C$10,I1843,0),OFFSET($D$2:$H$10,I1843,0)))</f>
        <v>21.994047619047251</v>
      </c>
      <c r="K1843" s="6">
        <f ca="1"/>
        <v>4.8214285714284415</v>
      </c>
      <c r="L1843" s="6">
        <f ca="1"/>
        <v>2.619047619047933</v>
      </c>
      <c r="M1843" s="6">
        <f ca="1"/>
        <v>2.4404761904762609</v>
      </c>
      <c r="N1843" s="6">
        <f ca="1"/>
        <v>-2.2023809523809668E-2</v>
      </c>
      <c r="O1843" s="6">
        <f t="shared" ca="1" si="263"/>
        <v>19.345238095238059</v>
      </c>
      <c r="P1843">
        <f t="shared" ca="1" si="264"/>
        <v>19.345238095238059</v>
      </c>
      <c r="Q1843" s="10">
        <f t="shared" ca="1" si="265"/>
        <v>19.345238095238059</v>
      </c>
      <c r="R1843" s="10">
        <f t="shared" ca="1" si="266"/>
        <v>27.053571428571445</v>
      </c>
      <c r="S1843" s="10">
        <f t="shared" ca="1" si="267"/>
        <v>-7.7083333333333854</v>
      </c>
      <c r="T1843" s="10">
        <f t="shared" ca="1" si="268"/>
        <v>350.00000000000006</v>
      </c>
      <c r="U1843" s="10">
        <f t="shared" ca="1" si="269"/>
        <v>350.00000000000006</v>
      </c>
      <c r="V1843">
        <f t="shared" si="270"/>
        <v>6</v>
      </c>
    </row>
    <row r="1844" spans="1:22" x14ac:dyDescent="0.25">
      <c r="A1844">
        <v>205</v>
      </c>
      <c r="B1844">
        <v>7</v>
      </c>
      <c r="C1844">
        <v>20</v>
      </c>
      <c r="D1844">
        <v>1</v>
      </c>
      <c r="E1844">
        <v>1</v>
      </c>
      <c r="F1844">
        <v>0</v>
      </c>
      <c r="G1844">
        <v>1</v>
      </c>
      <c r="H1844">
        <v>450</v>
      </c>
      <c r="I1844">
        <f t="shared" si="271"/>
        <v>1836</v>
      </c>
      <c r="J1844" s="6">
        <f t="array" aca="1" ref="J1844:N1844" ca="1">TRANSPOSE(ols(OFFSET($C$2:$C$10,I1844,0),OFFSET($D$2:$H$10,I1844,0)))</f>
        <v>21.994047619047251</v>
      </c>
      <c r="K1844" s="6">
        <f ca="1"/>
        <v>4.8214285714284415</v>
      </c>
      <c r="L1844" s="6">
        <f ca="1"/>
        <v>2.619047619047933</v>
      </c>
      <c r="M1844" s="6">
        <f ca="1"/>
        <v>2.4404761904762609</v>
      </c>
      <c r="N1844" s="6">
        <f ca="1"/>
        <v>-2.2023809523809668E-2</v>
      </c>
      <c r="O1844" s="6">
        <f t="shared" ca="1" si="263"/>
        <v>19.345238095237605</v>
      </c>
      <c r="P1844" t="str">
        <f t="shared" si="264"/>
        <v>NA</v>
      </c>
      <c r="Q1844" s="10">
        <f t="shared" ca="1" si="265"/>
        <v>19.345238095238059</v>
      </c>
      <c r="R1844" s="10">
        <f t="shared" ca="1" si="266"/>
        <v>29.255952380951953</v>
      </c>
      <c r="S1844" s="10">
        <f t="shared" ca="1" si="267"/>
        <v>-9.9107142857138939</v>
      </c>
      <c r="T1844" s="10">
        <f t="shared" ca="1" si="268"/>
        <v>449.99999999997925</v>
      </c>
      <c r="U1844" s="10">
        <f t="shared" ca="1" si="269"/>
        <v>449.99999999997925</v>
      </c>
      <c r="V1844">
        <f t="shared" si="270"/>
        <v>5</v>
      </c>
    </row>
    <row r="1845" spans="1:22" x14ac:dyDescent="0.25">
      <c r="A1845">
        <v>205</v>
      </c>
      <c r="B1845">
        <v>8</v>
      </c>
      <c r="C1845">
        <v>17.5</v>
      </c>
      <c r="D1845">
        <v>1</v>
      </c>
      <c r="E1845">
        <v>1</v>
      </c>
      <c r="F1845">
        <v>0</v>
      </c>
      <c r="G1845">
        <v>1</v>
      </c>
      <c r="H1845">
        <v>550</v>
      </c>
      <c r="I1845">
        <f t="shared" si="271"/>
        <v>1836</v>
      </c>
      <c r="J1845" s="6">
        <f t="array" aca="1" ref="J1845:N1845" ca="1">TRANSPOSE(ols(OFFSET($C$2:$C$10,I1845,0),OFFSET($D$2:$H$10,I1845,0)))</f>
        <v>21.994047619047251</v>
      </c>
      <c r="K1845" s="6">
        <f ca="1"/>
        <v>4.8214285714284415</v>
      </c>
      <c r="L1845" s="6">
        <f ca="1"/>
        <v>2.619047619047933</v>
      </c>
      <c r="M1845" s="6">
        <f ca="1"/>
        <v>2.4404761904762609</v>
      </c>
      <c r="N1845" s="6">
        <f ca="1"/>
        <v>-2.2023809523809668E-2</v>
      </c>
      <c r="O1845" s="6">
        <f t="shared" ca="1" si="263"/>
        <v>17.142857142856634</v>
      </c>
      <c r="P1845" t="str">
        <f t="shared" si="264"/>
        <v>NA</v>
      </c>
      <c r="Q1845" s="10">
        <f t="shared" ca="1" si="265"/>
        <v>19.345238095238059</v>
      </c>
      <c r="R1845" s="10">
        <f t="shared" ca="1" si="266"/>
        <v>29.255952380951953</v>
      </c>
      <c r="S1845" s="10">
        <f t="shared" ca="1" si="267"/>
        <v>-9.9107142857138939</v>
      </c>
      <c r="T1845" s="10">
        <f t="shared" ca="1" si="268"/>
        <v>449.99999999997925</v>
      </c>
      <c r="U1845" s="10">
        <f t="shared" ca="1" si="269"/>
        <v>449.99999999997925</v>
      </c>
      <c r="V1845">
        <f t="shared" si="270"/>
        <v>5</v>
      </c>
    </row>
    <row r="1846" spans="1:22" x14ac:dyDescent="0.25">
      <c r="A1846">
        <v>205</v>
      </c>
      <c r="B1846">
        <v>9</v>
      </c>
      <c r="C1846">
        <v>10</v>
      </c>
      <c r="D1846">
        <v>1</v>
      </c>
      <c r="E1846">
        <v>0</v>
      </c>
      <c r="F1846">
        <v>0</v>
      </c>
      <c r="G1846">
        <v>1</v>
      </c>
      <c r="H1846">
        <v>650</v>
      </c>
      <c r="I1846">
        <f t="shared" si="271"/>
        <v>1836</v>
      </c>
      <c r="J1846" s="6">
        <f t="array" aca="1" ref="J1846:N1846" ca="1">TRANSPOSE(ols(OFFSET($C$2:$C$10,I1846,0),OFFSET($D$2:$H$10,I1846,0)))</f>
        <v>21.994047619047251</v>
      </c>
      <c r="K1846" s="6">
        <f ca="1"/>
        <v>4.8214285714284415</v>
      </c>
      <c r="L1846" s="6">
        <f ca="1"/>
        <v>2.619047619047933</v>
      </c>
      <c r="M1846" s="6">
        <f ca="1"/>
        <v>2.4404761904762609</v>
      </c>
      <c r="N1846" s="6">
        <f ca="1"/>
        <v>-2.2023809523809668E-2</v>
      </c>
      <c r="O1846" s="6">
        <f t="shared" ca="1" si="263"/>
        <v>10.119047619047228</v>
      </c>
      <c r="P1846" t="str">
        <f t="shared" si="264"/>
        <v>NA</v>
      </c>
      <c r="Q1846" s="10">
        <f t="shared" ca="1" si="265"/>
        <v>19.345238095238059</v>
      </c>
      <c r="R1846" s="10">
        <f t="shared" ca="1" si="266"/>
        <v>24.434523809523512</v>
      </c>
      <c r="S1846" s="10">
        <f t="shared" ca="1" si="267"/>
        <v>-5.0892857142854524</v>
      </c>
      <c r="T1846" s="10">
        <f t="shared" ca="1" si="268"/>
        <v>231.08108108106768</v>
      </c>
      <c r="U1846" s="10" t="str">
        <f t="shared" ca="1" si="269"/>
        <v>OR</v>
      </c>
      <c r="V1846">
        <f t="shared" si="270"/>
        <v>4</v>
      </c>
    </row>
    <row r="1847" spans="1:22" x14ac:dyDescent="0.25">
      <c r="A1847">
        <v>206</v>
      </c>
      <c r="B1847">
        <v>1</v>
      </c>
      <c r="C1847">
        <v>30</v>
      </c>
      <c r="D1847">
        <v>1</v>
      </c>
      <c r="E1847">
        <v>0</v>
      </c>
      <c r="F1847">
        <v>1</v>
      </c>
      <c r="G1847">
        <v>0</v>
      </c>
      <c r="H1847">
        <v>250</v>
      </c>
      <c r="I1847">
        <f t="shared" si="271"/>
        <v>1845</v>
      </c>
      <c r="J1847" s="6">
        <f t="array" aca="1" ref="J1847:N1847" ca="1">TRANSPOSE(ols(OFFSET($C$2:$C$10,I1847,0),OFFSET($D$2:$H$10,I1847,0)))</f>
        <v>22.589285714286234</v>
      </c>
      <c r="K1847" s="6">
        <f ca="1"/>
        <v>6.4285714285713311</v>
      </c>
      <c r="L1847" s="6">
        <f ca="1"/>
        <v>13.214285714285325</v>
      </c>
      <c r="M1847" s="6">
        <f ca="1"/>
        <v>20.892857142857338</v>
      </c>
      <c r="N1847" s="6">
        <f ca="1"/>
        <v>-1.9642857142858183E-2</v>
      </c>
      <c r="O1847" s="6">
        <f t="shared" ca="1" si="263"/>
        <v>30.892857142857011</v>
      </c>
      <c r="P1847" t="str">
        <f t="shared" si="264"/>
        <v>NA</v>
      </c>
      <c r="Q1847" s="10">
        <f t="shared" ca="1" si="265"/>
        <v>49.821428571428534</v>
      </c>
      <c r="R1847" s="10">
        <f t="shared" ca="1" si="266"/>
        <v>35.803571428571558</v>
      </c>
      <c r="S1847" s="10">
        <f t="shared" ca="1" si="267"/>
        <v>14.017857142856975</v>
      </c>
      <c r="T1847" s="10">
        <f t="shared" ca="1" si="268"/>
        <v>-713.63636363631736</v>
      </c>
      <c r="U1847" s="10" t="str">
        <f t="shared" ca="1" si="269"/>
        <v>OR</v>
      </c>
      <c r="V1847">
        <f t="shared" si="270"/>
        <v>3</v>
      </c>
    </row>
    <row r="1848" spans="1:22" x14ac:dyDescent="0.25">
      <c r="A1848">
        <v>206</v>
      </c>
      <c r="B1848">
        <v>2</v>
      </c>
      <c r="C1848">
        <v>22.5</v>
      </c>
      <c r="D1848">
        <v>1</v>
      </c>
      <c r="E1848">
        <v>1</v>
      </c>
      <c r="F1848">
        <v>0</v>
      </c>
      <c r="G1848">
        <v>0</v>
      </c>
      <c r="H1848">
        <v>350</v>
      </c>
      <c r="I1848">
        <f t="shared" si="271"/>
        <v>1845</v>
      </c>
      <c r="J1848" s="6">
        <f t="array" aca="1" ref="J1848:N1848" ca="1">TRANSPOSE(ols(OFFSET($C$2:$C$10,I1848,0),OFFSET($D$2:$H$10,I1848,0)))</f>
        <v>22.589285714286234</v>
      </c>
      <c r="K1848" s="6">
        <f ca="1"/>
        <v>6.4285714285713311</v>
      </c>
      <c r="L1848" s="6">
        <f ca="1"/>
        <v>13.214285714285325</v>
      </c>
      <c r="M1848" s="6">
        <f ca="1"/>
        <v>20.892857142857338</v>
      </c>
      <c r="N1848" s="6">
        <f ca="1"/>
        <v>-1.9642857142858183E-2</v>
      </c>
      <c r="O1848" s="6">
        <f t="shared" ca="1" si="263"/>
        <v>22.142857142857203</v>
      </c>
      <c r="P1848" t="str">
        <f t="shared" si="264"/>
        <v>NA</v>
      </c>
      <c r="Q1848" s="10">
        <f t="shared" ca="1" si="265"/>
        <v>49.821428571428534</v>
      </c>
      <c r="R1848" s="10">
        <f t="shared" ca="1" si="266"/>
        <v>29.017857142857565</v>
      </c>
      <c r="S1848" s="10">
        <f t="shared" ca="1" si="267"/>
        <v>20.803571428570969</v>
      </c>
      <c r="T1848" s="10">
        <f t="shared" ca="1" si="268"/>
        <v>-1059.0909090908297</v>
      </c>
      <c r="U1848" s="10" t="str">
        <f t="shared" ca="1" si="269"/>
        <v>OR</v>
      </c>
      <c r="V1848">
        <f t="shared" si="270"/>
        <v>2</v>
      </c>
    </row>
    <row r="1849" spans="1:22" x14ac:dyDescent="0.25">
      <c r="A1849">
        <v>206</v>
      </c>
      <c r="B1849">
        <v>3</v>
      </c>
      <c r="C1849">
        <v>20</v>
      </c>
      <c r="D1849">
        <v>1</v>
      </c>
      <c r="E1849">
        <v>1</v>
      </c>
      <c r="F1849">
        <v>0</v>
      </c>
      <c r="G1849">
        <v>0</v>
      </c>
      <c r="H1849">
        <v>450</v>
      </c>
      <c r="I1849">
        <f t="shared" si="271"/>
        <v>1845</v>
      </c>
      <c r="J1849" s="6">
        <f t="array" aca="1" ref="J1849:N1849" ca="1">TRANSPOSE(ols(OFFSET($C$2:$C$10,I1849,0),OFFSET($D$2:$H$10,I1849,0)))</f>
        <v>22.589285714286234</v>
      </c>
      <c r="K1849" s="6">
        <f ca="1"/>
        <v>6.4285714285713311</v>
      </c>
      <c r="L1849" s="6">
        <f ca="1"/>
        <v>13.214285714285325</v>
      </c>
      <c r="M1849" s="6">
        <f ca="1"/>
        <v>20.892857142857338</v>
      </c>
      <c r="N1849" s="6">
        <f ca="1"/>
        <v>-1.9642857142858183E-2</v>
      </c>
      <c r="O1849" s="6">
        <f t="shared" ca="1" si="263"/>
        <v>20.178571428571381</v>
      </c>
      <c r="P1849" t="str">
        <f t="shared" si="264"/>
        <v>NA</v>
      </c>
      <c r="Q1849" s="10">
        <f t="shared" ca="1" si="265"/>
        <v>49.821428571428534</v>
      </c>
      <c r="R1849" s="10">
        <f t="shared" ca="1" si="266"/>
        <v>29.017857142857565</v>
      </c>
      <c r="S1849" s="10">
        <f t="shared" ca="1" si="267"/>
        <v>20.803571428570969</v>
      </c>
      <c r="T1849" s="10">
        <f t="shared" ca="1" si="268"/>
        <v>-1059.0909090908297</v>
      </c>
      <c r="U1849" s="10" t="str">
        <f t="shared" ca="1" si="269"/>
        <v>OR</v>
      </c>
      <c r="V1849">
        <f t="shared" si="270"/>
        <v>2</v>
      </c>
    </row>
    <row r="1850" spans="1:22" x14ac:dyDescent="0.25">
      <c r="A1850">
        <v>206</v>
      </c>
      <c r="B1850">
        <v>4</v>
      </c>
      <c r="C1850">
        <v>12.5</v>
      </c>
      <c r="D1850">
        <v>1</v>
      </c>
      <c r="E1850">
        <v>0</v>
      </c>
      <c r="F1850">
        <v>0</v>
      </c>
      <c r="G1850">
        <v>0</v>
      </c>
      <c r="H1850">
        <v>550</v>
      </c>
      <c r="I1850">
        <f t="shared" si="271"/>
        <v>1845</v>
      </c>
      <c r="J1850" s="6">
        <f t="array" aca="1" ref="J1850:N1850" ca="1">TRANSPOSE(ols(OFFSET($C$2:$C$10,I1850,0),OFFSET($D$2:$H$10,I1850,0)))</f>
        <v>22.589285714286234</v>
      </c>
      <c r="K1850" s="6">
        <f ca="1"/>
        <v>6.4285714285713311</v>
      </c>
      <c r="L1850" s="6">
        <f ca="1"/>
        <v>13.214285714285325</v>
      </c>
      <c r="M1850" s="6">
        <f ca="1"/>
        <v>20.892857142857338</v>
      </c>
      <c r="N1850" s="6">
        <f ca="1"/>
        <v>-1.9642857142858183E-2</v>
      </c>
      <c r="O1850" s="6">
        <f t="shared" ca="1" si="263"/>
        <v>11.785714285714233</v>
      </c>
      <c r="P1850" t="str">
        <f t="shared" si="264"/>
        <v>NA</v>
      </c>
      <c r="Q1850" s="10">
        <f t="shared" ca="1" si="265"/>
        <v>49.821428571428534</v>
      </c>
      <c r="R1850" s="10">
        <f t="shared" ca="1" si="266"/>
        <v>22.589285714286234</v>
      </c>
      <c r="S1850" s="10">
        <f t="shared" ca="1" si="267"/>
        <v>27.2321428571423</v>
      </c>
      <c r="T1850" s="10">
        <f t="shared" ca="1" si="268"/>
        <v>-1386.3636363635346</v>
      </c>
      <c r="U1850" s="10" t="str">
        <f t="shared" ca="1" si="269"/>
        <v>OR</v>
      </c>
      <c r="V1850">
        <f t="shared" si="270"/>
        <v>1</v>
      </c>
    </row>
    <row r="1851" spans="1:22" x14ac:dyDescent="0.25">
      <c r="A1851">
        <v>206</v>
      </c>
      <c r="B1851">
        <v>5</v>
      </c>
      <c r="C1851">
        <v>52.5</v>
      </c>
      <c r="D1851">
        <v>1</v>
      </c>
      <c r="E1851">
        <v>0</v>
      </c>
      <c r="F1851">
        <v>1</v>
      </c>
      <c r="G1851">
        <v>1</v>
      </c>
      <c r="H1851">
        <v>250</v>
      </c>
      <c r="I1851">
        <f t="shared" si="271"/>
        <v>1845</v>
      </c>
      <c r="J1851" s="6">
        <f t="array" aca="1" ref="J1851:N1851" ca="1">TRANSPOSE(ols(OFFSET($C$2:$C$10,I1851,0),OFFSET($D$2:$H$10,I1851,0)))</f>
        <v>22.589285714286234</v>
      </c>
      <c r="K1851" s="6">
        <f ca="1"/>
        <v>6.4285714285713311</v>
      </c>
      <c r="L1851" s="6">
        <f ca="1"/>
        <v>13.214285714285325</v>
      </c>
      <c r="M1851" s="6">
        <f ca="1"/>
        <v>20.892857142857338</v>
      </c>
      <c r="N1851" s="6">
        <f ca="1"/>
        <v>-1.9642857142858183E-2</v>
      </c>
      <c r="O1851" s="6">
        <f t="shared" ca="1" si="263"/>
        <v>51.785714285714349</v>
      </c>
      <c r="P1851" t="str">
        <f t="shared" si="264"/>
        <v>NA</v>
      </c>
      <c r="Q1851" s="10">
        <f t="shared" ca="1" si="265"/>
        <v>49.821428571428534</v>
      </c>
      <c r="R1851" s="10">
        <f t="shared" ca="1" si="266"/>
        <v>56.696428571428896</v>
      </c>
      <c r="S1851" s="10">
        <f t="shared" ca="1" si="267"/>
        <v>-6.8750000000003624</v>
      </c>
      <c r="T1851" s="10">
        <f t="shared" ca="1" si="268"/>
        <v>349.99999999999989</v>
      </c>
      <c r="U1851" s="10">
        <f t="shared" ca="1" si="269"/>
        <v>349.99999999999989</v>
      </c>
      <c r="V1851">
        <f t="shared" si="270"/>
        <v>6</v>
      </c>
    </row>
    <row r="1852" spans="1:22" x14ac:dyDescent="0.25">
      <c r="A1852">
        <v>206</v>
      </c>
      <c r="B1852">
        <v>6</v>
      </c>
      <c r="C1852">
        <v>50</v>
      </c>
      <c r="D1852">
        <v>1</v>
      </c>
      <c r="E1852">
        <v>0</v>
      </c>
      <c r="F1852">
        <v>1</v>
      </c>
      <c r="G1852">
        <v>1</v>
      </c>
      <c r="H1852">
        <v>350</v>
      </c>
      <c r="I1852">
        <f t="shared" si="271"/>
        <v>1845</v>
      </c>
      <c r="J1852" s="6">
        <f t="array" aca="1" ref="J1852:N1852" ca="1">TRANSPOSE(ols(OFFSET($C$2:$C$10,I1852,0),OFFSET($D$2:$H$10,I1852,0)))</f>
        <v>22.589285714286234</v>
      </c>
      <c r="K1852" s="6">
        <f ca="1"/>
        <v>6.4285714285713311</v>
      </c>
      <c r="L1852" s="6">
        <f ca="1"/>
        <v>13.214285714285325</v>
      </c>
      <c r="M1852" s="6">
        <f ca="1"/>
        <v>20.892857142857338</v>
      </c>
      <c r="N1852" s="6">
        <f ca="1"/>
        <v>-1.9642857142858183E-2</v>
      </c>
      <c r="O1852" s="6">
        <f t="shared" ca="1" si="263"/>
        <v>49.821428571428534</v>
      </c>
      <c r="P1852">
        <f t="shared" ca="1" si="264"/>
        <v>49.821428571428534</v>
      </c>
      <c r="Q1852" s="10">
        <f t="shared" ca="1" si="265"/>
        <v>49.821428571428534</v>
      </c>
      <c r="R1852" s="10">
        <f t="shared" ca="1" si="266"/>
        <v>56.696428571428896</v>
      </c>
      <c r="S1852" s="10">
        <f t="shared" ca="1" si="267"/>
        <v>-6.8750000000003624</v>
      </c>
      <c r="T1852" s="10">
        <f t="shared" ca="1" si="268"/>
        <v>349.99999999999989</v>
      </c>
      <c r="U1852" s="10">
        <f t="shared" ca="1" si="269"/>
        <v>349.99999999999989</v>
      </c>
      <c r="V1852">
        <f t="shared" si="270"/>
        <v>6</v>
      </c>
    </row>
    <row r="1853" spans="1:22" x14ac:dyDescent="0.25">
      <c r="A1853">
        <v>206</v>
      </c>
      <c r="B1853">
        <v>7</v>
      </c>
      <c r="C1853">
        <v>40</v>
      </c>
      <c r="D1853">
        <v>1</v>
      </c>
      <c r="E1853">
        <v>1</v>
      </c>
      <c r="F1853">
        <v>0</v>
      </c>
      <c r="G1853">
        <v>1</v>
      </c>
      <c r="H1853">
        <v>450</v>
      </c>
      <c r="I1853">
        <f t="shared" si="271"/>
        <v>1845</v>
      </c>
      <c r="J1853" s="6">
        <f t="array" aca="1" ref="J1853:N1853" ca="1">TRANSPOSE(ols(OFFSET($C$2:$C$10,I1853,0),OFFSET($D$2:$H$10,I1853,0)))</f>
        <v>22.589285714286234</v>
      </c>
      <c r="K1853" s="6">
        <f ca="1"/>
        <v>6.4285714285713311</v>
      </c>
      <c r="L1853" s="6">
        <f ca="1"/>
        <v>13.214285714285325</v>
      </c>
      <c r="M1853" s="6">
        <f ca="1"/>
        <v>20.892857142857338</v>
      </c>
      <c r="N1853" s="6">
        <f ca="1"/>
        <v>-1.9642857142858183E-2</v>
      </c>
      <c r="O1853" s="6">
        <f t="shared" ca="1" si="263"/>
        <v>41.071428571428719</v>
      </c>
      <c r="P1853" t="str">
        <f t="shared" si="264"/>
        <v>NA</v>
      </c>
      <c r="Q1853" s="10">
        <f t="shared" ca="1" si="265"/>
        <v>49.821428571428534</v>
      </c>
      <c r="R1853" s="10">
        <f t="shared" ca="1" si="266"/>
        <v>49.910714285714903</v>
      </c>
      <c r="S1853" s="10">
        <f t="shared" ca="1" si="267"/>
        <v>-8.9285714286369E-2</v>
      </c>
      <c r="T1853" s="10">
        <f t="shared" ca="1" si="268"/>
        <v>4.5454545454876358</v>
      </c>
      <c r="U1853" s="10" t="str">
        <f t="shared" ca="1" si="269"/>
        <v>OR</v>
      </c>
      <c r="V1853">
        <f t="shared" si="270"/>
        <v>5</v>
      </c>
    </row>
    <row r="1854" spans="1:22" x14ac:dyDescent="0.25">
      <c r="A1854">
        <v>206</v>
      </c>
      <c r="B1854">
        <v>8</v>
      </c>
      <c r="C1854">
        <v>40</v>
      </c>
      <c r="D1854">
        <v>1</v>
      </c>
      <c r="E1854">
        <v>1</v>
      </c>
      <c r="F1854">
        <v>0</v>
      </c>
      <c r="G1854">
        <v>1</v>
      </c>
      <c r="H1854">
        <v>550</v>
      </c>
      <c r="I1854">
        <f t="shared" si="271"/>
        <v>1845</v>
      </c>
      <c r="J1854" s="6">
        <f t="array" aca="1" ref="J1854:N1854" ca="1">TRANSPOSE(ols(OFFSET($C$2:$C$10,I1854,0),OFFSET($D$2:$H$10,I1854,0)))</f>
        <v>22.589285714286234</v>
      </c>
      <c r="K1854" s="6">
        <f ca="1"/>
        <v>6.4285714285713311</v>
      </c>
      <c r="L1854" s="6">
        <f ca="1"/>
        <v>13.214285714285325</v>
      </c>
      <c r="M1854" s="6">
        <f ca="1"/>
        <v>20.892857142857338</v>
      </c>
      <c r="N1854" s="6">
        <f ca="1"/>
        <v>-1.9642857142858183E-2</v>
      </c>
      <c r="O1854" s="6">
        <f t="shared" ca="1" si="263"/>
        <v>39.107142857142904</v>
      </c>
      <c r="P1854" t="str">
        <f t="shared" si="264"/>
        <v>NA</v>
      </c>
      <c r="Q1854" s="10">
        <f t="shared" ca="1" si="265"/>
        <v>49.821428571428534</v>
      </c>
      <c r="R1854" s="10">
        <f t="shared" ca="1" si="266"/>
        <v>49.910714285714903</v>
      </c>
      <c r="S1854" s="10">
        <f t="shared" ca="1" si="267"/>
        <v>-8.9285714286369E-2</v>
      </c>
      <c r="T1854" s="10">
        <f t="shared" ca="1" si="268"/>
        <v>4.5454545454876358</v>
      </c>
      <c r="U1854" s="10" t="str">
        <f t="shared" ca="1" si="269"/>
        <v>OR</v>
      </c>
      <c r="V1854">
        <f t="shared" si="270"/>
        <v>5</v>
      </c>
    </row>
    <row r="1855" spans="1:22" x14ac:dyDescent="0.25">
      <c r="A1855">
        <v>206</v>
      </c>
      <c r="B1855">
        <v>9</v>
      </c>
      <c r="C1855">
        <v>30</v>
      </c>
      <c r="D1855">
        <v>1</v>
      </c>
      <c r="E1855">
        <v>0</v>
      </c>
      <c r="F1855">
        <v>0</v>
      </c>
      <c r="G1855">
        <v>1</v>
      </c>
      <c r="H1855">
        <v>650</v>
      </c>
      <c r="I1855">
        <f t="shared" si="271"/>
        <v>1845</v>
      </c>
      <c r="J1855" s="6">
        <f t="array" aca="1" ref="J1855:N1855" ca="1">TRANSPOSE(ols(OFFSET($C$2:$C$10,I1855,0),OFFSET($D$2:$H$10,I1855,0)))</f>
        <v>22.589285714286234</v>
      </c>
      <c r="K1855" s="6">
        <f ca="1"/>
        <v>6.4285714285713311</v>
      </c>
      <c r="L1855" s="6">
        <f ca="1"/>
        <v>13.214285714285325</v>
      </c>
      <c r="M1855" s="6">
        <f ca="1"/>
        <v>20.892857142857338</v>
      </c>
      <c r="N1855" s="6">
        <f ca="1"/>
        <v>-1.9642857142858183E-2</v>
      </c>
      <c r="O1855" s="6">
        <f t="shared" ca="1" si="263"/>
        <v>30.714285714285751</v>
      </c>
      <c r="P1855" t="str">
        <f t="shared" si="264"/>
        <v>NA</v>
      </c>
      <c r="Q1855" s="10">
        <f t="shared" ca="1" si="265"/>
        <v>49.821428571428534</v>
      </c>
      <c r="R1855" s="10">
        <f t="shared" ca="1" si="266"/>
        <v>43.482142857143572</v>
      </c>
      <c r="S1855" s="10">
        <f t="shared" ca="1" si="267"/>
        <v>6.3392857142849621</v>
      </c>
      <c r="T1855" s="10">
        <f t="shared" ca="1" si="268"/>
        <v>-322.72727272721733</v>
      </c>
      <c r="U1855" s="10" t="str">
        <f t="shared" ca="1" si="269"/>
        <v>OR</v>
      </c>
      <c r="V1855">
        <f t="shared" si="270"/>
        <v>4</v>
      </c>
    </row>
    <row r="1856" spans="1:22" x14ac:dyDescent="0.25">
      <c r="A1856">
        <v>207</v>
      </c>
      <c r="B1856">
        <v>1</v>
      </c>
      <c r="C1856">
        <v>75</v>
      </c>
      <c r="D1856">
        <v>1</v>
      </c>
      <c r="E1856">
        <v>0</v>
      </c>
      <c r="F1856">
        <v>1</v>
      </c>
      <c r="G1856">
        <v>0</v>
      </c>
      <c r="H1856">
        <v>250</v>
      </c>
      <c r="I1856">
        <f t="shared" si="271"/>
        <v>1854</v>
      </c>
      <c r="J1856" s="6">
        <f t="array" aca="1" ref="J1856:N1856" ca="1">TRANSPOSE(ols(OFFSET($C$2:$C$10,I1856,0),OFFSET($D$2:$H$10,I1856,0)))</f>
        <v>74.702380952379826</v>
      </c>
      <c r="K1856" s="6">
        <f ca="1"/>
        <v>1.0714285714288962</v>
      </c>
      <c r="L1856" s="6">
        <f ca="1"/>
        <v>5.9523809523807358</v>
      </c>
      <c r="M1856" s="6">
        <f ca="1"/>
        <v>-12.976190476189913</v>
      </c>
      <c r="N1856" s="6">
        <f ca="1"/>
        <v>-1.1904761904766303E-3</v>
      </c>
      <c r="O1856" s="6">
        <f t="shared" ca="1" si="263"/>
        <v>80.357142857141412</v>
      </c>
      <c r="P1856" t="str">
        <f t="shared" si="264"/>
        <v>NA</v>
      </c>
      <c r="Q1856" s="10">
        <f t="shared" ca="1" si="265"/>
        <v>67.261904761903821</v>
      </c>
      <c r="R1856" s="10">
        <f t="shared" ca="1" si="266"/>
        <v>80.654761904760562</v>
      </c>
      <c r="S1856" s="10">
        <f t="shared" ca="1" si="267"/>
        <v>-13.392857142856741</v>
      </c>
      <c r="T1856" s="10">
        <f t="shared" ca="1" si="268"/>
        <v>11249.999999995505</v>
      </c>
      <c r="U1856" s="10" t="str">
        <f t="shared" ca="1" si="269"/>
        <v>OR</v>
      </c>
      <c r="V1856">
        <f t="shared" si="270"/>
        <v>3</v>
      </c>
    </row>
    <row r="1857" spans="1:22" x14ac:dyDescent="0.25">
      <c r="A1857">
        <v>207</v>
      </c>
      <c r="B1857">
        <v>2</v>
      </c>
      <c r="C1857">
        <v>80</v>
      </c>
      <c r="D1857">
        <v>1</v>
      </c>
      <c r="E1857">
        <v>1</v>
      </c>
      <c r="F1857">
        <v>0</v>
      </c>
      <c r="G1857">
        <v>0</v>
      </c>
      <c r="H1857">
        <v>350</v>
      </c>
      <c r="I1857">
        <f t="shared" si="271"/>
        <v>1854</v>
      </c>
      <c r="J1857" s="6">
        <f t="array" aca="1" ref="J1857:N1857" ca="1">TRANSPOSE(ols(OFFSET($C$2:$C$10,I1857,0),OFFSET($D$2:$H$10,I1857,0)))</f>
        <v>74.702380952379826</v>
      </c>
      <c r="K1857" s="6">
        <f ca="1"/>
        <v>1.0714285714288962</v>
      </c>
      <c r="L1857" s="6">
        <f ca="1"/>
        <v>5.9523809523807358</v>
      </c>
      <c r="M1857" s="6">
        <f ca="1"/>
        <v>-12.976190476189913</v>
      </c>
      <c r="N1857" s="6">
        <f ca="1"/>
        <v>-1.1904761904766303E-3</v>
      </c>
      <c r="O1857" s="6">
        <f t="shared" ca="1" si="263"/>
        <v>75.357142857141895</v>
      </c>
      <c r="P1857" t="str">
        <f t="shared" si="264"/>
        <v>NA</v>
      </c>
      <c r="Q1857" s="10">
        <f t="shared" ca="1" si="265"/>
        <v>67.261904761903821</v>
      </c>
      <c r="R1857" s="10">
        <f t="shared" ca="1" si="266"/>
        <v>75.773809523808723</v>
      </c>
      <c r="S1857" s="10">
        <f t="shared" ca="1" si="267"/>
        <v>-8.5119047619049013</v>
      </c>
      <c r="T1857" s="10">
        <f t="shared" ca="1" si="268"/>
        <v>7149.9999999974752</v>
      </c>
      <c r="U1857" s="10" t="str">
        <f t="shared" ca="1" si="269"/>
        <v>OR</v>
      </c>
      <c r="V1857">
        <f t="shared" si="270"/>
        <v>2</v>
      </c>
    </row>
    <row r="1858" spans="1:22" x14ac:dyDescent="0.25">
      <c r="A1858">
        <v>207</v>
      </c>
      <c r="B1858">
        <v>3</v>
      </c>
      <c r="C1858">
        <v>75</v>
      </c>
      <c r="D1858">
        <v>1</v>
      </c>
      <c r="E1858">
        <v>1</v>
      </c>
      <c r="F1858">
        <v>0</v>
      </c>
      <c r="G1858">
        <v>0</v>
      </c>
      <c r="H1858">
        <v>450</v>
      </c>
      <c r="I1858">
        <f t="shared" si="271"/>
        <v>1854</v>
      </c>
      <c r="J1858" s="6">
        <f t="array" aca="1" ref="J1858:N1858" ca="1">TRANSPOSE(ols(OFFSET($C$2:$C$10,I1858,0),OFFSET($D$2:$H$10,I1858,0)))</f>
        <v>74.702380952379826</v>
      </c>
      <c r="K1858" s="6">
        <f ca="1"/>
        <v>1.0714285714288962</v>
      </c>
      <c r="L1858" s="6">
        <f ca="1"/>
        <v>5.9523809523807358</v>
      </c>
      <c r="M1858" s="6">
        <f ca="1"/>
        <v>-12.976190476189913</v>
      </c>
      <c r="N1858" s="6">
        <f ca="1"/>
        <v>-1.1904761904766303E-3</v>
      </c>
      <c r="O1858" s="6">
        <f t="shared" ca="1" si="263"/>
        <v>75.238095238094246</v>
      </c>
      <c r="P1858" t="str">
        <f t="shared" si="264"/>
        <v>NA</v>
      </c>
      <c r="Q1858" s="10">
        <f t="shared" ca="1" si="265"/>
        <v>67.261904761903821</v>
      </c>
      <c r="R1858" s="10">
        <f t="shared" ca="1" si="266"/>
        <v>75.773809523808723</v>
      </c>
      <c r="S1858" s="10">
        <f t="shared" ca="1" si="267"/>
        <v>-8.5119047619049013</v>
      </c>
      <c r="T1858" s="10">
        <f t="shared" ca="1" si="268"/>
        <v>7149.9999999974752</v>
      </c>
      <c r="U1858" s="10" t="str">
        <f t="shared" ca="1" si="269"/>
        <v>OR</v>
      </c>
      <c r="V1858">
        <f t="shared" si="270"/>
        <v>2</v>
      </c>
    </row>
    <row r="1859" spans="1:22" x14ac:dyDescent="0.25">
      <c r="A1859">
        <v>207</v>
      </c>
      <c r="B1859">
        <v>4</v>
      </c>
      <c r="C1859">
        <v>75</v>
      </c>
      <c r="D1859">
        <v>1</v>
      </c>
      <c r="E1859">
        <v>0</v>
      </c>
      <c r="F1859">
        <v>0</v>
      </c>
      <c r="G1859">
        <v>0</v>
      </c>
      <c r="H1859">
        <v>550</v>
      </c>
      <c r="I1859">
        <f t="shared" si="271"/>
        <v>1854</v>
      </c>
      <c r="J1859" s="6">
        <f t="array" aca="1" ref="J1859:N1859" ca="1">TRANSPOSE(ols(OFFSET($C$2:$C$10,I1859,0),OFFSET($D$2:$H$10,I1859,0)))</f>
        <v>74.702380952379826</v>
      </c>
      <c r="K1859" s="6">
        <f ca="1"/>
        <v>1.0714285714288962</v>
      </c>
      <c r="L1859" s="6">
        <f ca="1"/>
        <v>5.9523809523807358</v>
      </c>
      <c r="M1859" s="6">
        <f ca="1"/>
        <v>-12.976190476189913</v>
      </c>
      <c r="N1859" s="6">
        <f ca="1"/>
        <v>-1.1904761904766303E-3</v>
      </c>
      <c r="O1859" s="6">
        <f t="shared" ref="O1859:O1922" ca="1" si="272">SUMPRODUCT(J1859:N1859,D1859:H1859)</f>
        <v>74.047619047617673</v>
      </c>
      <c r="P1859" t="str">
        <f t="shared" ref="P1859:P1922" si="273">IF(AND(F1859=1,G1859=1,H1859=350),O1859,"NA")</f>
        <v>NA</v>
      </c>
      <c r="Q1859" s="10">
        <f t="shared" ref="Q1859:Q1922" ca="1" si="274">AVERAGEIF($A$2:$A$5383,A1859,$P$2:$P$5383)</f>
        <v>67.261904761903821</v>
      </c>
      <c r="R1859" s="10">
        <f t="shared" ref="R1859:R1922" ca="1" si="275">O1859-N1859*H1859</f>
        <v>74.702380952379826</v>
      </c>
      <c r="S1859" s="10">
        <f t="shared" ref="S1859:S1922" ca="1" si="276">Q1859-R1859</f>
        <v>-7.4404761904760051</v>
      </c>
      <c r="T1859" s="10">
        <f t="shared" ref="T1859:T1922" ca="1" si="277">S1859/N1859</f>
        <v>6249.9999999975353</v>
      </c>
      <c r="U1859" s="10" t="str">
        <f t="shared" ref="U1859:U1922" ca="1" si="278">IF(OR(T1859&lt;250,T1859&gt;650),"OR",T1859)</f>
        <v>OR</v>
      </c>
      <c r="V1859">
        <f t="shared" ref="V1859:V1922" si="279">IF(AND(E1859=1,G1859=0),2,IF(AND(F1859=1,G1859=0),3,IF(AND(E1859=1,G1859=1),5,IF(AND(F1859=1,G1859=1),6,IF(G1859=0,1,IF(G1859=1,4))))))</f>
        <v>1</v>
      </c>
    </row>
    <row r="1860" spans="1:22" x14ac:dyDescent="0.25">
      <c r="A1860">
        <v>207</v>
      </c>
      <c r="B1860">
        <v>5</v>
      </c>
      <c r="C1860">
        <v>70</v>
      </c>
      <c r="D1860">
        <v>1</v>
      </c>
      <c r="E1860">
        <v>0</v>
      </c>
      <c r="F1860">
        <v>1</v>
      </c>
      <c r="G1860">
        <v>1</v>
      </c>
      <c r="H1860">
        <v>250</v>
      </c>
      <c r="I1860">
        <f t="shared" si="271"/>
        <v>1854</v>
      </c>
      <c r="J1860" s="6">
        <f t="array" aca="1" ref="J1860:N1860" ca="1">TRANSPOSE(ols(OFFSET($C$2:$C$10,I1860,0),OFFSET($D$2:$H$10,I1860,0)))</f>
        <v>74.702380952379826</v>
      </c>
      <c r="K1860" s="6">
        <f ca="1"/>
        <v>1.0714285714288962</v>
      </c>
      <c r="L1860" s="6">
        <f ca="1"/>
        <v>5.9523809523807358</v>
      </c>
      <c r="M1860" s="6">
        <f ca="1"/>
        <v>-12.976190476189913</v>
      </c>
      <c r="N1860" s="6">
        <f ca="1"/>
        <v>-1.1904761904766303E-3</v>
      </c>
      <c r="O1860" s="6">
        <f t="shared" ca="1" si="272"/>
        <v>67.380952380951499</v>
      </c>
      <c r="P1860" t="str">
        <f t="shared" si="273"/>
        <v>NA</v>
      </c>
      <c r="Q1860" s="10">
        <f t="shared" ca="1" si="274"/>
        <v>67.261904761903821</v>
      </c>
      <c r="R1860" s="10">
        <f t="shared" ca="1" si="275"/>
        <v>67.678571428570649</v>
      </c>
      <c r="S1860" s="10">
        <f t="shared" ca="1" si="276"/>
        <v>-0.41666666666682772</v>
      </c>
      <c r="T1860" s="10">
        <f t="shared" ca="1" si="277"/>
        <v>350.00000000000597</v>
      </c>
      <c r="U1860" s="10">
        <f t="shared" ca="1" si="278"/>
        <v>350.00000000000597</v>
      </c>
      <c r="V1860">
        <f t="shared" si="279"/>
        <v>6</v>
      </c>
    </row>
    <row r="1861" spans="1:22" x14ac:dyDescent="0.25">
      <c r="A1861">
        <v>207</v>
      </c>
      <c r="B1861">
        <v>6</v>
      </c>
      <c r="C1861">
        <v>70</v>
      </c>
      <c r="D1861">
        <v>1</v>
      </c>
      <c r="E1861">
        <v>0</v>
      </c>
      <c r="F1861">
        <v>1</v>
      </c>
      <c r="G1861">
        <v>1</v>
      </c>
      <c r="H1861">
        <v>350</v>
      </c>
      <c r="I1861">
        <f t="shared" si="271"/>
        <v>1854</v>
      </c>
      <c r="J1861" s="6">
        <f t="array" aca="1" ref="J1861:N1861" ca="1">TRANSPOSE(ols(OFFSET($C$2:$C$10,I1861,0),OFFSET($D$2:$H$10,I1861,0)))</f>
        <v>74.702380952379826</v>
      </c>
      <c r="K1861" s="6">
        <f ca="1"/>
        <v>1.0714285714288962</v>
      </c>
      <c r="L1861" s="6">
        <f ca="1"/>
        <v>5.9523809523807358</v>
      </c>
      <c r="M1861" s="6">
        <f ca="1"/>
        <v>-12.976190476189913</v>
      </c>
      <c r="N1861" s="6">
        <f ca="1"/>
        <v>-1.1904761904766303E-3</v>
      </c>
      <c r="O1861" s="6">
        <f t="shared" ca="1" si="272"/>
        <v>67.261904761903821</v>
      </c>
      <c r="P1861">
        <f t="shared" ca="1" si="273"/>
        <v>67.261904761903821</v>
      </c>
      <c r="Q1861" s="10">
        <f t="shared" ca="1" si="274"/>
        <v>67.261904761903821</v>
      </c>
      <c r="R1861" s="10">
        <f t="shared" ca="1" si="275"/>
        <v>67.678571428570649</v>
      </c>
      <c r="S1861" s="10">
        <f t="shared" ca="1" si="276"/>
        <v>-0.41666666666682772</v>
      </c>
      <c r="T1861" s="10">
        <f t="shared" ca="1" si="277"/>
        <v>350.00000000000597</v>
      </c>
      <c r="U1861" s="10">
        <f t="shared" ca="1" si="278"/>
        <v>350.00000000000597</v>
      </c>
      <c r="V1861">
        <f t="shared" si="279"/>
        <v>6</v>
      </c>
    </row>
    <row r="1862" spans="1:22" x14ac:dyDescent="0.25">
      <c r="A1862">
        <v>207</v>
      </c>
      <c r="B1862">
        <v>7</v>
      </c>
      <c r="C1862">
        <v>55</v>
      </c>
      <c r="D1862">
        <v>1</v>
      </c>
      <c r="E1862">
        <v>1</v>
      </c>
      <c r="F1862">
        <v>0</v>
      </c>
      <c r="G1862">
        <v>1</v>
      </c>
      <c r="H1862">
        <v>450</v>
      </c>
      <c r="I1862">
        <f t="shared" si="271"/>
        <v>1854</v>
      </c>
      <c r="J1862" s="6">
        <f t="array" aca="1" ref="J1862:N1862" ca="1">TRANSPOSE(ols(OFFSET($C$2:$C$10,I1862,0),OFFSET($D$2:$H$10,I1862,0)))</f>
        <v>74.702380952379826</v>
      </c>
      <c r="K1862" s="6">
        <f ca="1"/>
        <v>1.0714285714288962</v>
      </c>
      <c r="L1862" s="6">
        <f ca="1"/>
        <v>5.9523809523807358</v>
      </c>
      <c r="M1862" s="6">
        <f ca="1"/>
        <v>-12.976190476189913</v>
      </c>
      <c r="N1862" s="6">
        <f ca="1"/>
        <v>-1.1904761904766303E-3</v>
      </c>
      <c r="O1862" s="6">
        <f t="shared" ca="1" si="272"/>
        <v>62.261904761904326</v>
      </c>
      <c r="P1862" t="str">
        <f t="shared" si="273"/>
        <v>NA</v>
      </c>
      <c r="Q1862" s="10">
        <f t="shared" ca="1" si="274"/>
        <v>67.261904761903821</v>
      </c>
      <c r="R1862" s="10">
        <f t="shared" ca="1" si="275"/>
        <v>62.797619047618809</v>
      </c>
      <c r="S1862" s="10">
        <f t="shared" ca="1" si="276"/>
        <v>4.4642857142850119</v>
      </c>
      <c r="T1862" s="10">
        <f t="shared" ca="1" si="277"/>
        <v>-3749.9999999980246</v>
      </c>
      <c r="U1862" s="10" t="str">
        <f t="shared" ca="1" si="278"/>
        <v>OR</v>
      </c>
      <c r="V1862">
        <f t="shared" si="279"/>
        <v>5</v>
      </c>
    </row>
    <row r="1863" spans="1:22" x14ac:dyDescent="0.25">
      <c r="A1863">
        <v>207</v>
      </c>
      <c r="B1863">
        <v>8</v>
      </c>
      <c r="C1863">
        <v>65</v>
      </c>
      <c r="D1863">
        <v>1</v>
      </c>
      <c r="E1863">
        <v>1</v>
      </c>
      <c r="F1863">
        <v>0</v>
      </c>
      <c r="G1863">
        <v>1</v>
      </c>
      <c r="H1863">
        <v>550</v>
      </c>
      <c r="I1863">
        <f t="shared" si="271"/>
        <v>1854</v>
      </c>
      <c r="J1863" s="6">
        <f t="array" aca="1" ref="J1863:N1863" ca="1">TRANSPOSE(ols(OFFSET($C$2:$C$10,I1863,0),OFFSET($D$2:$H$10,I1863,0)))</f>
        <v>74.702380952379826</v>
      </c>
      <c r="K1863" s="6">
        <f ca="1"/>
        <v>1.0714285714288962</v>
      </c>
      <c r="L1863" s="6">
        <f ca="1"/>
        <v>5.9523809523807358</v>
      </c>
      <c r="M1863" s="6">
        <f ca="1"/>
        <v>-12.976190476189913</v>
      </c>
      <c r="N1863" s="6">
        <f ca="1"/>
        <v>-1.1904761904766303E-3</v>
      </c>
      <c r="O1863" s="6">
        <f t="shared" ca="1" si="272"/>
        <v>62.142857142856663</v>
      </c>
      <c r="P1863" t="str">
        <f t="shared" si="273"/>
        <v>NA</v>
      </c>
      <c r="Q1863" s="10">
        <f t="shared" ca="1" si="274"/>
        <v>67.261904761903821</v>
      </c>
      <c r="R1863" s="10">
        <f t="shared" ca="1" si="275"/>
        <v>62.797619047618809</v>
      </c>
      <c r="S1863" s="10">
        <f t="shared" ca="1" si="276"/>
        <v>4.4642857142850119</v>
      </c>
      <c r="T1863" s="10">
        <f t="shared" ca="1" si="277"/>
        <v>-3749.9999999980246</v>
      </c>
      <c r="U1863" s="10" t="str">
        <f t="shared" ca="1" si="278"/>
        <v>OR</v>
      </c>
      <c r="V1863">
        <f t="shared" si="279"/>
        <v>5</v>
      </c>
    </row>
    <row r="1864" spans="1:22" x14ac:dyDescent="0.25">
      <c r="A1864">
        <v>207</v>
      </c>
      <c r="B1864">
        <v>9</v>
      </c>
      <c r="C1864">
        <v>60</v>
      </c>
      <c r="D1864">
        <v>1</v>
      </c>
      <c r="E1864">
        <v>0</v>
      </c>
      <c r="F1864">
        <v>0</v>
      </c>
      <c r="G1864">
        <v>1</v>
      </c>
      <c r="H1864">
        <v>650</v>
      </c>
      <c r="I1864">
        <f t="shared" si="271"/>
        <v>1854</v>
      </c>
      <c r="J1864" s="6">
        <f t="array" aca="1" ref="J1864:N1864" ca="1">TRANSPOSE(ols(OFFSET($C$2:$C$10,I1864,0),OFFSET($D$2:$H$10,I1864,0)))</f>
        <v>74.702380952379826</v>
      </c>
      <c r="K1864" s="6">
        <f ca="1"/>
        <v>1.0714285714288962</v>
      </c>
      <c r="L1864" s="6">
        <f ca="1"/>
        <v>5.9523809523807358</v>
      </c>
      <c r="M1864" s="6">
        <f ca="1"/>
        <v>-12.976190476189913</v>
      </c>
      <c r="N1864" s="6">
        <f ca="1"/>
        <v>-1.1904761904766303E-3</v>
      </c>
      <c r="O1864" s="6">
        <f t="shared" ca="1" si="272"/>
        <v>60.952380952380103</v>
      </c>
      <c r="P1864" t="str">
        <f t="shared" si="273"/>
        <v>NA</v>
      </c>
      <c r="Q1864" s="10">
        <f t="shared" ca="1" si="274"/>
        <v>67.261904761903821</v>
      </c>
      <c r="R1864" s="10">
        <f t="shared" ca="1" si="275"/>
        <v>61.726190476189913</v>
      </c>
      <c r="S1864" s="10">
        <f t="shared" ca="1" si="276"/>
        <v>5.5357142857139081</v>
      </c>
      <c r="T1864" s="10">
        <f t="shared" ca="1" si="277"/>
        <v>-4649.9999999979646</v>
      </c>
      <c r="U1864" s="10" t="str">
        <f t="shared" ca="1" si="278"/>
        <v>OR</v>
      </c>
      <c r="V1864">
        <f t="shared" si="279"/>
        <v>4</v>
      </c>
    </row>
    <row r="1865" spans="1:22" x14ac:dyDescent="0.25">
      <c r="A1865">
        <v>208</v>
      </c>
      <c r="B1865">
        <v>1</v>
      </c>
      <c r="C1865">
        <v>55</v>
      </c>
      <c r="D1865">
        <v>1</v>
      </c>
      <c r="E1865">
        <v>0</v>
      </c>
      <c r="F1865">
        <v>1</v>
      </c>
      <c r="G1865">
        <v>0</v>
      </c>
      <c r="H1865">
        <v>250</v>
      </c>
      <c r="I1865">
        <f t="shared" si="271"/>
        <v>1863</v>
      </c>
      <c r="J1865" s="6">
        <f t="array" aca="1" ref="J1865:N1865" ca="1">TRANSPOSE(ols(OFFSET($C$2:$C$10,I1865,0),OFFSET($D$2:$H$10,I1865,0)))</f>
        <v>192.61904761904407</v>
      </c>
      <c r="K1865" s="6">
        <f ca="1"/>
        <v>-1.4285714285711038</v>
      </c>
      <c r="L1865" s="6">
        <f ca="1"/>
        <v>-62.38095238095093</v>
      </c>
      <c r="M1865" s="6">
        <f ca="1"/>
        <v>16.190476190476375</v>
      </c>
      <c r="N1865" s="6">
        <f ca="1"/>
        <v>-0.30952380952380665</v>
      </c>
      <c r="O1865" s="6">
        <f t="shared" ca="1" si="272"/>
        <v>52.857142857141469</v>
      </c>
      <c r="P1865" t="str">
        <f t="shared" si="273"/>
        <v>NA</v>
      </c>
      <c r="Q1865" s="10">
        <f t="shared" ca="1" si="274"/>
        <v>38.095238095237193</v>
      </c>
      <c r="R1865" s="10">
        <f t="shared" ca="1" si="275"/>
        <v>130.23809523809314</v>
      </c>
      <c r="S1865" s="10">
        <f t="shared" ca="1" si="276"/>
        <v>-92.142857142855945</v>
      </c>
      <c r="T1865" s="10">
        <f t="shared" ca="1" si="277"/>
        <v>297.6923076923066</v>
      </c>
      <c r="U1865" s="10">
        <f t="shared" ca="1" si="278"/>
        <v>297.6923076923066</v>
      </c>
      <c r="V1865">
        <f t="shared" si="279"/>
        <v>3</v>
      </c>
    </row>
    <row r="1866" spans="1:22" x14ac:dyDescent="0.25">
      <c r="A1866">
        <v>208</v>
      </c>
      <c r="B1866">
        <v>2</v>
      </c>
      <c r="C1866">
        <v>95</v>
      </c>
      <c r="D1866">
        <v>1</v>
      </c>
      <c r="E1866">
        <v>1</v>
      </c>
      <c r="F1866">
        <v>0</v>
      </c>
      <c r="G1866">
        <v>0</v>
      </c>
      <c r="H1866">
        <v>350</v>
      </c>
      <c r="I1866">
        <f t="shared" si="271"/>
        <v>1863</v>
      </c>
      <c r="J1866" s="6">
        <f t="array" aca="1" ref="J1866:N1866" ca="1">TRANSPOSE(ols(OFFSET($C$2:$C$10,I1866,0),OFFSET($D$2:$H$10,I1866,0)))</f>
        <v>192.61904761904407</v>
      </c>
      <c r="K1866" s="6">
        <f ca="1"/>
        <v>-1.4285714285711038</v>
      </c>
      <c r="L1866" s="6">
        <f ca="1"/>
        <v>-62.38095238095093</v>
      </c>
      <c r="M1866" s="6">
        <f ca="1"/>
        <v>16.190476190476375</v>
      </c>
      <c r="N1866" s="6">
        <f ca="1"/>
        <v>-0.30952380952380665</v>
      </c>
      <c r="O1866" s="6">
        <f t="shared" ca="1" si="272"/>
        <v>82.857142857140644</v>
      </c>
      <c r="P1866" t="str">
        <f t="shared" si="273"/>
        <v>NA</v>
      </c>
      <c r="Q1866" s="10">
        <f t="shared" ca="1" si="274"/>
        <v>38.095238095237193</v>
      </c>
      <c r="R1866" s="10">
        <f t="shared" ca="1" si="275"/>
        <v>191.19047619047296</v>
      </c>
      <c r="S1866" s="10">
        <f t="shared" ca="1" si="276"/>
        <v>-153.09523809523577</v>
      </c>
      <c r="T1866" s="10">
        <f t="shared" ca="1" si="277"/>
        <v>494.61538461538169</v>
      </c>
      <c r="U1866" s="10">
        <f t="shared" ca="1" si="278"/>
        <v>494.61538461538169</v>
      </c>
      <c r="V1866">
        <f t="shared" si="279"/>
        <v>2</v>
      </c>
    </row>
    <row r="1867" spans="1:22" x14ac:dyDescent="0.25">
      <c r="A1867">
        <v>208</v>
      </c>
      <c r="B1867">
        <v>3</v>
      </c>
      <c r="C1867">
        <v>45</v>
      </c>
      <c r="D1867">
        <v>1</v>
      </c>
      <c r="E1867">
        <v>1</v>
      </c>
      <c r="F1867">
        <v>0</v>
      </c>
      <c r="G1867">
        <v>0</v>
      </c>
      <c r="H1867">
        <v>450</v>
      </c>
      <c r="I1867">
        <f t="shared" si="271"/>
        <v>1863</v>
      </c>
      <c r="J1867" s="6">
        <f t="array" aca="1" ref="J1867:N1867" ca="1">TRANSPOSE(ols(OFFSET($C$2:$C$10,I1867,0),OFFSET($D$2:$H$10,I1867,0)))</f>
        <v>192.61904761904407</v>
      </c>
      <c r="K1867" s="6">
        <f ca="1"/>
        <v>-1.4285714285711038</v>
      </c>
      <c r="L1867" s="6">
        <f ca="1"/>
        <v>-62.38095238095093</v>
      </c>
      <c r="M1867" s="6">
        <f ca="1"/>
        <v>16.190476190476375</v>
      </c>
      <c r="N1867" s="6">
        <f ca="1"/>
        <v>-0.30952380952380665</v>
      </c>
      <c r="O1867" s="6">
        <f t="shared" ca="1" si="272"/>
        <v>51.904761904759965</v>
      </c>
      <c r="P1867" t="str">
        <f t="shared" si="273"/>
        <v>NA</v>
      </c>
      <c r="Q1867" s="10">
        <f t="shared" ca="1" si="274"/>
        <v>38.095238095237193</v>
      </c>
      <c r="R1867" s="10">
        <f t="shared" ca="1" si="275"/>
        <v>191.19047619047296</v>
      </c>
      <c r="S1867" s="10">
        <f t="shared" ca="1" si="276"/>
        <v>-153.09523809523577</v>
      </c>
      <c r="T1867" s="10">
        <f t="shared" ca="1" si="277"/>
        <v>494.61538461538169</v>
      </c>
      <c r="U1867" s="10">
        <f t="shared" ca="1" si="278"/>
        <v>494.61538461538169</v>
      </c>
      <c r="V1867">
        <f t="shared" si="279"/>
        <v>2</v>
      </c>
    </row>
    <row r="1868" spans="1:22" x14ac:dyDescent="0.25">
      <c r="A1868">
        <v>208</v>
      </c>
      <c r="B1868">
        <v>4</v>
      </c>
      <c r="C1868">
        <v>15</v>
      </c>
      <c r="D1868">
        <v>1</v>
      </c>
      <c r="E1868">
        <v>0</v>
      </c>
      <c r="F1868">
        <v>0</v>
      </c>
      <c r="G1868">
        <v>0</v>
      </c>
      <c r="H1868">
        <v>550</v>
      </c>
      <c r="I1868">
        <f t="shared" ref="I1868:I1931" si="280">IF(A1868&gt;A1867,I1867+9,I1867)</f>
        <v>1863</v>
      </c>
      <c r="J1868" s="6">
        <f t="array" aca="1" ref="J1868:N1868" ca="1">TRANSPOSE(ols(OFFSET($C$2:$C$10,I1868,0),OFFSET($D$2:$H$10,I1868,0)))</f>
        <v>192.61904761904407</v>
      </c>
      <c r="K1868" s="6">
        <f ca="1"/>
        <v>-1.4285714285711038</v>
      </c>
      <c r="L1868" s="6">
        <f ca="1"/>
        <v>-62.38095238095093</v>
      </c>
      <c r="M1868" s="6">
        <f ca="1"/>
        <v>16.190476190476375</v>
      </c>
      <c r="N1868" s="6">
        <f ca="1"/>
        <v>-0.30952380952380665</v>
      </c>
      <c r="O1868" s="6">
        <f t="shared" ca="1" si="272"/>
        <v>22.380952380950419</v>
      </c>
      <c r="P1868" t="str">
        <f t="shared" si="273"/>
        <v>NA</v>
      </c>
      <c r="Q1868" s="10">
        <f t="shared" ca="1" si="274"/>
        <v>38.095238095237193</v>
      </c>
      <c r="R1868" s="10">
        <f t="shared" ca="1" si="275"/>
        <v>192.61904761904407</v>
      </c>
      <c r="S1868" s="10">
        <f t="shared" ca="1" si="276"/>
        <v>-154.52380952380688</v>
      </c>
      <c r="T1868" s="10">
        <f t="shared" ca="1" si="277"/>
        <v>499.2307692307653</v>
      </c>
      <c r="U1868" s="10">
        <f t="shared" ca="1" si="278"/>
        <v>499.2307692307653</v>
      </c>
      <c r="V1868">
        <f t="shared" si="279"/>
        <v>1</v>
      </c>
    </row>
    <row r="1869" spans="1:22" x14ac:dyDescent="0.25">
      <c r="A1869">
        <v>208</v>
      </c>
      <c r="B1869">
        <v>5</v>
      </c>
      <c r="C1869">
        <v>60</v>
      </c>
      <c r="D1869">
        <v>1</v>
      </c>
      <c r="E1869">
        <v>0</v>
      </c>
      <c r="F1869">
        <v>1</v>
      </c>
      <c r="G1869">
        <v>1</v>
      </c>
      <c r="H1869">
        <v>250</v>
      </c>
      <c r="I1869">
        <f t="shared" si="280"/>
        <v>1863</v>
      </c>
      <c r="J1869" s="6">
        <f t="array" aca="1" ref="J1869:N1869" ca="1">TRANSPOSE(ols(OFFSET($C$2:$C$10,I1869,0),OFFSET($D$2:$H$10,I1869,0)))</f>
        <v>192.61904761904407</v>
      </c>
      <c r="K1869" s="6">
        <f ca="1"/>
        <v>-1.4285714285711038</v>
      </c>
      <c r="L1869" s="6">
        <f ca="1"/>
        <v>-62.38095238095093</v>
      </c>
      <c r="M1869" s="6">
        <f ca="1"/>
        <v>16.190476190476375</v>
      </c>
      <c r="N1869" s="6">
        <f ca="1"/>
        <v>-0.30952380952380665</v>
      </c>
      <c r="O1869" s="6">
        <f t="shared" ca="1" si="272"/>
        <v>69.047619047617843</v>
      </c>
      <c r="P1869" t="str">
        <f t="shared" si="273"/>
        <v>NA</v>
      </c>
      <c r="Q1869" s="10">
        <f t="shared" ca="1" si="274"/>
        <v>38.095238095237193</v>
      </c>
      <c r="R1869" s="10">
        <f t="shared" ca="1" si="275"/>
        <v>146.42857142856951</v>
      </c>
      <c r="S1869" s="10">
        <f t="shared" ca="1" si="276"/>
        <v>-108.33333333333232</v>
      </c>
      <c r="T1869" s="10">
        <f t="shared" ca="1" si="277"/>
        <v>350</v>
      </c>
      <c r="U1869" s="10">
        <f t="shared" ca="1" si="278"/>
        <v>350</v>
      </c>
      <c r="V1869">
        <f t="shared" si="279"/>
        <v>6</v>
      </c>
    </row>
    <row r="1870" spans="1:22" x14ac:dyDescent="0.25">
      <c r="A1870">
        <v>208</v>
      </c>
      <c r="B1870">
        <v>6</v>
      </c>
      <c r="C1870">
        <v>45</v>
      </c>
      <c r="D1870">
        <v>1</v>
      </c>
      <c r="E1870">
        <v>0</v>
      </c>
      <c r="F1870">
        <v>1</v>
      </c>
      <c r="G1870">
        <v>1</v>
      </c>
      <c r="H1870">
        <v>350</v>
      </c>
      <c r="I1870">
        <f t="shared" si="280"/>
        <v>1863</v>
      </c>
      <c r="J1870" s="6">
        <f t="array" aca="1" ref="J1870:N1870" ca="1">TRANSPOSE(ols(OFFSET($C$2:$C$10,I1870,0),OFFSET($D$2:$H$10,I1870,0)))</f>
        <v>192.61904761904407</v>
      </c>
      <c r="K1870" s="6">
        <f ca="1"/>
        <v>-1.4285714285711038</v>
      </c>
      <c r="L1870" s="6">
        <f ca="1"/>
        <v>-62.38095238095093</v>
      </c>
      <c r="M1870" s="6">
        <f ca="1"/>
        <v>16.190476190476375</v>
      </c>
      <c r="N1870" s="6">
        <f ca="1"/>
        <v>-0.30952380952380665</v>
      </c>
      <c r="O1870" s="6">
        <f t="shared" ca="1" si="272"/>
        <v>38.095238095237193</v>
      </c>
      <c r="P1870">
        <f t="shared" ca="1" si="273"/>
        <v>38.095238095237193</v>
      </c>
      <c r="Q1870" s="10">
        <f t="shared" ca="1" si="274"/>
        <v>38.095238095237193</v>
      </c>
      <c r="R1870" s="10">
        <f t="shared" ca="1" si="275"/>
        <v>146.42857142856951</v>
      </c>
      <c r="S1870" s="10">
        <f t="shared" ca="1" si="276"/>
        <v>-108.33333333333232</v>
      </c>
      <c r="T1870" s="10">
        <f t="shared" ca="1" si="277"/>
        <v>350</v>
      </c>
      <c r="U1870" s="10">
        <f t="shared" ca="1" si="278"/>
        <v>350</v>
      </c>
      <c r="V1870">
        <f t="shared" si="279"/>
        <v>6</v>
      </c>
    </row>
    <row r="1871" spans="1:22" x14ac:dyDescent="0.25">
      <c r="A1871">
        <v>208</v>
      </c>
      <c r="B1871">
        <v>7</v>
      </c>
      <c r="C1871">
        <v>65</v>
      </c>
      <c r="D1871">
        <v>1</v>
      </c>
      <c r="E1871">
        <v>1</v>
      </c>
      <c r="F1871">
        <v>0</v>
      </c>
      <c r="G1871">
        <v>1</v>
      </c>
      <c r="H1871">
        <v>450</v>
      </c>
      <c r="I1871">
        <f t="shared" si="280"/>
        <v>1863</v>
      </c>
      <c r="J1871" s="6">
        <f t="array" aca="1" ref="J1871:N1871" ca="1">TRANSPOSE(ols(OFFSET($C$2:$C$10,I1871,0),OFFSET($D$2:$H$10,I1871,0)))</f>
        <v>192.61904761904407</v>
      </c>
      <c r="K1871" s="6">
        <f ca="1"/>
        <v>-1.4285714285711038</v>
      </c>
      <c r="L1871" s="6">
        <f ca="1"/>
        <v>-62.38095238095093</v>
      </c>
      <c r="M1871" s="6">
        <f ca="1"/>
        <v>16.190476190476375</v>
      </c>
      <c r="N1871" s="6">
        <f ca="1"/>
        <v>-0.30952380952380665</v>
      </c>
      <c r="O1871" s="6">
        <f t="shared" ca="1" si="272"/>
        <v>68.09523809523634</v>
      </c>
      <c r="P1871" t="str">
        <f t="shared" si="273"/>
        <v>NA</v>
      </c>
      <c r="Q1871" s="10">
        <f t="shared" ca="1" si="274"/>
        <v>38.095238095237193</v>
      </c>
      <c r="R1871" s="10">
        <f t="shared" ca="1" si="275"/>
        <v>207.38095238094934</v>
      </c>
      <c r="S1871" s="10">
        <f t="shared" ca="1" si="276"/>
        <v>-169.28571428571215</v>
      </c>
      <c r="T1871" s="10">
        <f t="shared" ca="1" si="277"/>
        <v>546.92307692307509</v>
      </c>
      <c r="U1871" s="10">
        <f t="shared" ca="1" si="278"/>
        <v>546.92307692307509</v>
      </c>
      <c r="V1871">
        <f t="shared" si="279"/>
        <v>5</v>
      </c>
    </row>
    <row r="1872" spans="1:22" x14ac:dyDescent="0.25">
      <c r="A1872">
        <v>208</v>
      </c>
      <c r="B1872">
        <v>8</v>
      </c>
      <c r="C1872">
        <v>35</v>
      </c>
      <c r="D1872">
        <v>1</v>
      </c>
      <c r="E1872">
        <v>1</v>
      </c>
      <c r="F1872">
        <v>0</v>
      </c>
      <c r="G1872">
        <v>1</v>
      </c>
      <c r="H1872">
        <v>550</v>
      </c>
      <c r="I1872">
        <f t="shared" si="280"/>
        <v>1863</v>
      </c>
      <c r="J1872" s="6">
        <f t="array" aca="1" ref="J1872:N1872" ca="1">TRANSPOSE(ols(OFFSET($C$2:$C$10,I1872,0),OFFSET($D$2:$H$10,I1872,0)))</f>
        <v>192.61904761904407</v>
      </c>
      <c r="K1872" s="6">
        <f ca="1"/>
        <v>-1.4285714285711038</v>
      </c>
      <c r="L1872" s="6">
        <f ca="1"/>
        <v>-62.38095238095093</v>
      </c>
      <c r="M1872" s="6">
        <f ca="1"/>
        <v>16.190476190476375</v>
      </c>
      <c r="N1872" s="6">
        <f ca="1"/>
        <v>-0.30952380952380665</v>
      </c>
      <c r="O1872" s="6">
        <f t="shared" ca="1" si="272"/>
        <v>37.142857142855689</v>
      </c>
      <c r="P1872" t="str">
        <f t="shared" si="273"/>
        <v>NA</v>
      </c>
      <c r="Q1872" s="10">
        <f t="shared" ca="1" si="274"/>
        <v>38.095238095237193</v>
      </c>
      <c r="R1872" s="10">
        <f t="shared" ca="1" si="275"/>
        <v>207.38095238094934</v>
      </c>
      <c r="S1872" s="10">
        <f t="shared" ca="1" si="276"/>
        <v>-169.28571428571215</v>
      </c>
      <c r="T1872" s="10">
        <f t="shared" ca="1" si="277"/>
        <v>546.92307692307509</v>
      </c>
      <c r="U1872" s="10">
        <f t="shared" ca="1" si="278"/>
        <v>546.92307692307509</v>
      </c>
      <c r="V1872">
        <f t="shared" si="279"/>
        <v>5</v>
      </c>
    </row>
    <row r="1873" spans="1:22" x14ac:dyDescent="0.25">
      <c r="A1873">
        <v>208</v>
      </c>
      <c r="B1873">
        <v>9</v>
      </c>
      <c r="C1873">
        <v>15</v>
      </c>
      <c r="D1873">
        <v>1</v>
      </c>
      <c r="E1873">
        <v>0</v>
      </c>
      <c r="F1873">
        <v>0</v>
      </c>
      <c r="G1873">
        <v>1</v>
      </c>
      <c r="H1873">
        <v>650</v>
      </c>
      <c r="I1873">
        <f t="shared" si="280"/>
        <v>1863</v>
      </c>
      <c r="J1873" s="6">
        <f t="array" aca="1" ref="J1873:N1873" ca="1">TRANSPOSE(ols(OFFSET($C$2:$C$10,I1873,0),OFFSET($D$2:$H$10,I1873,0)))</f>
        <v>192.61904761904407</v>
      </c>
      <c r="K1873" s="6">
        <f ca="1"/>
        <v>-1.4285714285711038</v>
      </c>
      <c r="L1873" s="6">
        <f ca="1"/>
        <v>-62.38095238095093</v>
      </c>
      <c r="M1873" s="6">
        <f ca="1"/>
        <v>16.190476190476375</v>
      </c>
      <c r="N1873" s="6">
        <f ca="1"/>
        <v>-0.30952380952380665</v>
      </c>
      <c r="O1873" s="6">
        <f t="shared" ca="1" si="272"/>
        <v>7.6190476190461141</v>
      </c>
      <c r="P1873" t="str">
        <f t="shared" si="273"/>
        <v>NA</v>
      </c>
      <c r="Q1873" s="10">
        <f t="shared" ca="1" si="274"/>
        <v>38.095238095237193</v>
      </c>
      <c r="R1873" s="10">
        <f t="shared" ca="1" si="275"/>
        <v>208.80952380952044</v>
      </c>
      <c r="S1873" s="10">
        <f t="shared" ca="1" si="276"/>
        <v>-170.71428571428325</v>
      </c>
      <c r="T1873" s="10">
        <f t="shared" ca="1" si="277"/>
        <v>551.53846153845871</v>
      </c>
      <c r="U1873" s="10">
        <f t="shared" ca="1" si="278"/>
        <v>551.53846153845871</v>
      </c>
      <c r="V1873">
        <f t="shared" si="279"/>
        <v>4</v>
      </c>
    </row>
    <row r="1874" spans="1:22" x14ac:dyDescent="0.25">
      <c r="A1874">
        <v>209</v>
      </c>
      <c r="B1874">
        <v>1</v>
      </c>
      <c r="C1874">
        <v>90</v>
      </c>
      <c r="D1874">
        <v>1</v>
      </c>
      <c r="E1874">
        <v>0</v>
      </c>
      <c r="F1874">
        <v>1</v>
      </c>
      <c r="G1874">
        <v>0</v>
      </c>
      <c r="H1874">
        <v>250</v>
      </c>
      <c r="I1874">
        <f t="shared" si="280"/>
        <v>1872</v>
      </c>
      <c r="J1874" s="6">
        <f t="array" aca="1" ref="J1874:N1874" ca="1">TRANSPOSE(ols(OFFSET($C$2:$C$10,I1874,0),OFFSET($D$2:$H$10,I1874,0)))</f>
        <v>98.928571428570649</v>
      </c>
      <c r="K1874" s="6">
        <f ca="1"/>
        <v>10.357142857143117</v>
      </c>
      <c r="L1874" s="6">
        <f ca="1"/>
        <v>11.428571428570649</v>
      </c>
      <c r="M1874" s="6">
        <f ca="1"/>
        <v>-10.714285714285097</v>
      </c>
      <c r="N1874" s="6">
        <f ca="1"/>
        <v>-6.4285714285716722E-2</v>
      </c>
      <c r="O1874" s="6">
        <f t="shared" ca="1" si="272"/>
        <v>94.285714285712118</v>
      </c>
      <c r="P1874" t="str">
        <f t="shared" si="273"/>
        <v>NA</v>
      </c>
      <c r="Q1874" s="10">
        <f t="shared" ca="1" si="274"/>
        <v>77.142857142855348</v>
      </c>
      <c r="R1874" s="10">
        <f t="shared" ca="1" si="275"/>
        <v>110.3571428571413</v>
      </c>
      <c r="S1874" s="10">
        <f t="shared" ca="1" si="276"/>
        <v>-33.21428571428595</v>
      </c>
      <c r="T1874" s="10">
        <f t="shared" ca="1" si="277"/>
        <v>516.66666666665071</v>
      </c>
      <c r="U1874" s="10">
        <f t="shared" ca="1" si="278"/>
        <v>516.66666666665071</v>
      </c>
      <c r="V1874">
        <f t="shared" si="279"/>
        <v>3</v>
      </c>
    </row>
    <row r="1875" spans="1:22" x14ac:dyDescent="0.25">
      <c r="A1875">
        <v>209</v>
      </c>
      <c r="B1875">
        <v>2</v>
      </c>
      <c r="C1875">
        <v>90</v>
      </c>
      <c r="D1875">
        <v>1</v>
      </c>
      <c r="E1875">
        <v>1</v>
      </c>
      <c r="F1875">
        <v>0</v>
      </c>
      <c r="G1875">
        <v>0</v>
      </c>
      <c r="H1875">
        <v>350</v>
      </c>
      <c r="I1875">
        <f t="shared" si="280"/>
        <v>1872</v>
      </c>
      <c r="J1875" s="6">
        <f t="array" aca="1" ref="J1875:N1875" ca="1">TRANSPOSE(ols(OFFSET($C$2:$C$10,I1875,0),OFFSET($D$2:$H$10,I1875,0)))</f>
        <v>98.928571428570649</v>
      </c>
      <c r="K1875" s="6">
        <f ca="1"/>
        <v>10.357142857143117</v>
      </c>
      <c r="L1875" s="6">
        <f ca="1"/>
        <v>11.428571428570649</v>
      </c>
      <c r="M1875" s="6">
        <f ca="1"/>
        <v>-10.714285714285097</v>
      </c>
      <c r="N1875" s="6">
        <f ca="1"/>
        <v>-6.4285714285716722E-2</v>
      </c>
      <c r="O1875" s="6">
        <f t="shared" ca="1" si="272"/>
        <v>86.785714285712913</v>
      </c>
      <c r="P1875" t="str">
        <f t="shared" si="273"/>
        <v>NA</v>
      </c>
      <c r="Q1875" s="10">
        <f t="shared" ca="1" si="274"/>
        <v>77.142857142855348</v>
      </c>
      <c r="R1875" s="10">
        <f t="shared" ca="1" si="275"/>
        <v>109.28571428571377</v>
      </c>
      <c r="S1875" s="10">
        <f t="shared" ca="1" si="276"/>
        <v>-32.142857142858418</v>
      </c>
      <c r="T1875" s="10">
        <f t="shared" ca="1" si="277"/>
        <v>500.00000000000091</v>
      </c>
      <c r="U1875" s="10">
        <f t="shared" ca="1" si="278"/>
        <v>500.00000000000091</v>
      </c>
      <c r="V1875">
        <f t="shared" si="279"/>
        <v>2</v>
      </c>
    </row>
    <row r="1876" spans="1:22" x14ac:dyDescent="0.25">
      <c r="A1876">
        <v>209</v>
      </c>
      <c r="B1876">
        <v>3</v>
      </c>
      <c r="C1876">
        <v>85</v>
      </c>
      <c r="D1876">
        <v>1</v>
      </c>
      <c r="E1876">
        <v>1</v>
      </c>
      <c r="F1876">
        <v>0</v>
      </c>
      <c r="G1876">
        <v>0</v>
      </c>
      <c r="H1876">
        <v>450</v>
      </c>
      <c r="I1876">
        <f t="shared" si="280"/>
        <v>1872</v>
      </c>
      <c r="J1876" s="6">
        <f t="array" aca="1" ref="J1876:N1876" ca="1">TRANSPOSE(ols(OFFSET($C$2:$C$10,I1876,0),OFFSET($D$2:$H$10,I1876,0)))</f>
        <v>98.928571428570649</v>
      </c>
      <c r="K1876" s="6">
        <f ca="1"/>
        <v>10.357142857143117</v>
      </c>
      <c r="L1876" s="6">
        <f ca="1"/>
        <v>11.428571428570649</v>
      </c>
      <c r="M1876" s="6">
        <f ca="1"/>
        <v>-10.714285714285097</v>
      </c>
      <c r="N1876" s="6">
        <f ca="1"/>
        <v>-6.4285714285716722E-2</v>
      </c>
      <c r="O1876" s="6">
        <f t="shared" ca="1" si="272"/>
        <v>80.357142857141241</v>
      </c>
      <c r="P1876" t="str">
        <f t="shared" si="273"/>
        <v>NA</v>
      </c>
      <c r="Q1876" s="10">
        <f t="shared" ca="1" si="274"/>
        <v>77.142857142855348</v>
      </c>
      <c r="R1876" s="10">
        <f t="shared" ca="1" si="275"/>
        <v>109.28571428571377</v>
      </c>
      <c r="S1876" s="10">
        <f t="shared" ca="1" si="276"/>
        <v>-32.142857142858418</v>
      </c>
      <c r="T1876" s="10">
        <f t="shared" ca="1" si="277"/>
        <v>500.00000000000091</v>
      </c>
      <c r="U1876" s="10">
        <f t="shared" ca="1" si="278"/>
        <v>500.00000000000091</v>
      </c>
      <c r="V1876">
        <f t="shared" si="279"/>
        <v>2</v>
      </c>
    </row>
    <row r="1877" spans="1:22" x14ac:dyDescent="0.25">
      <c r="A1877">
        <v>209</v>
      </c>
      <c r="B1877">
        <v>4</v>
      </c>
      <c r="C1877">
        <v>60</v>
      </c>
      <c r="D1877">
        <v>1</v>
      </c>
      <c r="E1877">
        <v>0</v>
      </c>
      <c r="F1877">
        <v>0</v>
      </c>
      <c r="G1877">
        <v>0</v>
      </c>
      <c r="H1877">
        <v>550</v>
      </c>
      <c r="I1877">
        <f t="shared" si="280"/>
        <v>1872</v>
      </c>
      <c r="J1877" s="6">
        <f t="array" aca="1" ref="J1877:N1877" ca="1">TRANSPOSE(ols(OFFSET($C$2:$C$10,I1877,0),OFFSET($D$2:$H$10,I1877,0)))</f>
        <v>98.928571428570649</v>
      </c>
      <c r="K1877" s="6">
        <f ca="1"/>
        <v>10.357142857143117</v>
      </c>
      <c r="L1877" s="6">
        <f ca="1"/>
        <v>11.428571428570649</v>
      </c>
      <c r="M1877" s="6">
        <f ca="1"/>
        <v>-10.714285714285097</v>
      </c>
      <c r="N1877" s="6">
        <f ca="1"/>
        <v>-6.4285714285716722E-2</v>
      </c>
      <c r="O1877" s="6">
        <f t="shared" ca="1" si="272"/>
        <v>63.571428571426452</v>
      </c>
      <c r="P1877" t="str">
        <f t="shared" si="273"/>
        <v>NA</v>
      </c>
      <c r="Q1877" s="10">
        <f t="shared" ca="1" si="274"/>
        <v>77.142857142855348</v>
      </c>
      <c r="R1877" s="10">
        <f t="shared" ca="1" si="275"/>
        <v>98.928571428570649</v>
      </c>
      <c r="S1877" s="10">
        <f t="shared" ca="1" si="276"/>
        <v>-21.785714285715301</v>
      </c>
      <c r="T1877" s="10">
        <f t="shared" ca="1" si="277"/>
        <v>338.88888888889181</v>
      </c>
      <c r="U1877" s="10">
        <f t="shared" ca="1" si="278"/>
        <v>338.88888888889181</v>
      </c>
      <c r="V1877">
        <f t="shared" si="279"/>
        <v>1</v>
      </c>
    </row>
    <row r="1878" spans="1:22" x14ac:dyDescent="0.25">
      <c r="A1878">
        <v>209</v>
      </c>
      <c r="B1878">
        <v>5</v>
      </c>
      <c r="C1878">
        <v>85</v>
      </c>
      <c r="D1878">
        <v>1</v>
      </c>
      <c r="E1878">
        <v>0</v>
      </c>
      <c r="F1878">
        <v>1</v>
      </c>
      <c r="G1878">
        <v>1</v>
      </c>
      <c r="H1878">
        <v>250</v>
      </c>
      <c r="I1878">
        <f t="shared" si="280"/>
        <v>1872</v>
      </c>
      <c r="J1878" s="6">
        <f t="array" aca="1" ref="J1878:N1878" ca="1">TRANSPOSE(ols(OFFSET($C$2:$C$10,I1878,0),OFFSET($D$2:$H$10,I1878,0)))</f>
        <v>98.928571428570649</v>
      </c>
      <c r="K1878" s="6">
        <f ca="1"/>
        <v>10.357142857143117</v>
      </c>
      <c r="L1878" s="6">
        <f ca="1"/>
        <v>11.428571428570649</v>
      </c>
      <c r="M1878" s="6">
        <f ca="1"/>
        <v>-10.714285714285097</v>
      </c>
      <c r="N1878" s="6">
        <f ca="1"/>
        <v>-6.4285714285716722E-2</v>
      </c>
      <c r="O1878" s="6">
        <f t="shared" ca="1" si="272"/>
        <v>83.57142857142702</v>
      </c>
      <c r="P1878" t="str">
        <f t="shared" si="273"/>
        <v>NA</v>
      </c>
      <c r="Q1878" s="10">
        <f t="shared" ca="1" si="274"/>
        <v>77.142857142855348</v>
      </c>
      <c r="R1878" s="10">
        <f t="shared" ca="1" si="275"/>
        <v>99.642857142856201</v>
      </c>
      <c r="S1878" s="10">
        <f t="shared" ca="1" si="276"/>
        <v>-22.500000000000853</v>
      </c>
      <c r="T1878" s="10">
        <f t="shared" ca="1" si="277"/>
        <v>350</v>
      </c>
      <c r="U1878" s="10">
        <f t="shared" ca="1" si="278"/>
        <v>350</v>
      </c>
      <c r="V1878">
        <f t="shared" si="279"/>
        <v>6</v>
      </c>
    </row>
    <row r="1879" spans="1:22" x14ac:dyDescent="0.25">
      <c r="A1879">
        <v>209</v>
      </c>
      <c r="B1879">
        <v>6</v>
      </c>
      <c r="C1879">
        <v>80</v>
      </c>
      <c r="D1879">
        <v>1</v>
      </c>
      <c r="E1879">
        <v>0</v>
      </c>
      <c r="F1879">
        <v>1</v>
      </c>
      <c r="G1879">
        <v>1</v>
      </c>
      <c r="H1879">
        <v>350</v>
      </c>
      <c r="I1879">
        <f t="shared" si="280"/>
        <v>1872</v>
      </c>
      <c r="J1879" s="6">
        <f t="array" aca="1" ref="J1879:N1879" ca="1">TRANSPOSE(ols(OFFSET($C$2:$C$10,I1879,0),OFFSET($D$2:$H$10,I1879,0)))</f>
        <v>98.928571428570649</v>
      </c>
      <c r="K1879" s="6">
        <f ca="1"/>
        <v>10.357142857143117</v>
      </c>
      <c r="L1879" s="6">
        <f ca="1"/>
        <v>11.428571428570649</v>
      </c>
      <c r="M1879" s="6">
        <f ca="1"/>
        <v>-10.714285714285097</v>
      </c>
      <c r="N1879" s="6">
        <f ca="1"/>
        <v>-6.4285714285716722E-2</v>
      </c>
      <c r="O1879" s="6">
        <f t="shared" ca="1" si="272"/>
        <v>77.142857142855348</v>
      </c>
      <c r="P1879">
        <f t="shared" ca="1" si="273"/>
        <v>77.142857142855348</v>
      </c>
      <c r="Q1879" s="10">
        <f t="shared" ca="1" si="274"/>
        <v>77.142857142855348</v>
      </c>
      <c r="R1879" s="10">
        <f t="shared" ca="1" si="275"/>
        <v>99.642857142856201</v>
      </c>
      <c r="S1879" s="10">
        <f t="shared" ca="1" si="276"/>
        <v>-22.500000000000853</v>
      </c>
      <c r="T1879" s="10">
        <f t="shared" ca="1" si="277"/>
        <v>350</v>
      </c>
      <c r="U1879" s="10">
        <f t="shared" ca="1" si="278"/>
        <v>350</v>
      </c>
      <c r="V1879">
        <f t="shared" si="279"/>
        <v>6</v>
      </c>
    </row>
    <row r="1880" spans="1:22" x14ac:dyDescent="0.25">
      <c r="A1880">
        <v>209</v>
      </c>
      <c r="B1880">
        <v>7</v>
      </c>
      <c r="C1880">
        <v>65</v>
      </c>
      <c r="D1880">
        <v>1</v>
      </c>
      <c r="E1880">
        <v>1</v>
      </c>
      <c r="F1880">
        <v>0</v>
      </c>
      <c r="G1880">
        <v>1</v>
      </c>
      <c r="H1880">
        <v>450</v>
      </c>
      <c r="I1880">
        <f t="shared" si="280"/>
        <v>1872</v>
      </c>
      <c r="J1880" s="6">
        <f t="array" aca="1" ref="J1880:N1880" ca="1">TRANSPOSE(ols(OFFSET($C$2:$C$10,I1880,0),OFFSET($D$2:$H$10,I1880,0)))</f>
        <v>98.928571428570649</v>
      </c>
      <c r="K1880" s="6">
        <f ca="1"/>
        <v>10.357142857143117</v>
      </c>
      <c r="L1880" s="6">
        <f ca="1"/>
        <v>11.428571428570649</v>
      </c>
      <c r="M1880" s="6">
        <f ca="1"/>
        <v>-10.714285714285097</v>
      </c>
      <c r="N1880" s="6">
        <f ca="1"/>
        <v>-6.4285714285716722E-2</v>
      </c>
      <c r="O1880" s="6">
        <f t="shared" ca="1" si="272"/>
        <v>69.642857142856144</v>
      </c>
      <c r="P1880" t="str">
        <f t="shared" si="273"/>
        <v>NA</v>
      </c>
      <c r="Q1880" s="10">
        <f t="shared" ca="1" si="274"/>
        <v>77.142857142855348</v>
      </c>
      <c r="R1880" s="10">
        <f t="shared" ca="1" si="275"/>
        <v>98.571428571428669</v>
      </c>
      <c r="S1880" s="10">
        <f t="shared" ca="1" si="276"/>
        <v>-21.428571428573321</v>
      </c>
      <c r="T1880" s="10">
        <f t="shared" ca="1" si="277"/>
        <v>333.33333333335014</v>
      </c>
      <c r="U1880" s="10">
        <f t="shared" ca="1" si="278"/>
        <v>333.33333333335014</v>
      </c>
      <c r="V1880">
        <f t="shared" si="279"/>
        <v>5</v>
      </c>
    </row>
    <row r="1881" spans="1:22" x14ac:dyDescent="0.25">
      <c r="A1881">
        <v>209</v>
      </c>
      <c r="B1881">
        <v>8</v>
      </c>
      <c r="C1881">
        <v>60</v>
      </c>
      <c r="D1881">
        <v>1</v>
      </c>
      <c r="E1881">
        <v>1</v>
      </c>
      <c r="F1881">
        <v>0</v>
      </c>
      <c r="G1881">
        <v>1</v>
      </c>
      <c r="H1881">
        <v>550</v>
      </c>
      <c r="I1881">
        <f t="shared" si="280"/>
        <v>1872</v>
      </c>
      <c r="J1881" s="6">
        <f t="array" aca="1" ref="J1881:N1881" ca="1">TRANSPOSE(ols(OFFSET($C$2:$C$10,I1881,0),OFFSET($D$2:$H$10,I1881,0)))</f>
        <v>98.928571428570649</v>
      </c>
      <c r="K1881" s="6">
        <f ca="1"/>
        <v>10.357142857143117</v>
      </c>
      <c r="L1881" s="6">
        <f ca="1"/>
        <v>11.428571428570649</v>
      </c>
      <c r="M1881" s="6">
        <f ca="1"/>
        <v>-10.714285714285097</v>
      </c>
      <c r="N1881" s="6">
        <f ca="1"/>
        <v>-6.4285714285716722E-2</v>
      </c>
      <c r="O1881" s="6">
        <f t="shared" ca="1" si="272"/>
        <v>63.214285714284472</v>
      </c>
      <c r="P1881" t="str">
        <f t="shared" si="273"/>
        <v>NA</v>
      </c>
      <c r="Q1881" s="10">
        <f t="shared" ca="1" si="274"/>
        <v>77.142857142855348</v>
      </c>
      <c r="R1881" s="10">
        <f t="shared" ca="1" si="275"/>
        <v>98.571428571428669</v>
      </c>
      <c r="S1881" s="10">
        <f t="shared" ca="1" si="276"/>
        <v>-21.428571428573321</v>
      </c>
      <c r="T1881" s="10">
        <f t="shared" ca="1" si="277"/>
        <v>333.33333333335014</v>
      </c>
      <c r="U1881" s="10">
        <f t="shared" ca="1" si="278"/>
        <v>333.33333333335014</v>
      </c>
      <c r="V1881">
        <f t="shared" si="279"/>
        <v>5</v>
      </c>
    </row>
    <row r="1882" spans="1:22" x14ac:dyDescent="0.25">
      <c r="A1882">
        <v>209</v>
      </c>
      <c r="B1882">
        <v>9</v>
      </c>
      <c r="C1882">
        <v>50</v>
      </c>
      <c r="D1882">
        <v>1</v>
      </c>
      <c r="E1882">
        <v>0</v>
      </c>
      <c r="F1882">
        <v>0</v>
      </c>
      <c r="G1882">
        <v>1</v>
      </c>
      <c r="H1882">
        <v>650</v>
      </c>
      <c r="I1882">
        <f t="shared" si="280"/>
        <v>1872</v>
      </c>
      <c r="J1882" s="6">
        <f t="array" aca="1" ref="J1882:N1882" ca="1">TRANSPOSE(ols(OFFSET($C$2:$C$10,I1882,0),OFFSET($D$2:$H$10,I1882,0)))</f>
        <v>98.928571428570649</v>
      </c>
      <c r="K1882" s="6">
        <f ca="1"/>
        <v>10.357142857143117</v>
      </c>
      <c r="L1882" s="6">
        <f ca="1"/>
        <v>11.428571428570649</v>
      </c>
      <c r="M1882" s="6">
        <f ca="1"/>
        <v>-10.714285714285097</v>
      </c>
      <c r="N1882" s="6">
        <f ca="1"/>
        <v>-6.4285714285716722E-2</v>
      </c>
      <c r="O1882" s="6">
        <f t="shared" ca="1" si="272"/>
        <v>46.428571428569683</v>
      </c>
      <c r="P1882" t="str">
        <f t="shared" si="273"/>
        <v>NA</v>
      </c>
      <c r="Q1882" s="10">
        <f t="shared" ca="1" si="274"/>
        <v>77.142857142855348</v>
      </c>
      <c r="R1882" s="10">
        <f t="shared" ca="1" si="275"/>
        <v>88.214285714285552</v>
      </c>
      <c r="S1882" s="10">
        <f t="shared" ca="1" si="276"/>
        <v>-11.071428571430204</v>
      </c>
      <c r="T1882" s="10">
        <f t="shared" ca="1" si="277"/>
        <v>172.22222222224107</v>
      </c>
      <c r="U1882" s="10" t="str">
        <f t="shared" ca="1" si="278"/>
        <v>OR</v>
      </c>
      <c r="V1882">
        <f t="shared" si="279"/>
        <v>4</v>
      </c>
    </row>
    <row r="1883" spans="1:22" x14ac:dyDescent="0.25">
      <c r="A1883">
        <v>210</v>
      </c>
      <c r="B1883">
        <v>1</v>
      </c>
      <c r="C1883">
        <v>55</v>
      </c>
      <c r="D1883">
        <v>1</v>
      </c>
      <c r="E1883">
        <v>0</v>
      </c>
      <c r="F1883">
        <v>1</v>
      </c>
      <c r="G1883">
        <v>0</v>
      </c>
      <c r="H1883">
        <v>250</v>
      </c>
      <c r="I1883">
        <f t="shared" si="280"/>
        <v>1881</v>
      </c>
      <c r="J1883" s="6">
        <f t="array" aca="1" ref="J1883:N1883" ca="1">TRANSPOSE(ols(OFFSET($C$2:$C$10,I1883,0),OFFSET($D$2:$H$10,I1883,0)))</f>
        <v>75.654761904761472</v>
      </c>
      <c r="K1883" s="6">
        <f ca="1"/>
        <v>-2.8571428571428896</v>
      </c>
      <c r="L1883" s="6">
        <f ca="1"/>
        <v>1.9047619047619264</v>
      </c>
      <c r="M1883" s="6">
        <f ca="1"/>
        <v>1.5476190476192642</v>
      </c>
      <c r="N1883" s="6">
        <f ca="1"/>
        <v>-7.7380952380954326E-2</v>
      </c>
      <c r="O1883" s="6">
        <f t="shared" ca="1" si="272"/>
        <v>58.214285714284813</v>
      </c>
      <c r="P1883" t="str">
        <f t="shared" si="273"/>
        <v>NA</v>
      </c>
      <c r="Q1883" s="10">
        <f t="shared" ca="1" si="274"/>
        <v>52.023809523808652</v>
      </c>
      <c r="R1883" s="10">
        <f t="shared" ca="1" si="275"/>
        <v>77.559523809523398</v>
      </c>
      <c r="S1883" s="10">
        <f t="shared" ca="1" si="276"/>
        <v>-25.535714285714747</v>
      </c>
      <c r="T1883" s="10">
        <f t="shared" ca="1" si="277"/>
        <v>329.99999999999767</v>
      </c>
      <c r="U1883" s="10">
        <f t="shared" ca="1" si="278"/>
        <v>329.99999999999767</v>
      </c>
      <c r="V1883">
        <f t="shared" si="279"/>
        <v>3</v>
      </c>
    </row>
    <row r="1884" spans="1:22" x14ac:dyDescent="0.25">
      <c r="A1884">
        <v>210</v>
      </c>
      <c r="B1884">
        <v>2</v>
      </c>
      <c r="C1884">
        <v>50</v>
      </c>
      <c r="D1884">
        <v>1</v>
      </c>
      <c r="E1884">
        <v>1</v>
      </c>
      <c r="F1884">
        <v>0</v>
      </c>
      <c r="G1884">
        <v>0</v>
      </c>
      <c r="H1884">
        <v>350</v>
      </c>
      <c r="I1884">
        <f t="shared" si="280"/>
        <v>1881</v>
      </c>
      <c r="J1884" s="6">
        <f t="array" aca="1" ref="J1884:N1884" ca="1">TRANSPOSE(ols(OFFSET($C$2:$C$10,I1884,0),OFFSET($D$2:$H$10,I1884,0)))</f>
        <v>75.654761904761472</v>
      </c>
      <c r="K1884" s="6">
        <f ca="1"/>
        <v>-2.8571428571428896</v>
      </c>
      <c r="L1884" s="6">
        <f ca="1"/>
        <v>1.9047619047619264</v>
      </c>
      <c r="M1884" s="6">
        <f ca="1"/>
        <v>1.5476190476192642</v>
      </c>
      <c r="N1884" s="6">
        <f ca="1"/>
        <v>-7.7380952380954326E-2</v>
      </c>
      <c r="O1884" s="6">
        <f t="shared" ca="1" si="272"/>
        <v>45.714285714284571</v>
      </c>
      <c r="P1884" t="str">
        <f t="shared" si="273"/>
        <v>NA</v>
      </c>
      <c r="Q1884" s="10">
        <f t="shared" ca="1" si="274"/>
        <v>52.023809523808652</v>
      </c>
      <c r="R1884" s="10">
        <f t="shared" ca="1" si="275"/>
        <v>72.797619047618582</v>
      </c>
      <c r="S1884" s="10">
        <f t="shared" ca="1" si="276"/>
        <v>-20.773809523809931</v>
      </c>
      <c r="T1884" s="10">
        <f t="shared" ca="1" si="277"/>
        <v>268.46153846153697</v>
      </c>
      <c r="U1884" s="10">
        <f t="shared" ca="1" si="278"/>
        <v>268.46153846153697</v>
      </c>
      <c r="V1884">
        <f t="shared" si="279"/>
        <v>2</v>
      </c>
    </row>
    <row r="1885" spans="1:22" x14ac:dyDescent="0.25">
      <c r="A1885">
        <v>210</v>
      </c>
      <c r="B1885">
        <v>3</v>
      </c>
      <c r="C1885">
        <v>40</v>
      </c>
      <c r="D1885">
        <v>1</v>
      </c>
      <c r="E1885">
        <v>1</v>
      </c>
      <c r="F1885">
        <v>0</v>
      </c>
      <c r="G1885">
        <v>0</v>
      </c>
      <c r="H1885">
        <v>450</v>
      </c>
      <c r="I1885">
        <f t="shared" si="280"/>
        <v>1881</v>
      </c>
      <c r="J1885" s="6">
        <f t="array" aca="1" ref="J1885:N1885" ca="1">TRANSPOSE(ols(OFFSET($C$2:$C$10,I1885,0),OFFSET($D$2:$H$10,I1885,0)))</f>
        <v>75.654761904761472</v>
      </c>
      <c r="K1885" s="6">
        <f ca="1"/>
        <v>-2.8571428571428896</v>
      </c>
      <c r="L1885" s="6">
        <f ca="1"/>
        <v>1.9047619047619264</v>
      </c>
      <c r="M1885" s="6">
        <f ca="1"/>
        <v>1.5476190476192642</v>
      </c>
      <c r="N1885" s="6">
        <f ca="1"/>
        <v>-7.7380952380954326E-2</v>
      </c>
      <c r="O1885" s="6">
        <f t="shared" ca="1" si="272"/>
        <v>37.976190476189132</v>
      </c>
      <c r="P1885" t="str">
        <f t="shared" si="273"/>
        <v>NA</v>
      </c>
      <c r="Q1885" s="10">
        <f t="shared" ca="1" si="274"/>
        <v>52.023809523808652</v>
      </c>
      <c r="R1885" s="10">
        <f t="shared" ca="1" si="275"/>
        <v>72.797619047618582</v>
      </c>
      <c r="S1885" s="10">
        <f t="shared" ca="1" si="276"/>
        <v>-20.773809523809931</v>
      </c>
      <c r="T1885" s="10">
        <f t="shared" ca="1" si="277"/>
        <v>268.46153846153697</v>
      </c>
      <c r="U1885" s="10">
        <f t="shared" ca="1" si="278"/>
        <v>268.46153846153697</v>
      </c>
      <c r="V1885">
        <f t="shared" si="279"/>
        <v>2</v>
      </c>
    </row>
    <row r="1886" spans="1:22" x14ac:dyDescent="0.25">
      <c r="A1886">
        <v>210</v>
      </c>
      <c r="B1886">
        <v>4</v>
      </c>
      <c r="C1886">
        <v>30</v>
      </c>
      <c r="D1886">
        <v>1</v>
      </c>
      <c r="E1886">
        <v>0</v>
      </c>
      <c r="F1886">
        <v>0</v>
      </c>
      <c r="G1886">
        <v>0</v>
      </c>
      <c r="H1886">
        <v>550</v>
      </c>
      <c r="I1886">
        <f t="shared" si="280"/>
        <v>1881</v>
      </c>
      <c r="J1886" s="6">
        <f t="array" aca="1" ref="J1886:N1886" ca="1">TRANSPOSE(ols(OFFSET($C$2:$C$10,I1886,0),OFFSET($D$2:$H$10,I1886,0)))</f>
        <v>75.654761904761472</v>
      </c>
      <c r="K1886" s="6">
        <f ca="1"/>
        <v>-2.8571428571428896</v>
      </c>
      <c r="L1886" s="6">
        <f ca="1"/>
        <v>1.9047619047619264</v>
      </c>
      <c r="M1886" s="6">
        <f ca="1"/>
        <v>1.5476190476192642</v>
      </c>
      <c r="N1886" s="6">
        <f ca="1"/>
        <v>-7.7380952380954326E-2</v>
      </c>
      <c r="O1886" s="6">
        <f t="shared" ca="1" si="272"/>
        <v>33.095238095236596</v>
      </c>
      <c r="P1886" t="str">
        <f t="shared" si="273"/>
        <v>NA</v>
      </c>
      <c r="Q1886" s="10">
        <f t="shared" ca="1" si="274"/>
        <v>52.023809523808652</v>
      </c>
      <c r="R1886" s="10">
        <f t="shared" ca="1" si="275"/>
        <v>75.654761904761472</v>
      </c>
      <c r="S1886" s="10">
        <f t="shared" ca="1" si="276"/>
        <v>-23.63095238095282</v>
      </c>
      <c r="T1886" s="10">
        <f t="shared" ca="1" si="277"/>
        <v>305.38461538461337</v>
      </c>
      <c r="U1886" s="10">
        <f t="shared" ca="1" si="278"/>
        <v>305.38461538461337</v>
      </c>
      <c r="V1886">
        <f t="shared" si="279"/>
        <v>1</v>
      </c>
    </row>
    <row r="1887" spans="1:22" x14ac:dyDescent="0.25">
      <c r="A1887">
        <v>210</v>
      </c>
      <c r="B1887">
        <v>5</v>
      </c>
      <c r="C1887">
        <v>60</v>
      </c>
      <c r="D1887">
        <v>1</v>
      </c>
      <c r="E1887">
        <v>0</v>
      </c>
      <c r="F1887">
        <v>1</v>
      </c>
      <c r="G1887">
        <v>1</v>
      </c>
      <c r="H1887">
        <v>250</v>
      </c>
      <c r="I1887">
        <f t="shared" si="280"/>
        <v>1881</v>
      </c>
      <c r="J1887" s="6">
        <f t="array" aca="1" ref="J1887:N1887" ca="1">TRANSPOSE(ols(OFFSET($C$2:$C$10,I1887,0),OFFSET($D$2:$H$10,I1887,0)))</f>
        <v>75.654761904761472</v>
      </c>
      <c r="K1887" s="6">
        <f ca="1"/>
        <v>-2.8571428571428896</v>
      </c>
      <c r="L1887" s="6">
        <f ca="1"/>
        <v>1.9047619047619264</v>
      </c>
      <c r="M1887" s="6">
        <f ca="1"/>
        <v>1.5476190476192642</v>
      </c>
      <c r="N1887" s="6">
        <f ca="1"/>
        <v>-7.7380952380954326E-2</v>
      </c>
      <c r="O1887" s="6">
        <f t="shared" ca="1" si="272"/>
        <v>59.761904761904077</v>
      </c>
      <c r="P1887" t="str">
        <f t="shared" si="273"/>
        <v>NA</v>
      </c>
      <c r="Q1887" s="10">
        <f t="shared" ca="1" si="274"/>
        <v>52.023809523808652</v>
      </c>
      <c r="R1887" s="10">
        <f t="shared" ca="1" si="275"/>
        <v>79.107142857142662</v>
      </c>
      <c r="S1887" s="10">
        <f t="shared" ca="1" si="276"/>
        <v>-27.083333333334011</v>
      </c>
      <c r="T1887" s="10">
        <f t="shared" ca="1" si="277"/>
        <v>349.99999999999994</v>
      </c>
      <c r="U1887" s="10">
        <f t="shared" ca="1" si="278"/>
        <v>349.99999999999994</v>
      </c>
      <c r="V1887">
        <f t="shared" si="279"/>
        <v>6</v>
      </c>
    </row>
    <row r="1888" spans="1:22" x14ac:dyDescent="0.25">
      <c r="A1888">
        <v>210</v>
      </c>
      <c r="B1888">
        <v>6</v>
      </c>
      <c r="C1888">
        <v>55</v>
      </c>
      <c r="D1888">
        <v>1</v>
      </c>
      <c r="E1888">
        <v>0</v>
      </c>
      <c r="F1888">
        <v>1</v>
      </c>
      <c r="G1888">
        <v>1</v>
      </c>
      <c r="H1888">
        <v>350</v>
      </c>
      <c r="I1888">
        <f t="shared" si="280"/>
        <v>1881</v>
      </c>
      <c r="J1888" s="6">
        <f t="array" aca="1" ref="J1888:N1888" ca="1">TRANSPOSE(ols(OFFSET($C$2:$C$10,I1888,0),OFFSET($D$2:$H$10,I1888,0)))</f>
        <v>75.654761904761472</v>
      </c>
      <c r="K1888" s="6">
        <f ca="1"/>
        <v>-2.8571428571428896</v>
      </c>
      <c r="L1888" s="6">
        <f ca="1"/>
        <v>1.9047619047619264</v>
      </c>
      <c r="M1888" s="6">
        <f ca="1"/>
        <v>1.5476190476192642</v>
      </c>
      <c r="N1888" s="6">
        <f ca="1"/>
        <v>-7.7380952380954326E-2</v>
      </c>
      <c r="O1888" s="6">
        <f t="shared" ca="1" si="272"/>
        <v>52.023809523808652</v>
      </c>
      <c r="P1888">
        <f t="shared" ca="1" si="273"/>
        <v>52.023809523808652</v>
      </c>
      <c r="Q1888" s="10">
        <f t="shared" ca="1" si="274"/>
        <v>52.023809523808652</v>
      </c>
      <c r="R1888" s="10">
        <f t="shared" ca="1" si="275"/>
        <v>79.107142857142662</v>
      </c>
      <c r="S1888" s="10">
        <f t="shared" ca="1" si="276"/>
        <v>-27.083333333334011</v>
      </c>
      <c r="T1888" s="10">
        <f t="shared" ca="1" si="277"/>
        <v>349.99999999999994</v>
      </c>
      <c r="U1888" s="10">
        <f t="shared" ca="1" si="278"/>
        <v>349.99999999999994</v>
      </c>
      <c r="V1888">
        <f t="shared" si="279"/>
        <v>6</v>
      </c>
    </row>
    <row r="1889" spans="1:22" x14ac:dyDescent="0.25">
      <c r="A1889">
        <v>210</v>
      </c>
      <c r="B1889">
        <v>7</v>
      </c>
      <c r="C1889">
        <v>35</v>
      </c>
      <c r="D1889">
        <v>1</v>
      </c>
      <c r="E1889">
        <v>1</v>
      </c>
      <c r="F1889">
        <v>0</v>
      </c>
      <c r="G1889">
        <v>1</v>
      </c>
      <c r="H1889">
        <v>450</v>
      </c>
      <c r="I1889">
        <f t="shared" si="280"/>
        <v>1881</v>
      </c>
      <c r="J1889" s="6">
        <f t="array" aca="1" ref="J1889:N1889" ca="1">TRANSPOSE(ols(OFFSET($C$2:$C$10,I1889,0),OFFSET($D$2:$H$10,I1889,0)))</f>
        <v>75.654761904761472</v>
      </c>
      <c r="K1889" s="6">
        <f ca="1"/>
        <v>-2.8571428571428896</v>
      </c>
      <c r="L1889" s="6">
        <f ca="1"/>
        <v>1.9047619047619264</v>
      </c>
      <c r="M1889" s="6">
        <f ca="1"/>
        <v>1.5476190476192642</v>
      </c>
      <c r="N1889" s="6">
        <f ca="1"/>
        <v>-7.7380952380954326E-2</v>
      </c>
      <c r="O1889" s="6">
        <f t="shared" ca="1" si="272"/>
        <v>39.523809523808396</v>
      </c>
      <c r="P1889" t="str">
        <f t="shared" si="273"/>
        <v>NA</v>
      </c>
      <c r="Q1889" s="10">
        <f t="shared" ca="1" si="274"/>
        <v>52.023809523808652</v>
      </c>
      <c r="R1889" s="10">
        <f t="shared" ca="1" si="275"/>
        <v>74.345238095237846</v>
      </c>
      <c r="S1889" s="10">
        <f t="shared" ca="1" si="276"/>
        <v>-22.321428571429195</v>
      </c>
      <c r="T1889" s="10">
        <f t="shared" ca="1" si="277"/>
        <v>288.46153846153925</v>
      </c>
      <c r="U1889" s="10">
        <f t="shared" ca="1" si="278"/>
        <v>288.46153846153925</v>
      </c>
      <c r="V1889">
        <f t="shared" si="279"/>
        <v>5</v>
      </c>
    </row>
    <row r="1890" spans="1:22" x14ac:dyDescent="0.25">
      <c r="A1890">
        <v>210</v>
      </c>
      <c r="B1890">
        <v>8</v>
      </c>
      <c r="C1890">
        <v>30</v>
      </c>
      <c r="D1890">
        <v>1</v>
      </c>
      <c r="E1890">
        <v>1</v>
      </c>
      <c r="F1890">
        <v>0</v>
      </c>
      <c r="G1890">
        <v>1</v>
      </c>
      <c r="H1890">
        <v>550</v>
      </c>
      <c r="I1890">
        <f t="shared" si="280"/>
        <v>1881</v>
      </c>
      <c r="J1890" s="6">
        <f t="array" aca="1" ref="J1890:N1890" ca="1">TRANSPOSE(ols(OFFSET($C$2:$C$10,I1890,0),OFFSET($D$2:$H$10,I1890,0)))</f>
        <v>75.654761904761472</v>
      </c>
      <c r="K1890" s="6">
        <f ca="1"/>
        <v>-2.8571428571428896</v>
      </c>
      <c r="L1890" s="6">
        <f ca="1"/>
        <v>1.9047619047619264</v>
      </c>
      <c r="M1890" s="6">
        <f ca="1"/>
        <v>1.5476190476192642</v>
      </c>
      <c r="N1890" s="6">
        <f ca="1"/>
        <v>-7.7380952380954326E-2</v>
      </c>
      <c r="O1890" s="6">
        <f t="shared" ca="1" si="272"/>
        <v>31.78571428571297</v>
      </c>
      <c r="P1890" t="str">
        <f t="shared" si="273"/>
        <v>NA</v>
      </c>
      <c r="Q1890" s="10">
        <f t="shared" ca="1" si="274"/>
        <v>52.023809523808652</v>
      </c>
      <c r="R1890" s="10">
        <f t="shared" ca="1" si="275"/>
        <v>74.345238095237846</v>
      </c>
      <c r="S1890" s="10">
        <f t="shared" ca="1" si="276"/>
        <v>-22.321428571429195</v>
      </c>
      <c r="T1890" s="10">
        <f t="shared" ca="1" si="277"/>
        <v>288.46153846153925</v>
      </c>
      <c r="U1890" s="10">
        <f t="shared" ca="1" si="278"/>
        <v>288.46153846153925</v>
      </c>
      <c r="V1890">
        <f t="shared" si="279"/>
        <v>5</v>
      </c>
    </row>
    <row r="1891" spans="1:22" x14ac:dyDescent="0.25">
      <c r="A1891">
        <v>210</v>
      </c>
      <c r="B1891">
        <v>9</v>
      </c>
      <c r="C1891">
        <v>30</v>
      </c>
      <c r="D1891">
        <v>1</v>
      </c>
      <c r="E1891">
        <v>0</v>
      </c>
      <c r="F1891">
        <v>0</v>
      </c>
      <c r="G1891">
        <v>1</v>
      </c>
      <c r="H1891">
        <v>650</v>
      </c>
      <c r="I1891">
        <f t="shared" si="280"/>
        <v>1881</v>
      </c>
      <c r="J1891" s="6">
        <f t="array" aca="1" ref="J1891:N1891" ca="1">TRANSPOSE(ols(OFFSET($C$2:$C$10,I1891,0),OFFSET($D$2:$H$10,I1891,0)))</f>
        <v>75.654761904761472</v>
      </c>
      <c r="K1891" s="6">
        <f ca="1"/>
        <v>-2.8571428571428896</v>
      </c>
      <c r="L1891" s="6">
        <f ca="1"/>
        <v>1.9047619047619264</v>
      </c>
      <c r="M1891" s="6">
        <f ca="1"/>
        <v>1.5476190476192642</v>
      </c>
      <c r="N1891" s="6">
        <f ca="1"/>
        <v>-7.7380952380954326E-2</v>
      </c>
      <c r="O1891" s="6">
        <f t="shared" ca="1" si="272"/>
        <v>26.90476190476042</v>
      </c>
      <c r="P1891" t="str">
        <f t="shared" si="273"/>
        <v>NA</v>
      </c>
      <c r="Q1891" s="10">
        <f t="shared" ca="1" si="274"/>
        <v>52.023809523808652</v>
      </c>
      <c r="R1891" s="10">
        <f t="shared" ca="1" si="275"/>
        <v>77.202380952380736</v>
      </c>
      <c r="S1891" s="10">
        <f t="shared" ca="1" si="276"/>
        <v>-25.178571428572084</v>
      </c>
      <c r="T1891" s="10">
        <f t="shared" ca="1" si="277"/>
        <v>325.3846153846157</v>
      </c>
      <c r="U1891" s="10">
        <f t="shared" ca="1" si="278"/>
        <v>325.3846153846157</v>
      </c>
      <c r="V1891">
        <f t="shared" si="279"/>
        <v>4</v>
      </c>
    </row>
    <row r="1892" spans="1:22" x14ac:dyDescent="0.25">
      <c r="A1892">
        <v>211</v>
      </c>
      <c r="B1892">
        <v>1</v>
      </c>
      <c r="C1892">
        <v>95</v>
      </c>
      <c r="D1892">
        <v>1</v>
      </c>
      <c r="E1892">
        <v>0</v>
      </c>
      <c r="F1892">
        <v>1</v>
      </c>
      <c r="G1892">
        <v>0</v>
      </c>
      <c r="H1892">
        <v>250</v>
      </c>
      <c r="I1892">
        <f t="shared" si="280"/>
        <v>1890</v>
      </c>
      <c r="J1892" s="6">
        <f t="array" aca="1" ref="J1892:N1892" ca="1">TRANSPOSE(ols(OFFSET($C$2:$C$10,I1892,0),OFFSET($D$2:$H$10,I1892,0)))</f>
        <v>127.85714285714221</v>
      </c>
      <c r="K1892" s="6">
        <f ca="1"/>
        <v>0.71428571428577925</v>
      </c>
      <c r="L1892" s="6">
        <f ca="1"/>
        <v>2.8571428571422075</v>
      </c>
      <c r="M1892" s="6">
        <f ca="1"/>
        <v>-21.428571428570876</v>
      </c>
      <c r="N1892" s="6">
        <f ca="1"/>
        <v>-0.12857142857142989</v>
      </c>
      <c r="O1892" s="6">
        <f t="shared" ca="1" si="272"/>
        <v>98.571428571426935</v>
      </c>
      <c r="P1892" t="str">
        <f t="shared" si="273"/>
        <v>NA</v>
      </c>
      <c r="Q1892" s="10">
        <f t="shared" ca="1" si="274"/>
        <v>64.285714285713084</v>
      </c>
      <c r="R1892" s="10">
        <f t="shared" ca="1" si="275"/>
        <v>130.71428571428442</v>
      </c>
      <c r="S1892" s="10">
        <f t="shared" ca="1" si="276"/>
        <v>-66.428571428571331</v>
      </c>
      <c r="T1892" s="10">
        <f t="shared" ca="1" si="277"/>
        <v>516.6666666666606</v>
      </c>
      <c r="U1892" s="10">
        <f t="shared" ca="1" si="278"/>
        <v>516.6666666666606</v>
      </c>
      <c r="V1892">
        <f t="shared" si="279"/>
        <v>3</v>
      </c>
    </row>
    <row r="1893" spans="1:22" x14ac:dyDescent="0.25">
      <c r="A1893">
        <v>211</v>
      </c>
      <c r="B1893">
        <v>2</v>
      </c>
      <c r="C1893">
        <v>95</v>
      </c>
      <c r="D1893">
        <v>1</v>
      </c>
      <c r="E1893">
        <v>1</v>
      </c>
      <c r="F1893">
        <v>0</v>
      </c>
      <c r="G1893">
        <v>0</v>
      </c>
      <c r="H1893">
        <v>350</v>
      </c>
      <c r="I1893">
        <f t="shared" si="280"/>
        <v>1890</v>
      </c>
      <c r="J1893" s="6">
        <f t="array" aca="1" ref="J1893:N1893" ca="1">TRANSPOSE(ols(OFFSET($C$2:$C$10,I1893,0),OFFSET($D$2:$H$10,I1893,0)))</f>
        <v>127.85714285714221</v>
      </c>
      <c r="K1893" s="6">
        <f ca="1"/>
        <v>0.71428571428577925</v>
      </c>
      <c r="L1893" s="6">
        <f ca="1"/>
        <v>2.8571428571422075</v>
      </c>
      <c r="M1893" s="6">
        <f ca="1"/>
        <v>-21.428571428570876</v>
      </c>
      <c r="N1893" s="6">
        <f ca="1"/>
        <v>-0.12857142857142989</v>
      </c>
      <c r="O1893" s="6">
        <f t="shared" ca="1" si="272"/>
        <v>83.571428571427532</v>
      </c>
      <c r="P1893" t="str">
        <f t="shared" si="273"/>
        <v>NA</v>
      </c>
      <c r="Q1893" s="10">
        <f t="shared" ca="1" si="274"/>
        <v>64.285714285713084</v>
      </c>
      <c r="R1893" s="10">
        <f t="shared" ca="1" si="275"/>
        <v>128.57142857142799</v>
      </c>
      <c r="S1893" s="10">
        <f t="shared" ca="1" si="276"/>
        <v>-64.285714285714903</v>
      </c>
      <c r="T1893" s="10">
        <f t="shared" ca="1" si="277"/>
        <v>499.99999999999966</v>
      </c>
      <c r="U1893" s="10">
        <f t="shared" ca="1" si="278"/>
        <v>499.99999999999966</v>
      </c>
      <c r="V1893">
        <f t="shared" si="279"/>
        <v>2</v>
      </c>
    </row>
    <row r="1894" spans="1:22" x14ac:dyDescent="0.25">
      <c r="A1894">
        <v>211</v>
      </c>
      <c r="B1894">
        <v>3</v>
      </c>
      <c r="C1894">
        <v>65</v>
      </c>
      <c r="D1894">
        <v>1</v>
      </c>
      <c r="E1894">
        <v>1</v>
      </c>
      <c r="F1894">
        <v>0</v>
      </c>
      <c r="G1894">
        <v>0</v>
      </c>
      <c r="H1894">
        <v>450</v>
      </c>
      <c r="I1894">
        <f t="shared" si="280"/>
        <v>1890</v>
      </c>
      <c r="J1894" s="6">
        <f t="array" aca="1" ref="J1894:N1894" ca="1">TRANSPOSE(ols(OFFSET($C$2:$C$10,I1894,0),OFFSET($D$2:$H$10,I1894,0)))</f>
        <v>127.85714285714221</v>
      </c>
      <c r="K1894" s="6">
        <f ca="1"/>
        <v>0.71428571428577925</v>
      </c>
      <c r="L1894" s="6">
        <f ca="1"/>
        <v>2.8571428571422075</v>
      </c>
      <c r="M1894" s="6">
        <f ca="1"/>
        <v>-21.428571428570876</v>
      </c>
      <c r="N1894" s="6">
        <f ca="1"/>
        <v>-0.12857142857142989</v>
      </c>
      <c r="O1894" s="6">
        <f t="shared" ca="1" si="272"/>
        <v>70.714285714284529</v>
      </c>
      <c r="P1894" t="str">
        <f t="shared" si="273"/>
        <v>NA</v>
      </c>
      <c r="Q1894" s="10">
        <f t="shared" ca="1" si="274"/>
        <v>64.285714285713084</v>
      </c>
      <c r="R1894" s="10">
        <f t="shared" ca="1" si="275"/>
        <v>128.57142857142799</v>
      </c>
      <c r="S1894" s="10">
        <f t="shared" ca="1" si="276"/>
        <v>-64.285714285714903</v>
      </c>
      <c r="T1894" s="10">
        <f t="shared" ca="1" si="277"/>
        <v>499.99999999999966</v>
      </c>
      <c r="U1894" s="10">
        <f t="shared" ca="1" si="278"/>
        <v>499.99999999999966</v>
      </c>
      <c r="V1894">
        <f t="shared" si="279"/>
        <v>2</v>
      </c>
    </row>
    <row r="1895" spans="1:22" x14ac:dyDescent="0.25">
      <c r="A1895">
        <v>211</v>
      </c>
      <c r="B1895">
        <v>4</v>
      </c>
      <c r="C1895">
        <v>55</v>
      </c>
      <c r="D1895">
        <v>1</v>
      </c>
      <c r="E1895">
        <v>0</v>
      </c>
      <c r="F1895">
        <v>0</v>
      </c>
      <c r="G1895">
        <v>0</v>
      </c>
      <c r="H1895">
        <v>550</v>
      </c>
      <c r="I1895">
        <f t="shared" si="280"/>
        <v>1890</v>
      </c>
      <c r="J1895" s="6">
        <f t="array" aca="1" ref="J1895:N1895" ca="1">TRANSPOSE(ols(OFFSET($C$2:$C$10,I1895,0),OFFSET($D$2:$H$10,I1895,0)))</f>
        <v>127.85714285714221</v>
      </c>
      <c r="K1895" s="6">
        <f ca="1"/>
        <v>0.71428571428577925</v>
      </c>
      <c r="L1895" s="6">
        <f ca="1"/>
        <v>2.8571428571422075</v>
      </c>
      <c r="M1895" s="6">
        <f ca="1"/>
        <v>-21.428571428570876</v>
      </c>
      <c r="N1895" s="6">
        <f ca="1"/>
        <v>-0.12857142857142989</v>
      </c>
      <c r="O1895" s="6">
        <f t="shared" ca="1" si="272"/>
        <v>57.142857142855775</v>
      </c>
      <c r="P1895" t="str">
        <f t="shared" si="273"/>
        <v>NA</v>
      </c>
      <c r="Q1895" s="10">
        <f t="shared" ca="1" si="274"/>
        <v>64.285714285713084</v>
      </c>
      <c r="R1895" s="10">
        <f t="shared" ca="1" si="275"/>
        <v>127.85714285714221</v>
      </c>
      <c r="S1895" s="10">
        <f t="shared" ca="1" si="276"/>
        <v>-63.571428571429124</v>
      </c>
      <c r="T1895" s="10">
        <f t="shared" ca="1" si="277"/>
        <v>494.44444444444366</v>
      </c>
      <c r="U1895" s="10">
        <f t="shared" ca="1" si="278"/>
        <v>494.44444444444366</v>
      </c>
      <c r="V1895">
        <f t="shared" si="279"/>
        <v>1</v>
      </c>
    </row>
    <row r="1896" spans="1:22" x14ac:dyDescent="0.25">
      <c r="A1896">
        <v>211</v>
      </c>
      <c r="B1896">
        <v>5</v>
      </c>
      <c r="C1896">
        <v>70</v>
      </c>
      <c r="D1896">
        <v>1</v>
      </c>
      <c r="E1896">
        <v>0</v>
      </c>
      <c r="F1896">
        <v>1</v>
      </c>
      <c r="G1896">
        <v>1</v>
      </c>
      <c r="H1896">
        <v>250</v>
      </c>
      <c r="I1896">
        <f t="shared" si="280"/>
        <v>1890</v>
      </c>
      <c r="J1896" s="6">
        <f t="array" aca="1" ref="J1896:N1896" ca="1">TRANSPOSE(ols(OFFSET($C$2:$C$10,I1896,0),OFFSET($D$2:$H$10,I1896,0)))</f>
        <v>127.85714285714221</v>
      </c>
      <c r="K1896" s="6">
        <f ca="1"/>
        <v>0.71428571428577925</v>
      </c>
      <c r="L1896" s="6">
        <f ca="1"/>
        <v>2.8571428571422075</v>
      </c>
      <c r="M1896" s="6">
        <f ca="1"/>
        <v>-21.428571428570876</v>
      </c>
      <c r="N1896" s="6">
        <f ca="1"/>
        <v>-0.12857142857142989</v>
      </c>
      <c r="O1896" s="6">
        <f t="shared" ca="1" si="272"/>
        <v>77.142857142856059</v>
      </c>
      <c r="P1896" t="str">
        <f t="shared" si="273"/>
        <v>NA</v>
      </c>
      <c r="Q1896" s="10">
        <f t="shared" ca="1" si="274"/>
        <v>64.285714285713084</v>
      </c>
      <c r="R1896" s="10">
        <f t="shared" ca="1" si="275"/>
        <v>109.28571428571354</v>
      </c>
      <c r="S1896" s="10">
        <f t="shared" ca="1" si="276"/>
        <v>-45.000000000000455</v>
      </c>
      <c r="T1896" s="10">
        <f t="shared" ca="1" si="277"/>
        <v>349.99999999999994</v>
      </c>
      <c r="U1896" s="10">
        <f t="shared" ca="1" si="278"/>
        <v>349.99999999999994</v>
      </c>
      <c r="V1896">
        <f t="shared" si="279"/>
        <v>6</v>
      </c>
    </row>
    <row r="1897" spans="1:22" x14ac:dyDescent="0.25">
      <c r="A1897">
        <v>211</v>
      </c>
      <c r="B1897">
        <v>6</v>
      </c>
      <c r="C1897">
        <v>75</v>
      </c>
      <c r="D1897">
        <v>1</v>
      </c>
      <c r="E1897">
        <v>0</v>
      </c>
      <c r="F1897">
        <v>1</v>
      </c>
      <c r="G1897">
        <v>1</v>
      </c>
      <c r="H1897">
        <v>350</v>
      </c>
      <c r="I1897">
        <f t="shared" si="280"/>
        <v>1890</v>
      </c>
      <c r="J1897" s="6">
        <f t="array" aca="1" ref="J1897:N1897" ca="1">TRANSPOSE(ols(OFFSET($C$2:$C$10,I1897,0),OFFSET($D$2:$H$10,I1897,0)))</f>
        <v>127.85714285714221</v>
      </c>
      <c r="K1897" s="6">
        <f ca="1"/>
        <v>0.71428571428577925</v>
      </c>
      <c r="L1897" s="6">
        <f ca="1"/>
        <v>2.8571428571422075</v>
      </c>
      <c r="M1897" s="6">
        <f ca="1"/>
        <v>-21.428571428570876</v>
      </c>
      <c r="N1897" s="6">
        <f ca="1"/>
        <v>-0.12857142857142989</v>
      </c>
      <c r="O1897" s="6">
        <f t="shared" ca="1" si="272"/>
        <v>64.285714285713084</v>
      </c>
      <c r="P1897">
        <f t="shared" ca="1" si="273"/>
        <v>64.285714285713084</v>
      </c>
      <c r="Q1897" s="10">
        <f t="shared" ca="1" si="274"/>
        <v>64.285714285713084</v>
      </c>
      <c r="R1897" s="10">
        <f t="shared" ca="1" si="275"/>
        <v>109.28571428571354</v>
      </c>
      <c r="S1897" s="10">
        <f t="shared" ca="1" si="276"/>
        <v>-45.000000000000455</v>
      </c>
      <c r="T1897" s="10">
        <f t="shared" ca="1" si="277"/>
        <v>349.99999999999994</v>
      </c>
      <c r="U1897" s="10">
        <f t="shared" ca="1" si="278"/>
        <v>349.99999999999994</v>
      </c>
      <c r="V1897">
        <f t="shared" si="279"/>
        <v>6</v>
      </c>
    </row>
    <row r="1898" spans="1:22" x14ac:dyDescent="0.25">
      <c r="A1898">
        <v>211</v>
      </c>
      <c r="B1898">
        <v>7</v>
      </c>
      <c r="C1898">
        <v>45</v>
      </c>
      <c r="D1898">
        <v>1</v>
      </c>
      <c r="E1898">
        <v>1</v>
      </c>
      <c r="F1898">
        <v>0</v>
      </c>
      <c r="G1898">
        <v>1</v>
      </c>
      <c r="H1898">
        <v>450</v>
      </c>
      <c r="I1898">
        <f t="shared" si="280"/>
        <v>1890</v>
      </c>
      <c r="J1898" s="6">
        <f t="array" aca="1" ref="J1898:N1898" ca="1">TRANSPOSE(ols(OFFSET($C$2:$C$10,I1898,0),OFFSET($D$2:$H$10,I1898,0)))</f>
        <v>127.85714285714221</v>
      </c>
      <c r="K1898" s="6">
        <f ca="1"/>
        <v>0.71428571428577925</v>
      </c>
      <c r="L1898" s="6">
        <f ca="1"/>
        <v>2.8571428571422075</v>
      </c>
      <c r="M1898" s="6">
        <f ca="1"/>
        <v>-21.428571428570876</v>
      </c>
      <c r="N1898" s="6">
        <f ca="1"/>
        <v>-0.12857142857142989</v>
      </c>
      <c r="O1898" s="6">
        <f t="shared" ca="1" si="272"/>
        <v>49.285714285713659</v>
      </c>
      <c r="P1898" t="str">
        <f t="shared" si="273"/>
        <v>NA</v>
      </c>
      <c r="Q1898" s="10">
        <f t="shared" ca="1" si="274"/>
        <v>64.285714285713084</v>
      </c>
      <c r="R1898" s="10">
        <f t="shared" ca="1" si="275"/>
        <v>107.14285714285711</v>
      </c>
      <c r="S1898" s="10">
        <f t="shared" ca="1" si="276"/>
        <v>-42.857142857144026</v>
      </c>
      <c r="T1898" s="10">
        <f t="shared" ca="1" si="277"/>
        <v>333.333333333339</v>
      </c>
      <c r="U1898" s="10">
        <f t="shared" ca="1" si="278"/>
        <v>333.333333333339</v>
      </c>
      <c r="V1898">
        <f t="shared" si="279"/>
        <v>5</v>
      </c>
    </row>
    <row r="1899" spans="1:22" x14ac:dyDescent="0.25">
      <c r="A1899">
        <v>211</v>
      </c>
      <c r="B1899">
        <v>8</v>
      </c>
      <c r="C1899">
        <v>35</v>
      </c>
      <c r="D1899">
        <v>1</v>
      </c>
      <c r="E1899">
        <v>1</v>
      </c>
      <c r="F1899">
        <v>0</v>
      </c>
      <c r="G1899">
        <v>1</v>
      </c>
      <c r="H1899">
        <v>550</v>
      </c>
      <c r="I1899">
        <f t="shared" si="280"/>
        <v>1890</v>
      </c>
      <c r="J1899" s="6">
        <f t="array" aca="1" ref="J1899:N1899" ca="1">TRANSPOSE(ols(OFFSET($C$2:$C$10,I1899,0),OFFSET($D$2:$H$10,I1899,0)))</f>
        <v>127.85714285714221</v>
      </c>
      <c r="K1899" s="6">
        <f ca="1"/>
        <v>0.71428571428577925</v>
      </c>
      <c r="L1899" s="6">
        <f ca="1"/>
        <v>2.8571428571422075</v>
      </c>
      <c r="M1899" s="6">
        <f ca="1"/>
        <v>-21.428571428570876</v>
      </c>
      <c r="N1899" s="6">
        <f ca="1"/>
        <v>-0.12857142857142989</v>
      </c>
      <c r="O1899" s="6">
        <f t="shared" ca="1" si="272"/>
        <v>36.428571428570677</v>
      </c>
      <c r="P1899" t="str">
        <f t="shared" si="273"/>
        <v>NA</v>
      </c>
      <c r="Q1899" s="10">
        <f t="shared" ca="1" si="274"/>
        <v>64.285714285713084</v>
      </c>
      <c r="R1899" s="10">
        <f t="shared" ca="1" si="275"/>
        <v>107.14285714285711</v>
      </c>
      <c r="S1899" s="10">
        <f t="shared" ca="1" si="276"/>
        <v>-42.857142857144026</v>
      </c>
      <c r="T1899" s="10">
        <f t="shared" ca="1" si="277"/>
        <v>333.333333333339</v>
      </c>
      <c r="U1899" s="10">
        <f t="shared" ca="1" si="278"/>
        <v>333.333333333339</v>
      </c>
      <c r="V1899">
        <f t="shared" si="279"/>
        <v>5</v>
      </c>
    </row>
    <row r="1900" spans="1:22" x14ac:dyDescent="0.25">
      <c r="A1900">
        <v>211</v>
      </c>
      <c r="B1900">
        <v>9</v>
      </c>
      <c r="C1900">
        <v>25</v>
      </c>
      <c r="D1900">
        <v>1</v>
      </c>
      <c r="E1900">
        <v>0</v>
      </c>
      <c r="F1900">
        <v>0</v>
      </c>
      <c r="G1900">
        <v>1</v>
      </c>
      <c r="H1900">
        <v>650</v>
      </c>
      <c r="I1900">
        <f t="shared" si="280"/>
        <v>1890</v>
      </c>
      <c r="J1900" s="6">
        <f t="array" aca="1" ref="J1900:N1900" ca="1">TRANSPOSE(ols(OFFSET($C$2:$C$10,I1900,0),OFFSET($D$2:$H$10,I1900,0)))</f>
        <v>127.85714285714221</v>
      </c>
      <c r="K1900" s="6">
        <f ca="1"/>
        <v>0.71428571428577925</v>
      </c>
      <c r="L1900" s="6">
        <f ca="1"/>
        <v>2.8571428571422075</v>
      </c>
      <c r="M1900" s="6">
        <f ca="1"/>
        <v>-21.428571428570876</v>
      </c>
      <c r="N1900" s="6">
        <f ca="1"/>
        <v>-0.12857142857142989</v>
      </c>
      <c r="O1900" s="6">
        <f t="shared" ca="1" si="272"/>
        <v>22.857142857141895</v>
      </c>
      <c r="P1900" t="str">
        <f t="shared" si="273"/>
        <v>NA</v>
      </c>
      <c r="Q1900" s="10">
        <f t="shared" ca="1" si="274"/>
        <v>64.285714285713084</v>
      </c>
      <c r="R1900" s="10">
        <f t="shared" ca="1" si="275"/>
        <v>106.42857142857133</v>
      </c>
      <c r="S1900" s="10">
        <f t="shared" ca="1" si="276"/>
        <v>-42.142857142858247</v>
      </c>
      <c r="T1900" s="10">
        <f t="shared" ca="1" si="277"/>
        <v>327.777777777783</v>
      </c>
      <c r="U1900" s="10">
        <f t="shared" ca="1" si="278"/>
        <v>327.777777777783</v>
      </c>
      <c r="V1900">
        <f t="shared" si="279"/>
        <v>4</v>
      </c>
    </row>
    <row r="1901" spans="1:22" x14ac:dyDescent="0.25">
      <c r="A1901">
        <v>212</v>
      </c>
      <c r="B1901">
        <v>1</v>
      </c>
      <c r="C1901">
        <v>62.5</v>
      </c>
      <c r="D1901">
        <v>1</v>
      </c>
      <c r="E1901">
        <v>0</v>
      </c>
      <c r="F1901">
        <v>1</v>
      </c>
      <c r="G1901">
        <v>0</v>
      </c>
      <c r="H1901">
        <v>250</v>
      </c>
      <c r="I1901">
        <f t="shared" si="280"/>
        <v>1899</v>
      </c>
      <c r="J1901" s="6">
        <f t="array" aca="1" ref="J1901:N1901" ca="1">TRANSPOSE(ols(OFFSET($C$2:$C$10,I1901,0),OFFSET($D$2:$H$10,I1901,0)))</f>
        <v>71.607142857143117</v>
      </c>
      <c r="K1901" s="6">
        <f ca="1"/>
        <v>-0.53571428571422075</v>
      </c>
      <c r="L1901" s="6">
        <f ca="1"/>
        <v>7.8571428571426623</v>
      </c>
      <c r="M1901" s="6">
        <f ca="1"/>
        <v>1.0714285714287826</v>
      </c>
      <c r="N1901" s="6">
        <f ca="1"/>
        <v>-5.3571428571430602E-2</v>
      </c>
      <c r="O1901" s="6">
        <f t="shared" ca="1" si="272"/>
        <v>66.071428571428129</v>
      </c>
      <c r="P1901" t="str">
        <f t="shared" si="273"/>
        <v>NA</v>
      </c>
      <c r="Q1901" s="10">
        <f t="shared" ca="1" si="274"/>
        <v>61.785714285713851</v>
      </c>
      <c r="R1901" s="10">
        <f t="shared" ca="1" si="275"/>
        <v>79.464285714285779</v>
      </c>
      <c r="S1901" s="10">
        <f t="shared" ca="1" si="276"/>
        <v>-17.678571428571928</v>
      </c>
      <c r="T1901" s="10">
        <f t="shared" ca="1" si="277"/>
        <v>329.99999999999682</v>
      </c>
      <c r="U1901" s="10">
        <f t="shared" ca="1" si="278"/>
        <v>329.99999999999682</v>
      </c>
      <c r="V1901">
        <f t="shared" si="279"/>
        <v>3</v>
      </c>
    </row>
    <row r="1902" spans="1:22" x14ac:dyDescent="0.25">
      <c r="A1902">
        <v>212</v>
      </c>
      <c r="B1902">
        <v>2</v>
      </c>
      <c r="C1902">
        <v>55</v>
      </c>
      <c r="D1902">
        <v>1</v>
      </c>
      <c r="E1902">
        <v>1</v>
      </c>
      <c r="F1902">
        <v>0</v>
      </c>
      <c r="G1902">
        <v>0</v>
      </c>
      <c r="H1902">
        <v>350</v>
      </c>
      <c r="I1902">
        <f t="shared" si="280"/>
        <v>1899</v>
      </c>
      <c r="J1902" s="6">
        <f t="array" aca="1" ref="J1902:N1902" ca="1">TRANSPOSE(ols(OFFSET($C$2:$C$10,I1902,0),OFFSET($D$2:$H$10,I1902,0)))</f>
        <v>71.607142857143117</v>
      </c>
      <c r="K1902" s="6">
        <f ca="1"/>
        <v>-0.53571428571422075</v>
      </c>
      <c r="L1902" s="6">
        <f ca="1"/>
        <v>7.8571428571426623</v>
      </c>
      <c r="M1902" s="6">
        <f ca="1"/>
        <v>1.0714285714287826</v>
      </c>
      <c r="N1902" s="6">
        <f ca="1"/>
        <v>-5.3571428571430602E-2</v>
      </c>
      <c r="O1902" s="6">
        <f t="shared" ca="1" si="272"/>
        <v>52.321428571428186</v>
      </c>
      <c r="P1902" t="str">
        <f t="shared" si="273"/>
        <v>NA</v>
      </c>
      <c r="Q1902" s="10">
        <f t="shared" ca="1" si="274"/>
        <v>61.785714285713851</v>
      </c>
      <c r="R1902" s="10">
        <f t="shared" ca="1" si="275"/>
        <v>71.071428571428896</v>
      </c>
      <c r="S1902" s="10">
        <f t="shared" ca="1" si="276"/>
        <v>-9.285714285715045</v>
      </c>
      <c r="T1902" s="10">
        <f t="shared" ca="1" si="277"/>
        <v>173.33333333334093</v>
      </c>
      <c r="U1902" s="10" t="str">
        <f t="shared" ca="1" si="278"/>
        <v>OR</v>
      </c>
      <c r="V1902">
        <f t="shared" si="279"/>
        <v>2</v>
      </c>
    </row>
    <row r="1903" spans="1:22" x14ac:dyDescent="0.25">
      <c r="A1903">
        <v>212</v>
      </c>
      <c r="B1903">
        <v>3</v>
      </c>
      <c r="C1903">
        <v>40</v>
      </c>
      <c r="D1903">
        <v>1</v>
      </c>
      <c r="E1903">
        <v>1</v>
      </c>
      <c r="F1903">
        <v>0</v>
      </c>
      <c r="G1903">
        <v>0</v>
      </c>
      <c r="H1903">
        <v>450</v>
      </c>
      <c r="I1903">
        <f t="shared" si="280"/>
        <v>1899</v>
      </c>
      <c r="J1903" s="6">
        <f t="array" aca="1" ref="J1903:N1903" ca="1">TRANSPOSE(ols(OFFSET($C$2:$C$10,I1903,0),OFFSET($D$2:$H$10,I1903,0)))</f>
        <v>71.607142857143117</v>
      </c>
      <c r="K1903" s="6">
        <f ca="1"/>
        <v>-0.53571428571422075</v>
      </c>
      <c r="L1903" s="6">
        <f ca="1"/>
        <v>7.8571428571426623</v>
      </c>
      <c r="M1903" s="6">
        <f ca="1"/>
        <v>1.0714285714287826</v>
      </c>
      <c r="N1903" s="6">
        <f ca="1"/>
        <v>-5.3571428571430602E-2</v>
      </c>
      <c r="O1903" s="6">
        <f t="shared" ca="1" si="272"/>
        <v>46.964285714285126</v>
      </c>
      <c r="P1903" t="str">
        <f t="shared" si="273"/>
        <v>NA</v>
      </c>
      <c r="Q1903" s="10">
        <f t="shared" ca="1" si="274"/>
        <v>61.785714285713851</v>
      </c>
      <c r="R1903" s="10">
        <f t="shared" ca="1" si="275"/>
        <v>71.071428571428896</v>
      </c>
      <c r="S1903" s="10">
        <f t="shared" ca="1" si="276"/>
        <v>-9.285714285715045</v>
      </c>
      <c r="T1903" s="10">
        <f t="shared" ca="1" si="277"/>
        <v>173.33333333334093</v>
      </c>
      <c r="U1903" s="10" t="str">
        <f t="shared" ca="1" si="278"/>
        <v>OR</v>
      </c>
      <c r="V1903">
        <f t="shared" si="279"/>
        <v>2</v>
      </c>
    </row>
    <row r="1904" spans="1:22" x14ac:dyDescent="0.25">
      <c r="A1904">
        <v>212</v>
      </c>
      <c r="B1904">
        <v>4</v>
      </c>
      <c r="C1904">
        <v>50</v>
      </c>
      <c r="D1904">
        <v>1</v>
      </c>
      <c r="E1904">
        <v>0</v>
      </c>
      <c r="F1904">
        <v>0</v>
      </c>
      <c r="G1904">
        <v>0</v>
      </c>
      <c r="H1904">
        <v>550</v>
      </c>
      <c r="I1904">
        <f t="shared" si="280"/>
        <v>1899</v>
      </c>
      <c r="J1904" s="6">
        <f t="array" aca="1" ref="J1904:N1904" ca="1">TRANSPOSE(ols(OFFSET($C$2:$C$10,I1904,0),OFFSET($D$2:$H$10,I1904,0)))</f>
        <v>71.607142857143117</v>
      </c>
      <c r="K1904" s="6">
        <f ca="1"/>
        <v>-0.53571428571422075</v>
      </c>
      <c r="L1904" s="6">
        <f ca="1"/>
        <v>7.8571428571426623</v>
      </c>
      <c r="M1904" s="6">
        <f ca="1"/>
        <v>1.0714285714287826</v>
      </c>
      <c r="N1904" s="6">
        <f ca="1"/>
        <v>-5.3571428571430602E-2</v>
      </c>
      <c r="O1904" s="6">
        <f t="shared" ca="1" si="272"/>
        <v>42.142857142856286</v>
      </c>
      <c r="P1904" t="str">
        <f t="shared" si="273"/>
        <v>NA</v>
      </c>
      <c r="Q1904" s="10">
        <f t="shared" ca="1" si="274"/>
        <v>61.785714285713851</v>
      </c>
      <c r="R1904" s="10">
        <f t="shared" ca="1" si="275"/>
        <v>71.607142857143117</v>
      </c>
      <c r="S1904" s="10">
        <f t="shared" ca="1" si="276"/>
        <v>-9.8214285714292657</v>
      </c>
      <c r="T1904" s="10">
        <f t="shared" ca="1" si="277"/>
        <v>183.33333333333934</v>
      </c>
      <c r="U1904" s="10" t="str">
        <f t="shared" ca="1" si="278"/>
        <v>OR</v>
      </c>
      <c r="V1904">
        <f t="shared" si="279"/>
        <v>1</v>
      </c>
    </row>
    <row r="1905" spans="1:22" x14ac:dyDescent="0.25">
      <c r="A1905">
        <v>212</v>
      </c>
      <c r="B1905">
        <v>5</v>
      </c>
      <c r="C1905">
        <v>67.5</v>
      </c>
      <c r="D1905">
        <v>1</v>
      </c>
      <c r="E1905">
        <v>0</v>
      </c>
      <c r="F1905">
        <v>1</v>
      </c>
      <c r="G1905">
        <v>1</v>
      </c>
      <c r="H1905">
        <v>250</v>
      </c>
      <c r="I1905">
        <f t="shared" si="280"/>
        <v>1899</v>
      </c>
      <c r="J1905" s="6">
        <f t="array" aca="1" ref="J1905:N1905" ca="1">TRANSPOSE(ols(OFFSET($C$2:$C$10,I1905,0),OFFSET($D$2:$H$10,I1905,0)))</f>
        <v>71.607142857143117</v>
      </c>
      <c r="K1905" s="6">
        <f ca="1"/>
        <v>-0.53571428571422075</v>
      </c>
      <c r="L1905" s="6">
        <f ca="1"/>
        <v>7.8571428571426623</v>
      </c>
      <c r="M1905" s="6">
        <f ca="1"/>
        <v>1.0714285714287826</v>
      </c>
      <c r="N1905" s="6">
        <f ca="1"/>
        <v>-5.3571428571430602E-2</v>
      </c>
      <c r="O1905" s="6">
        <f t="shared" ca="1" si="272"/>
        <v>67.142857142856911</v>
      </c>
      <c r="P1905" t="str">
        <f t="shared" si="273"/>
        <v>NA</v>
      </c>
      <c r="Q1905" s="10">
        <f t="shared" ca="1" si="274"/>
        <v>61.785714285713851</v>
      </c>
      <c r="R1905" s="10">
        <f t="shared" ca="1" si="275"/>
        <v>80.535714285714562</v>
      </c>
      <c r="S1905" s="10">
        <f t="shared" ca="1" si="276"/>
        <v>-18.750000000000711</v>
      </c>
      <c r="T1905" s="10">
        <f t="shared" ca="1" si="277"/>
        <v>350</v>
      </c>
      <c r="U1905" s="10">
        <f t="shared" ca="1" si="278"/>
        <v>350</v>
      </c>
      <c r="V1905">
        <f t="shared" si="279"/>
        <v>6</v>
      </c>
    </row>
    <row r="1906" spans="1:22" x14ac:dyDescent="0.25">
      <c r="A1906">
        <v>212</v>
      </c>
      <c r="B1906">
        <v>6</v>
      </c>
      <c r="C1906">
        <v>65</v>
      </c>
      <c r="D1906">
        <v>1</v>
      </c>
      <c r="E1906">
        <v>0</v>
      </c>
      <c r="F1906">
        <v>1</v>
      </c>
      <c r="G1906">
        <v>1</v>
      </c>
      <c r="H1906">
        <v>350</v>
      </c>
      <c r="I1906">
        <f t="shared" si="280"/>
        <v>1899</v>
      </c>
      <c r="J1906" s="6">
        <f t="array" aca="1" ref="J1906:N1906" ca="1">TRANSPOSE(ols(OFFSET($C$2:$C$10,I1906,0),OFFSET($D$2:$H$10,I1906,0)))</f>
        <v>71.607142857143117</v>
      </c>
      <c r="K1906" s="6">
        <f ca="1"/>
        <v>-0.53571428571422075</v>
      </c>
      <c r="L1906" s="6">
        <f ca="1"/>
        <v>7.8571428571426623</v>
      </c>
      <c r="M1906" s="6">
        <f ca="1"/>
        <v>1.0714285714287826</v>
      </c>
      <c r="N1906" s="6">
        <f ca="1"/>
        <v>-5.3571428571430602E-2</v>
      </c>
      <c r="O1906" s="6">
        <f t="shared" ca="1" si="272"/>
        <v>61.785714285713851</v>
      </c>
      <c r="P1906">
        <f t="shared" ca="1" si="273"/>
        <v>61.785714285713851</v>
      </c>
      <c r="Q1906" s="10">
        <f t="shared" ca="1" si="274"/>
        <v>61.785714285713851</v>
      </c>
      <c r="R1906" s="10">
        <f t="shared" ca="1" si="275"/>
        <v>80.535714285714562</v>
      </c>
      <c r="S1906" s="10">
        <f t="shared" ca="1" si="276"/>
        <v>-18.750000000000711</v>
      </c>
      <c r="T1906" s="10">
        <f t="shared" ca="1" si="277"/>
        <v>350</v>
      </c>
      <c r="U1906" s="10">
        <f t="shared" ca="1" si="278"/>
        <v>350</v>
      </c>
      <c r="V1906">
        <f t="shared" si="279"/>
        <v>6</v>
      </c>
    </row>
    <row r="1907" spans="1:22" x14ac:dyDescent="0.25">
      <c r="A1907">
        <v>212</v>
      </c>
      <c r="B1907">
        <v>7</v>
      </c>
      <c r="C1907">
        <v>45</v>
      </c>
      <c r="D1907">
        <v>1</v>
      </c>
      <c r="E1907">
        <v>1</v>
      </c>
      <c r="F1907">
        <v>0</v>
      </c>
      <c r="G1907">
        <v>1</v>
      </c>
      <c r="H1907">
        <v>450</v>
      </c>
      <c r="I1907">
        <f t="shared" si="280"/>
        <v>1899</v>
      </c>
      <c r="J1907" s="6">
        <f t="array" aca="1" ref="J1907:N1907" ca="1">TRANSPOSE(ols(OFFSET($C$2:$C$10,I1907,0),OFFSET($D$2:$H$10,I1907,0)))</f>
        <v>71.607142857143117</v>
      </c>
      <c r="K1907" s="6">
        <f ca="1"/>
        <v>-0.53571428571422075</v>
      </c>
      <c r="L1907" s="6">
        <f ca="1"/>
        <v>7.8571428571426623</v>
      </c>
      <c r="M1907" s="6">
        <f ca="1"/>
        <v>1.0714285714287826</v>
      </c>
      <c r="N1907" s="6">
        <f ca="1"/>
        <v>-5.3571428571430602E-2</v>
      </c>
      <c r="O1907" s="6">
        <f t="shared" ca="1" si="272"/>
        <v>48.035714285713908</v>
      </c>
      <c r="P1907" t="str">
        <f t="shared" si="273"/>
        <v>NA</v>
      </c>
      <c r="Q1907" s="10">
        <f t="shared" ca="1" si="274"/>
        <v>61.785714285713851</v>
      </c>
      <c r="R1907" s="10">
        <f t="shared" ca="1" si="275"/>
        <v>72.142857142857679</v>
      </c>
      <c r="S1907" s="10">
        <f t="shared" ca="1" si="276"/>
        <v>-10.357142857143828</v>
      </c>
      <c r="T1907" s="10">
        <f t="shared" ca="1" si="277"/>
        <v>193.33333333334411</v>
      </c>
      <c r="U1907" s="10" t="str">
        <f t="shared" ca="1" si="278"/>
        <v>OR</v>
      </c>
      <c r="V1907">
        <f t="shared" si="279"/>
        <v>5</v>
      </c>
    </row>
    <row r="1908" spans="1:22" x14ac:dyDescent="0.25">
      <c r="A1908">
        <v>212</v>
      </c>
      <c r="B1908">
        <v>8</v>
      </c>
      <c r="C1908">
        <v>50</v>
      </c>
      <c r="D1908">
        <v>1</v>
      </c>
      <c r="E1908">
        <v>1</v>
      </c>
      <c r="F1908">
        <v>0</v>
      </c>
      <c r="G1908">
        <v>1</v>
      </c>
      <c r="H1908">
        <v>550</v>
      </c>
      <c r="I1908">
        <f t="shared" si="280"/>
        <v>1899</v>
      </c>
      <c r="J1908" s="6">
        <f t="array" aca="1" ref="J1908:N1908" ca="1">TRANSPOSE(ols(OFFSET($C$2:$C$10,I1908,0),OFFSET($D$2:$H$10,I1908,0)))</f>
        <v>71.607142857143117</v>
      </c>
      <c r="K1908" s="6">
        <f ca="1"/>
        <v>-0.53571428571422075</v>
      </c>
      <c r="L1908" s="6">
        <f ca="1"/>
        <v>7.8571428571426623</v>
      </c>
      <c r="M1908" s="6">
        <f ca="1"/>
        <v>1.0714285714287826</v>
      </c>
      <c r="N1908" s="6">
        <f ca="1"/>
        <v>-5.3571428571430602E-2</v>
      </c>
      <c r="O1908" s="6">
        <f t="shared" ca="1" si="272"/>
        <v>42.678571428570848</v>
      </c>
      <c r="P1908" t="str">
        <f t="shared" si="273"/>
        <v>NA</v>
      </c>
      <c r="Q1908" s="10">
        <f t="shared" ca="1" si="274"/>
        <v>61.785714285713851</v>
      </c>
      <c r="R1908" s="10">
        <f t="shared" ca="1" si="275"/>
        <v>72.142857142857679</v>
      </c>
      <c r="S1908" s="10">
        <f t="shared" ca="1" si="276"/>
        <v>-10.357142857143828</v>
      </c>
      <c r="T1908" s="10">
        <f t="shared" ca="1" si="277"/>
        <v>193.33333333334411</v>
      </c>
      <c r="U1908" s="10" t="str">
        <f t="shared" ca="1" si="278"/>
        <v>OR</v>
      </c>
      <c r="V1908">
        <f t="shared" si="279"/>
        <v>5</v>
      </c>
    </row>
    <row r="1909" spans="1:22" x14ac:dyDescent="0.25">
      <c r="A1909">
        <v>212</v>
      </c>
      <c r="B1909">
        <v>9</v>
      </c>
      <c r="C1909">
        <v>30</v>
      </c>
      <c r="D1909">
        <v>1</v>
      </c>
      <c r="E1909">
        <v>0</v>
      </c>
      <c r="F1909">
        <v>0</v>
      </c>
      <c r="G1909">
        <v>1</v>
      </c>
      <c r="H1909">
        <v>650</v>
      </c>
      <c r="I1909">
        <f t="shared" si="280"/>
        <v>1899</v>
      </c>
      <c r="J1909" s="6">
        <f t="array" aca="1" ref="J1909:N1909" ca="1">TRANSPOSE(ols(OFFSET($C$2:$C$10,I1909,0),OFFSET($D$2:$H$10,I1909,0)))</f>
        <v>71.607142857143117</v>
      </c>
      <c r="K1909" s="6">
        <f ca="1"/>
        <v>-0.53571428571422075</v>
      </c>
      <c r="L1909" s="6">
        <f ca="1"/>
        <v>7.8571428571426623</v>
      </c>
      <c r="M1909" s="6">
        <f ca="1"/>
        <v>1.0714285714287826</v>
      </c>
      <c r="N1909" s="6">
        <f ca="1"/>
        <v>-5.3571428571430602E-2</v>
      </c>
      <c r="O1909" s="6">
        <f t="shared" ca="1" si="272"/>
        <v>37.857142857142009</v>
      </c>
      <c r="P1909" t="str">
        <f t="shared" si="273"/>
        <v>NA</v>
      </c>
      <c r="Q1909" s="10">
        <f t="shared" ca="1" si="274"/>
        <v>61.785714285713851</v>
      </c>
      <c r="R1909" s="10">
        <f t="shared" ca="1" si="275"/>
        <v>72.6785714285719</v>
      </c>
      <c r="S1909" s="10">
        <f t="shared" ca="1" si="276"/>
        <v>-10.892857142858048</v>
      </c>
      <c r="T1909" s="10">
        <f t="shared" ca="1" si="277"/>
        <v>203.33333333334252</v>
      </c>
      <c r="U1909" s="10" t="str">
        <f t="shared" ca="1" si="278"/>
        <v>OR</v>
      </c>
      <c r="V1909">
        <f t="shared" si="279"/>
        <v>4</v>
      </c>
    </row>
    <row r="1910" spans="1:22" x14ac:dyDescent="0.25">
      <c r="A1910">
        <v>213</v>
      </c>
      <c r="B1910">
        <v>1</v>
      </c>
      <c r="C1910">
        <v>60</v>
      </c>
      <c r="D1910">
        <v>1</v>
      </c>
      <c r="E1910">
        <v>0</v>
      </c>
      <c r="F1910">
        <v>1</v>
      </c>
      <c r="G1910">
        <v>0</v>
      </c>
      <c r="H1910">
        <v>250</v>
      </c>
      <c r="I1910">
        <f t="shared" si="280"/>
        <v>1908</v>
      </c>
      <c r="J1910" s="6">
        <f t="array" aca="1" ref="J1910:N1910" ca="1">TRANSPOSE(ols(OFFSET($C$2:$C$10,I1910,0),OFFSET($D$2:$H$10,I1910,0)))</f>
        <v>92.619047619046796</v>
      </c>
      <c r="K1910" s="6">
        <f ca="1"/>
        <v>6.0714285714286689</v>
      </c>
      <c r="L1910" s="6">
        <f ca="1"/>
        <v>-12.380952380953204</v>
      </c>
      <c r="M1910" s="6">
        <f ca="1"/>
        <v>21.190476190476375</v>
      </c>
      <c r="N1910" s="6">
        <f ca="1"/>
        <v>-0.10952380952381091</v>
      </c>
      <c r="O1910" s="6">
        <f t="shared" ca="1" si="272"/>
        <v>52.857142857140865</v>
      </c>
      <c r="P1910" t="str">
        <f t="shared" si="273"/>
        <v>NA</v>
      </c>
      <c r="Q1910" s="10">
        <f t="shared" ca="1" si="274"/>
        <v>63.095238095236148</v>
      </c>
      <c r="R1910" s="10">
        <f t="shared" ca="1" si="275"/>
        <v>80.238095238093592</v>
      </c>
      <c r="S1910" s="10">
        <f t="shared" ca="1" si="276"/>
        <v>-17.142857142857444</v>
      </c>
      <c r="T1910" s="10">
        <f t="shared" ca="1" si="277"/>
        <v>156.52173913043555</v>
      </c>
      <c r="U1910" s="10" t="str">
        <f t="shared" ca="1" si="278"/>
        <v>OR</v>
      </c>
      <c r="V1910">
        <f t="shared" si="279"/>
        <v>3</v>
      </c>
    </row>
    <row r="1911" spans="1:22" x14ac:dyDescent="0.25">
      <c r="A1911">
        <v>213</v>
      </c>
      <c r="B1911">
        <v>2</v>
      </c>
      <c r="C1911">
        <v>55</v>
      </c>
      <c r="D1911">
        <v>1</v>
      </c>
      <c r="E1911">
        <v>1</v>
      </c>
      <c r="F1911">
        <v>0</v>
      </c>
      <c r="G1911">
        <v>0</v>
      </c>
      <c r="H1911">
        <v>350</v>
      </c>
      <c r="I1911">
        <f t="shared" si="280"/>
        <v>1908</v>
      </c>
      <c r="J1911" s="6">
        <f t="array" aca="1" ref="J1911:N1911" ca="1">TRANSPOSE(ols(OFFSET($C$2:$C$10,I1911,0),OFFSET($D$2:$H$10,I1911,0)))</f>
        <v>92.619047619046796</v>
      </c>
      <c r="K1911" s="6">
        <f ca="1"/>
        <v>6.0714285714286689</v>
      </c>
      <c r="L1911" s="6">
        <f ca="1"/>
        <v>-12.380952380953204</v>
      </c>
      <c r="M1911" s="6">
        <f ca="1"/>
        <v>21.190476190476375</v>
      </c>
      <c r="N1911" s="6">
        <f ca="1"/>
        <v>-0.10952380952381091</v>
      </c>
      <c r="O1911" s="6">
        <f t="shared" ca="1" si="272"/>
        <v>60.357142857141646</v>
      </c>
      <c r="P1911" t="str">
        <f t="shared" si="273"/>
        <v>NA</v>
      </c>
      <c r="Q1911" s="10">
        <f t="shared" ca="1" si="274"/>
        <v>63.095238095236148</v>
      </c>
      <c r="R1911" s="10">
        <f t="shared" ca="1" si="275"/>
        <v>98.690476190475465</v>
      </c>
      <c r="S1911" s="10">
        <f t="shared" ca="1" si="276"/>
        <v>-35.595238095239317</v>
      </c>
      <c r="T1911" s="10">
        <f t="shared" ca="1" si="277"/>
        <v>325.00000000000705</v>
      </c>
      <c r="U1911" s="10">
        <f t="shared" ca="1" si="278"/>
        <v>325.00000000000705</v>
      </c>
      <c r="V1911">
        <f t="shared" si="279"/>
        <v>2</v>
      </c>
    </row>
    <row r="1912" spans="1:22" x14ac:dyDescent="0.25">
      <c r="A1912">
        <v>213</v>
      </c>
      <c r="B1912">
        <v>3</v>
      </c>
      <c r="C1912">
        <v>35</v>
      </c>
      <c r="D1912">
        <v>1</v>
      </c>
      <c r="E1912">
        <v>1</v>
      </c>
      <c r="F1912">
        <v>0</v>
      </c>
      <c r="G1912">
        <v>0</v>
      </c>
      <c r="H1912">
        <v>450</v>
      </c>
      <c r="I1912">
        <f t="shared" si="280"/>
        <v>1908</v>
      </c>
      <c r="J1912" s="6">
        <f t="array" aca="1" ref="J1912:N1912" ca="1">TRANSPOSE(ols(OFFSET($C$2:$C$10,I1912,0),OFFSET($D$2:$H$10,I1912,0)))</f>
        <v>92.619047619046796</v>
      </c>
      <c r="K1912" s="6">
        <f ca="1"/>
        <v>6.0714285714286689</v>
      </c>
      <c r="L1912" s="6">
        <f ca="1"/>
        <v>-12.380952380953204</v>
      </c>
      <c r="M1912" s="6">
        <f ca="1"/>
        <v>21.190476190476375</v>
      </c>
      <c r="N1912" s="6">
        <f ca="1"/>
        <v>-0.10952380952381091</v>
      </c>
      <c r="O1912" s="6">
        <f t="shared" ca="1" si="272"/>
        <v>49.404761904760555</v>
      </c>
      <c r="P1912" t="str">
        <f t="shared" si="273"/>
        <v>NA</v>
      </c>
      <c r="Q1912" s="10">
        <f t="shared" ca="1" si="274"/>
        <v>63.095238095236148</v>
      </c>
      <c r="R1912" s="10">
        <f t="shared" ca="1" si="275"/>
        <v>98.690476190475465</v>
      </c>
      <c r="S1912" s="10">
        <f t="shared" ca="1" si="276"/>
        <v>-35.595238095239317</v>
      </c>
      <c r="T1912" s="10">
        <f t="shared" ca="1" si="277"/>
        <v>325.00000000000705</v>
      </c>
      <c r="U1912" s="10">
        <f t="shared" ca="1" si="278"/>
        <v>325.00000000000705</v>
      </c>
      <c r="V1912">
        <f t="shared" si="279"/>
        <v>2</v>
      </c>
    </row>
    <row r="1913" spans="1:22" x14ac:dyDescent="0.25">
      <c r="A1913">
        <v>213</v>
      </c>
      <c r="B1913">
        <v>4</v>
      </c>
      <c r="C1913">
        <v>45</v>
      </c>
      <c r="D1913">
        <v>1</v>
      </c>
      <c r="E1913">
        <v>0</v>
      </c>
      <c r="F1913">
        <v>0</v>
      </c>
      <c r="G1913">
        <v>0</v>
      </c>
      <c r="H1913">
        <v>550</v>
      </c>
      <c r="I1913">
        <f t="shared" si="280"/>
        <v>1908</v>
      </c>
      <c r="J1913" s="6">
        <f t="array" aca="1" ref="J1913:N1913" ca="1">TRANSPOSE(ols(OFFSET($C$2:$C$10,I1913,0),OFFSET($D$2:$H$10,I1913,0)))</f>
        <v>92.619047619046796</v>
      </c>
      <c r="K1913" s="6">
        <f ca="1"/>
        <v>6.0714285714286689</v>
      </c>
      <c r="L1913" s="6">
        <f ca="1"/>
        <v>-12.380952380953204</v>
      </c>
      <c r="M1913" s="6">
        <f ca="1"/>
        <v>21.190476190476375</v>
      </c>
      <c r="N1913" s="6">
        <f ca="1"/>
        <v>-0.10952380952381091</v>
      </c>
      <c r="O1913" s="6">
        <f t="shared" ca="1" si="272"/>
        <v>32.380952380950795</v>
      </c>
      <c r="P1913" t="str">
        <f t="shared" si="273"/>
        <v>NA</v>
      </c>
      <c r="Q1913" s="10">
        <f t="shared" ca="1" si="274"/>
        <v>63.095238095236148</v>
      </c>
      <c r="R1913" s="10">
        <f t="shared" ca="1" si="275"/>
        <v>92.619047619046796</v>
      </c>
      <c r="S1913" s="10">
        <f t="shared" ca="1" si="276"/>
        <v>-29.523809523810648</v>
      </c>
      <c r="T1913" s="10">
        <f t="shared" ca="1" si="277"/>
        <v>269.56521739131119</v>
      </c>
      <c r="U1913" s="10">
        <f t="shared" ca="1" si="278"/>
        <v>269.56521739131119</v>
      </c>
      <c r="V1913">
        <f t="shared" si="279"/>
        <v>1</v>
      </c>
    </row>
    <row r="1914" spans="1:22" x14ac:dyDescent="0.25">
      <c r="A1914">
        <v>213</v>
      </c>
      <c r="B1914">
        <v>5</v>
      </c>
      <c r="C1914">
        <v>70</v>
      </c>
      <c r="D1914">
        <v>1</v>
      </c>
      <c r="E1914">
        <v>0</v>
      </c>
      <c r="F1914">
        <v>1</v>
      </c>
      <c r="G1914">
        <v>1</v>
      </c>
      <c r="H1914">
        <v>250</v>
      </c>
      <c r="I1914">
        <f t="shared" si="280"/>
        <v>1908</v>
      </c>
      <c r="J1914" s="6">
        <f t="array" aca="1" ref="J1914:N1914" ca="1">TRANSPOSE(ols(OFFSET($C$2:$C$10,I1914,0),OFFSET($D$2:$H$10,I1914,0)))</f>
        <v>92.619047619046796</v>
      </c>
      <c r="K1914" s="6">
        <f ca="1"/>
        <v>6.0714285714286689</v>
      </c>
      <c r="L1914" s="6">
        <f ca="1"/>
        <v>-12.380952380953204</v>
      </c>
      <c r="M1914" s="6">
        <f ca="1"/>
        <v>21.190476190476375</v>
      </c>
      <c r="N1914" s="6">
        <f ca="1"/>
        <v>-0.10952380952381091</v>
      </c>
      <c r="O1914" s="6">
        <f t="shared" ca="1" si="272"/>
        <v>74.047619047617246</v>
      </c>
      <c r="P1914" t="str">
        <f t="shared" si="273"/>
        <v>NA</v>
      </c>
      <c r="Q1914" s="10">
        <f t="shared" ca="1" si="274"/>
        <v>63.095238095236148</v>
      </c>
      <c r="R1914" s="10">
        <f t="shared" ca="1" si="275"/>
        <v>101.42857142856997</v>
      </c>
      <c r="S1914" s="10">
        <f t="shared" ca="1" si="276"/>
        <v>-38.333333333333819</v>
      </c>
      <c r="T1914" s="10">
        <f t="shared" ca="1" si="277"/>
        <v>350</v>
      </c>
      <c r="U1914" s="10">
        <f t="shared" ca="1" si="278"/>
        <v>350</v>
      </c>
      <c r="V1914">
        <f t="shared" si="279"/>
        <v>6</v>
      </c>
    </row>
    <row r="1915" spans="1:22" x14ac:dyDescent="0.25">
      <c r="A1915">
        <v>213</v>
      </c>
      <c r="B1915">
        <v>6</v>
      </c>
      <c r="C1915">
        <v>60</v>
      </c>
      <c r="D1915">
        <v>1</v>
      </c>
      <c r="E1915">
        <v>0</v>
      </c>
      <c r="F1915">
        <v>1</v>
      </c>
      <c r="G1915">
        <v>1</v>
      </c>
      <c r="H1915">
        <v>350</v>
      </c>
      <c r="I1915">
        <f t="shared" si="280"/>
        <v>1908</v>
      </c>
      <c r="J1915" s="6">
        <f t="array" aca="1" ref="J1915:N1915" ca="1">TRANSPOSE(ols(OFFSET($C$2:$C$10,I1915,0),OFFSET($D$2:$H$10,I1915,0)))</f>
        <v>92.619047619046796</v>
      </c>
      <c r="K1915" s="6">
        <f ca="1"/>
        <v>6.0714285714286689</v>
      </c>
      <c r="L1915" s="6">
        <f ca="1"/>
        <v>-12.380952380953204</v>
      </c>
      <c r="M1915" s="6">
        <f ca="1"/>
        <v>21.190476190476375</v>
      </c>
      <c r="N1915" s="6">
        <f ca="1"/>
        <v>-0.10952380952381091</v>
      </c>
      <c r="O1915" s="6">
        <f t="shared" ca="1" si="272"/>
        <v>63.095238095236148</v>
      </c>
      <c r="P1915">
        <f t="shared" ca="1" si="273"/>
        <v>63.095238095236148</v>
      </c>
      <c r="Q1915" s="10">
        <f t="shared" ca="1" si="274"/>
        <v>63.095238095236148</v>
      </c>
      <c r="R1915" s="10">
        <f t="shared" ca="1" si="275"/>
        <v>101.42857142856997</v>
      </c>
      <c r="S1915" s="10">
        <f t="shared" ca="1" si="276"/>
        <v>-38.333333333333819</v>
      </c>
      <c r="T1915" s="10">
        <f t="shared" ca="1" si="277"/>
        <v>350</v>
      </c>
      <c r="U1915" s="10">
        <f t="shared" ca="1" si="278"/>
        <v>350</v>
      </c>
      <c r="V1915">
        <f t="shared" si="279"/>
        <v>6</v>
      </c>
    </row>
    <row r="1916" spans="1:22" x14ac:dyDescent="0.25">
      <c r="A1916">
        <v>213</v>
      </c>
      <c r="B1916">
        <v>7</v>
      </c>
      <c r="C1916">
        <v>80</v>
      </c>
      <c r="D1916">
        <v>1</v>
      </c>
      <c r="E1916">
        <v>1</v>
      </c>
      <c r="F1916">
        <v>0</v>
      </c>
      <c r="G1916">
        <v>1</v>
      </c>
      <c r="H1916">
        <v>450</v>
      </c>
      <c r="I1916">
        <f t="shared" si="280"/>
        <v>1908</v>
      </c>
      <c r="J1916" s="6">
        <f t="array" aca="1" ref="J1916:N1916" ca="1">TRANSPOSE(ols(OFFSET($C$2:$C$10,I1916,0),OFFSET($D$2:$H$10,I1916,0)))</f>
        <v>92.619047619046796</v>
      </c>
      <c r="K1916" s="6">
        <f ca="1"/>
        <v>6.0714285714286689</v>
      </c>
      <c r="L1916" s="6">
        <f ca="1"/>
        <v>-12.380952380953204</v>
      </c>
      <c r="M1916" s="6">
        <f ca="1"/>
        <v>21.190476190476375</v>
      </c>
      <c r="N1916" s="6">
        <f ca="1"/>
        <v>-0.10952380952381091</v>
      </c>
      <c r="O1916" s="6">
        <f t="shared" ca="1" si="272"/>
        <v>70.595238095236937</v>
      </c>
      <c r="P1916" t="str">
        <f t="shared" si="273"/>
        <v>NA</v>
      </c>
      <c r="Q1916" s="10">
        <f t="shared" ca="1" si="274"/>
        <v>63.095238095236148</v>
      </c>
      <c r="R1916" s="10">
        <f t="shared" ca="1" si="275"/>
        <v>119.88095238095184</v>
      </c>
      <c r="S1916" s="10">
        <f t="shared" ca="1" si="276"/>
        <v>-56.785714285715692</v>
      </c>
      <c r="T1916" s="10">
        <f t="shared" ca="1" si="277"/>
        <v>518.4782608695715</v>
      </c>
      <c r="U1916" s="10">
        <f t="shared" ca="1" si="278"/>
        <v>518.4782608695715</v>
      </c>
      <c r="V1916">
        <f t="shared" si="279"/>
        <v>5</v>
      </c>
    </row>
    <row r="1917" spans="1:22" x14ac:dyDescent="0.25">
      <c r="A1917">
        <v>213</v>
      </c>
      <c r="B1917">
        <v>8</v>
      </c>
      <c r="C1917">
        <v>70</v>
      </c>
      <c r="D1917">
        <v>1</v>
      </c>
      <c r="E1917">
        <v>1</v>
      </c>
      <c r="F1917">
        <v>0</v>
      </c>
      <c r="G1917">
        <v>1</v>
      </c>
      <c r="H1917">
        <v>550</v>
      </c>
      <c r="I1917">
        <f t="shared" si="280"/>
        <v>1908</v>
      </c>
      <c r="J1917" s="6">
        <f t="array" aca="1" ref="J1917:N1917" ca="1">TRANSPOSE(ols(OFFSET($C$2:$C$10,I1917,0),OFFSET($D$2:$H$10,I1917,0)))</f>
        <v>92.619047619046796</v>
      </c>
      <c r="K1917" s="6">
        <f ca="1"/>
        <v>6.0714285714286689</v>
      </c>
      <c r="L1917" s="6">
        <f ca="1"/>
        <v>-12.380952380953204</v>
      </c>
      <c r="M1917" s="6">
        <f ca="1"/>
        <v>21.190476190476375</v>
      </c>
      <c r="N1917" s="6">
        <f ca="1"/>
        <v>-0.10952380952381091</v>
      </c>
      <c r="O1917" s="6">
        <f t="shared" ca="1" si="272"/>
        <v>59.642857142855839</v>
      </c>
      <c r="P1917" t="str">
        <f t="shared" si="273"/>
        <v>NA</v>
      </c>
      <c r="Q1917" s="10">
        <f t="shared" ca="1" si="274"/>
        <v>63.095238095236148</v>
      </c>
      <c r="R1917" s="10">
        <f t="shared" ca="1" si="275"/>
        <v>119.88095238095184</v>
      </c>
      <c r="S1917" s="10">
        <f t="shared" ca="1" si="276"/>
        <v>-56.785714285715692</v>
      </c>
      <c r="T1917" s="10">
        <f t="shared" ca="1" si="277"/>
        <v>518.4782608695715</v>
      </c>
      <c r="U1917" s="10">
        <f t="shared" ca="1" si="278"/>
        <v>518.4782608695715</v>
      </c>
      <c r="V1917">
        <f t="shared" si="279"/>
        <v>5</v>
      </c>
    </row>
    <row r="1918" spans="1:22" x14ac:dyDescent="0.25">
      <c r="A1918">
        <v>213</v>
      </c>
      <c r="B1918">
        <v>9</v>
      </c>
      <c r="C1918">
        <v>30</v>
      </c>
      <c r="D1918">
        <v>1</v>
      </c>
      <c r="E1918">
        <v>0</v>
      </c>
      <c r="F1918">
        <v>0</v>
      </c>
      <c r="G1918">
        <v>1</v>
      </c>
      <c r="H1918">
        <v>650</v>
      </c>
      <c r="I1918">
        <f t="shared" si="280"/>
        <v>1908</v>
      </c>
      <c r="J1918" s="6">
        <f t="array" aca="1" ref="J1918:N1918" ca="1">TRANSPOSE(ols(OFFSET($C$2:$C$10,I1918,0),OFFSET($D$2:$H$10,I1918,0)))</f>
        <v>92.619047619046796</v>
      </c>
      <c r="K1918" s="6">
        <f ca="1"/>
        <v>6.0714285714286689</v>
      </c>
      <c r="L1918" s="6">
        <f ca="1"/>
        <v>-12.380952380953204</v>
      </c>
      <c r="M1918" s="6">
        <f ca="1"/>
        <v>21.190476190476375</v>
      </c>
      <c r="N1918" s="6">
        <f ca="1"/>
        <v>-0.10952380952381091</v>
      </c>
      <c r="O1918" s="6">
        <f t="shared" ca="1" si="272"/>
        <v>42.619047619046086</v>
      </c>
      <c r="P1918" t="str">
        <f t="shared" si="273"/>
        <v>NA</v>
      </c>
      <c r="Q1918" s="10">
        <f t="shared" ca="1" si="274"/>
        <v>63.095238095236148</v>
      </c>
      <c r="R1918" s="10">
        <f t="shared" ca="1" si="275"/>
        <v>113.80952380952317</v>
      </c>
      <c r="S1918" s="10">
        <f t="shared" ca="1" si="276"/>
        <v>-50.714285714287023</v>
      </c>
      <c r="T1918" s="10">
        <f t="shared" ca="1" si="277"/>
        <v>463.04347826087564</v>
      </c>
      <c r="U1918" s="10">
        <f t="shared" ca="1" si="278"/>
        <v>463.04347826087564</v>
      </c>
      <c r="V1918">
        <f t="shared" si="279"/>
        <v>4</v>
      </c>
    </row>
    <row r="1919" spans="1:22" x14ac:dyDescent="0.25">
      <c r="A1919">
        <v>214</v>
      </c>
      <c r="B1919">
        <v>1</v>
      </c>
      <c r="C1919">
        <v>45</v>
      </c>
      <c r="D1919">
        <v>1</v>
      </c>
      <c r="E1919">
        <v>0</v>
      </c>
      <c r="F1919">
        <v>1</v>
      </c>
      <c r="G1919">
        <v>0</v>
      </c>
      <c r="H1919">
        <v>250</v>
      </c>
      <c r="I1919">
        <f t="shared" si="280"/>
        <v>1917</v>
      </c>
      <c r="J1919" s="6">
        <f t="array" aca="1" ref="J1919:N1919" ca="1">TRANSPOSE(ols(OFFSET($C$2:$C$10,I1919,0),OFFSET($D$2:$H$10,I1919,0)))</f>
        <v>87.619047619045887</v>
      </c>
      <c r="K1919" s="6">
        <f ca="1"/>
        <v>-6.4285714285712174</v>
      </c>
      <c r="L1919" s="6">
        <f ca="1"/>
        <v>-12.38095238095184</v>
      </c>
      <c r="M1919" s="6">
        <f ca="1"/>
        <v>-8.8095238095237391</v>
      </c>
      <c r="N1919" s="6">
        <f ca="1"/>
        <v>-0.10952380952380913</v>
      </c>
      <c r="O1919" s="6">
        <f t="shared" ca="1" si="272"/>
        <v>47.857142857141767</v>
      </c>
      <c r="P1919" t="str">
        <f t="shared" si="273"/>
        <v>NA</v>
      </c>
      <c r="Q1919" s="10">
        <f t="shared" ca="1" si="274"/>
        <v>28.095238095237107</v>
      </c>
      <c r="R1919" s="10">
        <f t="shared" ca="1" si="275"/>
        <v>75.238095238094047</v>
      </c>
      <c r="S1919" s="10">
        <f t="shared" ca="1" si="276"/>
        <v>-47.14285714285694</v>
      </c>
      <c r="T1919" s="10">
        <f t="shared" ca="1" si="277"/>
        <v>430.43478260869534</v>
      </c>
      <c r="U1919" s="10">
        <f t="shared" ca="1" si="278"/>
        <v>430.43478260869534</v>
      </c>
      <c r="V1919">
        <f t="shared" si="279"/>
        <v>3</v>
      </c>
    </row>
    <row r="1920" spans="1:22" x14ac:dyDescent="0.25">
      <c r="A1920">
        <v>214</v>
      </c>
      <c r="B1920">
        <v>2</v>
      </c>
      <c r="C1920">
        <v>45</v>
      </c>
      <c r="D1920">
        <v>1</v>
      </c>
      <c r="E1920">
        <v>1</v>
      </c>
      <c r="F1920">
        <v>0</v>
      </c>
      <c r="G1920">
        <v>0</v>
      </c>
      <c r="H1920">
        <v>350</v>
      </c>
      <c r="I1920">
        <f t="shared" si="280"/>
        <v>1917</v>
      </c>
      <c r="J1920" s="6">
        <f t="array" aca="1" ref="J1920:N1920" ca="1">TRANSPOSE(ols(OFFSET($C$2:$C$10,I1920,0),OFFSET($D$2:$H$10,I1920,0)))</f>
        <v>87.619047619045887</v>
      </c>
      <c r="K1920" s="6">
        <f ca="1"/>
        <v>-6.4285714285712174</v>
      </c>
      <c r="L1920" s="6">
        <f ca="1"/>
        <v>-12.38095238095184</v>
      </c>
      <c r="M1920" s="6">
        <f ca="1"/>
        <v>-8.8095238095237391</v>
      </c>
      <c r="N1920" s="6">
        <f ca="1"/>
        <v>-0.10952380952380913</v>
      </c>
      <c r="O1920" s="6">
        <f t="shared" ca="1" si="272"/>
        <v>42.857142857141469</v>
      </c>
      <c r="P1920" t="str">
        <f t="shared" si="273"/>
        <v>NA</v>
      </c>
      <c r="Q1920" s="10">
        <f t="shared" ca="1" si="274"/>
        <v>28.095238095237107</v>
      </c>
      <c r="R1920" s="10">
        <f t="shared" ca="1" si="275"/>
        <v>81.190476190474669</v>
      </c>
      <c r="S1920" s="10">
        <f t="shared" ca="1" si="276"/>
        <v>-53.095238095237562</v>
      </c>
      <c r="T1920" s="10">
        <f t="shared" ca="1" si="277"/>
        <v>484.782608695649</v>
      </c>
      <c r="U1920" s="10">
        <f t="shared" ca="1" si="278"/>
        <v>484.782608695649</v>
      </c>
      <c r="V1920">
        <f t="shared" si="279"/>
        <v>2</v>
      </c>
    </row>
    <row r="1921" spans="1:22" x14ac:dyDescent="0.25">
      <c r="A1921">
        <v>214</v>
      </c>
      <c r="B1921">
        <v>3</v>
      </c>
      <c r="C1921">
        <v>35</v>
      </c>
      <c r="D1921">
        <v>1</v>
      </c>
      <c r="E1921">
        <v>1</v>
      </c>
      <c r="F1921">
        <v>0</v>
      </c>
      <c r="G1921">
        <v>0</v>
      </c>
      <c r="H1921">
        <v>450</v>
      </c>
      <c r="I1921">
        <f t="shared" si="280"/>
        <v>1917</v>
      </c>
      <c r="J1921" s="6">
        <f t="array" aca="1" ref="J1921:N1921" ca="1">TRANSPOSE(ols(OFFSET($C$2:$C$10,I1921,0),OFFSET($D$2:$H$10,I1921,0)))</f>
        <v>87.619047619045887</v>
      </c>
      <c r="K1921" s="6">
        <f ca="1"/>
        <v>-6.4285714285712174</v>
      </c>
      <c r="L1921" s="6">
        <f ca="1"/>
        <v>-12.38095238095184</v>
      </c>
      <c r="M1921" s="6">
        <f ca="1"/>
        <v>-8.8095238095237391</v>
      </c>
      <c r="N1921" s="6">
        <f ca="1"/>
        <v>-0.10952380952380913</v>
      </c>
      <c r="O1921" s="6">
        <f t="shared" ca="1" si="272"/>
        <v>31.904761904760562</v>
      </c>
      <c r="P1921" t="str">
        <f t="shared" si="273"/>
        <v>NA</v>
      </c>
      <c r="Q1921" s="10">
        <f t="shared" ca="1" si="274"/>
        <v>28.095238095237107</v>
      </c>
      <c r="R1921" s="10">
        <f t="shared" ca="1" si="275"/>
        <v>81.190476190474669</v>
      </c>
      <c r="S1921" s="10">
        <f t="shared" ca="1" si="276"/>
        <v>-53.095238095237562</v>
      </c>
      <c r="T1921" s="10">
        <f t="shared" ca="1" si="277"/>
        <v>484.782608695649</v>
      </c>
      <c r="U1921" s="10">
        <f t="shared" ca="1" si="278"/>
        <v>484.782608695649</v>
      </c>
      <c r="V1921">
        <f t="shared" si="279"/>
        <v>2</v>
      </c>
    </row>
    <row r="1922" spans="1:22" x14ac:dyDescent="0.25">
      <c r="A1922">
        <v>214</v>
      </c>
      <c r="B1922">
        <v>4</v>
      </c>
      <c r="C1922">
        <v>25</v>
      </c>
      <c r="D1922">
        <v>1</v>
      </c>
      <c r="E1922">
        <v>0</v>
      </c>
      <c r="F1922">
        <v>0</v>
      </c>
      <c r="G1922">
        <v>0</v>
      </c>
      <c r="H1922">
        <v>550</v>
      </c>
      <c r="I1922">
        <f t="shared" si="280"/>
        <v>1917</v>
      </c>
      <c r="J1922" s="6">
        <f t="array" aca="1" ref="J1922:N1922" ca="1">TRANSPOSE(ols(OFFSET($C$2:$C$10,I1922,0),OFFSET($D$2:$H$10,I1922,0)))</f>
        <v>87.619047619045887</v>
      </c>
      <c r="K1922" s="6">
        <f ca="1"/>
        <v>-6.4285714285712174</v>
      </c>
      <c r="L1922" s="6">
        <f ca="1"/>
        <v>-12.38095238095184</v>
      </c>
      <c r="M1922" s="6">
        <f ca="1"/>
        <v>-8.8095238095237391</v>
      </c>
      <c r="N1922" s="6">
        <f ca="1"/>
        <v>-0.10952380952380913</v>
      </c>
      <c r="O1922" s="6">
        <f t="shared" ca="1" si="272"/>
        <v>27.380952380950859</v>
      </c>
      <c r="P1922" t="str">
        <f t="shared" si="273"/>
        <v>NA</v>
      </c>
      <c r="Q1922" s="10">
        <f t="shared" ca="1" si="274"/>
        <v>28.095238095237107</v>
      </c>
      <c r="R1922" s="10">
        <f t="shared" ca="1" si="275"/>
        <v>87.619047619045887</v>
      </c>
      <c r="S1922" s="10">
        <f t="shared" ca="1" si="276"/>
        <v>-59.523809523808779</v>
      </c>
      <c r="T1922" s="10">
        <f t="shared" ca="1" si="277"/>
        <v>543.47826086956036</v>
      </c>
      <c r="U1922" s="10">
        <f t="shared" ca="1" si="278"/>
        <v>543.47826086956036</v>
      </c>
      <c r="V1922">
        <f t="shared" si="279"/>
        <v>1</v>
      </c>
    </row>
    <row r="1923" spans="1:22" x14ac:dyDescent="0.25">
      <c r="A1923">
        <v>214</v>
      </c>
      <c r="B1923">
        <v>5</v>
      </c>
      <c r="C1923">
        <v>40</v>
      </c>
      <c r="D1923">
        <v>1</v>
      </c>
      <c r="E1923">
        <v>0</v>
      </c>
      <c r="F1923">
        <v>1</v>
      </c>
      <c r="G1923">
        <v>1</v>
      </c>
      <c r="H1923">
        <v>250</v>
      </c>
      <c r="I1923">
        <f t="shared" si="280"/>
        <v>1917</v>
      </c>
      <c r="J1923" s="6">
        <f t="array" aca="1" ref="J1923:N1923" ca="1">TRANSPOSE(ols(OFFSET($C$2:$C$10,I1923,0),OFFSET($D$2:$H$10,I1923,0)))</f>
        <v>87.619047619045887</v>
      </c>
      <c r="K1923" s="6">
        <f ca="1"/>
        <v>-6.4285714285712174</v>
      </c>
      <c r="L1923" s="6">
        <f ca="1"/>
        <v>-12.38095238095184</v>
      </c>
      <c r="M1923" s="6">
        <f ca="1"/>
        <v>-8.8095238095237391</v>
      </c>
      <c r="N1923" s="6">
        <f ca="1"/>
        <v>-0.10952380952380913</v>
      </c>
      <c r="O1923" s="6">
        <f t="shared" ref="O1923:O1986" ca="1" si="281">SUMPRODUCT(J1923:N1923,D1923:H1923)</f>
        <v>39.047619047618028</v>
      </c>
      <c r="P1923" t="str">
        <f t="shared" ref="P1923:P1986" si="282">IF(AND(F1923=1,G1923=1,H1923=350),O1923,"NA")</f>
        <v>NA</v>
      </c>
      <c r="Q1923" s="10">
        <f t="shared" ref="Q1923:Q1986" ca="1" si="283">AVERAGEIF($A$2:$A$5383,A1923,$P$2:$P$5383)</f>
        <v>28.095238095237107</v>
      </c>
      <c r="R1923" s="10">
        <f t="shared" ref="R1923:R1986" ca="1" si="284">O1923-N1923*H1923</f>
        <v>66.428571428570308</v>
      </c>
      <c r="S1923" s="10">
        <f t="shared" ref="S1923:S1986" ca="1" si="285">Q1923-R1923</f>
        <v>-38.333333333333201</v>
      </c>
      <c r="T1923" s="10">
        <f t="shared" ref="T1923:T1986" ca="1" si="286">S1923/N1923</f>
        <v>350.00000000000006</v>
      </c>
      <c r="U1923" s="10">
        <f t="shared" ref="U1923:U1986" ca="1" si="287">IF(OR(T1923&lt;250,T1923&gt;650),"OR",T1923)</f>
        <v>350.00000000000006</v>
      </c>
      <c r="V1923">
        <f t="shared" ref="V1923:V1986" si="288">IF(AND(E1923=1,G1923=0),2,IF(AND(F1923=1,G1923=0),3,IF(AND(E1923=1,G1923=1),5,IF(AND(F1923=1,G1923=1),6,IF(G1923=0,1,IF(G1923=1,4))))))</f>
        <v>6</v>
      </c>
    </row>
    <row r="1924" spans="1:22" x14ac:dyDescent="0.25">
      <c r="A1924">
        <v>214</v>
      </c>
      <c r="B1924">
        <v>6</v>
      </c>
      <c r="C1924">
        <v>30</v>
      </c>
      <c r="D1924">
        <v>1</v>
      </c>
      <c r="E1924">
        <v>0</v>
      </c>
      <c r="F1924">
        <v>1</v>
      </c>
      <c r="G1924">
        <v>1</v>
      </c>
      <c r="H1924">
        <v>350</v>
      </c>
      <c r="I1924">
        <f t="shared" si="280"/>
        <v>1917</v>
      </c>
      <c r="J1924" s="6">
        <f t="array" aca="1" ref="J1924:N1924" ca="1">TRANSPOSE(ols(OFFSET($C$2:$C$10,I1924,0),OFFSET($D$2:$H$10,I1924,0)))</f>
        <v>87.619047619045887</v>
      </c>
      <c r="K1924" s="6">
        <f ca="1"/>
        <v>-6.4285714285712174</v>
      </c>
      <c r="L1924" s="6">
        <f ca="1"/>
        <v>-12.38095238095184</v>
      </c>
      <c r="M1924" s="6">
        <f ca="1"/>
        <v>-8.8095238095237391</v>
      </c>
      <c r="N1924" s="6">
        <f ca="1"/>
        <v>-0.10952380952380913</v>
      </c>
      <c r="O1924" s="6">
        <f t="shared" ca="1" si="281"/>
        <v>28.095238095237107</v>
      </c>
      <c r="P1924">
        <f t="shared" ca="1" si="282"/>
        <v>28.095238095237107</v>
      </c>
      <c r="Q1924" s="10">
        <f t="shared" ca="1" si="283"/>
        <v>28.095238095237107</v>
      </c>
      <c r="R1924" s="10">
        <f t="shared" ca="1" si="284"/>
        <v>66.428571428570308</v>
      </c>
      <c r="S1924" s="10">
        <f t="shared" ca="1" si="285"/>
        <v>-38.333333333333201</v>
      </c>
      <c r="T1924" s="10">
        <f t="shared" ca="1" si="286"/>
        <v>350.00000000000006</v>
      </c>
      <c r="U1924" s="10">
        <f t="shared" ca="1" si="287"/>
        <v>350.00000000000006</v>
      </c>
      <c r="V1924">
        <f t="shared" si="288"/>
        <v>6</v>
      </c>
    </row>
    <row r="1925" spans="1:22" x14ac:dyDescent="0.25">
      <c r="A1925">
        <v>214</v>
      </c>
      <c r="B1925">
        <v>7</v>
      </c>
      <c r="C1925">
        <v>20</v>
      </c>
      <c r="D1925">
        <v>1</v>
      </c>
      <c r="E1925">
        <v>1</v>
      </c>
      <c r="F1925">
        <v>0</v>
      </c>
      <c r="G1925">
        <v>1</v>
      </c>
      <c r="H1925">
        <v>450</v>
      </c>
      <c r="I1925">
        <f t="shared" si="280"/>
        <v>1917</v>
      </c>
      <c r="J1925" s="6">
        <f t="array" aca="1" ref="J1925:N1925" ca="1">TRANSPOSE(ols(OFFSET($C$2:$C$10,I1925,0),OFFSET($D$2:$H$10,I1925,0)))</f>
        <v>87.619047619045887</v>
      </c>
      <c r="K1925" s="6">
        <f ca="1"/>
        <v>-6.4285714285712174</v>
      </c>
      <c r="L1925" s="6">
        <f ca="1"/>
        <v>-12.38095238095184</v>
      </c>
      <c r="M1925" s="6">
        <f ca="1"/>
        <v>-8.8095238095237391</v>
      </c>
      <c r="N1925" s="6">
        <f ca="1"/>
        <v>-0.10952380952380913</v>
      </c>
      <c r="O1925" s="6">
        <f t="shared" ca="1" si="281"/>
        <v>23.095238095236823</v>
      </c>
      <c r="P1925" t="str">
        <f t="shared" si="282"/>
        <v>NA</v>
      </c>
      <c r="Q1925" s="10">
        <f t="shared" ca="1" si="283"/>
        <v>28.095238095237107</v>
      </c>
      <c r="R1925" s="10">
        <f t="shared" ca="1" si="284"/>
        <v>72.38095238095093</v>
      </c>
      <c r="S1925" s="10">
        <f t="shared" ca="1" si="285"/>
        <v>-44.285714285713823</v>
      </c>
      <c r="T1925" s="10">
        <f t="shared" ca="1" si="286"/>
        <v>404.34782608695372</v>
      </c>
      <c r="U1925" s="10">
        <f t="shared" ca="1" si="287"/>
        <v>404.34782608695372</v>
      </c>
      <c r="V1925">
        <f t="shared" si="288"/>
        <v>5</v>
      </c>
    </row>
    <row r="1926" spans="1:22" x14ac:dyDescent="0.25">
      <c r="A1926">
        <v>214</v>
      </c>
      <c r="B1926">
        <v>8</v>
      </c>
      <c r="C1926">
        <v>10</v>
      </c>
      <c r="D1926">
        <v>1</v>
      </c>
      <c r="E1926">
        <v>1</v>
      </c>
      <c r="F1926">
        <v>0</v>
      </c>
      <c r="G1926">
        <v>1</v>
      </c>
      <c r="H1926">
        <v>550</v>
      </c>
      <c r="I1926">
        <f t="shared" si="280"/>
        <v>1917</v>
      </c>
      <c r="J1926" s="6">
        <f t="array" aca="1" ref="J1926:N1926" ca="1">TRANSPOSE(ols(OFFSET($C$2:$C$10,I1926,0),OFFSET($D$2:$H$10,I1926,0)))</f>
        <v>87.619047619045887</v>
      </c>
      <c r="K1926" s="6">
        <f ca="1"/>
        <v>-6.4285714285712174</v>
      </c>
      <c r="L1926" s="6">
        <f ca="1"/>
        <v>-12.38095238095184</v>
      </c>
      <c r="M1926" s="6">
        <f ca="1"/>
        <v>-8.8095238095237391</v>
      </c>
      <c r="N1926" s="6">
        <f ca="1"/>
        <v>-0.10952380952380913</v>
      </c>
      <c r="O1926" s="6">
        <f t="shared" ca="1" si="281"/>
        <v>12.142857142855902</v>
      </c>
      <c r="P1926" t="str">
        <f t="shared" si="282"/>
        <v>NA</v>
      </c>
      <c r="Q1926" s="10">
        <f t="shared" ca="1" si="283"/>
        <v>28.095238095237107</v>
      </c>
      <c r="R1926" s="10">
        <f t="shared" ca="1" si="284"/>
        <v>72.38095238095093</v>
      </c>
      <c r="S1926" s="10">
        <f t="shared" ca="1" si="285"/>
        <v>-44.285714285713823</v>
      </c>
      <c r="T1926" s="10">
        <f t="shared" ca="1" si="286"/>
        <v>404.34782608695372</v>
      </c>
      <c r="U1926" s="10">
        <f t="shared" ca="1" si="287"/>
        <v>404.34782608695372</v>
      </c>
      <c r="V1926">
        <f t="shared" si="288"/>
        <v>5</v>
      </c>
    </row>
    <row r="1927" spans="1:22" x14ac:dyDescent="0.25">
      <c r="A1927">
        <v>214</v>
      </c>
      <c r="B1927">
        <v>9</v>
      </c>
      <c r="C1927">
        <v>10</v>
      </c>
      <c r="D1927">
        <v>1</v>
      </c>
      <c r="E1927">
        <v>0</v>
      </c>
      <c r="F1927">
        <v>0</v>
      </c>
      <c r="G1927">
        <v>1</v>
      </c>
      <c r="H1927">
        <v>650</v>
      </c>
      <c r="I1927">
        <f t="shared" si="280"/>
        <v>1917</v>
      </c>
      <c r="J1927" s="6">
        <f t="array" aca="1" ref="J1927:N1927" ca="1">TRANSPOSE(ols(OFFSET($C$2:$C$10,I1927,0),OFFSET($D$2:$H$10,I1927,0)))</f>
        <v>87.619047619045887</v>
      </c>
      <c r="K1927" s="6">
        <f ca="1"/>
        <v>-6.4285714285712174</v>
      </c>
      <c r="L1927" s="6">
        <f ca="1"/>
        <v>-12.38095238095184</v>
      </c>
      <c r="M1927" s="6">
        <f ca="1"/>
        <v>-8.8095238095237391</v>
      </c>
      <c r="N1927" s="6">
        <f ca="1"/>
        <v>-0.10952380952380913</v>
      </c>
      <c r="O1927" s="6">
        <f t="shared" ca="1" si="281"/>
        <v>7.6190476190462135</v>
      </c>
      <c r="P1927" t="str">
        <f t="shared" si="282"/>
        <v>NA</v>
      </c>
      <c r="Q1927" s="10">
        <f t="shared" ca="1" si="283"/>
        <v>28.095238095237107</v>
      </c>
      <c r="R1927" s="10">
        <f t="shared" ca="1" si="284"/>
        <v>78.809523809522148</v>
      </c>
      <c r="S1927" s="10">
        <f t="shared" ca="1" si="285"/>
        <v>-50.71428571428504</v>
      </c>
      <c r="T1927" s="10">
        <f t="shared" ca="1" si="286"/>
        <v>463.04347826086507</v>
      </c>
      <c r="U1927" s="10">
        <f t="shared" ca="1" si="287"/>
        <v>463.04347826086507</v>
      </c>
      <c r="V1927">
        <f t="shared" si="288"/>
        <v>4</v>
      </c>
    </row>
    <row r="1928" spans="1:22" x14ac:dyDescent="0.25">
      <c r="A1928">
        <v>215</v>
      </c>
      <c r="B1928">
        <v>1</v>
      </c>
      <c r="C1928">
        <v>25</v>
      </c>
      <c r="D1928">
        <v>1</v>
      </c>
      <c r="E1928">
        <v>0</v>
      </c>
      <c r="F1928">
        <v>1</v>
      </c>
      <c r="G1928">
        <v>0</v>
      </c>
      <c r="H1928">
        <v>250</v>
      </c>
      <c r="I1928">
        <f t="shared" si="280"/>
        <v>1926</v>
      </c>
      <c r="J1928" s="6">
        <f t="array" aca="1" ref="J1928:N1928" ca="1">TRANSPOSE(ols(OFFSET($C$2:$C$10,I1928,0),OFFSET($D$2:$H$10,I1928,0)))</f>
        <v>102.14285714285552</v>
      </c>
      <c r="K1928" s="6">
        <f ca="1"/>
        <v>-13.214285714285211</v>
      </c>
      <c r="L1928" s="6">
        <f ca="1"/>
        <v>-32.857142857142208</v>
      </c>
      <c r="M1928" s="6">
        <f ca="1"/>
        <v>16.428571428571331</v>
      </c>
      <c r="N1928" s="6">
        <f ca="1"/>
        <v>-0.17142857142856993</v>
      </c>
      <c r="O1928" s="6">
        <f t="shared" ca="1" si="281"/>
        <v>26.428571428570827</v>
      </c>
      <c r="P1928" t="str">
        <f t="shared" si="282"/>
        <v>NA</v>
      </c>
      <c r="Q1928" s="10">
        <f t="shared" ca="1" si="283"/>
        <v>25.714285714285168</v>
      </c>
      <c r="R1928" s="10">
        <f t="shared" ca="1" si="284"/>
        <v>69.285714285713311</v>
      </c>
      <c r="S1928" s="10">
        <f t="shared" ca="1" si="285"/>
        <v>-43.571428571428143</v>
      </c>
      <c r="T1928" s="10">
        <f t="shared" ca="1" si="286"/>
        <v>254.1666666666664</v>
      </c>
      <c r="U1928" s="10">
        <f t="shared" ca="1" si="287"/>
        <v>254.1666666666664</v>
      </c>
      <c r="V1928">
        <f t="shared" si="288"/>
        <v>3</v>
      </c>
    </row>
    <row r="1929" spans="1:22" x14ac:dyDescent="0.25">
      <c r="A1929">
        <v>215</v>
      </c>
      <c r="B1929">
        <v>2</v>
      </c>
      <c r="C1929">
        <v>25</v>
      </c>
      <c r="D1929">
        <v>1</v>
      </c>
      <c r="E1929">
        <v>1</v>
      </c>
      <c r="F1929">
        <v>0</v>
      </c>
      <c r="G1929">
        <v>0</v>
      </c>
      <c r="H1929">
        <v>350</v>
      </c>
      <c r="I1929">
        <f t="shared" si="280"/>
        <v>1926</v>
      </c>
      <c r="J1929" s="6">
        <f t="array" aca="1" ref="J1929:N1929" ca="1">TRANSPOSE(ols(OFFSET($C$2:$C$10,I1929,0),OFFSET($D$2:$H$10,I1929,0)))</f>
        <v>102.14285714285552</v>
      </c>
      <c r="K1929" s="6">
        <f ca="1"/>
        <v>-13.214285714285211</v>
      </c>
      <c r="L1929" s="6">
        <f ca="1"/>
        <v>-32.857142857142208</v>
      </c>
      <c r="M1929" s="6">
        <f ca="1"/>
        <v>16.428571428571331</v>
      </c>
      <c r="N1929" s="6">
        <f ca="1"/>
        <v>-0.17142857142856993</v>
      </c>
      <c r="O1929" s="6">
        <f t="shared" ca="1" si="281"/>
        <v>28.928571428570834</v>
      </c>
      <c r="P1929" t="str">
        <f t="shared" si="282"/>
        <v>NA</v>
      </c>
      <c r="Q1929" s="10">
        <f t="shared" ca="1" si="283"/>
        <v>25.714285714285168</v>
      </c>
      <c r="R1929" s="10">
        <f t="shared" ca="1" si="284"/>
        <v>88.928571428570308</v>
      </c>
      <c r="S1929" s="10">
        <f t="shared" ca="1" si="285"/>
        <v>-63.21428571428514</v>
      </c>
      <c r="T1929" s="10">
        <f t="shared" ca="1" si="286"/>
        <v>368.74999999999989</v>
      </c>
      <c r="U1929" s="10">
        <f t="shared" ca="1" si="287"/>
        <v>368.74999999999989</v>
      </c>
      <c r="V1929">
        <f t="shared" si="288"/>
        <v>2</v>
      </c>
    </row>
    <row r="1930" spans="1:22" x14ac:dyDescent="0.25">
      <c r="A1930">
        <v>215</v>
      </c>
      <c r="B1930">
        <v>3</v>
      </c>
      <c r="C1930">
        <v>15</v>
      </c>
      <c r="D1930">
        <v>1</v>
      </c>
      <c r="E1930">
        <v>1</v>
      </c>
      <c r="F1930">
        <v>0</v>
      </c>
      <c r="G1930">
        <v>0</v>
      </c>
      <c r="H1930">
        <v>450</v>
      </c>
      <c r="I1930">
        <f t="shared" si="280"/>
        <v>1926</v>
      </c>
      <c r="J1930" s="6">
        <f t="array" aca="1" ref="J1930:N1930" ca="1">TRANSPOSE(ols(OFFSET($C$2:$C$10,I1930,0),OFFSET($D$2:$H$10,I1930,0)))</f>
        <v>102.14285714285552</v>
      </c>
      <c r="K1930" s="6">
        <f ca="1"/>
        <v>-13.214285714285211</v>
      </c>
      <c r="L1930" s="6">
        <f ca="1"/>
        <v>-32.857142857142208</v>
      </c>
      <c r="M1930" s="6">
        <f ca="1"/>
        <v>16.428571428571331</v>
      </c>
      <c r="N1930" s="6">
        <f ca="1"/>
        <v>-0.17142857142856993</v>
      </c>
      <c r="O1930" s="6">
        <f t="shared" ca="1" si="281"/>
        <v>11.785714285713837</v>
      </c>
      <c r="P1930" t="str">
        <f t="shared" si="282"/>
        <v>NA</v>
      </c>
      <c r="Q1930" s="10">
        <f t="shared" ca="1" si="283"/>
        <v>25.714285714285168</v>
      </c>
      <c r="R1930" s="10">
        <f t="shared" ca="1" si="284"/>
        <v>88.928571428570308</v>
      </c>
      <c r="S1930" s="10">
        <f t="shared" ca="1" si="285"/>
        <v>-63.21428571428514</v>
      </c>
      <c r="T1930" s="10">
        <f t="shared" ca="1" si="286"/>
        <v>368.74999999999989</v>
      </c>
      <c r="U1930" s="10">
        <f t="shared" ca="1" si="287"/>
        <v>368.74999999999989</v>
      </c>
      <c r="V1930">
        <f t="shared" si="288"/>
        <v>2</v>
      </c>
    </row>
    <row r="1931" spans="1:22" x14ac:dyDescent="0.25">
      <c r="A1931">
        <v>215</v>
      </c>
      <c r="B1931">
        <v>4</v>
      </c>
      <c r="C1931">
        <v>10</v>
      </c>
      <c r="D1931">
        <v>1</v>
      </c>
      <c r="E1931">
        <v>0</v>
      </c>
      <c r="F1931">
        <v>0</v>
      </c>
      <c r="G1931">
        <v>0</v>
      </c>
      <c r="H1931">
        <v>550</v>
      </c>
      <c r="I1931">
        <f t="shared" si="280"/>
        <v>1926</v>
      </c>
      <c r="J1931" s="6">
        <f t="array" aca="1" ref="J1931:N1931" ca="1">TRANSPOSE(ols(OFFSET($C$2:$C$10,I1931,0),OFFSET($D$2:$H$10,I1931,0)))</f>
        <v>102.14285714285552</v>
      </c>
      <c r="K1931" s="6">
        <f ca="1"/>
        <v>-13.214285714285211</v>
      </c>
      <c r="L1931" s="6">
        <f ca="1"/>
        <v>-32.857142857142208</v>
      </c>
      <c r="M1931" s="6">
        <f ca="1"/>
        <v>16.428571428571331</v>
      </c>
      <c r="N1931" s="6">
        <f ca="1"/>
        <v>-0.17142857142856993</v>
      </c>
      <c r="O1931" s="6">
        <f t="shared" ca="1" si="281"/>
        <v>7.8571428571420512</v>
      </c>
      <c r="P1931" t="str">
        <f t="shared" si="282"/>
        <v>NA</v>
      </c>
      <c r="Q1931" s="10">
        <f t="shared" ca="1" si="283"/>
        <v>25.714285714285168</v>
      </c>
      <c r="R1931" s="10">
        <f t="shared" ca="1" si="284"/>
        <v>102.14285714285552</v>
      </c>
      <c r="S1931" s="10">
        <f t="shared" ca="1" si="285"/>
        <v>-76.428571428570351</v>
      </c>
      <c r="T1931" s="10">
        <f t="shared" ca="1" si="286"/>
        <v>445.83333333333093</v>
      </c>
      <c r="U1931" s="10">
        <f t="shared" ca="1" si="287"/>
        <v>445.83333333333093</v>
      </c>
      <c r="V1931">
        <f t="shared" si="288"/>
        <v>1</v>
      </c>
    </row>
    <row r="1932" spans="1:22" x14ac:dyDescent="0.25">
      <c r="A1932">
        <v>215</v>
      </c>
      <c r="B1932">
        <v>5</v>
      </c>
      <c r="C1932">
        <v>45</v>
      </c>
      <c r="D1932">
        <v>1</v>
      </c>
      <c r="E1932">
        <v>0</v>
      </c>
      <c r="F1932">
        <v>1</v>
      </c>
      <c r="G1932">
        <v>1</v>
      </c>
      <c r="H1932">
        <v>250</v>
      </c>
      <c r="I1932">
        <f t="shared" ref="I1932:I1995" si="289">IF(A1932&gt;A1931,I1931+9,I1931)</f>
        <v>1926</v>
      </c>
      <c r="J1932" s="6">
        <f t="array" aca="1" ref="J1932:N1932" ca="1">TRANSPOSE(ols(OFFSET($C$2:$C$10,I1932,0),OFFSET($D$2:$H$10,I1932,0)))</f>
        <v>102.14285714285552</v>
      </c>
      <c r="K1932" s="6">
        <f ca="1"/>
        <v>-13.214285714285211</v>
      </c>
      <c r="L1932" s="6">
        <f ca="1"/>
        <v>-32.857142857142208</v>
      </c>
      <c r="M1932" s="6">
        <f ca="1"/>
        <v>16.428571428571331</v>
      </c>
      <c r="N1932" s="6">
        <f ca="1"/>
        <v>-0.17142857142856993</v>
      </c>
      <c r="O1932" s="6">
        <f t="shared" ca="1" si="281"/>
        <v>42.857142857142158</v>
      </c>
      <c r="P1932" t="str">
        <f t="shared" si="282"/>
        <v>NA</v>
      </c>
      <c r="Q1932" s="10">
        <f t="shared" ca="1" si="283"/>
        <v>25.714285714285168</v>
      </c>
      <c r="R1932" s="10">
        <f t="shared" ca="1" si="284"/>
        <v>85.714285714284642</v>
      </c>
      <c r="S1932" s="10">
        <f t="shared" ca="1" si="285"/>
        <v>-59.999999999999474</v>
      </c>
      <c r="T1932" s="10">
        <f t="shared" ca="1" si="286"/>
        <v>350</v>
      </c>
      <c r="U1932" s="10">
        <f t="shared" ca="1" si="287"/>
        <v>350</v>
      </c>
      <c r="V1932">
        <f t="shared" si="288"/>
        <v>6</v>
      </c>
    </row>
    <row r="1933" spans="1:22" x14ac:dyDescent="0.25">
      <c r="A1933">
        <v>215</v>
      </c>
      <c r="B1933">
        <v>6</v>
      </c>
      <c r="C1933">
        <v>25</v>
      </c>
      <c r="D1933">
        <v>1</v>
      </c>
      <c r="E1933">
        <v>0</v>
      </c>
      <c r="F1933">
        <v>1</v>
      </c>
      <c r="G1933">
        <v>1</v>
      </c>
      <c r="H1933">
        <v>350</v>
      </c>
      <c r="I1933">
        <f t="shared" si="289"/>
        <v>1926</v>
      </c>
      <c r="J1933" s="6">
        <f t="array" aca="1" ref="J1933:N1933" ca="1">TRANSPOSE(ols(OFFSET($C$2:$C$10,I1933,0),OFFSET($D$2:$H$10,I1933,0)))</f>
        <v>102.14285714285552</v>
      </c>
      <c r="K1933" s="6">
        <f ca="1"/>
        <v>-13.214285714285211</v>
      </c>
      <c r="L1933" s="6">
        <f ca="1"/>
        <v>-32.857142857142208</v>
      </c>
      <c r="M1933" s="6">
        <f ca="1"/>
        <v>16.428571428571331</v>
      </c>
      <c r="N1933" s="6">
        <f ca="1"/>
        <v>-0.17142857142856993</v>
      </c>
      <c r="O1933" s="6">
        <f t="shared" ca="1" si="281"/>
        <v>25.714285714285168</v>
      </c>
      <c r="P1933">
        <f t="shared" ca="1" si="282"/>
        <v>25.714285714285168</v>
      </c>
      <c r="Q1933" s="10">
        <f t="shared" ca="1" si="283"/>
        <v>25.714285714285168</v>
      </c>
      <c r="R1933" s="10">
        <f t="shared" ca="1" si="284"/>
        <v>85.714285714284642</v>
      </c>
      <c r="S1933" s="10">
        <f t="shared" ca="1" si="285"/>
        <v>-59.999999999999474</v>
      </c>
      <c r="T1933" s="10">
        <f t="shared" ca="1" si="286"/>
        <v>350</v>
      </c>
      <c r="U1933" s="10">
        <f t="shared" ca="1" si="287"/>
        <v>350</v>
      </c>
      <c r="V1933">
        <f t="shared" si="288"/>
        <v>6</v>
      </c>
    </row>
    <row r="1934" spans="1:22" x14ac:dyDescent="0.25">
      <c r="A1934">
        <v>215</v>
      </c>
      <c r="B1934">
        <v>7</v>
      </c>
      <c r="C1934">
        <v>30</v>
      </c>
      <c r="D1934">
        <v>1</v>
      </c>
      <c r="E1934">
        <v>1</v>
      </c>
      <c r="F1934">
        <v>0</v>
      </c>
      <c r="G1934">
        <v>1</v>
      </c>
      <c r="H1934">
        <v>450</v>
      </c>
      <c r="I1934">
        <f t="shared" si="289"/>
        <v>1926</v>
      </c>
      <c r="J1934" s="6">
        <f t="array" aca="1" ref="J1934:N1934" ca="1">TRANSPOSE(ols(OFFSET($C$2:$C$10,I1934,0),OFFSET($D$2:$H$10,I1934,0)))</f>
        <v>102.14285714285552</v>
      </c>
      <c r="K1934" s="6">
        <f ca="1"/>
        <v>-13.214285714285211</v>
      </c>
      <c r="L1934" s="6">
        <f ca="1"/>
        <v>-32.857142857142208</v>
      </c>
      <c r="M1934" s="6">
        <f ca="1"/>
        <v>16.428571428571331</v>
      </c>
      <c r="N1934" s="6">
        <f ca="1"/>
        <v>-0.17142857142856993</v>
      </c>
      <c r="O1934" s="6">
        <f t="shared" ca="1" si="281"/>
        <v>28.214285714285168</v>
      </c>
      <c r="P1934" t="str">
        <f t="shared" si="282"/>
        <v>NA</v>
      </c>
      <c r="Q1934" s="10">
        <f t="shared" ca="1" si="283"/>
        <v>25.714285714285168</v>
      </c>
      <c r="R1934" s="10">
        <f t="shared" ca="1" si="284"/>
        <v>105.35714285714164</v>
      </c>
      <c r="S1934" s="10">
        <f t="shared" ca="1" si="285"/>
        <v>-79.642857142856471</v>
      </c>
      <c r="T1934" s="10">
        <f t="shared" ca="1" si="286"/>
        <v>464.58333333333348</v>
      </c>
      <c r="U1934" s="10">
        <f t="shared" ca="1" si="287"/>
        <v>464.58333333333348</v>
      </c>
      <c r="V1934">
        <f t="shared" si="288"/>
        <v>5</v>
      </c>
    </row>
    <row r="1935" spans="1:22" x14ac:dyDescent="0.25">
      <c r="A1935">
        <v>215</v>
      </c>
      <c r="B1935">
        <v>8</v>
      </c>
      <c r="C1935">
        <v>10</v>
      </c>
      <c r="D1935">
        <v>1</v>
      </c>
      <c r="E1935">
        <v>1</v>
      </c>
      <c r="F1935">
        <v>0</v>
      </c>
      <c r="G1935">
        <v>1</v>
      </c>
      <c r="H1935">
        <v>550</v>
      </c>
      <c r="I1935">
        <f t="shared" si="289"/>
        <v>1926</v>
      </c>
      <c r="J1935" s="6">
        <f t="array" aca="1" ref="J1935:N1935" ca="1">TRANSPOSE(ols(OFFSET($C$2:$C$10,I1935,0),OFFSET($D$2:$H$10,I1935,0)))</f>
        <v>102.14285714285552</v>
      </c>
      <c r="K1935" s="6">
        <f ca="1"/>
        <v>-13.214285714285211</v>
      </c>
      <c r="L1935" s="6">
        <f ca="1"/>
        <v>-32.857142857142208</v>
      </c>
      <c r="M1935" s="6">
        <f ca="1"/>
        <v>16.428571428571331</v>
      </c>
      <c r="N1935" s="6">
        <f ca="1"/>
        <v>-0.17142857142856993</v>
      </c>
      <c r="O1935" s="6">
        <f t="shared" ca="1" si="281"/>
        <v>11.071428571428171</v>
      </c>
      <c r="P1935" t="str">
        <f t="shared" si="282"/>
        <v>NA</v>
      </c>
      <c r="Q1935" s="10">
        <f t="shared" ca="1" si="283"/>
        <v>25.714285714285168</v>
      </c>
      <c r="R1935" s="10">
        <f t="shared" ca="1" si="284"/>
        <v>105.35714285714164</v>
      </c>
      <c r="S1935" s="10">
        <f t="shared" ca="1" si="285"/>
        <v>-79.642857142856471</v>
      </c>
      <c r="T1935" s="10">
        <f t="shared" ca="1" si="286"/>
        <v>464.58333333333348</v>
      </c>
      <c r="U1935" s="10">
        <f t="shared" ca="1" si="287"/>
        <v>464.58333333333348</v>
      </c>
      <c r="V1935">
        <f t="shared" si="288"/>
        <v>5</v>
      </c>
    </row>
    <row r="1936" spans="1:22" x14ac:dyDescent="0.25">
      <c r="A1936">
        <v>215</v>
      </c>
      <c r="B1936">
        <v>9</v>
      </c>
      <c r="C1936">
        <v>5</v>
      </c>
      <c r="D1936">
        <v>1</v>
      </c>
      <c r="E1936">
        <v>0</v>
      </c>
      <c r="F1936">
        <v>0</v>
      </c>
      <c r="G1936">
        <v>1</v>
      </c>
      <c r="H1936">
        <v>650</v>
      </c>
      <c r="I1936">
        <f t="shared" si="289"/>
        <v>1926</v>
      </c>
      <c r="J1936" s="6">
        <f t="array" aca="1" ref="J1936:N1936" ca="1">TRANSPOSE(ols(OFFSET($C$2:$C$10,I1936,0),OFFSET($D$2:$H$10,I1936,0)))</f>
        <v>102.14285714285552</v>
      </c>
      <c r="K1936" s="6">
        <f ca="1"/>
        <v>-13.214285714285211</v>
      </c>
      <c r="L1936" s="6">
        <f ca="1"/>
        <v>-32.857142857142208</v>
      </c>
      <c r="M1936" s="6">
        <f ca="1"/>
        <v>16.428571428571331</v>
      </c>
      <c r="N1936" s="6">
        <f ca="1"/>
        <v>-0.17142857142856993</v>
      </c>
      <c r="O1936" s="6">
        <f t="shared" ca="1" si="281"/>
        <v>7.1428571428563998</v>
      </c>
      <c r="P1936" t="str">
        <f t="shared" si="282"/>
        <v>NA</v>
      </c>
      <c r="Q1936" s="10">
        <f t="shared" ca="1" si="283"/>
        <v>25.714285714285168</v>
      </c>
      <c r="R1936" s="10">
        <f t="shared" ca="1" si="284"/>
        <v>118.57142857142685</v>
      </c>
      <c r="S1936" s="10">
        <f t="shared" ca="1" si="285"/>
        <v>-92.857142857141682</v>
      </c>
      <c r="T1936" s="10">
        <f t="shared" ca="1" si="286"/>
        <v>541.66666666666458</v>
      </c>
      <c r="U1936" s="10">
        <f t="shared" ca="1" si="287"/>
        <v>541.66666666666458</v>
      </c>
      <c r="V1936">
        <f t="shared" si="288"/>
        <v>4</v>
      </c>
    </row>
    <row r="1937" spans="1:22" x14ac:dyDescent="0.25">
      <c r="A1937">
        <v>216</v>
      </c>
      <c r="B1937">
        <v>1</v>
      </c>
      <c r="C1937">
        <v>60</v>
      </c>
      <c r="D1937">
        <v>1</v>
      </c>
      <c r="E1937">
        <v>0</v>
      </c>
      <c r="F1937">
        <v>1</v>
      </c>
      <c r="G1937">
        <v>0</v>
      </c>
      <c r="H1937">
        <v>250</v>
      </c>
      <c r="I1937">
        <f t="shared" si="289"/>
        <v>1935</v>
      </c>
      <c r="J1937" s="6">
        <f t="array" aca="1" ref="J1937:N1937" ca="1">TRANSPOSE(ols(OFFSET($C$2:$C$10,I1937,0),OFFSET($D$2:$H$10,I1937,0)))</f>
        <v>94.940476190474328</v>
      </c>
      <c r="K1937" s="6">
        <f ca="1"/>
        <v>-4.2857142857142208</v>
      </c>
      <c r="L1937" s="6">
        <f ca="1"/>
        <v>-11.309523809523853</v>
      </c>
      <c r="M1937" s="6">
        <f ca="1"/>
        <v>-3.0952380952378462</v>
      </c>
      <c r="N1937" s="6">
        <f ca="1"/>
        <v>-0.12023809523809437</v>
      </c>
      <c r="O1937" s="6">
        <f t="shared" ca="1" si="281"/>
        <v>53.571428571426885</v>
      </c>
      <c r="P1937" t="str">
        <f t="shared" si="282"/>
        <v>NA</v>
      </c>
      <c r="Q1937" s="10">
        <f t="shared" ca="1" si="283"/>
        <v>38.452380952379599</v>
      </c>
      <c r="R1937" s="10">
        <f t="shared" ca="1" si="284"/>
        <v>83.630952380950475</v>
      </c>
      <c r="S1937" s="10">
        <f t="shared" ca="1" si="285"/>
        <v>-45.178571428570876</v>
      </c>
      <c r="T1937" s="10">
        <f t="shared" ca="1" si="286"/>
        <v>375.74257425742388</v>
      </c>
      <c r="U1937" s="10">
        <f t="shared" ca="1" si="287"/>
        <v>375.74257425742388</v>
      </c>
      <c r="V1937">
        <f t="shared" si="288"/>
        <v>3</v>
      </c>
    </row>
    <row r="1938" spans="1:22" x14ac:dyDescent="0.25">
      <c r="A1938">
        <v>216</v>
      </c>
      <c r="B1938">
        <v>2</v>
      </c>
      <c r="C1938">
        <v>50</v>
      </c>
      <c r="D1938">
        <v>1</v>
      </c>
      <c r="E1938">
        <v>1</v>
      </c>
      <c r="F1938">
        <v>0</v>
      </c>
      <c r="G1938">
        <v>0</v>
      </c>
      <c r="H1938">
        <v>350</v>
      </c>
      <c r="I1938">
        <f t="shared" si="289"/>
        <v>1935</v>
      </c>
      <c r="J1938" s="6">
        <f t="array" aca="1" ref="J1938:N1938" ca="1">TRANSPOSE(ols(OFFSET($C$2:$C$10,I1938,0),OFFSET($D$2:$H$10,I1938,0)))</f>
        <v>94.940476190474328</v>
      </c>
      <c r="K1938" s="6">
        <f ca="1"/>
        <v>-4.2857142857142208</v>
      </c>
      <c r="L1938" s="6">
        <f ca="1"/>
        <v>-11.309523809523853</v>
      </c>
      <c r="M1938" s="6">
        <f ca="1"/>
        <v>-3.0952380952378462</v>
      </c>
      <c r="N1938" s="6">
        <f ca="1"/>
        <v>-0.12023809523809437</v>
      </c>
      <c r="O1938" s="6">
        <f t="shared" ca="1" si="281"/>
        <v>48.571428571427077</v>
      </c>
      <c r="P1938" t="str">
        <f t="shared" si="282"/>
        <v>NA</v>
      </c>
      <c r="Q1938" s="10">
        <f t="shared" ca="1" si="283"/>
        <v>38.452380952379599</v>
      </c>
      <c r="R1938" s="10">
        <f t="shared" ca="1" si="284"/>
        <v>90.654761904760107</v>
      </c>
      <c r="S1938" s="10">
        <f t="shared" ca="1" si="285"/>
        <v>-52.202380952380508</v>
      </c>
      <c r="T1938" s="10">
        <f t="shared" ca="1" si="286"/>
        <v>434.15841584158363</v>
      </c>
      <c r="U1938" s="10">
        <f t="shared" ca="1" si="287"/>
        <v>434.15841584158363</v>
      </c>
      <c r="V1938">
        <f t="shared" si="288"/>
        <v>2</v>
      </c>
    </row>
    <row r="1939" spans="1:22" x14ac:dyDescent="0.25">
      <c r="A1939">
        <v>216</v>
      </c>
      <c r="B1939">
        <v>3</v>
      </c>
      <c r="C1939">
        <v>30</v>
      </c>
      <c r="D1939">
        <v>1</v>
      </c>
      <c r="E1939">
        <v>1</v>
      </c>
      <c r="F1939">
        <v>0</v>
      </c>
      <c r="G1939">
        <v>0</v>
      </c>
      <c r="H1939">
        <v>450</v>
      </c>
      <c r="I1939">
        <f t="shared" si="289"/>
        <v>1935</v>
      </c>
      <c r="J1939" s="6">
        <f t="array" aca="1" ref="J1939:N1939" ca="1">TRANSPOSE(ols(OFFSET($C$2:$C$10,I1939,0),OFFSET($D$2:$H$10,I1939,0)))</f>
        <v>94.940476190474328</v>
      </c>
      <c r="K1939" s="6">
        <f ca="1"/>
        <v>-4.2857142857142208</v>
      </c>
      <c r="L1939" s="6">
        <f ca="1"/>
        <v>-11.309523809523853</v>
      </c>
      <c r="M1939" s="6">
        <f ca="1"/>
        <v>-3.0952380952378462</v>
      </c>
      <c r="N1939" s="6">
        <f ca="1"/>
        <v>-0.12023809523809437</v>
      </c>
      <c r="O1939" s="6">
        <f t="shared" ca="1" si="281"/>
        <v>36.547619047617644</v>
      </c>
      <c r="P1939" t="str">
        <f t="shared" si="282"/>
        <v>NA</v>
      </c>
      <c r="Q1939" s="10">
        <f t="shared" ca="1" si="283"/>
        <v>38.452380952379599</v>
      </c>
      <c r="R1939" s="10">
        <f t="shared" ca="1" si="284"/>
        <v>90.654761904760107</v>
      </c>
      <c r="S1939" s="10">
        <f t="shared" ca="1" si="285"/>
        <v>-52.202380952380508</v>
      </c>
      <c r="T1939" s="10">
        <f t="shared" ca="1" si="286"/>
        <v>434.15841584158363</v>
      </c>
      <c r="U1939" s="10">
        <f t="shared" ca="1" si="287"/>
        <v>434.15841584158363</v>
      </c>
      <c r="V1939">
        <f t="shared" si="288"/>
        <v>2</v>
      </c>
    </row>
    <row r="1940" spans="1:22" x14ac:dyDescent="0.25">
      <c r="A1940">
        <v>216</v>
      </c>
      <c r="B1940">
        <v>4</v>
      </c>
      <c r="C1940">
        <v>27.5</v>
      </c>
      <c r="D1940">
        <v>1</v>
      </c>
      <c r="E1940">
        <v>0</v>
      </c>
      <c r="F1940">
        <v>0</v>
      </c>
      <c r="G1940">
        <v>0</v>
      </c>
      <c r="H1940">
        <v>550</v>
      </c>
      <c r="I1940">
        <f t="shared" si="289"/>
        <v>1935</v>
      </c>
      <c r="J1940" s="6">
        <f t="array" aca="1" ref="J1940:N1940" ca="1">TRANSPOSE(ols(OFFSET($C$2:$C$10,I1940,0),OFFSET($D$2:$H$10,I1940,0)))</f>
        <v>94.940476190474328</v>
      </c>
      <c r="K1940" s="6">
        <f ca="1"/>
        <v>-4.2857142857142208</v>
      </c>
      <c r="L1940" s="6">
        <f ca="1"/>
        <v>-11.309523809523853</v>
      </c>
      <c r="M1940" s="6">
        <f ca="1"/>
        <v>-3.0952380952378462</v>
      </c>
      <c r="N1940" s="6">
        <f ca="1"/>
        <v>-0.12023809523809437</v>
      </c>
      <c r="O1940" s="6">
        <f t="shared" ca="1" si="281"/>
        <v>28.809523809522432</v>
      </c>
      <c r="P1940" t="str">
        <f t="shared" si="282"/>
        <v>NA</v>
      </c>
      <c r="Q1940" s="10">
        <f t="shared" ca="1" si="283"/>
        <v>38.452380952379599</v>
      </c>
      <c r="R1940" s="10">
        <f t="shared" ca="1" si="284"/>
        <v>94.940476190474328</v>
      </c>
      <c r="S1940" s="10">
        <f t="shared" ca="1" si="285"/>
        <v>-56.488095238094729</v>
      </c>
      <c r="T1940" s="10">
        <f t="shared" ca="1" si="286"/>
        <v>469.80198019801895</v>
      </c>
      <c r="U1940" s="10">
        <f t="shared" ca="1" si="287"/>
        <v>469.80198019801895</v>
      </c>
      <c r="V1940">
        <f t="shared" si="288"/>
        <v>1</v>
      </c>
    </row>
    <row r="1941" spans="1:22" x14ac:dyDescent="0.25">
      <c r="A1941">
        <v>216</v>
      </c>
      <c r="B1941">
        <v>5</v>
      </c>
      <c r="C1941">
        <v>42.5</v>
      </c>
      <c r="D1941">
        <v>1</v>
      </c>
      <c r="E1941">
        <v>0</v>
      </c>
      <c r="F1941">
        <v>1</v>
      </c>
      <c r="G1941">
        <v>1</v>
      </c>
      <c r="H1941">
        <v>250</v>
      </c>
      <c r="I1941">
        <f t="shared" si="289"/>
        <v>1935</v>
      </c>
      <c r="J1941" s="6">
        <f t="array" aca="1" ref="J1941:N1941" ca="1">TRANSPOSE(ols(OFFSET($C$2:$C$10,I1941,0),OFFSET($D$2:$H$10,I1941,0)))</f>
        <v>94.940476190474328</v>
      </c>
      <c r="K1941" s="6">
        <f ca="1"/>
        <v>-4.2857142857142208</v>
      </c>
      <c r="L1941" s="6">
        <f ca="1"/>
        <v>-11.309523809523853</v>
      </c>
      <c r="M1941" s="6">
        <f ca="1"/>
        <v>-3.0952380952378462</v>
      </c>
      <c r="N1941" s="6">
        <f ca="1"/>
        <v>-0.12023809523809437</v>
      </c>
      <c r="O1941" s="6">
        <f t="shared" ca="1" si="281"/>
        <v>50.476190476189039</v>
      </c>
      <c r="P1941" t="str">
        <f t="shared" si="282"/>
        <v>NA</v>
      </c>
      <c r="Q1941" s="10">
        <f t="shared" ca="1" si="283"/>
        <v>38.452380952379599</v>
      </c>
      <c r="R1941" s="10">
        <f t="shared" ca="1" si="284"/>
        <v>80.535714285712629</v>
      </c>
      <c r="S1941" s="10">
        <f t="shared" ca="1" si="285"/>
        <v>-42.08333333333303</v>
      </c>
      <c r="T1941" s="10">
        <f t="shared" ca="1" si="286"/>
        <v>350</v>
      </c>
      <c r="U1941" s="10">
        <f t="shared" ca="1" si="287"/>
        <v>350</v>
      </c>
      <c r="V1941">
        <f t="shared" si="288"/>
        <v>6</v>
      </c>
    </row>
    <row r="1942" spans="1:22" x14ac:dyDescent="0.25">
      <c r="A1942">
        <v>216</v>
      </c>
      <c r="B1942">
        <v>6</v>
      </c>
      <c r="C1942">
        <v>40</v>
      </c>
      <c r="D1942">
        <v>1</v>
      </c>
      <c r="E1942">
        <v>0</v>
      </c>
      <c r="F1942">
        <v>1</v>
      </c>
      <c r="G1942">
        <v>1</v>
      </c>
      <c r="H1942">
        <v>350</v>
      </c>
      <c r="I1942">
        <f t="shared" si="289"/>
        <v>1935</v>
      </c>
      <c r="J1942" s="6">
        <f t="array" aca="1" ref="J1942:N1942" ca="1">TRANSPOSE(ols(OFFSET($C$2:$C$10,I1942,0),OFFSET($D$2:$H$10,I1942,0)))</f>
        <v>94.940476190474328</v>
      </c>
      <c r="K1942" s="6">
        <f ca="1"/>
        <v>-4.2857142857142208</v>
      </c>
      <c r="L1942" s="6">
        <f ca="1"/>
        <v>-11.309523809523853</v>
      </c>
      <c r="M1942" s="6">
        <f ca="1"/>
        <v>-3.0952380952378462</v>
      </c>
      <c r="N1942" s="6">
        <f ca="1"/>
        <v>-0.12023809523809437</v>
      </c>
      <c r="O1942" s="6">
        <f t="shared" ca="1" si="281"/>
        <v>38.452380952379599</v>
      </c>
      <c r="P1942">
        <f t="shared" ca="1" si="282"/>
        <v>38.452380952379599</v>
      </c>
      <c r="Q1942" s="10">
        <f t="shared" ca="1" si="283"/>
        <v>38.452380952379599</v>
      </c>
      <c r="R1942" s="10">
        <f t="shared" ca="1" si="284"/>
        <v>80.535714285712629</v>
      </c>
      <c r="S1942" s="10">
        <f t="shared" ca="1" si="285"/>
        <v>-42.08333333333303</v>
      </c>
      <c r="T1942" s="10">
        <f t="shared" ca="1" si="286"/>
        <v>350</v>
      </c>
      <c r="U1942" s="10">
        <f t="shared" ca="1" si="287"/>
        <v>350</v>
      </c>
      <c r="V1942">
        <f t="shared" si="288"/>
        <v>6</v>
      </c>
    </row>
    <row r="1943" spans="1:22" x14ac:dyDescent="0.25">
      <c r="A1943">
        <v>216</v>
      </c>
      <c r="B1943">
        <v>7</v>
      </c>
      <c r="C1943">
        <v>40</v>
      </c>
      <c r="D1943">
        <v>1</v>
      </c>
      <c r="E1943">
        <v>1</v>
      </c>
      <c r="F1943">
        <v>0</v>
      </c>
      <c r="G1943">
        <v>1</v>
      </c>
      <c r="H1943">
        <v>450</v>
      </c>
      <c r="I1943">
        <f t="shared" si="289"/>
        <v>1935</v>
      </c>
      <c r="J1943" s="6">
        <f t="array" aca="1" ref="J1943:N1943" ca="1">TRANSPOSE(ols(OFFSET($C$2:$C$10,I1943,0),OFFSET($D$2:$H$10,I1943,0)))</f>
        <v>94.940476190474328</v>
      </c>
      <c r="K1943" s="6">
        <f ca="1"/>
        <v>-4.2857142857142208</v>
      </c>
      <c r="L1943" s="6">
        <f ca="1"/>
        <v>-11.309523809523853</v>
      </c>
      <c r="M1943" s="6">
        <f ca="1"/>
        <v>-3.0952380952378462</v>
      </c>
      <c r="N1943" s="6">
        <f ca="1"/>
        <v>-0.12023809523809437</v>
      </c>
      <c r="O1943" s="6">
        <f t="shared" ca="1" si="281"/>
        <v>33.452380952379798</v>
      </c>
      <c r="P1943" t="str">
        <f t="shared" si="282"/>
        <v>NA</v>
      </c>
      <c r="Q1943" s="10">
        <f t="shared" ca="1" si="283"/>
        <v>38.452380952379599</v>
      </c>
      <c r="R1943" s="10">
        <f t="shared" ca="1" si="284"/>
        <v>87.559523809522261</v>
      </c>
      <c r="S1943" s="10">
        <f t="shared" ca="1" si="285"/>
        <v>-49.107142857142662</v>
      </c>
      <c r="T1943" s="10">
        <f t="shared" ca="1" si="286"/>
        <v>408.41584158415975</v>
      </c>
      <c r="U1943" s="10">
        <f t="shared" ca="1" si="287"/>
        <v>408.41584158415975</v>
      </c>
      <c r="V1943">
        <f t="shared" si="288"/>
        <v>5</v>
      </c>
    </row>
    <row r="1944" spans="1:22" x14ac:dyDescent="0.25">
      <c r="A1944">
        <v>216</v>
      </c>
      <c r="B1944">
        <v>8</v>
      </c>
      <c r="C1944">
        <v>20</v>
      </c>
      <c r="D1944">
        <v>1</v>
      </c>
      <c r="E1944">
        <v>1</v>
      </c>
      <c r="F1944">
        <v>0</v>
      </c>
      <c r="G1944">
        <v>1</v>
      </c>
      <c r="H1944">
        <v>550</v>
      </c>
      <c r="I1944">
        <f t="shared" si="289"/>
        <v>1935</v>
      </c>
      <c r="J1944" s="6">
        <f t="array" aca="1" ref="J1944:N1944" ca="1">TRANSPOSE(ols(OFFSET($C$2:$C$10,I1944,0),OFFSET($D$2:$H$10,I1944,0)))</f>
        <v>94.940476190474328</v>
      </c>
      <c r="K1944" s="6">
        <f ca="1"/>
        <v>-4.2857142857142208</v>
      </c>
      <c r="L1944" s="6">
        <f ca="1"/>
        <v>-11.309523809523853</v>
      </c>
      <c r="M1944" s="6">
        <f ca="1"/>
        <v>-3.0952380952378462</v>
      </c>
      <c r="N1944" s="6">
        <f ca="1"/>
        <v>-0.12023809523809437</v>
      </c>
      <c r="O1944" s="6">
        <f t="shared" ca="1" si="281"/>
        <v>21.428571428570365</v>
      </c>
      <c r="P1944" t="str">
        <f t="shared" si="282"/>
        <v>NA</v>
      </c>
      <c r="Q1944" s="10">
        <f t="shared" ca="1" si="283"/>
        <v>38.452380952379599</v>
      </c>
      <c r="R1944" s="10">
        <f t="shared" ca="1" si="284"/>
        <v>87.559523809522261</v>
      </c>
      <c r="S1944" s="10">
        <f t="shared" ca="1" si="285"/>
        <v>-49.107142857142662</v>
      </c>
      <c r="T1944" s="10">
        <f t="shared" ca="1" si="286"/>
        <v>408.41584158415975</v>
      </c>
      <c r="U1944" s="10">
        <f t="shared" ca="1" si="287"/>
        <v>408.41584158415975</v>
      </c>
      <c r="V1944">
        <f t="shared" si="288"/>
        <v>5</v>
      </c>
    </row>
    <row r="1945" spans="1:22" x14ac:dyDescent="0.25">
      <c r="A1945">
        <v>216</v>
      </c>
      <c r="B1945">
        <v>9</v>
      </c>
      <c r="C1945">
        <v>15</v>
      </c>
      <c r="D1945">
        <v>1</v>
      </c>
      <c r="E1945">
        <v>0</v>
      </c>
      <c r="F1945">
        <v>0</v>
      </c>
      <c r="G1945">
        <v>1</v>
      </c>
      <c r="H1945">
        <v>650</v>
      </c>
      <c r="I1945">
        <f t="shared" si="289"/>
        <v>1935</v>
      </c>
      <c r="J1945" s="6">
        <f t="array" aca="1" ref="J1945:N1945" ca="1">TRANSPOSE(ols(OFFSET($C$2:$C$10,I1945,0),OFFSET($D$2:$H$10,I1945,0)))</f>
        <v>94.940476190474328</v>
      </c>
      <c r="K1945" s="6">
        <f ca="1"/>
        <v>-4.2857142857142208</v>
      </c>
      <c r="L1945" s="6">
        <f ca="1"/>
        <v>-11.309523809523853</v>
      </c>
      <c r="M1945" s="6">
        <f ca="1"/>
        <v>-3.0952380952378462</v>
      </c>
      <c r="N1945" s="6">
        <f ca="1"/>
        <v>-0.12023809523809437</v>
      </c>
      <c r="O1945" s="6">
        <f t="shared" ca="1" si="281"/>
        <v>13.690476190475138</v>
      </c>
      <c r="P1945" t="str">
        <f t="shared" si="282"/>
        <v>NA</v>
      </c>
      <c r="Q1945" s="10">
        <f t="shared" ca="1" si="283"/>
        <v>38.452380952379599</v>
      </c>
      <c r="R1945" s="10">
        <f t="shared" ca="1" si="284"/>
        <v>91.845238095236482</v>
      </c>
      <c r="S1945" s="10">
        <f t="shared" ca="1" si="285"/>
        <v>-53.392857142856883</v>
      </c>
      <c r="T1945" s="10">
        <f t="shared" ca="1" si="286"/>
        <v>444.05940594059513</v>
      </c>
      <c r="U1945" s="10">
        <f t="shared" ca="1" si="287"/>
        <v>444.05940594059513</v>
      </c>
      <c r="V1945">
        <f t="shared" si="288"/>
        <v>4</v>
      </c>
    </row>
    <row r="1946" spans="1:22" x14ac:dyDescent="0.25">
      <c r="A1946">
        <v>217</v>
      </c>
      <c r="B1946">
        <v>1</v>
      </c>
      <c r="C1946">
        <v>45</v>
      </c>
      <c r="D1946">
        <v>1</v>
      </c>
      <c r="E1946">
        <v>0</v>
      </c>
      <c r="F1946">
        <v>1</v>
      </c>
      <c r="G1946">
        <v>0</v>
      </c>
      <c r="H1946">
        <v>250</v>
      </c>
      <c r="I1946">
        <f t="shared" si="289"/>
        <v>1944</v>
      </c>
      <c r="J1946" s="6">
        <f t="array" aca="1" ref="J1946:N1946" ca="1">TRANSPOSE(ols(OFFSET($C$2:$C$10,I1946,0),OFFSET($D$2:$H$10,I1946,0)))</f>
        <v>63.30357142856974</v>
      </c>
      <c r="K1946" s="6">
        <f ca="1"/>
        <v>10.35714285714289</v>
      </c>
      <c r="L1946" s="6">
        <f ca="1"/>
        <v>-3.5714285714288962</v>
      </c>
      <c r="M1946" s="6">
        <f ca="1"/>
        <v>5.5357142857144481</v>
      </c>
      <c r="N1946" s="6">
        <f ca="1"/>
        <v>-7.6785714285716011E-2</v>
      </c>
      <c r="O1946" s="6">
        <f t="shared" ca="1" si="281"/>
        <v>40.53571428571184</v>
      </c>
      <c r="P1946" t="str">
        <f t="shared" si="282"/>
        <v>NA</v>
      </c>
      <c r="Q1946" s="10">
        <f t="shared" ca="1" si="283"/>
        <v>38.392857142854687</v>
      </c>
      <c r="R1946" s="10">
        <f t="shared" ca="1" si="284"/>
        <v>59.732142857140843</v>
      </c>
      <c r="S1946" s="10">
        <f t="shared" ca="1" si="285"/>
        <v>-21.339285714286156</v>
      </c>
      <c r="T1946" s="10">
        <f t="shared" ca="1" si="286"/>
        <v>277.90697674418556</v>
      </c>
      <c r="U1946" s="10">
        <f t="shared" ca="1" si="287"/>
        <v>277.90697674418556</v>
      </c>
      <c r="V1946">
        <f t="shared" si="288"/>
        <v>3</v>
      </c>
    </row>
    <row r="1947" spans="1:22" x14ac:dyDescent="0.25">
      <c r="A1947">
        <v>217</v>
      </c>
      <c r="B1947">
        <v>2</v>
      </c>
      <c r="C1947">
        <v>50</v>
      </c>
      <c r="D1947">
        <v>1</v>
      </c>
      <c r="E1947">
        <v>1</v>
      </c>
      <c r="F1947">
        <v>0</v>
      </c>
      <c r="G1947">
        <v>0</v>
      </c>
      <c r="H1947">
        <v>350</v>
      </c>
      <c r="I1947">
        <f t="shared" si="289"/>
        <v>1944</v>
      </c>
      <c r="J1947" s="6">
        <f t="array" aca="1" ref="J1947:N1947" ca="1">TRANSPOSE(ols(OFFSET($C$2:$C$10,I1947,0),OFFSET($D$2:$H$10,I1947,0)))</f>
        <v>63.30357142856974</v>
      </c>
      <c r="K1947" s="6">
        <f ca="1"/>
        <v>10.35714285714289</v>
      </c>
      <c r="L1947" s="6">
        <f ca="1"/>
        <v>-3.5714285714288962</v>
      </c>
      <c r="M1947" s="6">
        <f ca="1"/>
        <v>5.5357142857144481</v>
      </c>
      <c r="N1947" s="6">
        <f ca="1"/>
        <v>-7.6785714285716011E-2</v>
      </c>
      <c r="O1947" s="6">
        <f t="shared" ca="1" si="281"/>
        <v>46.785714285712025</v>
      </c>
      <c r="P1947" t="str">
        <f t="shared" si="282"/>
        <v>NA</v>
      </c>
      <c r="Q1947" s="10">
        <f t="shared" ca="1" si="283"/>
        <v>38.392857142854687</v>
      </c>
      <c r="R1947" s="10">
        <f t="shared" ca="1" si="284"/>
        <v>73.660714285712629</v>
      </c>
      <c r="S1947" s="10">
        <f t="shared" ca="1" si="285"/>
        <v>-35.267857142857942</v>
      </c>
      <c r="T1947" s="10">
        <f t="shared" ca="1" si="286"/>
        <v>459.30232558139545</v>
      </c>
      <c r="U1947" s="10">
        <f t="shared" ca="1" si="287"/>
        <v>459.30232558139545</v>
      </c>
      <c r="V1947">
        <f t="shared" si="288"/>
        <v>2</v>
      </c>
    </row>
    <row r="1948" spans="1:22" x14ac:dyDescent="0.25">
      <c r="A1948">
        <v>217</v>
      </c>
      <c r="B1948">
        <v>3</v>
      </c>
      <c r="C1948">
        <v>37.5</v>
      </c>
      <c r="D1948">
        <v>1</v>
      </c>
      <c r="E1948">
        <v>1</v>
      </c>
      <c r="F1948">
        <v>0</v>
      </c>
      <c r="G1948">
        <v>0</v>
      </c>
      <c r="H1948">
        <v>450</v>
      </c>
      <c r="I1948">
        <f t="shared" si="289"/>
        <v>1944</v>
      </c>
      <c r="J1948" s="6">
        <f t="array" aca="1" ref="J1948:N1948" ca="1">TRANSPOSE(ols(OFFSET($C$2:$C$10,I1948,0),OFFSET($D$2:$H$10,I1948,0)))</f>
        <v>63.30357142856974</v>
      </c>
      <c r="K1948" s="6">
        <f ca="1"/>
        <v>10.35714285714289</v>
      </c>
      <c r="L1948" s="6">
        <f ca="1"/>
        <v>-3.5714285714288962</v>
      </c>
      <c r="M1948" s="6">
        <f ca="1"/>
        <v>5.5357142857144481</v>
      </c>
      <c r="N1948" s="6">
        <f ca="1"/>
        <v>-7.6785714285716011E-2</v>
      </c>
      <c r="O1948" s="6">
        <f t="shared" ca="1" si="281"/>
        <v>39.107142857140424</v>
      </c>
      <c r="P1948" t="str">
        <f t="shared" si="282"/>
        <v>NA</v>
      </c>
      <c r="Q1948" s="10">
        <f t="shared" ca="1" si="283"/>
        <v>38.392857142854687</v>
      </c>
      <c r="R1948" s="10">
        <f t="shared" ca="1" si="284"/>
        <v>73.660714285712629</v>
      </c>
      <c r="S1948" s="10">
        <f t="shared" ca="1" si="285"/>
        <v>-35.267857142857942</v>
      </c>
      <c r="T1948" s="10">
        <f t="shared" ca="1" si="286"/>
        <v>459.30232558139545</v>
      </c>
      <c r="U1948" s="10">
        <f t="shared" ca="1" si="287"/>
        <v>459.30232558139545</v>
      </c>
      <c r="V1948">
        <f t="shared" si="288"/>
        <v>2</v>
      </c>
    </row>
    <row r="1949" spans="1:22" x14ac:dyDescent="0.25">
      <c r="A1949">
        <v>217</v>
      </c>
      <c r="B1949">
        <v>4</v>
      </c>
      <c r="C1949">
        <v>15</v>
      </c>
      <c r="D1949">
        <v>1</v>
      </c>
      <c r="E1949">
        <v>0</v>
      </c>
      <c r="F1949">
        <v>0</v>
      </c>
      <c r="G1949">
        <v>0</v>
      </c>
      <c r="H1949">
        <v>550</v>
      </c>
      <c r="I1949">
        <f t="shared" si="289"/>
        <v>1944</v>
      </c>
      <c r="J1949" s="6">
        <f t="array" aca="1" ref="J1949:N1949" ca="1">TRANSPOSE(ols(OFFSET($C$2:$C$10,I1949,0),OFFSET($D$2:$H$10,I1949,0)))</f>
        <v>63.30357142856974</v>
      </c>
      <c r="K1949" s="6">
        <f ca="1"/>
        <v>10.35714285714289</v>
      </c>
      <c r="L1949" s="6">
        <f ca="1"/>
        <v>-3.5714285714288962</v>
      </c>
      <c r="M1949" s="6">
        <f ca="1"/>
        <v>5.5357142857144481</v>
      </c>
      <c r="N1949" s="6">
        <f ca="1"/>
        <v>-7.6785714285716011E-2</v>
      </c>
      <c r="O1949" s="6">
        <f t="shared" ca="1" si="281"/>
        <v>21.071428571425933</v>
      </c>
      <c r="P1949" t="str">
        <f t="shared" si="282"/>
        <v>NA</v>
      </c>
      <c r="Q1949" s="10">
        <f t="shared" ca="1" si="283"/>
        <v>38.392857142854687</v>
      </c>
      <c r="R1949" s="10">
        <f t="shared" ca="1" si="284"/>
        <v>63.30357142856974</v>
      </c>
      <c r="S1949" s="10">
        <f t="shared" ca="1" si="285"/>
        <v>-24.910714285715052</v>
      </c>
      <c r="T1949" s="10">
        <f t="shared" ca="1" si="286"/>
        <v>324.41860465116548</v>
      </c>
      <c r="U1949" s="10">
        <f t="shared" ca="1" si="287"/>
        <v>324.41860465116548</v>
      </c>
      <c r="V1949">
        <f t="shared" si="288"/>
        <v>1</v>
      </c>
    </row>
    <row r="1950" spans="1:22" x14ac:dyDescent="0.25">
      <c r="A1950">
        <v>217</v>
      </c>
      <c r="B1950">
        <v>5</v>
      </c>
      <c r="C1950">
        <v>40</v>
      </c>
      <c r="D1950">
        <v>1</v>
      </c>
      <c r="E1950">
        <v>0</v>
      </c>
      <c r="F1950">
        <v>1</v>
      </c>
      <c r="G1950">
        <v>1</v>
      </c>
      <c r="H1950">
        <v>250</v>
      </c>
      <c r="I1950">
        <f t="shared" si="289"/>
        <v>1944</v>
      </c>
      <c r="J1950" s="6">
        <f t="array" aca="1" ref="J1950:N1950" ca="1">TRANSPOSE(ols(OFFSET($C$2:$C$10,I1950,0),OFFSET($D$2:$H$10,I1950,0)))</f>
        <v>63.30357142856974</v>
      </c>
      <c r="K1950" s="6">
        <f ca="1"/>
        <v>10.35714285714289</v>
      </c>
      <c r="L1950" s="6">
        <f ca="1"/>
        <v>-3.5714285714288962</v>
      </c>
      <c r="M1950" s="6">
        <f ca="1"/>
        <v>5.5357142857144481</v>
      </c>
      <c r="N1950" s="6">
        <f ca="1"/>
        <v>-7.6785714285716011E-2</v>
      </c>
      <c r="O1950" s="6">
        <f t="shared" ca="1" si="281"/>
        <v>46.071428571426289</v>
      </c>
      <c r="P1950" t="str">
        <f t="shared" si="282"/>
        <v>NA</v>
      </c>
      <c r="Q1950" s="10">
        <f t="shared" ca="1" si="283"/>
        <v>38.392857142854687</v>
      </c>
      <c r="R1950" s="10">
        <f t="shared" ca="1" si="284"/>
        <v>65.267857142855291</v>
      </c>
      <c r="S1950" s="10">
        <f t="shared" ca="1" si="285"/>
        <v>-26.875000000000604</v>
      </c>
      <c r="T1950" s="10">
        <f t="shared" ca="1" si="286"/>
        <v>350</v>
      </c>
      <c r="U1950" s="10">
        <f t="shared" ca="1" si="287"/>
        <v>350</v>
      </c>
      <c r="V1950">
        <f t="shared" si="288"/>
        <v>6</v>
      </c>
    </row>
    <row r="1951" spans="1:22" x14ac:dyDescent="0.25">
      <c r="A1951">
        <v>217</v>
      </c>
      <c r="B1951">
        <v>6</v>
      </c>
      <c r="C1951">
        <v>40</v>
      </c>
      <c r="D1951">
        <v>1</v>
      </c>
      <c r="E1951">
        <v>0</v>
      </c>
      <c r="F1951">
        <v>1</v>
      </c>
      <c r="G1951">
        <v>1</v>
      </c>
      <c r="H1951">
        <v>350</v>
      </c>
      <c r="I1951">
        <f t="shared" si="289"/>
        <v>1944</v>
      </c>
      <c r="J1951" s="6">
        <f t="array" aca="1" ref="J1951:N1951" ca="1">TRANSPOSE(ols(OFFSET($C$2:$C$10,I1951,0),OFFSET($D$2:$H$10,I1951,0)))</f>
        <v>63.30357142856974</v>
      </c>
      <c r="K1951" s="6">
        <f ca="1"/>
        <v>10.35714285714289</v>
      </c>
      <c r="L1951" s="6">
        <f ca="1"/>
        <v>-3.5714285714288962</v>
      </c>
      <c r="M1951" s="6">
        <f ca="1"/>
        <v>5.5357142857144481</v>
      </c>
      <c r="N1951" s="6">
        <f ca="1"/>
        <v>-7.6785714285716011E-2</v>
      </c>
      <c r="O1951" s="6">
        <f t="shared" ca="1" si="281"/>
        <v>38.392857142854687</v>
      </c>
      <c r="P1951">
        <f t="shared" ca="1" si="282"/>
        <v>38.392857142854687</v>
      </c>
      <c r="Q1951" s="10">
        <f t="shared" ca="1" si="283"/>
        <v>38.392857142854687</v>
      </c>
      <c r="R1951" s="10">
        <f t="shared" ca="1" si="284"/>
        <v>65.267857142855291</v>
      </c>
      <c r="S1951" s="10">
        <f t="shared" ca="1" si="285"/>
        <v>-26.875000000000604</v>
      </c>
      <c r="T1951" s="10">
        <f t="shared" ca="1" si="286"/>
        <v>350</v>
      </c>
      <c r="U1951" s="10">
        <f t="shared" ca="1" si="287"/>
        <v>350</v>
      </c>
      <c r="V1951">
        <f t="shared" si="288"/>
        <v>6</v>
      </c>
    </row>
    <row r="1952" spans="1:22" x14ac:dyDescent="0.25">
      <c r="A1952">
        <v>217</v>
      </c>
      <c r="B1952">
        <v>7</v>
      </c>
      <c r="C1952">
        <v>47.5</v>
      </c>
      <c r="D1952">
        <v>1</v>
      </c>
      <c r="E1952">
        <v>1</v>
      </c>
      <c r="F1952">
        <v>0</v>
      </c>
      <c r="G1952">
        <v>1</v>
      </c>
      <c r="H1952">
        <v>450</v>
      </c>
      <c r="I1952">
        <f t="shared" si="289"/>
        <v>1944</v>
      </c>
      <c r="J1952" s="6">
        <f t="array" aca="1" ref="J1952:N1952" ca="1">TRANSPOSE(ols(OFFSET($C$2:$C$10,I1952,0),OFFSET($D$2:$H$10,I1952,0)))</f>
        <v>63.30357142856974</v>
      </c>
      <c r="K1952" s="6">
        <f ca="1"/>
        <v>10.35714285714289</v>
      </c>
      <c r="L1952" s="6">
        <f ca="1"/>
        <v>-3.5714285714288962</v>
      </c>
      <c r="M1952" s="6">
        <f ca="1"/>
        <v>5.5357142857144481</v>
      </c>
      <c r="N1952" s="6">
        <f ca="1"/>
        <v>-7.6785714285716011E-2</v>
      </c>
      <c r="O1952" s="6">
        <f t="shared" ca="1" si="281"/>
        <v>44.642857142854872</v>
      </c>
      <c r="P1952" t="str">
        <f t="shared" si="282"/>
        <v>NA</v>
      </c>
      <c r="Q1952" s="10">
        <f t="shared" ca="1" si="283"/>
        <v>38.392857142854687</v>
      </c>
      <c r="R1952" s="10">
        <f t="shared" ca="1" si="284"/>
        <v>79.196428571427077</v>
      </c>
      <c r="S1952" s="10">
        <f t="shared" ca="1" si="285"/>
        <v>-40.80357142857239</v>
      </c>
      <c r="T1952" s="10">
        <f t="shared" ca="1" si="286"/>
        <v>531.39534883720989</v>
      </c>
      <c r="U1952" s="10">
        <f t="shared" ca="1" si="287"/>
        <v>531.39534883720989</v>
      </c>
      <c r="V1952">
        <f t="shared" si="288"/>
        <v>5</v>
      </c>
    </row>
    <row r="1953" spans="1:22" x14ac:dyDescent="0.25">
      <c r="A1953">
        <v>217</v>
      </c>
      <c r="B1953">
        <v>8</v>
      </c>
      <c r="C1953">
        <v>32.5</v>
      </c>
      <c r="D1953">
        <v>1</v>
      </c>
      <c r="E1953">
        <v>1</v>
      </c>
      <c r="F1953">
        <v>0</v>
      </c>
      <c r="G1953">
        <v>1</v>
      </c>
      <c r="H1953">
        <v>550</v>
      </c>
      <c r="I1953">
        <f t="shared" si="289"/>
        <v>1944</v>
      </c>
      <c r="J1953" s="6">
        <f t="array" aca="1" ref="J1953:N1953" ca="1">TRANSPOSE(ols(OFFSET($C$2:$C$10,I1953,0),OFFSET($D$2:$H$10,I1953,0)))</f>
        <v>63.30357142856974</v>
      </c>
      <c r="K1953" s="6">
        <f ca="1"/>
        <v>10.35714285714289</v>
      </c>
      <c r="L1953" s="6">
        <f ca="1"/>
        <v>-3.5714285714288962</v>
      </c>
      <c r="M1953" s="6">
        <f ca="1"/>
        <v>5.5357142857144481</v>
      </c>
      <c r="N1953" s="6">
        <f ca="1"/>
        <v>-7.6785714285716011E-2</v>
      </c>
      <c r="O1953" s="6">
        <f t="shared" ca="1" si="281"/>
        <v>36.964285714283271</v>
      </c>
      <c r="P1953" t="str">
        <f t="shared" si="282"/>
        <v>NA</v>
      </c>
      <c r="Q1953" s="10">
        <f t="shared" ca="1" si="283"/>
        <v>38.392857142854687</v>
      </c>
      <c r="R1953" s="10">
        <f t="shared" ca="1" si="284"/>
        <v>79.196428571427077</v>
      </c>
      <c r="S1953" s="10">
        <f t="shared" ca="1" si="285"/>
        <v>-40.80357142857239</v>
      </c>
      <c r="T1953" s="10">
        <f t="shared" ca="1" si="286"/>
        <v>531.39534883720989</v>
      </c>
      <c r="U1953" s="10">
        <f t="shared" ca="1" si="287"/>
        <v>531.39534883720989</v>
      </c>
      <c r="V1953">
        <f t="shared" si="288"/>
        <v>5</v>
      </c>
    </row>
    <row r="1954" spans="1:22" x14ac:dyDescent="0.25">
      <c r="A1954">
        <v>217</v>
      </c>
      <c r="B1954">
        <v>9</v>
      </c>
      <c r="C1954">
        <v>25</v>
      </c>
      <c r="D1954">
        <v>1</v>
      </c>
      <c r="E1954">
        <v>0</v>
      </c>
      <c r="F1954">
        <v>0</v>
      </c>
      <c r="G1954">
        <v>1</v>
      </c>
      <c r="H1954">
        <v>650</v>
      </c>
      <c r="I1954">
        <f t="shared" si="289"/>
        <v>1944</v>
      </c>
      <c r="J1954" s="6">
        <f t="array" aca="1" ref="J1954:N1954" ca="1">TRANSPOSE(ols(OFFSET($C$2:$C$10,I1954,0),OFFSET($D$2:$H$10,I1954,0)))</f>
        <v>63.30357142856974</v>
      </c>
      <c r="K1954" s="6">
        <f ca="1"/>
        <v>10.35714285714289</v>
      </c>
      <c r="L1954" s="6">
        <f ca="1"/>
        <v>-3.5714285714288962</v>
      </c>
      <c r="M1954" s="6">
        <f ca="1"/>
        <v>5.5357142857144481</v>
      </c>
      <c r="N1954" s="6">
        <f ca="1"/>
        <v>-7.6785714285716011E-2</v>
      </c>
      <c r="O1954" s="6">
        <f t="shared" ca="1" si="281"/>
        <v>18.92857142856878</v>
      </c>
      <c r="P1954" t="str">
        <f t="shared" si="282"/>
        <v>NA</v>
      </c>
      <c r="Q1954" s="10">
        <f t="shared" ca="1" si="283"/>
        <v>38.392857142854687</v>
      </c>
      <c r="R1954" s="10">
        <f t="shared" ca="1" si="284"/>
        <v>68.839285714284188</v>
      </c>
      <c r="S1954" s="10">
        <f t="shared" ca="1" si="285"/>
        <v>-30.4464285714295</v>
      </c>
      <c r="T1954" s="10">
        <f t="shared" ca="1" si="286"/>
        <v>396.51162790697992</v>
      </c>
      <c r="U1954" s="10">
        <f t="shared" ca="1" si="287"/>
        <v>396.51162790697992</v>
      </c>
      <c r="V1954">
        <f t="shared" si="288"/>
        <v>4</v>
      </c>
    </row>
    <row r="1955" spans="1:22" x14ac:dyDescent="0.25">
      <c r="A1955">
        <v>218</v>
      </c>
      <c r="B1955">
        <v>1</v>
      </c>
      <c r="C1955">
        <v>55</v>
      </c>
      <c r="D1955">
        <v>1</v>
      </c>
      <c r="E1955">
        <v>0</v>
      </c>
      <c r="F1955">
        <v>1</v>
      </c>
      <c r="G1955">
        <v>0</v>
      </c>
      <c r="H1955">
        <v>250</v>
      </c>
      <c r="I1955">
        <f t="shared" si="289"/>
        <v>1953</v>
      </c>
      <c r="J1955" s="6">
        <f t="array" aca="1" ref="J1955:N1955" ca="1">TRANSPOSE(ols(OFFSET($C$2:$C$10,I1955,0),OFFSET($D$2:$H$10,I1955,0)))</f>
        <v>150.77380952380736</v>
      </c>
      <c r="K1955" s="6">
        <f ca="1"/>
        <v>-4.2857142857142208</v>
      </c>
      <c r="L1955" s="6">
        <f ca="1"/>
        <v>-45.476190476190823</v>
      </c>
      <c r="M1955" s="6">
        <f ca="1"/>
        <v>17.738095238095639</v>
      </c>
      <c r="N1955" s="6">
        <f ca="1"/>
        <v>-0.1369047619047663</v>
      </c>
      <c r="O1955" s="6">
        <f t="shared" ca="1" si="281"/>
        <v>71.07142857142496</v>
      </c>
      <c r="P1955" t="str">
        <f t="shared" si="282"/>
        <v>NA</v>
      </c>
      <c r="Q1955" s="10">
        <f t="shared" ca="1" si="283"/>
        <v>75.119047619043968</v>
      </c>
      <c r="R1955" s="10">
        <f t="shared" ca="1" si="284"/>
        <v>105.29761904761654</v>
      </c>
      <c r="S1955" s="10">
        <f t="shared" ca="1" si="285"/>
        <v>-30.178571428572567</v>
      </c>
      <c r="T1955" s="10">
        <f t="shared" ca="1" si="286"/>
        <v>220.43478260869688</v>
      </c>
      <c r="U1955" s="10" t="str">
        <f t="shared" ca="1" si="287"/>
        <v>OR</v>
      </c>
      <c r="V1955">
        <f t="shared" si="288"/>
        <v>3</v>
      </c>
    </row>
    <row r="1956" spans="1:22" x14ac:dyDescent="0.25">
      <c r="A1956">
        <v>218</v>
      </c>
      <c r="B1956">
        <v>2</v>
      </c>
      <c r="C1956">
        <v>100</v>
      </c>
      <c r="D1956">
        <v>1</v>
      </c>
      <c r="E1956">
        <v>1</v>
      </c>
      <c r="F1956">
        <v>0</v>
      </c>
      <c r="G1956">
        <v>0</v>
      </c>
      <c r="H1956">
        <v>350</v>
      </c>
      <c r="I1956">
        <f t="shared" si="289"/>
        <v>1953</v>
      </c>
      <c r="J1956" s="6">
        <f t="array" aca="1" ref="J1956:N1956" ca="1">TRANSPOSE(ols(OFFSET($C$2:$C$10,I1956,0),OFFSET($D$2:$H$10,I1956,0)))</f>
        <v>150.77380952380736</v>
      </c>
      <c r="K1956" s="6">
        <f ca="1"/>
        <v>-4.2857142857142208</v>
      </c>
      <c r="L1956" s="6">
        <f ca="1"/>
        <v>-45.476190476190823</v>
      </c>
      <c r="M1956" s="6">
        <f ca="1"/>
        <v>17.738095238095639</v>
      </c>
      <c r="N1956" s="6">
        <f ca="1"/>
        <v>-0.1369047619047663</v>
      </c>
      <c r="O1956" s="6">
        <f t="shared" ca="1" si="281"/>
        <v>98.571428571424931</v>
      </c>
      <c r="P1956" t="str">
        <f t="shared" si="282"/>
        <v>NA</v>
      </c>
      <c r="Q1956" s="10">
        <f t="shared" ca="1" si="283"/>
        <v>75.119047619043968</v>
      </c>
      <c r="R1956" s="10">
        <f t="shared" ca="1" si="284"/>
        <v>146.48809523809314</v>
      </c>
      <c r="S1956" s="10">
        <f t="shared" ca="1" si="285"/>
        <v>-71.369047619049169</v>
      </c>
      <c r="T1956" s="10">
        <f t="shared" ca="1" si="286"/>
        <v>521.30434782608154</v>
      </c>
      <c r="U1956" s="10">
        <f t="shared" ca="1" si="287"/>
        <v>521.30434782608154</v>
      </c>
      <c r="V1956">
        <f t="shared" si="288"/>
        <v>2</v>
      </c>
    </row>
    <row r="1957" spans="1:22" x14ac:dyDescent="0.25">
      <c r="A1957">
        <v>218</v>
      </c>
      <c r="B1957">
        <v>3</v>
      </c>
      <c r="C1957">
        <v>90</v>
      </c>
      <c r="D1957">
        <v>1</v>
      </c>
      <c r="E1957">
        <v>1</v>
      </c>
      <c r="F1957">
        <v>0</v>
      </c>
      <c r="G1957">
        <v>0</v>
      </c>
      <c r="H1957">
        <v>450</v>
      </c>
      <c r="I1957">
        <f t="shared" si="289"/>
        <v>1953</v>
      </c>
      <c r="J1957" s="6">
        <f t="array" aca="1" ref="J1957:N1957" ca="1">TRANSPOSE(ols(OFFSET($C$2:$C$10,I1957,0),OFFSET($D$2:$H$10,I1957,0)))</f>
        <v>150.77380952380736</v>
      </c>
      <c r="K1957" s="6">
        <f ca="1"/>
        <v>-4.2857142857142208</v>
      </c>
      <c r="L1957" s="6">
        <f ca="1"/>
        <v>-45.476190476190823</v>
      </c>
      <c r="M1957" s="6">
        <f ca="1"/>
        <v>17.738095238095639</v>
      </c>
      <c r="N1957" s="6">
        <f ca="1"/>
        <v>-0.1369047619047663</v>
      </c>
      <c r="O1957" s="6">
        <f t="shared" ca="1" si="281"/>
        <v>84.880952380948301</v>
      </c>
      <c r="P1957" t="str">
        <f t="shared" si="282"/>
        <v>NA</v>
      </c>
      <c r="Q1957" s="10">
        <f t="shared" ca="1" si="283"/>
        <v>75.119047619043968</v>
      </c>
      <c r="R1957" s="10">
        <f t="shared" ca="1" si="284"/>
        <v>146.48809523809314</v>
      </c>
      <c r="S1957" s="10">
        <f t="shared" ca="1" si="285"/>
        <v>-71.369047619049169</v>
      </c>
      <c r="T1957" s="10">
        <f t="shared" ca="1" si="286"/>
        <v>521.30434782608154</v>
      </c>
      <c r="U1957" s="10">
        <f t="shared" ca="1" si="287"/>
        <v>521.30434782608154</v>
      </c>
      <c r="V1957">
        <f t="shared" si="288"/>
        <v>2</v>
      </c>
    </row>
    <row r="1958" spans="1:22" x14ac:dyDescent="0.25">
      <c r="A1958">
        <v>218</v>
      </c>
      <c r="B1958">
        <v>4</v>
      </c>
      <c r="C1958">
        <v>85</v>
      </c>
      <c r="D1958">
        <v>1</v>
      </c>
      <c r="E1958">
        <v>0</v>
      </c>
      <c r="F1958">
        <v>0</v>
      </c>
      <c r="G1958">
        <v>0</v>
      </c>
      <c r="H1958">
        <v>550</v>
      </c>
      <c r="I1958">
        <f t="shared" si="289"/>
        <v>1953</v>
      </c>
      <c r="J1958" s="6">
        <f t="array" aca="1" ref="J1958:N1958" ca="1">TRANSPOSE(ols(OFFSET($C$2:$C$10,I1958,0),OFFSET($D$2:$H$10,I1958,0)))</f>
        <v>150.77380952380736</v>
      </c>
      <c r="K1958" s="6">
        <f ca="1"/>
        <v>-4.2857142857142208</v>
      </c>
      <c r="L1958" s="6">
        <f ca="1"/>
        <v>-45.476190476190823</v>
      </c>
      <c r="M1958" s="6">
        <f ca="1"/>
        <v>17.738095238095639</v>
      </c>
      <c r="N1958" s="6">
        <f ca="1"/>
        <v>-0.1369047619047663</v>
      </c>
      <c r="O1958" s="6">
        <f t="shared" ca="1" si="281"/>
        <v>75.476190476185891</v>
      </c>
      <c r="P1958" t="str">
        <f t="shared" si="282"/>
        <v>NA</v>
      </c>
      <c r="Q1958" s="10">
        <f t="shared" ca="1" si="283"/>
        <v>75.119047619043968</v>
      </c>
      <c r="R1958" s="10">
        <f t="shared" ca="1" si="284"/>
        <v>150.77380952380736</v>
      </c>
      <c r="S1958" s="10">
        <f t="shared" ca="1" si="285"/>
        <v>-75.65476190476339</v>
      </c>
      <c r="T1958" s="10">
        <f t="shared" ca="1" si="286"/>
        <v>552.60869565216706</v>
      </c>
      <c r="U1958" s="10">
        <f t="shared" ca="1" si="287"/>
        <v>552.60869565216706</v>
      </c>
      <c r="V1958">
        <f t="shared" si="288"/>
        <v>1</v>
      </c>
    </row>
    <row r="1959" spans="1:22" x14ac:dyDescent="0.25">
      <c r="A1959">
        <v>218</v>
      </c>
      <c r="B1959">
        <v>5</v>
      </c>
      <c r="C1959">
        <v>90</v>
      </c>
      <c r="D1959">
        <v>1</v>
      </c>
      <c r="E1959">
        <v>0</v>
      </c>
      <c r="F1959">
        <v>1</v>
      </c>
      <c r="G1959">
        <v>1</v>
      </c>
      <c r="H1959">
        <v>250</v>
      </c>
      <c r="I1959">
        <f t="shared" si="289"/>
        <v>1953</v>
      </c>
      <c r="J1959" s="6">
        <f t="array" aca="1" ref="J1959:N1959" ca="1">TRANSPOSE(ols(OFFSET($C$2:$C$10,I1959,0),OFFSET($D$2:$H$10,I1959,0)))</f>
        <v>150.77380952380736</v>
      </c>
      <c r="K1959" s="6">
        <f ca="1"/>
        <v>-4.2857142857142208</v>
      </c>
      <c r="L1959" s="6">
        <f ca="1"/>
        <v>-45.476190476190823</v>
      </c>
      <c r="M1959" s="6">
        <f ca="1"/>
        <v>17.738095238095639</v>
      </c>
      <c r="N1959" s="6">
        <f ca="1"/>
        <v>-0.1369047619047663</v>
      </c>
      <c r="O1959" s="6">
        <f t="shared" ca="1" si="281"/>
        <v>88.809523809520599</v>
      </c>
      <c r="P1959" t="str">
        <f t="shared" si="282"/>
        <v>NA</v>
      </c>
      <c r="Q1959" s="10">
        <f t="shared" ca="1" si="283"/>
        <v>75.119047619043968</v>
      </c>
      <c r="R1959" s="10">
        <f t="shared" ca="1" si="284"/>
        <v>123.03571428571217</v>
      </c>
      <c r="S1959" s="10">
        <f t="shared" ca="1" si="285"/>
        <v>-47.916666666668206</v>
      </c>
      <c r="T1959" s="10">
        <f t="shared" ca="1" si="286"/>
        <v>350</v>
      </c>
      <c r="U1959" s="10">
        <f t="shared" ca="1" si="287"/>
        <v>350</v>
      </c>
      <c r="V1959">
        <f t="shared" si="288"/>
        <v>6</v>
      </c>
    </row>
    <row r="1960" spans="1:22" x14ac:dyDescent="0.25">
      <c r="A1960">
        <v>218</v>
      </c>
      <c r="B1960">
        <v>6</v>
      </c>
      <c r="C1960">
        <v>90</v>
      </c>
      <c r="D1960">
        <v>1</v>
      </c>
      <c r="E1960">
        <v>0</v>
      </c>
      <c r="F1960">
        <v>1</v>
      </c>
      <c r="G1960">
        <v>1</v>
      </c>
      <c r="H1960">
        <v>350</v>
      </c>
      <c r="I1960">
        <f t="shared" si="289"/>
        <v>1953</v>
      </c>
      <c r="J1960" s="6">
        <f t="array" aca="1" ref="J1960:N1960" ca="1">TRANSPOSE(ols(OFFSET($C$2:$C$10,I1960,0),OFFSET($D$2:$H$10,I1960,0)))</f>
        <v>150.77380952380736</v>
      </c>
      <c r="K1960" s="6">
        <f ca="1"/>
        <v>-4.2857142857142208</v>
      </c>
      <c r="L1960" s="6">
        <f ca="1"/>
        <v>-45.476190476190823</v>
      </c>
      <c r="M1960" s="6">
        <f ca="1"/>
        <v>17.738095238095639</v>
      </c>
      <c r="N1960" s="6">
        <f ca="1"/>
        <v>-0.1369047619047663</v>
      </c>
      <c r="O1960" s="6">
        <f t="shared" ca="1" si="281"/>
        <v>75.119047619043968</v>
      </c>
      <c r="P1960">
        <f t="shared" ca="1" si="282"/>
        <v>75.119047619043968</v>
      </c>
      <c r="Q1960" s="10">
        <f t="shared" ca="1" si="283"/>
        <v>75.119047619043968</v>
      </c>
      <c r="R1960" s="10">
        <f t="shared" ca="1" si="284"/>
        <v>123.03571428571217</v>
      </c>
      <c r="S1960" s="10">
        <f t="shared" ca="1" si="285"/>
        <v>-47.916666666668206</v>
      </c>
      <c r="T1960" s="10">
        <f t="shared" ca="1" si="286"/>
        <v>350</v>
      </c>
      <c r="U1960" s="10">
        <f t="shared" ca="1" si="287"/>
        <v>350</v>
      </c>
      <c r="V1960">
        <f t="shared" si="288"/>
        <v>6</v>
      </c>
    </row>
    <row r="1961" spans="1:22" x14ac:dyDescent="0.25">
      <c r="A1961">
        <v>218</v>
      </c>
      <c r="B1961">
        <v>7</v>
      </c>
      <c r="C1961">
        <v>100</v>
      </c>
      <c r="D1961">
        <v>1</v>
      </c>
      <c r="E1961">
        <v>1</v>
      </c>
      <c r="F1961">
        <v>0</v>
      </c>
      <c r="G1961">
        <v>1</v>
      </c>
      <c r="H1961">
        <v>450</v>
      </c>
      <c r="I1961">
        <f t="shared" si="289"/>
        <v>1953</v>
      </c>
      <c r="J1961" s="6">
        <f t="array" aca="1" ref="J1961:N1961" ca="1">TRANSPOSE(ols(OFFSET($C$2:$C$10,I1961,0),OFFSET($D$2:$H$10,I1961,0)))</f>
        <v>150.77380952380736</v>
      </c>
      <c r="K1961" s="6">
        <f ca="1"/>
        <v>-4.2857142857142208</v>
      </c>
      <c r="L1961" s="6">
        <f ca="1"/>
        <v>-45.476190476190823</v>
      </c>
      <c r="M1961" s="6">
        <f ca="1"/>
        <v>17.738095238095639</v>
      </c>
      <c r="N1961" s="6">
        <f ca="1"/>
        <v>-0.1369047619047663</v>
      </c>
      <c r="O1961" s="6">
        <f t="shared" ca="1" si="281"/>
        <v>102.61904761904394</v>
      </c>
      <c r="P1961" t="str">
        <f t="shared" si="282"/>
        <v>NA</v>
      </c>
      <c r="Q1961" s="10">
        <f t="shared" ca="1" si="283"/>
        <v>75.119047619043968</v>
      </c>
      <c r="R1961" s="10">
        <f t="shared" ca="1" si="284"/>
        <v>164.22619047618878</v>
      </c>
      <c r="S1961" s="10">
        <f t="shared" ca="1" si="285"/>
        <v>-89.107142857144808</v>
      </c>
      <c r="T1961" s="10">
        <f t="shared" ca="1" si="286"/>
        <v>650.86956521738466</v>
      </c>
      <c r="U1961" s="10" t="str">
        <f t="shared" ca="1" si="287"/>
        <v>OR</v>
      </c>
      <c r="V1961">
        <f t="shared" si="288"/>
        <v>5</v>
      </c>
    </row>
    <row r="1962" spans="1:22" x14ac:dyDescent="0.25">
      <c r="A1962">
        <v>218</v>
      </c>
      <c r="B1962">
        <v>8</v>
      </c>
      <c r="C1962">
        <v>85</v>
      </c>
      <c r="D1962">
        <v>1</v>
      </c>
      <c r="E1962">
        <v>1</v>
      </c>
      <c r="F1962">
        <v>0</v>
      </c>
      <c r="G1962">
        <v>1</v>
      </c>
      <c r="H1962">
        <v>550</v>
      </c>
      <c r="I1962">
        <f t="shared" si="289"/>
        <v>1953</v>
      </c>
      <c r="J1962" s="6">
        <f t="array" aca="1" ref="J1962:N1962" ca="1">TRANSPOSE(ols(OFFSET($C$2:$C$10,I1962,0),OFFSET($D$2:$H$10,I1962,0)))</f>
        <v>150.77380952380736</v>
      </c>
      <c r="K1962" s="6">
        <f ca="1"/>
        <v>-4.2857142857142208</v>
      </c>
      <c r="L1962" s="6">
        <f ca="1"/>
        <v>-45.476190476190823</v>
      </c>
      <c r="M1962" s="6">
        <f ca="1"/>
        <v>17.738095238095639</v>
      </c>
      <c r="N1962" s="6">
        <f ca="1"/>
        <v>-0.1369047619047663</v>
      </c>
      <c r="O1962" s="6">
        <f t="shared" ca="1" si="281"/>
        <v>88.928571428567309</v>
      </c>
      <c r="P1962" t="str">
        <f t="shared" si="282"/>
        <v>NA</v>
      </c>
      <c r="Q1962" s="10">
        <f t="shared" ca="1" si="283"/>
        <v>75.119047619043968</v>
      </c>
      <c r="R1962" s="10">
        <f t="shared" ca="1" si="284"/>
        <v>164.22619047618878</v>
      </c>
      <c r="S1962" s="10">
        <f t="shared" ca="1" si="285"/>
        <v>-89.107142857144808</v>
      </c>
      <c r="T1962" s="10">
        <f t="shared" ca="1" si="286"/>
        <v>650.86956521738466</v>
      </c>
      <c r="U1962" s="10" t="str">
        <f t="shared" ca="1" si="287"/>
        <v>OR</v>
      </c>
      <c r="V1962">
        <f t="shared" si="288"/>
        <v>5</v>
      </c>
    </row>
    <row r="1963" spans="1:22" x14ac:dyDescent="0.25">
      <c r="A1963">
        <v>218</v>
      </c>
      <c r="B1963">
        <v>9</v>
      </c>
      <c r="C1963">
        <v>70</v>
      </c>
      <c r="D1963">
        <v>1</v>
      </c>
      <c r="E1963">
        <v>0</v>
      </c>
      <c r="F1963">
        <v>0</v>
      </c>
      <c r="G1963">
        <v>1</v>
      </c>
      <c r="H1963">
        <v>650</v>
      </c>
      <c r="I1963">
        <f t="shared" si="289"/>
        <v>1953</v>
      </c>
      <c r="J1963" s="6">
        <f t="array" aca="1" ref="J1963:N1963" ca="1">TRANSPOSE(ols(OFFSET($C$2:$C$10,I1963,0),OFFSET($D$2:$H$10,I1963,0)))</f>
        <v>150.77380952380736</v>
      </c>
      <c r="K1963" s="6">
        <f ca="1"/>
        <v>-4.2857142857142208</v>
      </c>
      <c r="L1963" s="6">
        <f ca="1"/>
        <v>-45.476190476190823</v>
      </c>
      <c r="M1963" s="6">
        <f ca="1"/>
        <v>17.738095238095639</v>
      </c>
      <c r="N1963" s="6">
        <f ca="1"/>
        <v>-0.1369047619047663</v>
      </c>
      <c r="O1963" s="6">
        <f t="shared" ca="1" si="281"/>
        <v>79.5238095238049</v>
      </c>
      <c r="P1963" t="str">
        <f t="shared" si="282"/>
        <v>NA</v>
      </c>
      <c r="Q1963" s="10">
        <f t="shared" ca="1" si="283"/>
        <v>75.119047619043968</v>
      </c>
      <c r="R1963" s="10">
        <f t="shared" ca="1" si="284"/>
        <v>168.511904761903</v>
      </c>
      <c r="S1963" s="10">
        <f t="shared" ca="1" si="285"/>
        <v>-93.392857142859029</v>
      </c>
      <c r="T1963" s="10">
        <f t="shared" ca="1" si="286"/>
        <v>682.17391304347007</v>
      </c>
      <c r="U1963" s="10" t="str">
        <f t="shared" ca="1" si="287"/>
        <v>OR</v>
      </c>
      <c r="V1963">
        <f t="shared" si="288"/>
        <v>4</v>
      </c>
    </row>
    <row r="1964" spans="1:22" x14ac:dyDescent="0.25">
      <c r="A1964">
        <v>219</v>
      </c>
      <c r="B1964">
        <v>1</v>
      </c>
      <c r="C1964">
        <v>90</v>
      </c>
      <c r="D1964">
        <v>1</v>
      </c>
      <c r="E1964">
        <v>0</v>
      </c>
      <c r="F1964">
        <v>1</v>
      </c>
      <c r="G1964">
        <v>0</v>
      </c>
      <c r="H1964">
        <v>250</v>
      </c>
      <c r="I1964">
        <f t="shared" si="289"/>
        <v>1962</v>
      </c>
      <c r="J1964" s="6">
        <f t="array" aca="1" ref="J1964:N1964" ca="1">TRANSPOSE(ols(OFFSET($C$2:$C$10,I1964,0),OFFSET($D$2:$H$10,I1964,0)))</f>
        <v>97.011904761904589</v>
      </c>
      <c r="K1964" s="6">
        <f ca="1"/>
        <v>1.8571428571422075</v>
      </c>
      <c r="L1964" s="6">
        <f ca="1"/>
        <v>-1.2380952380963208</v>
      </c>
      <c r="M1964" s="6">
        <f ca="1"/>
        <v>-4.8809523809516122</v>
      </c>
      <c r="N1964" s="6">
        <f ca="1"/>
        <v>-1.5952380952388268E-2</v>
      </c>
      <c r="O1964" s="6">
        <f t="shared" ca="1" si="281"/>
        <v>91.785714285711208</v>
      </c>
      <c r="P1964" t="str">
        <f t="shared" si="282"/>
        <v>NA</v>
      </c>
      <c r="Q1964" s="10">
        <f t="shared" ca="1" si="283"/>
        <v>85.309523809520755</v>
      </c>
      <c r="R1964" s="10">
        <f t="shared" ca="1" si="284"/>
        <v>95.773809523808268</v>
      </c>
      <c r="S1964" s="10">
        <f t="shared" ca="1" si="285"/>
        <v>-10.464285714287513</v>
      </c>
      <c r="T1964" s="10">
        <f t="shared" ca="1" si="286"/>
        <v>655.97014925354324</v>
      </c>
      <c r="U1964" s="10" t="str">
        <f t="shared" ca="1" si="287"/>
        <v>OR</v>
      </c>
      <c r="V1964">
        <f t="shared" si="288"/>
        <v>3</v>
      </c>
    </row>
    <row r="1965" spans="1:22" x14ac:dyDescent="0.25">
      <c r="A1965">
        <v>219</v>
      </c>
      <c r="B1965">
        <v>2</v>
      </c>
      <c r="C1965">
        <v>95</v>
      </c>
      <c r="D1965">
        <v>1</v>
      </c>
      <c r="E1965">
        <v>1</v>
      </c>
      <c r="F1965">
        <v>0</v>
      </c>
      <c r="G1965">
        <v>0</v>
      </c>
      <c r="H1965">
        <v>350</v>
      </c>
      <c r="I1965">
        <f t="shared" si="289"/>
        <v>1962</v>
      </c>
      <c r="J1965" s="6">
        <f t="array" aca="1" ref="J1965:N1965" ca="1">TRANSPOSE(ols(OFFSET($C$2:$C$10,I1965,0),OFFSET($D$2:$H$10,I1965,0)))</f>
        <v>97.011904761904589</v>
      </c>
      <c r="K1965" s="6">
        <f ca="1"/>
        <v>1.8571428571422075</v>
      </c>
      <c r="L1965" s="6">
        <f ca="1"/>
        <v>-1.2380952380963208</v>
      </c>
      <c r="M1965" s="6">
        <f ca="1"/>
        <v>-4.8809523809516122</v>
      </c>
      <c r="N1965" s="6">
        <f ca="1"/>
        <v>-1.5952380952388268E-2</v>
      </c>
      <c r="O1965" s="6">
        <f t="shared" ca="1" si="281"/>
        <v>93.285714285710895</v>
      </c>
      <c r="P1965" t="str">
        <f t="shared" si="282"/>
        <v>NA</v>
      </c>
      <c r="Q1965" s="10">
        <f t="shared" ca="1" si="283"/>
        <v>85.309523809520755</v>
      </c>
      <c r="R1965" s="10">
        <f t="shared" ca="1" si="284"/>
        <v>98.869047619046796</v>
      </c>
      <c r="S1965" s="10">
        <f t="shared" ca="1" si="285"/>
        <v>-13.559523809526041</v>
      </c>
      <c r="T1965" s="10">
        <f t="shared" ca="1" si="286"/>
        <v>849.99999999975012</v>
      </c>
      <c r="U1965" s="10" t="str">
        <f t="shared" ca="1" si="287"/>
        <v>OR</v>
      </c>
      <c r="V1965">
        <f t="shared" si="288"/>
        <v>2</v>
      </c>
    </row>
    <row r="1966" spans="1:22" x14ac:dyDescent="0.25">
      <c r="A1966">
        <v>219</v>
      </c>
      <c r="B1966">
        <v>3</v>
      </c>
      <c r="C1966">
        <v>90</v>
      </c>
      <c r="D1966">
        <v>1</v>
      </c>
      <c r="E1966">
        <v>1</v>
      </c>
      <c r="F1966">
        <v>0</v>
      </c>
      <c r="G1966">
        <v>0</v>
      </c>
      <c r="H1966">
        <v>450</v>
      </c>
      <c r="I1966">
        <f t="shared" si="289"/>
        <v>1962</v>
      </c>
      <c r="J1966" s="6">
        <f t="array" aca="1" ref="J1966:N1966" ca="1">TRANSPOSE(ols(OFFSET($C$2:$C$10,I1966,0),OFFSET($D$2:$H$10,I1966,0)))</f>
        <v>97.011904761904589</v>
      </c>
      <c r="K1966" s="6">
        <f ca="1"/>
        <v>1.8571428571422075</v>
      </c>
      <c r="L1966" s="6">
        <f ca="1"/>
        <v>-1.2380952380963208</v>
      </c>
      <c r="M1966" s="6">
        <f ca="1"/>
        <v>-4.8809523809516122</v>
      </c>
      <c r="N1966" s="6">
        <f ca="1"/>
        <v>-1.5952380952388268E-2</v>
      </c>
      <c r="O1966" s="6">
        <f t="shared" ca="1" si="281"/>
        <v>91.690476190472083</v>
      </c>
      <c r="P1966" t="str">
        <f t="shared" si="282"/>
        <v>NA</v>
      </c>
      <c r="Q1966" s="10">
        <f t="shared" ca="1" si="283"/>
        <v>85.309523809520755</v>
      </c>
      <c r="R1966" s="10">
        <f t="shared" ca="1" si="284"/>
        <v>98.869047619046796</v>
      </c>
      <c r="S1966" s="10">
        <f t="shared" ca="1" si="285"/>
        <v>-13.559523809526041</v>
      </c>
      <c r="T1966" s="10">
        <f t="shared" ca="1" si="286"/>
        <v>849.99999999975012</v>
      </c>
      <c r="U1966" s="10" t="str">
        <f t="shared" ca="1" si="287"/>
        <v>OR</v>
      </c>
      <c r="V1966">
        <f t="shared" si="288"/>
        <v>2</v>
      </c>
    </row>
    <row r="1967" spans="1:22" x14ac:dyDescent="0.25">
      <c r="A1967">
        <v>219</v>
      </c>
      <c r="B1967">
        <v>4</v>
      </c>
      <c r="C1967">
        <v>90</v>
      </c>
      <c r="D1967">
        <v>1</v>
      </c>
      <c r="E1967">
        <v>0</v>
      </c>
      <c r="F1967">
        <v>0</v>
      </c>
      <c r="G1967">
        <v>0</v>
      </c>
      <c r="H1967">
        <v>550</v>
      </c>
      <c r="I1967">
        <f t="shared" si="289"/>
        <v>1962</v>
      </c>
      <c r="J1967" s="6">
        <f t="array" aca="1" ref="J1967:N1967" ca="1">TRANSPOSE(ols(OFFSET($C$2:$C$10,I1967,0),OFFSET($D$2:$H$10,I1967,0)))</f>
        <v>97.011904761904589</v>
      </c>
      <c r="K1967" s="6">
        <f ca="1"/>
        <v>1.8571428571422075</v>
      </c>
      <c r="L1967" s="6">
        <f ca="1"/>
        <v>-1.2380952380963208</v>
      </c>
      <c r="M1967" s="6">
        <f ca="1"/>
        <v>-4.8809523809516122</v>
      </c>
      <c r="N1967" s="6">
        <f ca="1"/>
        <v>-1.5952380952388268E-2</v>
      </c>
      <c r="O1967" s="6">
        <f t="shared" ca="1" si="281"/>
        <v>88.238095238091034</v>
      </c>
      <c r="P1967" t="str">
        <f t="shared" si="282"/>
        <v>NA</v>
      </c>
      <c r="Q1967" s="10">
        <f t="shared" ca="1" si="283"/>
        <v>85.309523809520755</v>
      </c>
      <c r="R1967" s="10">
        <f t="shared" ca="1" si="284"/>
        <v>97.011904761904589</v>
      </c>
      <c r="S1967" s="10">
        <f t="shared" ca="1" si="285"/>
        <v>-11.702380952383834</v>
      </c>
      <c r="T1967" s="10">
        <f t="shared" ca="1" si="286"/>
        <v>733.58208955208306</v>
      </c>
      <c r="U1967" s="10" t="str">
        <f t="shared" ca="1" si="287"/>
        <v>OR</v>
      </c>
      <c r="V1967">
        <f t="shared" si="288"/>
        <v>1</v>
      </c>
    </row>
    <row r="1968" spans="1:22" x14ac:dyDescent="0.25">
      <c r="A1968">
        <v>219</v>
      </c>
      <c r="B1968">
        <v>5</v>
      </c>
      <c r="C1968">
        <v>85</v>
      </c>
      <c r="D1968">
        <v>1</v>
      </c>
      <c r="E1968">
        <v>0</v>
      </c>
      <c r="F1968">
        <v>1</v>
      </c>
      <c r="G1968">
        <v>1</v>
      </c>
      <c r="H1968">
        <v>250</v>
      </c>
      <c r="I1968">
        <f t="shared" si="289"/>
        <v>1962</v>
      </c>
      <c r="J1968" s="6">
        <f t="array" aca="1" ref="J1968:N1968" ca="1">TRANSPOSE(ols(OFFSET($C$2:$C$10,I1968,0),OFFSET($D$2:$H$10,I1968,0)))</f>
        <v>97.011904761904589</v>
      </c>
      <c r="K1968" s="6">
        <f ca="1"/>
        <v>1.8571428571422075</v>
      </c>
      <c r="L1968" s="6">
        <f ca="1"/>
        <v>-1.2380952380963208</v>
      </c>
      <c r="M1968" s="6">
        <f ca="1"/>
        <v>-4.8809523809516122</v>
      </c>
      <c r="N1968" s="6">
        <f ca="1"/>
        <v>-1.5952380952388268E-2</v>
      </c>
      <c r="O1968" s="6">
        <f t="shared" ca="1" si="281"/>
        <v>86.904761904759596</v>
      </c>
      <c r="P1968" t="str">
        <f t="shared" si="282"/>
        <v>NA</v>
      </c>
      <c r="Q1968" s="10">
        <f t="shared" ca="1" si="283"/>
        <v>85.309523809520755</v>
      </c>
      <c r="R1968" s="10">
        <f t="shared" ca="1" si="284"/>
        <v>90.892857142856656</v>
      </c>
      <c r="S1968" s="10">
        <f t="shared" ca="1" si="285"/>
        <v>-5.5833333333359008</v>
      </c>
      <c r="T1968" s="10">
        <f t="shared" ca="1" si="286"/>
        <v>350.00000000000045</v>
      </c>
      <c r="U1968" s="10">
        <f t="shared" ca="1" si="287"/>
        <v>350.00000000000045</v>
      </c>
      <c r="V1968">
        <f t="shared" si="288"/>
        <v>6</v>
      </c>
    </row>
    <row r="1969" spans="1:22" x14ac:dyDescent="0.25">
      <c r="A1969">
        <v>219</v>
      </c>
      <c r="B1969">
        <v>6</v>
      </c>
      <c r="C1969">
        <v>89</v>
      </c>
      <c r="D1969">
        <v>1</v>
      </c>
      <c r="E1969">
        <v>0</v>
      </c>
      <c r="F1969">
        <v>1</v>
      </c>
      <c r="G1969">
        <v>1</v>
      </c>
      <c r="H1969">
        <v>350</v>
      </c>
      <c r="I1969">
        <f t="shared" si="289"/>
        <v>1962</v>
      </c>
      <c r="J1969" s="6">
        <f t="array" aca="1" ref="J1969:N1969" ca="1">TRANSPOSE(ols(OFFSET($C$2:$C$10,I1969,0),OFFSET($D$2:$H$10,I1969,0)))</f>
        <v>97.011904761904589</v>
      </c>
      <c r="K1969" s="6">
        <f ca="1"/>
        <v>1.8571428571422075</v>
      </c>
      <c r="L1969" s="6">
        <f ca="1"/>
        <v>-1.2380952380963208</v>
      </c>
      <c r="M1969" s="6">
        <f ca="1"/>
        <v>-4.8809523809516122</v>
      </c>
      <c r="N1969" s="6">
        <f ca="1"/>
        <v>-1.5952380952388268E-2</v>
      </c>
      <c r="O1969" s="6">
        <f t="shared" ca="1" si="281"/>
        <v>85.309523809520755</v>
      </c>
      <c r="P1969">
        <f t="shared" ca="1" si="282"/>
        <v>85.309523809520755</v>
      </c>
      <c r="Q1969" s="10">
        <f t="shared" ca="1" si="283"/>
        <v>85.309523809520755</v>
      </c>
      <c r="R1969" s="10">
        <f t="shared" ca="1" si="284"/>
        <v>90.892857142856656</v>
      </c>
      <c r="S1969" s="10">
        <f t="shared" ca="1" si="285"/>
        <v>-5.5833333333359008</v>
      </c>
      <c r="T1969" s="10">
        <f t="shared" ca="1" si="286"/>
        <v>350.00000000000045</v>
      </c>
      <c r="U1969" s="10">
        <f t="shared" ca="1" si="287"/>
        <v>350.00000000000045</v>
      </c>
      <c r="V1969">
        <f t="shared" si="288"/>
        <v>6</v>
      </c>
    </row>
    <row r="1970" spans="1:22" x14ac:dyDescent="0.25">
      <c r="A1970">
        <v>219</v>
      </c>
      <c r="B1970">
        <v>7</v>
      </c>
      <c r="C1970">
        <v>87</v>
      </c>
      <c r="D1970">
        <v>1</v>
      </c>
      <c r="E1970">
        <v>1</v>
      </c>
      <c r="F1970">
        <v>0</v>
      </c>
      <c r="G1970">
        <v>1</v>
      </c>
      <c r="H1970">
        <v>450</v>
      </c>
      <c r="I1970">
        <f t="shared" si="289"/>
        <v>1962</v>
      </c>
      <c r="J1970" s="6">
        <f t="array" aca="1" ref="J1970:N1970" ca="1">TRANSPOSE(ols(OFFSET($C$2:$C$10,I1970,0),OFFSET($D$2:$H$10,I1970,0)))</f>
        <v>97.011904761904589</v>
      </c>
      <c r="K1970" s="6">
        <f ca="1"/>
        <v>1.8571428571422075</v>
      </c>
      <c r="L1970" s="6">
        <f ca="1"/>
        <v>-1.2380952380963208</v>
      </c>
      <c r="M1970" s="6">
        <f ca="1"/>
        <v>-4.8809523809516122</v>
      </c>
      <c r="N1970" s="6">
        <f ca="1"/>
        <v>-1.5952380952388268E-2</v>
      </c>
      <c r="O1970" s="6">
        <f t="shared" ca="1" si="281"/>
        <v>86.809523809520471</v>
      </c>
      <c r="P1970" t="str">
        <f t="shared" si="282"/>
        <v>NA</v>
      </c>
      <c r="Q1970" s="10">
        <f t="shared" ca="1" si="283"/>
        <v>85.309523809520755</v>
      </c>
      <c r="R1970" s="10">
        <f t="shared" ca="1" si="284"/>
        <v>93.988095238095184</v>
      </c>
      <c r="S1970" s="10">
        <f t="shared" ca="1" si="285"/>
        <v>-8.6785714285744291</v>
      </c>
      <c r="T1970" s="10">
        <f t="shared" ca="1" si="286"/>
        <v>544.02985074620733</v>
      </c>
      <c r="U1970" s="10">
        <f t="shared" ca="1" si="287"/>
        <v>544.02985074620733</v>
      </c>
      <c r="V1970">
        <f t="shared" si="288"/>
        <v>5</v>
      </c>
    </row>
    <row r="1971" spans="1:22" x14ac:dyDescent="0.25">
      <c r="A1971">
        <v>219</v>
      </c>
      <c r="B1971">
        <v>8</v>
      </c>
      <c r="C1971">
        <v>85</v>
      </c>
      <c r="D1971">
        <v>1</v>
      </c>
      <c r="E1971">
        <v>1</v>
      </c>
      <c r="F1971">
        <v>0</v>
      </c>
      <c r="G1971">
        <v>1</v>
      </c>
      <c r="H1971">
        <v>550</v>
      </c>
      <c r="I1971">
        <f t="shared" si="289"/>
        <v>1962</v>
      </c>
      <c r="J1971" s="6">
        <f t="array" aca="1" ref="J1971:N1971" ca="1">TRANSPOSE(ols(OFFSET($C$2:$C$10,I1971,0),OFFSET($D$2:$H$10,I1971,0)))</f>
        <v>97.011904761904589</v>
      </c>
      <c r="K1971" s="6">
        <f ca="1"/>
        <v>1.8571428571422075</v>
      </c>
      <c r="L1971" s="6">
        <f ca="1"/>
        <v>-1.2380952380963208</v>
      </c>
      <c r="M1971" s="6">
        <f ca="1"/>
        <v>-4.8809523809516122</v>
      </c>
      <c r="N1971" s="6">
        <f ca="1"/>
        <v>-1.5952380952388268E-2</v>
      </c>
      <c r="O1971" s="6">
        <f t="shared" ca="1" si="281"/>
        <v>85.21428571428163</v>
      </c>
      <c r="P1971" t="str">
        <f t="shared" si="282"/>
        <v>NA</v>
      </c>
      <c r="Q1971" s="10">
        <f t="shared" ca="1" si="283"/>
        <v>85.309523809520755</v>
      </c>
      <c r="R1971" s="10">
        <f t="shared" ca="1" si="284"/>
        <v>93.988095238095184</v>
      </c>
      <c r="S1971" s="10">
        <f t="shared" ca="1" si="285"/>
        <v>-8.6785714285744291</v>
      </c>
      <c r="T1971" s="10">
        <f t="shared" ca="1" si="286"/>
        <v>544.02985074620733</v>
      </c>
      <c r="U1971" s="10">
        <f t="shared" ca="1" si="287"/>
        <v>544.02985074620733</v>
      </c>
      <c r="V1971">
        <f t="shared" si="288"/>
        <v>5</v>
      </c>
    </row>
    <row r="1972" spans="1:22" x14ac:dyDescent="0.25">
      <c r="A1972">
        <v>219</v>
      </c>
      <c r="B1972">
        <v>9</v>
      </c>
      <c r="C1972">
        <v>80</v>
      </c>
      <c r="D1972">
        <v>1</v>
      </c>
      <c r="E1972">
        <v>0</v>
      </c>
      <c r="F1972">
        <v>0</v>
      </c>
      <c r="G1972">
        <v>1</v>
      </c>
      <c r="H1972">
        <v>650</v>
      </c>
      <c r="I1972">
        <f t="shared" si="289"/>
        <v>1962</v>
      </c>
      <c r="J1972" s="6">
        <f t="array" aca="1" ref="J1972:N1972" ca="1">TRANSPOSE(ols(OFFSET($C$2:$C$10,I1972,0),OFFSET($D$2:$H$10,I1972,0)))</f>
        <v>97.011904761904589</v>
      </c>
      <c r="K1972" s="6">
        <f ca="1"/>
        <v>1.8571428571422075</v>
      </c>
      <c r="L1972" s="6">
        <f ca="1"/>
        <v>-1.2380952380963208</v>
      </c>
      <c r="M1972" s="6">
        <f ca="1"/>
        <v>-4.8809523809516122</v>
      </c>
      <c r="N1972" s="6">
        <f ca="1"/>
        <v>-1.5952380952388268E-2</v>
      </c>
      <c r="O1972" s="6">
        <f t="shared" ca="1" si="281"/>
        <v>81.76190476190061</v>
      </c>
      <c r="P1972" t="str">
        <f t="shared" si="282"/>
        <v>NA</v>
      </c>
      <c r="Q1972" s="10">
        <f t="shared" ca="1" si="283"/>
        <v>85.309523809520755</v>
      </c>
      <c r="R1972" s="10">
        <f t="shared" ca="1" si="284"/>
        <v>92.130952380952976</v>
      </c>
      <c r="S1972" s="10">
        <f t="shared" ca="1" si="285"/>
        <v>-6.8214285714322216</v>
      </c>
      <c r="T1972" s="10">
        <f t="shared" ca="1" si="286"/>
        <v>427.61194029854022</v>
      </c>
      <c r="U1972" s="10">
        <f t="shared" ca="1" si="287"/>
        <v>427.61194029854022</v>
      </c>
      <c r="V1972">
        <f t="shared" si="288"/>
        <v>4</v>
      </c>
    </row>
    <row r="1973" spans="1:22" x14ac:dyDescent="0.25">
      <c r="A1973">
        <v>220</v>
      </c>
      <c r="B1973">
        <v>1</v>
      </c>
      <c r="C1973">
        <v>95</v>
      </c>
      <c r="D1973">
        <v>1</v>
      </c>
      <c r="E1973">
        <v>0</v>
      </c>
      <c r="F1973">
        <v>1</v>
      </c>
      <c r="G1973">
        <v>0</v>
      </c>
      <c r="H1973">
        <v>250</v>
      </c>
      <c r="I1973">
        <f t="shared" si="289"/>
        <v>1971</v>
      </c>
      <c r="J1973" s="6">
        <f t="array" aca="1" ref="J1973:N1973" ca="1">TRANSPOSE(ols(OFFSET($C$2:$C$10,I1973,0),OFFSET($D$2:$H$10,I1973,0)))</f>
        <v>96.476190476190823</v>
      </c>
      <c r="K1973" s="6">
        <f ca="1"/>
        <v>3.035714285713766</v>
      </c>
      <c r="L1973" s="6">
        <f ca="1"/>
        <v>4.9761904761890037</v>
      </c>
      <c r="M1973" s="6">
        <f ca="1"/>
        <v>-1.7380952380945018</v>
      </c>
      <c r="N1973" s="6">
        <f ca="1"/>
        <v>-1.8095238095245492E-2</v>
      </c>
      <c r="O1973" s="6">
        <f t="shared" ca="1" si="281"/>
        <v>96.928571428568461</v>
      </c>
      <c r="P1973" t="str">
        <f t="shared" si="282"/>
        <v>NA</v>
      </c>
      <c r="Q1973" s="10">
        <f t="shared" ca="1" si="283"/>
        <v>93.380952380949395</v>
      </c>
      <c r="R1973" s="10">
        <f t="shared" ca="1" si="284"/>
        <v>101.45238095237983</v>
      </c>
      <c r="S1973" s="10">
        <f t="shared" ca="1" si="285"/>
        <v>-8.071428571430431</v>
      </c>
      <c r="T1973" s="10">
        <f t="shared" ca="1" si="286"/>
        <v>446.05263157886782</v>
      </c>
      <c r="U1973" s="10">
        <f t="shared" ca="1" si="287"/>
        <v>446.05263157886782</v>
      </c>
      <c r="V1973">
        <f t="shared" si="288"/>
        <v>3</v>
      </c>
    </row>
    <row r="1974" spans="1:22" x14ac:dyDescent="0.25">
      <c r="A1974">
        <v>220</v>
      </c>
      <c r="B1974">
        <v>2</v>
      </c>
      <c r="C1974">
        <v>94.5</v>
      </c>
      <c r="D1974">
        <v>1</v>
      </c>
      <c r="E1974">
        <v>1</v>
      </c>
      <c r="F1974">
        <v>0</v>
      </c>
      <c r="G1974">
        <v>0</v>
      </c>
      <c r="H1974">
        <v>350</v>
      </c>
      <c r="I1974">
        <f t="shared" si="289"/>
        <v>1971</v>
      </c>
      <c r="J1974" s="6">
        <f t="array" aca="1" ref="J1974:N1974" ca="1">TRANSPOSE(ols(OFFSET($C$2:$C$10,I1974,0),OFFSET($D$2:$H$10,I1974,0)))</f>
        <v>96.476190476190823</v>
      </c>
      <c r="K1974" s="6">
        <f ca="1"/>
        <v>3.035714285713766</v>
      </c>
      <c r="L1974" s="6">
        <f ca="1"/>
        <v>4.9761904761890037</v>
      </c>
      <c r="M1974" s="6">
        <f ca="1"/>
        <v>-1.7380952380945018</v>
      </c>
      <c r="N1974" s="6">
        <f ca="1"/>
        <v>-1.8095238095245492E-2</v>
      </c>
      <c r="O1974" s="6">
        <f t="shared" ca="1" si="281"/>
        <v>93.178571428568659</v>
      </c>
      <c r="P1974" t="str">
        <f t="shared" si="282"/>
        <v>NA</v>
      </c>
      <c r="Q1974" s="10">
        <f t="shared" ca="1" si="283"/>
        <v>93.380952380949395</v>
      </c>
      <c r="R1974" s="10">
        <f t="shared" ca="1" si="284"/>
        <v>99.511904761904589</v>
      </c>
      <c r="S1974" s="10">
        <f t="shared" ca="1" si="285"/>
        <v>-6.1309523809551933</v>
      </c>
      <c r="T1974" s="10">
        <f t="shared" ca="1" si="286"/>
        <v>338.81578947370116</v>
      </c>
      <c r="U1974" s="10">
        <f t="shared" ca="1" si="287"/>
        <v>338.81578947370116</v>
      </c>
      <c r="V1974">
        <f t="shared" si="288"/>
        <v>2</v>
      </c>
    </row>
    <row r="1975" spans="1:22" x14ac:dyDescent="0.25">
      <c r="A1975">
        <v>220</v>
      </c>
      <c r="B1975">
        <v>3</v>
      </c>
      <c r="C1975">
        <v>93.5</v>
      </c>
      <c r="D1975">
        <v>1</v>
      </c>
      <c r="E1975">
        <v>1</v>
      </c>
      <c r="F1975">
        <v>0</v>
      </c>
      <c r="G1975">
        <v>0</v>
      </c>
      <c r="H1975">
        <v>450</v>
      </c>
      <c r="I1975">
        <f t="shared" si="289"/>
        <v>1971</v>
      </c>
      <c r="J1975" s="6">
        <f t="array" aca="1" ref="J1975:N1975" ca="1">TRANSPOSE(ols(OFFSET($C$2:$C$10,I1975,0),OFFSET($D$2:$H$10,I1975,0)))</f>
        <v>96.476190476190823</v>
      </c>
      <c r="K1975" s="6">
        <f ca="1"/>
        <v>3.035714285713766</v>
      </c>
      <c r="L1975" s="6">
        <f ca="1"/>
        <v>4.9761904761890037</v>
      </c>
      <c r="M1975" s="6">
        <f ca="1"/>
        <v>-1.7380952380945018</v>
      </c>
      <c r="N1975" s="6">
        <f ca="1"/>
        <v>-1.8095238095245492E-2</v>
      </c>
      <c r="O1975" s="6">
        <f t="shared" ca="1" si="281"/>
        <v>91.369047619044125</v>
      </c>
      <c r="P1975" t="str">
        <f t="shared" si="282"/>
        <v>NA</v>
      </c>
      <c r="Q1975" s="10">
        <f t="shared" ca="1" si="283"/>
        <v>93.380952380949395</v>
      </c>
      <c r="R1975" s="10">
        <f t="shared" ca="1" si="284"/>
        <v>99.511904761904589</v>
      </c>
      <c r="S1975" s="10">
        <f t="shared" ca="1" si="285"/>
        <v>-6.1309523809551933</v>
      </c>
      <c r="T1975" s="10">
        <f t="shared" ca="1" si="286"/>
        <v>338.81578947370116</v>
      </c>
      <c r="U1975" s="10">
        <f t="shared" ca="1" si="287"/>
        <v>338.81578947370116</v>
      </c>
      <c r="V1975">
        <f t="shared" si="288"/>
        <v>2</v>
      </c>
    </row>
    <row r="1976" spans="1:22" x14ac:dyDescent="0.25">
      <c r="A1976">
        <v>220</v>
      </c>
      <c r="B1976">
        <v>4</v>
      </c>
      <c r="C1976">
        <v>85</v>
      </c>
      <c r="D1976">
        <v>1</v>
      </c>
      <c r="E1976">
        <v>0</v>
      </c>
      <c r="F1976">
        <v>0</v>
      </c>
      <c r="G1976">
        <v>0</v>
      </c>
      <c r="H1976">
        <v>550</v>
      </c>
      <c r="I1976">
        <f t="shared" si="289"/>
        <v>1971</v>
      </c>
      <c r="J1976" s="6">
        <f t="array" aca="1" ref="J1976:N1976" ca="1">TRANSPOSE(ols(OFFSET($C$2:$C$10,I1976,0),OFFSET($D$2:$H$10,I1976,0)))</f>
        <v>96.476190476190823</v>
      </c>
      <c r="K1976" s="6">
        <f ca="1"/>
        <v>3.035714285713766</v>
      </c>
      <c r="L1976" s="6">
        <f ca="1"/>
        <v>4.9761904761890037</v>
      </c>
      <c r="M1976" s="6">
        <f ca="1"/>
        <v>-1.7380952380945018</v>
      </c>
      <c r="N1976" s="6">
        <f ca="1"/>
        <v>-1.8095238095245492E-2</v>
      </c>
      <c r="O1976" s="6">
        <f t="shared" ca="1" si="281"/>
        <v>86.523809523805795</v>
      </c>
      <c r="P1976" t="str">
        <f t="shared" si="282"/>
        <v>NA</v>
      </c>
      <c r="Q1976" s="10">
        <f t="shared" ca="1" si="283"/>
        <v>93.380952380949395</v>
      </c>
      <c r="R1976" s="10">
        <f t="shared" ca="1" si="284"/>
        <v>96.476190476190823</v>
      </c>
      <c r="S1976" s="10">
        <f t="shared" ca="1" si="285"/>
        <v>-3.0952380952414273</v>
      </c>
      <c r="T1976" s="10">
        <f t="shared" ca="1" si="286"/>
        <v>171.0526315790616</v>
      </c>
      <c r="U1976" s="10" t="str">
        <f t="shared" ca="1" si="287"/>
        <v>OR</v>
      </c>
      <c r="V1976">
        <f t="shared" si="288"/>
        <v>1</v>
      </c>
    </row>
    <row r="1977" spans="1:22" x14ac:dyDescent="0.25">
      <c r="A1977">
        <v>220</v>
      </c>
      <c r="B1977">
        <v>5</v>
      </c>
      <c r="C1977">
        <v>94</v>
      </c>
      <c r="D1977">
        <v>1</v>
      </c>
      <c r="E1977">
        <v>0</v>
      </c>
      <c r="F1977">
        <v>1</v>
      </c>
      <c r="G1977">
        <v>1</v>
      </c>
      <c r="H1977">
        <v>250</v>
      </c>
      <c r="I1977">
        <f t="shared" si="289"/>
        <v>1971</v>
      </c>
      <c r="J1977" s="6">
        <f t="array" aca="1" ref="J1977:N1977" ca="1">TRANSPOSE(ols(OFFSET($C$2:$C$10,I1977,0),OFFSET($D$2:$H$10,I1977,0)))</f>
        <v>96.476190476190823</v>
      </c>
      <c r="K1977" s="6">
        <f ca="1"/>
        <v>3.035714285713766</v>
      </c>
      <c r="L1977" s="6">
        <f ca="1"/>
        <v>4.9761904761890037</v>
      </c>
      <c r="M1977" s="6">
        <f ca="1"/>
        <v>-1.7380952380945018</v>
      </c>
      <c r="N1977" s="6">
        <f ca="1"/>
        <v>-1.8095238095245492E-2</v>
      </c>
      <c r="O1977" s="6">
        <f t="shared" ca="1" si="281"/>
        <v>95.190476190473959</v>
      </c>
      <c r="P1977" t="str">
        <f t="shared" si="282"/>
        <v>NA</v>
      </c>
      <c r="Q1977" s="10">
        <f t="shared" ca="1" si="283"/>
        <v>93.380952380949395</v>
      </c>
      <c r="R1977" s="10">
        <f t="shared" ca="1" si="284"/>
        <v>99.714285714285325</v>
      </c>
      <c r="S1977" s="10">
        <f t="shared" ca="1" si="285"/>
        <v>-6.3333333333359292</v>
      </c>
      <c r="T1977" s="10">
        <f t="shared" ca="1" si="286"/>
        <v>350.0000000000004</v>
      </c>
      <c r="U1977" s="10">
        <f t="shared" ca="1" si="287"/>
        <v>350.0000000000004</v>
      </c>
      <c r="V1977">
        <f t="shared" si="288"/>
        <v>6</v>
      </c>
    </row>
    <row r="1978" spans="1:22" x14ac:dyDescent="0.25">
      <c r="A1978">
        <v>220</v>
      </c>
      <c r="B1978">
        <v>6</v>
      </c>
      <c r="C1978">
        <v>96.5</v>
      </c>
      <c r="D1978">
        <v>1</v>
      </c>
      <c r="E1978">
        <v>0</v>
      </c>
      <c r="F1978">
        <v>1</v>
      </c>
      <c r="G1978">
        <v>1</v>
      </c>
      <c r="H1978">
        <v>350</v>
      </c>
      <c r="I1978">
        <f t="shared" si="289"/>
        <v>1971</v>
      </c>
      <c r="J1978" s="6">
        <f t="array" aca="1" ref="J1978:N1978" ca="1">TRANSPOSE(ols(OFFSET($C$2:$C$10,I1978,0),OFFSET($D$2:$H$10,I1978,0)))</f>
        <v>96.476190476190823</v>
      </c>
      <c r="K1978" s="6">
        <f ca="1"/>
        <v>3.035714285713766</v>
      </c>
      <c r="L1978" s="6">
        <f ca="1"/>
        <v>4.9761904761890037</v>
      </c>
      <c r="M1978" s="6">
        <f ca="1"/>
        <v>-1.7380952380945018</v>
      </c>
      <c r="N1978" s="6">
        <f ca="1"/>
        <v>-1.8095238095245492E-2</v>
      </c>
      <c r="O1978" s="6">
        <f t="shared" ca="1" si="281"/>
        <v>93.380952380949395</v>
      </c>
      <c r="P1978">
        <f t="shared" ca="1" si="282"/>
        <v>93.380952380949395</v>
      </c>
      <c r="Q1978" s="10">
        <f t="shared" ca="1" si="283"/>
        <v>93.380952380949395</v>
      </c>
      <c r="R1978" s="10">
        <f t="shared" ca="1" si="284"/>
        <v>99.714285714285325</v>
      </c>
      <c r="S1978" s="10">
        <f t="shared" ca="1" si="285"/>
        <v>-6.3333333333359292</v>
      </c>
      <c r="T1978" s="10">
        <f t="shared" ca="1" si="286"/>
        <v>350.0000000000004</v>
      </c>
      <c r="U1978" s="10">
        <f t="shared" ca="1" si="287"/>
        <v>350.0000000000004</v>
      </c>
      <c r="V1978">
        <f t="shared" si="288"/>
        <v>6</v>
      </c>
    </row>
    <row r="1979" spans="1:22" x14ac:dyDescent="0.25">
      <c r="A1979">
        <v>220</v>
      </c>
      <c r="B1979">
        <v>7</v>
      </c>
      <c r="C1979">
        <v>89.5</v>
      </c>
      <c r="D1979">
        <v>1</v>
      </c>
      <c r="E1979">
        <v>1</v>
      </c>
      <c r="F1979">
        <v>0</v>
      </c>
      <c r="G1979">
        <v>1</v>
      </c>
      <c r="H1979">
        <v>450</v>
      </c>
      <c r="I1979">
        <f t="shared" si="289"/>
        <v>1971</v>
      </c>
      <c r="J1979" s="6">
        <f t="array" aca="1" ref="J1979:N1979" ca="1">TRANSPOSE(ols(OFFSET($C$2:$C$10,I1979,0),OFFSET($D$2:$H$10,I1979,0)))</f>
        <v>96.476190476190823</v>
      </c>
      <c r="K1979" s="6">
        <f ca="1"/>
        <v>3.035714285713766</v>
      </c>
      <c r="L1979" s="6">
        <f ca="1"/>
        <v>4.9761904761890037</v>
      </c>
      <c r="M1979" s="6">
        <f ca="1"/>
        <v>-1.7380952380945018</v>
      </c>
      <c r="N1979" s="6">
        <f ca="1"/>
        <v>-1.8095238095245492E-2</v>
      </c>
      <c r="O1979" s="6">
        <f t="shared" ca="1" si="281"/>
        <v>89.630952380949623</v>
      </c>
      <c r="P1979" t="str">
        <f t="shared" si="282"/>
        <v>NA</v>
      </c>
      <c r="Q1979" s="10">
        <f t="shared" ca="1" si="283"/>
        <v>93.380952380949395</v>
      </c>
      <c r="R1979" s="10">
        <f t="shared" ca="1" si="284"/>
        <v>97.773809523810087</v>
      </c>
      <c r="S1979" s="10">
        <f t="shared" ca="1" si="285"/>
        <v>-4.3928571428606915</v>
      </c>
      <c r="T1979" s="10">
        <f t="shared" ca="1" si="286"/>
        <v>242.76315789483371</v>
      </c>
      <c r="U1979" s="10" t="str">
        <f t="shared" ca="1" si="287"/>
        <v>OR</v>
      </c>
      <c r="V1979">
        <f t="shared" si="288"/>
        <v>5</v>
      </c>
    </row>
    <row r="1980" spans="1:22" x14ac:dyDescent="0.25">
      <c r="A1980">
        <v>220</v>
      </c>
      <c r="B1980">
        <v>8</v>
      </c>
      <c r="C1980">
        <v>84.5</v>
      </c>
      <c r="D1980">
        <v>1</v>
      </c>
      <c r="E1980">
        <v>1</v>
      </c>
      <c r="F1980">
        <v>0</v>
      </c>
      <c r="G1980">
        <v>1</v>
      </c>
      <c r="H1980">
        <v>550</v>
      </c>
      <c r="I1980">
        <f t="shared" si="289"/>
        <v>1971</v>
      </c>
      <c r="J1980" s="6">
        <f t="array" aca="1" ref="J1980:N1980" ca="1">TRANSPOSE(ols(OFFSET($C$2:$C$10,I1980,0),OFFSET($D$2:$H$10,I1980,0)))</f>
        <v>96.476190476190823</v>
      </c>
      <c r="K1980" s="6">
        <f ca="1"/>
        <v>3.035714285713766</v>
      </c>
      <c r="L1980" s="6">
        <f ca="1"/>
        <v>4.9761904761890037</v>
      </c>
      <c r="M1980" s="6">
        <f ca="1"/>
        <v>-1.7380952380945018</v>
      </c>
      <c r="N1980" s="6">
        <f ca="1"/>
        <v>-1.8095238095245492E-2</v>
      </c>
      <c r="O1980" s="6">
        <f t="shared" ca="1" si="281"/>
        <v>87.821428571425059</v>
      </c>
      <c r="P1980" t="str">
        <f t="shared" si="282"/>
        <v>NA</v>
      </c>
      <c r="Q1980" s="10">
        <f t="shared" ca="1" si="283"/>
        <v>93.380952380949395</v>
      </c>
      <c r="R1980" s="10">
        <f t="shared" ca="1" si="284"/>
        <v>97.773809523810087</v>
      </c>
      <c r="S1980" s="10">
        <f t="shared" ca="1" si="285"/>
        <v>-4.3928571428606915</v>
      </c>
      <c r="T1980" s="10">
        <f t="shared" ca="1" si="286"/>
        <v>242.76315789483371</v>
      </c>
      <c r="U1980" s="10" t="str">
        <f t="shared" ca="1" si="287"/>
        <v>OR</v>
      </c>
      <c r="V1980">
        <f t="shared" si="288"/>
        <v>5</v>
      </c>
    </row>
    <row r="1981" spans="1:22" x14ac:dyDescent="0.25">
      <c r="A1981">
        <v>220</v>
      </c>
      <c r="B1981">
        <v>9</v>
      </c>
      <c r="C1981">
        <v>84.5</v>
      </c>
      <c r="D1981">
        <v>1</v>
      </c>
      <c r="E1981">
        <v>0</v>
      </c>
      <c r="F1981">
        <v>0</v>
      </c>
      <c r="G1981">
        <v>1</v>
      </c>
      <c r="H1981">
        <v>650</v>
      </c>
      <c r="I1981">
        <f t="shared" si="289"/>
        <v>1971</v>
      </c>
      <c r="J1981" s="6">
        <f t="array" aca="1" ref="J1981:N1981" ca="1">TRANSPOSE(ols(OFFSET($C$2:$C$10,I1981,0),OFFSET($D$2:$H$10,I1981,0)))</f>
        <v>96.476190476190823</v>
      </c>
      <c r="K1981" s="6">
        <f ca="1"/>
        <v>3.035714285713766</v>
      </c>
      <c r="L1981" s="6">
        <f ca="1"/>
        <v>4.9761904761890037</v>
      </c>
      <c r="M1981" s="6">
        <f ca="1"/>
        <v>-1.7380952380945018</v>
      </c>
      <c r="N1981" s="6">
        <f ca="1"/>
        <v>-1.8095238095245492E-2</v>
      </c>
      <c r="O1981" s="6">
        <f t="shared" ca="1" si="281"/>
        <v>82.976190476186758</v>
      </c>
      <c r="P1981" t="str">
        <f t="shared" si="282"/>
        <v>NA</v>
      </c>
      <c r="Q1981" s="10">
        <f t="shared" ca="1" si="283"/>
        <v>93.380952380949395</v>
      </c>
      <c r="R1981" s="10">
        <f t="shared" ca="1" si="284"/>
        <v>94.738095238096321</v>
      </c>
      <c r="S1981" s="10">
        <f t="shared" ca="1" si="285"/>
        <v>-1.3571428571469255</v>
      </c>
      <c r="T1981" s="10">
        <f t="shared" ca="1" si="286"/>
        <v>75.000000000194177</v>
      </c>
      <c r="U1981" s="10" t="str">
        <f t="shared" ca="1" si="287"/>
        <v>OR</v>
      </c>
      <c r="V1981">
        <f t="shared" si="288"/>
        <v>4</v>
      </c>
    </row>
    <row r="1982" spans="1:22" x14ac:dyDescent="0.25">
      <c r="A1982">
        <v>221</v>
      </c>
      <c r="B1982">
        <v>1</v>
      </c>
      <c r="C1982">
        <v>90</v>
      </c>
      <c r="D1982">
        <v>1</v>
      </c>
      <c r="E1982">
        <v>0</v>
      </c>
      <c r="F1982">
        <v>1</v>
      </c>
      <c r="G1982">
        <v>0</v>
      </c>
      <c r="H1982">
        <v>250</v>
      </c>
      <c r="I1982">
        <f t="shared" si="289"/>
        <v>1980</v>
      </c>
      <c r="J1982" s="6">
        <f t="array" aca="1" ref="J1982:N1982" ca="1">TRANSPOSE(ols(OFFSET($C$2:$C$10,I1982,0),OFFSET($D$2:$H$10,I1982,0)))</f>
        <v>138.75</v>
      </c>
      <c r="K1982" s="6">
        <f ca="1"/>
        <v>-5</v>
      </c>
      <c r="L1982" s="6">
        <f ca="1"/>
        <v>-15.000000000000909</v>
      </c>
      <c r="M1982" s="6">
        <f ca="1"/>
        <v>-7.4999999999995453</v>
      </c>
      <c r="N1982" s="6">
        <f ca="1"/>
        <v>-0.12500000000000355</v>
      </c>
      <c r="O1982" s="6">
        <f t="shared" ca="1" si="281"/>
        <v>92.499999999998209</v>
      </c>
      <c r="P1982" t="str">
        <f t="shared" si="282"/>
        <v>NA</v>
      </c>
      <c r="Q1982" s="10">
        <f t="shared" ca="1" si="283"/>
        <v>72.499999999998295</v>
      </c>
      <c r="R1982" s="10">
        <f t="shared" ca="1" si="284"/>
        <v>123.74999999999909</v>
      </c>
      <c r="S1982" s="10">
        <f t="shared" ca="1" si="285"/>
        <v>-51.250000000000796</v>
      </c>
      <c r="T1982" s="10">
        <f t="shared" ca="1" si="286"/>
        <v>409.99999999999471</v>
      </c>
      <c r="U1982" s="10">
        <f t="shared" ca="1" si="287"/>
        <v>409.99999999999471</v>
      </c>
      <c r="V1982">
        <f t="shared" si="288"/>
        <v>3</v>
      </c>
    </row>
    <row r="1983" spans="1:22" x14ac:dyDescent="0.25">
      <c r="A1983">
        <v>221</v>
      </c>
      <c r="B1983">
        <v>2</v>
      </c>
      <c r="C1983">
        <v>90</v>
      </c>
      <c r="D1983">
        <v>1</v>
      </c>
      <c r="E1983">
        <v>1</v>
      </c>
      <c r="F1983">
        <v>0</v>
      </c>
      <c r="G1983">
        <v>0</v>
      </c>
      <c r="H1983">
        <v>350</v>
      </c>
      <c r="I1983">
        <f t="shared" si="289"/>
        <v>1980</v>
      </c>
      <c r="J1983" s="6">
        <f t="array" aca="1" ref="J1983:N1983" ca="1">TRANSPOSE(ols(OFFSET($C$2:$C$10,I1983,0),OFFSET($D$2:$H$10,I1983,0)))</f>
        <v>138.75</v>
      </c>
      <c r="K1983" s="6">
        <f ca="1"/>
        <v>-5</v>
      </c>
      <c r="L1983" s="6">
        <f ca="1"/>
        <v>-15.000000000000909</v>
      </c>
      <c r="M1983" s="6">
        <f ca="1"/>
        <v>-7.4999999999995453</v>
      </c>
      <c r="N1983" s="6">
        <f ca="1"/>
        <v>-0.12500000000000355</v>
      </c>
      <c r="O1983" s="6">
        <f t="shared" ca="1" si="281"/>
        <v>89.999999999998749</v>
      </c>
      <c r="P1983" t="str">
        <f t="shared" si="282"/>
        <v>NA</v>
      </c>
      <c r="Q1983" s="10">
        <f t="shared" ca="1" si="283"/>
        <v>72.499999999998295</v>
      </c>
      <c r="R1983" s="10">
        <f t="shared" ca="1" si="284"/>
        <v>133.75</v>
      </c>
      <c r="S1983" s="10">
        <f t="shared" ca="1" si="285"/>
        <v>-61.250000000001705</v>
      </c>
      <c r="T1983" s="10">
        <f t="shared" ca="1" si="286"/>
        <v>489.99999999999972</v>
      </c>
      <c r="U1983" s="10">
        <f t="shared" ca="1" si="287"/>
        <v>489.99999999999972</v>
      </c>
      <c r="V1983">
        <f t="shared" si="288"/>
        <v>2</v>
      </c>
    </row>
    <row r="1984" spans="1:22" x14ac:dyDescent="0.25">
      <c r="A1984">
        <v>221</v>
      </c>
      <c r="B1984">
        <v>3</v>
      </c>
      <c r="C1984">
        <v>80</v>
      </c>
      <c r="D1984">
        <v>1</v>
      </c>
      <c r="E1984">
        <v>1</v>
      </c>
      <c r="F1984">
        <v>0</v>
      </c>
      <c r="G1984">
        <v>0</v>
      </c>
      <c r="H1984">
        <v>450</v>
      </c>
      <c r="I1984">
        <f t="shared" si="289"/>
        <v>1980</v>
      </c>
      <c r="J1984" s="6">
        <f t="array" aca="1" ref="J1984:N1984" ca="1">TRANSPOSE(ols(OFFSET($C$2:$C$10,I1984,0),OFFSET($D$2:$H$10,I1984,0)))</f>
        <v>138.75</v>
      </c>
      <c r="K1984" s="6">
        <f ca="1"/>
        <v>-5</v>
      </c>
      <c r="L1984" s="6">
        <f ca="1"/>
        <v>-15.000000000000909</v>
      </c>
      <c r="M1984" s="6">
        <f ca="1"/>
        <v>-7.4999999999995453</v>
      </c>
      <c r="N1984" s="6">
        <f ca="1"/>
        <v>-0.12500000000000355</v>
      </c>
      <c r="O1984" s="6">
        <f t="shared" ca="1" si="281"/>
        <v>77.499999999998408</v>
      </c>
      <c r="P1984" t="str">
        <f t="shared" si="282"/>
        <v>NA</v>
      </c>
      <c r="Q1984" s="10">
        <f t="shared" ca="1" si="283"/>
        <v>72.499999999998295</v>
      </c>
      <c r="R1984" s="10">
        <f t="shared" ca="1" si="284"/>
        <v>133.75</v>
      </c>
      <c r="S1984" s="10">
        <f t="shared" ca="1" si="285"/>
        <v>-61.250000000001705</v>
      </c>
      <c r="T1984" s="10">
        <f t="shared" ca="1" si="286"/>
        <v>489.99999999999972</v>
      </c>
      <c r="U1984" s="10">
        <f t="shared" ca="1" si="287"/>
        <v>489.99999999999972</v>
      </c>
      <c r="V1984">
        <f t="shared" si="288"/>
        <v>2</v>
      </c>
    </row>
    <row r="1985" spans="1:22" x14ac:dyDescent="0.25">
      <c r="A1985">
        <v>221</v>
      </c>
      <c r="B1985">
        <v>4</v>
      </c>
      <c r="C1985">
        <v>70</v>
      </c>
      <c r="D1985">
        <v>1</v>
      </c>
      <c r="E1985">
        <v>0</v>
      </c>
      <c r="F1985">
        <v>0</v>
      </c>
      <c r="G1985">
        <v>0</v>
      </c>
      <c r="H1985">
        <v>550</v>
      </c>
      <c r="I1985">
        <f t="shared" si="289"/>
        <v>1980</v>
      </c>
      <c r="J1985" s="6">
        <f t="array" aca="1" ref="J1985:N1985" ca="1">TRANSPOSE(ols(OFFSET($C$2:$C$10,I1985,0),OFFSET($D$2:$H$10,I1985,0)))</f>
        <v>138.75</v>
      </c>
      <c r="K1985" s="6">
        <f ca="1"/>
        <v>-5</v>
      </c>
      <c r="L1985" s="6">
        <f ca="1"/>
        <v>-15.000000000000909</v>
      </c>
      <c r="M1985" s="6">
        <f ca="1"/>
        <v>-7.4999999999995453</v>
      </c>
      <c r="N1985" s="6">
        <f ca="1"/>
        <v>-0.12500000000000355</v>
      </c>
      <c r="O1985" s="6">
        <f t="shared" ca="1" si="281"/>
        <v>69.999999999998039</v>
      </c>
      <c r="P1985" t="str">
        <f t="shared" si="282"/>
        <v>NA</v>
      </c>
      <c r="Q1985" s="10">
        <f t="shared" ca="1" si="283"/>
        <v>72.499999999998295</v>
      </c>
      <c r="R1985" s="10">
        <f t="shared" ca="1" si="284"/>
        <v>138.75</v>
      </c>
      <c r="S1985" s="10">
        <f t="shared" ca="1" si="285"/>
        <v>-66.250000000001705</v>
      </c>
      <c r="T1985" s="10">
        <f t="shared" ca="1" si="286"/>
        <v>529.99999999999864</v>
      </c>
      <c r="U1985" s="10">
        <f t="shared" ca="1" si="287"/>
        <v>529.99999999999864</v>
      </c>
      <c r="V1985">
        <f t="shared" si="288"/>
        <v>1</v>
      </c>
    </row>
    <row r="1986" spans="1:22" x14ac:dyDescent="0.25">
      <c r="A1986">
        <v>221</v>
      </c>
      <c r="B1986">
        <v>5</v>
      </c>
      <c r="C1986">
        <v>85</v>
      </c>
      <c r="D1986">
        <v>1</v>
      </c>
      <c r="E1986">
        <v>0</v>
      </c>
      <c r="F1986">
        <v>1</v>
      </c>
      <c r="G1986">
        <v>1</v>
      </c>
      <c r="H1986">
        <v>250</v>
      </c>
      <c r="I1986">
        <f t="shared" si="289"/>
        <v>1980</v>
      </c>
      <c r="J1986" s="6">
        <f t="array" aca="1" ref="J1986:N1986" ca="1">TRANSPOSE(ols(OFFSET($C$2:$C$10,I1986,0),OFFSET($D$2:$H$10,I1986,0)))</f>
        <v>138.75</v>
      </c>
      <c r="K1986" s="6">
        <f ca="1"/>
        <v>-5</v>
      </c>
      <c r="L1986" s="6">
        <f ca="1"/>
        <v>-15.000000000000909</v>
      </c>
      <c r="M1986" s="6">
        <f ca="1"/>
        <v>-7.4999999999995453</v>
      </c>
      <c r="N1986" s="6">
        <f ca="1"/>
        <v>-0.12500000000000355</v>
      </c>
      <c r="O1986" s="6">
        <f t="shared" ca="1" si="281"/>
        <v>84.999999999998664</v>
      </c>
      <c r="P1986" t="str">
        <f t="shared" si="282"/>
        <v>NA</v>
      </c>
      <c r="Q1986" s="10">
        <f t="shared" ca="1" si="283"/>
        <v>72.499999999998295</v>
      </c>
      <c r="R1986" s="10">
        <f t="shared" ca="1" si="284"/>
        <v>116.24999999999955</v>
      </c>
      <c r="S1986" s="10">
        <f t="shared" ca="1" si="285"/>
        <v>-43.750000000001251</v>
      </c>
      <c r="T1986" s="10">
        <f t="shared" ca="1" si="286"/>
        <v>350.00000000000006</v>
      </c>
      <c r="U1986" s="10">
        <f t="shared" ca="1" si="287"/>
        <v>350.00000000000006</v>
      </c>
      <c r="V1986">
        <f t="shared" si="288"/>
        <v>6</v>
      </c>
    </row>
    <row r="1987" spans="1:22" x14ac:dyDescent="0.25">
      <c r="A1987">
        <v>221</v>
      </c>
      <c r="B1987">
        <v>6</v>
      </c>
      <c r="C1987">
        <v>75</v>
      </c>
      <c r="D1987">
        <v>1</v>
      </c>
      <c r="E1987">
        <v>0</v>
      </c>
      <c r="F1987">
        <v>1</v>
      </c>
      <c r="G1987">
        <v>1</v>
      </c>
      <c r="H1987">
        <v>350</v>
      </c>
      <c r="I1987">
        <f t="shared" si="289"/>
        <v>1980</v>
      </c>
      <c r="J1987" s="6">
        <f t="array" aca="1" ref="J1987:N1987" ca="1">TRANSPOSE(ols(OFFSET($C$2:$C$10,I1987,0),OFFSET($D$2:$H$10,I1987,0)))</f>
        <v>138.75</v>
      </c>
      <c r="K1987" s="6">
        <f ca="1"/>
        <v>-5</v>
      </c>
      <c r="L1987" s="6">
        <f ca="1"/>
        <v>-15.000000000000909</v>
      </c>
      <c r="M1987" s="6">
        <f ca="1"/>
        <v>-7.4999999999995453</v>
      </c>
      <c r="N1987" s="6">
        <f ca="1"/>
        <v>-0.12500000000000355</v>
      </c>
      <c r="O1987" s="6">
        <f t="shared" ref="O1987:O2050" ca="1" si="290">SUMPRODUCT(J1987:N1987,D1987:H1987)</f>
        <v>72.499999999998295</v>
      </c>
      <c r="P1987">
        <f t="shared" ref="P1987:P2050" ca="1" si="291">IF(AND(F1987=1,G1987=1,H1987=350),O1987,"NA")</f>
        <v>72.499999999998295</v>
      </c>
      <c r="Q1987" s="10">
        <f t="shared" ref="Q1987:Q2050" ca="1" si="292">AVERAGEIF($A$2:$A$5383,A1987,$P$2:$P$5383)</f>
        <v>72.499999999998295</v>
      </c>
      <c r="R1987" s="10">
        <f t="shared" ref="R1987:R2050" ca="1" si="293">O1987-N1987*H1987</f>
        <v>116.24999999999955</v>
      </c>
      <c r="S1987" s="10">
        <f t="shared" ref="S1987:S2050" ca="1" si="294">Q1987-R1987</f>
        <v>-43.750000000001251</v>
      </c>
      <c r="T1987" s="10">
        <f t="shared" ref="T1987:T2050" ca="1" si="295">S1987/N1987</f>
        <v>350.00000000000006</v>
      </c>
      <c r="U1987" s="10">
        <f t="shared" ref="U1987:U2050" ca="1" si="296">IF(OR(T1987&lt;250,T1987&gt;650),"OR",T1987)</f>
        <v>350.00000000000006</v>
      </c>
      <c r="V1987">
        <f t="shared" ref="V1987:V2050" si="297">IF(AND(E1987=1,G1987=0),2,IF(AND(F1987=1,G1987=0),3,IF(AND(E1987=1,G1987=1),5,IF(AND(F1987=1,G1987=1),6,IF(G1987=0,1,IF(G1987=1,4))))))</f>
        <v>6</v>
      </c>
    </row>
    <row r="1988" spans="1:22" x14ac:dyDescent="0.25">
      <c r="A1988">
        <v>221</v>
      </c>
      <c r="B1988">
        <v>7</v>
      </c>
      <c r="C1988">
        <v>70</v>
      </c>
      <c r="D1988">
        <v>1</v>
      </c>
      <c r="E1988">
        <v>1</v>
      </c>
      <c r="F1988">
        <v>0</v>
      </c>
      <c r="G1988">
        <v>1</v>
      </c>
      <c r="H1988">
        <v>450</v>
      </c>
      <c r="I1988">
        <f t="shared" si="289"/>
        <v>1980</v>
      </c>
      <c r="J1988" s="6">
        <f t="array" aca="1" ref="J1988:N1988" ca="1">TRANSPOSE(ols(OFFSET($C$2:$C$10,I1988,0),OFFSET($D$2:$H$10,I1988,0)))</f>
        <v>138.75</v>
      </c>
      <c r="K1988" s="6">
        <f ca="1"/>
        <v>-5</v>
      </c>
      <c r="L1988" s="6">
        <f ca="1"/>
        <v>-15.000000000000909</v>
      </c>
      <c r="M1988" s="6">
        <f ca="1"/>
        <v>-7.4999999999995453</v>
      </c>
      <c r="N1988" s="6">
        <f ca="1"/>
        <v>-0.12500000000000355</v>
      </c>
      <c r="O1988" s="6">
        <f t="shared" ca="1" si="290"/>
        <v>69.999999999998863</v>
      </c>
      <c r="P1988" t="str">
        <f t="shared" si="291"/>
        <v>NA</v>
      </c>
      <c r="Q1988" s="10">
        <f t="shared" ca="1" si="292"/>
        <v>72.499999999998295</v>
      </c>
      <c r="R1988" s="10">
        <f t="shared" ca="1" si="293"/>
        <v>126.25000000000045</v>
      </c>
      <c r="S1988" s="10">
        <f t="shared" ca="1" si="294"/>
        <v>-53.75000000000216</v>
      </c>
      <c r="T1988" s="10">
        <f t="shared" ca="1" si="295"/>
        <v>430.00000000000506</v>
      </c>
      <c r="U1988" s="10">
        <f t="shared" ca="1" si="296"/>
        <v>430.00000000000506</v>
      </c>
      <c r="V1988">
        <f t="shared" si="297"/>
        <v>5</v>
      </c>
    </row>
    <row r="1989" spans="1:22" x14ac:dyDescent="0.25">
      <c r="A1989">
        <v>221</v>
      </c>
      <c r="B1989">
        <v>8</v>
      </c>
      <c r="C1989">
        <v>55</v>
      </c>
      <c r="D1989">
        <v>1</v>
      </c>
      <c r="E1989">
        <v>1</v>
      </c>
      <c r="F1989">
        <v>0</v>
      </c>
      <c r="G1989">
        <v>1</v>
      </c>
      <c r="H1989">
        <v>550</v>
      </c>
      <c r="I1989">
        <f t="shared" si="289"/>
        <v>1980</v>
      </c>
      <c r="J1989" s="6">
        <f t="array" aca="1" ref="J1989:N1989" ca="1">TRANSPOSE(ols(OFFSET($C$2:$C$10,I1989,0),OFFSET($D$2:$H$10,I1989,0)))</f>
        <v>138.75</v>
      </c>
      <c r="K1989" s="6">
        <f ca="1"/>
        <v>-5</v>
      </c>
      <c r="L1989" s="6">
        <f ca="1"/>
        <v>-15.000000000000909</v>
      </c>
      <c r="M1989" s="6">
        <f ca="1"/>
        <v>-7.4999999999995453</v>
      </c>
      <c r="N1989" s="6">
        <f ca="1"/>
        <v>-0.12500000000000355</v>
      </c>
      <c r="O1989" s="6">
        <f t="shared" ca="1" si="290"/>
        <v>57.499999999998494</v>
      </c>
      <c r="P1989" t="str">
        <f t="shared" si="291"/>
        <v>NA</v>
      </c>
      <c r="Q1989" s="10">
        <f t="shared" ca="1" si="292"/>
        <v>72.499999999998295</v>
      </c>
      <c r="R1989" s="10">
        <f t="shared" ca="1" si="293"/>
        <v>126.25000000000045</v>
      </c>
      <c r="S1989" s="10">
        <f t="shared" ca="1" si="294"/>
        <v>-53.75000000000216</v>
      </c>
      <c r="T1989" s="10">
        <f t="shared" ca="1" si="295"/>
        <v>430.00000000000506</v>
      </c>
      <c r="U1989" s="10">
        <f t="shared" ca="1" si="296"/>
        <v>430.00000000000506</v>
      </c>
      <c r="V1989">
        <f t="shared" si="297"/>
        <v>5</v>
      </c>
    </row>
    <row r="1990" spans="1:22" x14ac:dyDescent="0.25">
      <c r="A1990">
        <v>221</v>
      </c>
      <c r="B1990">
        <v>9</v>
      </c>
      <c r="C1990">
        <v>50</v>
      </c>
      <c r="D1990">
        <v>1</v>
      </c>
      <c r="E1990">
        <v>0</v>
      </c>
      <c r="F1990">
        <v>0</v>
      </c>
      <c r="G1990">
        <v>1</v>
      </c>
      <c r="H1990">
        <v>650</v>
      </c>
      <c r="I1990">
        <f t="shared" si="289"/>
        <v>1980</v>
      </c>
      <c r="J1990" s="6">
        <f t="array" aca="1" ref="J1990:N1990" ca="1">TRANSPOSE(ols(OFFSET($C$2:$C$10,I1990,0),OFFSET($D$2:$H$10,I1990,0)))</f>
        <v>138.75</v>
      </c>
      <c r="K1990" s="6">
        <f ca="1"/>
        <v>-5</v>
      </c>
      <c r="L1990" s="6">
        <f ca="1"/>
        <v>-15.000000000000909</v>
      </c>
      <c r="M1990" s="6">
        <f ca="1"/>
        <v>-7.4999999999995453</v>
      </c>
      <c r="N1990" s="6">
        <f ca="1"/>
        <v>-0.12500000000000355</v>
      </c>
      <c r="O1990" s="6">
        <f t="shared" ca="1" si="290"/>
        <v>49.999999999998153</v>
      </c>
      <c r="P1990" t="str">
        <f t="shared" si="291"/>
        <v>NA</v>
      </c>
      <c r="Q1990" s="10">
        <f t="shared" ca="1" si="292"/>
        <v>72.499999999998295</v>
      </c>
      <c r="R1990" s="10">
        <f t="shared" ca="1" si="293"/>
        <v>131.25000000000045</v>
      </c>
      <c r="S1990" s="10">
        <f t="shared" ca="1" si="294"/>
        <v>-58.75000000000216</v>
      </c>
      <c r="T1990" s="10">
        <f t="shared" ca="1" si="295"/>
        <v>470.00000000000392</v>
      </c>
      <c r="U1990" s="10">
        <f t="shared" ca="1" si="296"/>
        <v>470.00000000000392</v>
      </c>
      <c r="V1990">
        <f t="shared" si="297"/>
        <v>4</v>
      </c>
    </row>
    <row r="1991" spans="1:22" x14ac:dyDescent="0.25">
      <c r="A1991">
        <v>222</v>
      </c>
      <c r="B1991">
        <v>1</v>
      </c>
      <c r="C1991">
        <v>70</v>
      </c>
      <c r="D1991">
        <v>1</v>
      </c>
      <c r="E1991">
        <v>0</v>
      </c>
      <c r="F1991">
        <v>1</v>
      </c>
      <c r="G1991">
        <v>0</v>
      </c>
      <c r="H1991">
        <v>250</v>
      </c>
      <c r="I1991">
        <f t="shared" si="289"/>
        <v>1989</v>
      </c>
      <c r="J1991" s="6">
        <f t="array" aca="1" ref="J1991:N1991" ca="1">TRANSPOSE(ols(OFFSET($C$2:$C$10,I1991,0),OFFSET($D$2:$H$10,I1991,0)))</f>
        <v>132.49999999999818</v>
      </c>
      <c r="K1991" s="6">
        <f ca="1"/>
        <v>-6.25</v>
      </c>
      <c r="L1991" s="6">
        <f ca="1"/>
        <v>-27.499999999999091</v>
      </c>
      <c r="M1991" s="6">
        <f ca="1"/>
        <v>15.000000000000455</v>
      </c>
      <c r="N1991" s="6">
        <f ca="1"/>
        <v>-0.15000000000000036</v>
      </c>
      <c r="O1991" s="6">
        <f t="shared" ca="1" si="290"/>
        <v>67.499999999999005</v>
      </c>
      <c r="P1991" t="str">
        <f t="shared" si="291"/>
        <v>NA</v>
      </c>
      <c r="Q1991" s="10">
        <f t="shared" ca="1" si="292"/>
        <v>67.499999999999417</v>
      </c>
      <c r="R1991" s="10">
        <f t="shared" ca="1" si="293"/>
        <v>104.99999999999909</v>
      </c>
      <c r="S1991" s="10">
        <f t="shared" ca="1" si="294"/>
        <v>-37.499999999999673</v>
      </c>
      <c r="T1991" s="10">
        <f t="shared" ca="1" si="295"/>
        <v>249.99999999999721</v>
      </c>
      <c r="U1991" s="10" t="str">
        <f t="shared" ca="1" si="296"/>
        <v>OR</v>
      </c>
      <c r="V1991">
        <f t="shared" si="297"/>
        <v>3</v>
      </c>
    </row>
    <row r="1992" spans="1:22" x14ac:dyDescent="0.25">
      <c r="A1992">
        <v>222</v>
      </c>
      <c r="B1992">
        <v>2</v>
      </c>
      <c r="C1992">
        <v>70</v>
      </c>
      <c r="D1992">
        <v>1</v>
      </c>
      <c r="E1992">
        <v>1</v>
      </c>
      <c r="F1992">
        <v>0</v>
      </c>
      <c r="G1992">
        <v>0</v>
      </c>
      <c r="H1992">
        <v>350</v>
      </c>
      <c r="I1992">
        <f t="shared" si="289"/>
        <v>1989</v>
      </c>
      <c r="J1992" s="6">
        <f t="array" aca="1" ref="J1992:N1992" ca="1">TRANSPOSE(ols(OFFSET($C$2:$C$10,I1992,0),OFFSET($D$2:$H$10,I1992,0)))</f>
        <v>132.49999999999818</v>
      </c>
      <c r="K1992" s="6">
        <f ca="1"/>
        <v>-6.25</v>
      </c>
      <c r="L1992" s="6">
        <f ca="1"/>
        <v>-27.499999999999091</v>
      </c>
      <c r="M1992" s="6">
        <f ca="1"/>
        <v>15.000000000000455</v>
      </c>
      <c r="N1992" s="6">
        <f ca="1"/>
        <v>-0.15000000000000036</v>
      </c>
      <c r="O1992" s="6">
        <f t="shared" ca="1" si="290"/>
        <v>73.749999999998053</v>
      </c>
      <c r="P1992" t="str">
        <f t="shared" si="291"/>
        <v>NA</v>
      </c>
      <c r="Q1992" s="10">
        <f t="shared" ca="1" si="292"/>
        <v>67.499999999999417</v>
      </c>
      <c r="R1992" s="10">
        <f t="shared" ca="1" si="293"/>
        <v>126.24999999999818</v>
      </c>
      <c r="S1992" s="10">
        <f t="shared" ca="1" si="294"/>
        <v>-58.749999999998764</v>
      </c>
      <c r="T1992" s="10">
        <f t="shared" ca="1" si="295"/>
        <v>391.66666666665748</v>
      </c>
      <c r="U1992" s="10">
        <f t="shared" ca="1" si="296"/>
        <v>391.66666666665748</v>
      </c>
      <c r="V1992">
        <f t="shared" si="297"/>
        <v>2</v>
      </c>
    </row>
    <row r="1993" spans="1:22" x14ac:dyDescent="0.25">
      <c r="A1993">
        <v>222</v>
      </c>
      <c r="B1993">
        <v>3</v>
      </c>
      <c r="C1993">
        <v>60</v>
      </c>
      <c r="D1993">
        <v>1</v>
      </c>
      <c r="E1993">
        <v>1</v>
      </c>
      <c r="F1993">
        <v>0</v>
      </c>
      <c r="G1993">
        <v>0</v>
      </c>
      <c r="H1993">
        <v>450</v>
      </c>
      <c r="I1993">
        <f t="shared" si="289"/>
        <v>1989</v>
      </c>
      <c r="J1993" s="6">
        <f t="array" aca="1" ref="J1993:N1993" ca="1">TRANSPOSE(ols(OFFSET($C$2:$C$10,I1993,0),OFFSET($D$2:$H$10,I1993,0)))</f>
        <v>132.49999999999818</v>
      </c>
      <c r="K1993" s="6">
        <f ca="1"/>
        <v>-6.25</v>
      </c>
      <c r="L1993" s="6">
        <f ca="1"/>
        <v>-27.499999999999091</v>
      </c>
      <c r="M1993" s="6">
        <f ca="1"/>
        <v>15.000000000000455</v>
      </c>
      <c r="N1993" s="6">
        <f ca="1"/>
        <v>-0.15000000000000036</v>
      </c>
      <c r="O1993" s="6">
        <f t="shared" ca="1" si="290"/>
        <v>58.749999999998025</v>
      </c>
      <c r="P1993" t="str">
        <f t="shared" si="291"/>
        <v>NA</v>
      </c>
      <c r="Q1993" s="10">
        <f t="shared" ca="1" si="292"/>
        <v>67.499999999999417</v>
      </c>
      <c r="R1993" s="10">
        <f t="shared" ca="1" si="293"/>
        <v>126.24999999999818</v>
      </c>
      <c r="S1993" s="10">
        <f t="shared" ca="1" si="294"/>
        <v>-58.749999999998764</v>
      </c>
      <c r="T1993" s="10">
        <f t="shared" ca="1" si="295"/>
        <v>391.66666666665748</v>
      </c>
      <c r="U1993" s="10">
        <f t="shared" ca="1" si="296"/>
        <v>391.66666666665748</v>
      </c>
      <c r="V1993">
        <f t="shared" si="297"/>
        <v>2</v>
      </c>
    </row>
    <row r="1994" spans="1:22" x14ac:dyDescent="0.25">
      <c r="A1994">
        <v>222</v>
      </c>
      <c r="B1994">
        <v>4</v>
      </c>
      <c r="C1994">
        <v>50</v>
      </c>
      <c r="D1994">
        <v>1</v>
      </c>
      <c r="E1994">
        <v>0</v>
      </c>
      <c r="F1994">
        <v>0</v>
      </c>
      <c r="G1994">
        <v>0</v>
      </c>
      <c r="H1994">
        <v>550</v>
      </c>
      <c r="I1994">
        <f t="shared" si="289"/>
        <v>1989</v>
      </c>
      <c r="J1994" s="6">
        <f t="array" aca="1" ref="J1994:N1994" ca="1">TRANSPOSE(ols(OFFSET($C$2:$C$10,I1994,0),OFFSET($D$2:$H$10,I1994,0)))</f>
        <v>132.49999999999818</v>
      </c>
      <c r="K1994" s="6">
        <f ca="1"/>
        <v>-6.25</v>
      </c>
      <c r="L1994" s="6">
        <f ca="1"/>
        <v>-27.499999999999091</v>
      </c>
      <c r="M1994" s="6">
        <f ca="1"/>
        <v>15.000000000000455</v>
      </c>
      <c r="N1994" s="6">
        <f ca="1"/>
        <v>-0.15000000000000036</v>
      </c>
      <c r="O1994" s="6">
        <f t="shared" ca="1" si="290"/>
        <v>49.999999999997982</v>
      </c>
      <c r="P1994" t="str">
        <f t="shared" si="291"/>
        <v>NA</v>
      </c>
      <c r="Q1994" s="10">
        <f t="shared" ca="1" si="292"/>
        <v>67.499999999999417</v>
      </c>
      <c r="R1994" s="10">
        <f t="shared" ca="1" si="293"/>
        <v>132.49999999999818</v>
      </c>
      <c r="S1994" s="10">
        <f t="shared" ca="1" si="294"/>
        <v>-64.999999999998764</v>
      </c>
      <c r="T1994" s="10">
        <f t="shared" ca="1" si="295"/>
        <v>433.33333333332405</v>
      </c>
      <c r="U1994" s="10">
        <f t="shared" ca="1" si="296"/>
        <v>433.33333333332405</v>
      </c>
      <c r="V1994">
        <f t="shared" si="297"/>
        <v>1</v>
      </c>
    </row>
    <row r="1995" spans="1:22" x14ac:dyDescent="0.25">
      <c r="A1995">
        <v>222</v>
      </c>
      <c r="B1995">
        <v>5</v>
      </c>
      <c r="C1995">
        <v>85</v>
      </c>
      <c r="D1995">
        <v>1</v>
      </c>
      <c r="E1995">
        <v>0</v>
      </c>
      <c r="F1995">
        <v>1</v>
      </c>
      <c r="G1995">
        <v>1</v>
      </c>
      <c r="H1995">
        <v>250</v>
      </c>
      <c r="I1995">
        <f t="shared" si="289"/>
        <v>1989</v>
      </c>
      <c r="J1995" s="6">
        <f t="array" aca="1" ref="J1995:N1995" ca="1">TRANSPOSE(ols(OFFSET($C$2:$C$10,I1995,0),OFFSET($D$2:$H$10,I1995,0)))</f>
        <v>132.49999999999818</v>
      </c>
      <c r="K1995" s="6">
        <f ca="1"/>
        <v>-6.25</v>
      </c>
      <c r="L1995" s="6">
        <f ca="1"/>
        <v>-27.499999999999091</v>
      </c>
      <c r="M1995" s="6">
        <f ca="1"/>
        <v>15.000000000000455</v>
      </c>
      <c r="N1995" s="6">
        <f ca="1"/>
        <v>-0.15000000000000036</v>
      </c>
      <c r="O1995" s="6">
        <f t="shared" ca="1" si="290"/>
        <v>82.49999999999946</v>
      </c>
      <c r="P1995" t="str">
        <f t="shared" si="291"/>
        <v>NA</v>
      </c>
      <c r="Q1995" s="10">
        <f t="shared" ca="1" si="292"/>
        <v>67.499999999999417</v>
      </c>
      <c r="R1995" s="10">
        <f t="shared" ca="1" si="293"/>
        <v>119.99999999999955</v>
      </c>
      <c r="S1995" s="10">
        <f t="shared" ca="1" si="294"/>
        <v>-52.500000000000128</v>
      </c>
      <c r="T1995" s="10">
        <f t="shared" ca="1" si="295"/>
        <v>350</v>
      </c>
      <c r="U1995" s="10">
        <f t="shared" ca="1" si="296"/>
        <v>350</v>
      </c>
      <c r="V1995">
        <f t="shared" si="297"/>
        <v>6</v>
      </c>
    </row>
    <row r="1996" spans="1:22" x14ac:dyDescent="0.25">
      <c r="A1996">
        <v>222</v>
      </c>
      <c r="B1996">
        <v>6</v>
      </c>
      <c r="C1996">
        <v>62.5</v>
      </c>
      <c r="D1996">
        <v>1</v>
      </c>
      <c r="E1996">
        <v>0</v>
      </c>
      <c r="F1996">
        <v>1</v>
      </c>
      <c r="G1996">
        <v>1</v>
      </c>
      <c r="H1996">
        <v>350</v>
      </c>
      <c r="I1996">
        <f t="shared" ref="I1996:I2059" si="298">IF(A1996&gt;A1995,I1995+9,I1995)</f>
        <v>1989</v>
      </c>
      <c r="J1996" s="6">
        <f t="array" aca="1" ref="J1996:N1996" ca="1">TRANSPOSE(ols(OFFSET($C$2:$C$10,I1996,0),OFFSET($D$2:$H$10,I1996,0)))</f>
        <v>132.49999999999818</v>
      </c>
      <c r="K1996" s="6">
        <f ca="1"/>
        <v>-6.25</v>
      </c>
      <c r="L1996" s="6">
        <f ca="1"/>
        <v>-27.499999999999091</v>
      </c>
      <c r="M1996" s="6">
        <f ca="1"/>
        <v>15.000000000000455</v>
      </c>
      <c r="N1996" s="6">
        <f ca="1"/>
        <v>-0.15000000000000036</v>
      </c>
      <c r="O1996" s="6">
        <f t="shared" ca="1" si="290"/>
        <v>67.499999999999417</v>
      </c>
      <c r="P1996">
        <f t="shared" ca="1" si="291"/>
        <v>67.499999999999417</v>
      </c>
      <c r="Q1996" s="10">
        <f t="shared" ca="1" si="292"/>
        <v>67.499999999999417</v>
      </c>
      <c r="R1996" s="10">
        <f t="shared" ca="1" si="293"/>
        <v>119.99999999999955</v>
      </c>
      <c r="S1996" s="10">
        <f t="shared" ca="1" si="294"/>
        <v>-52.500000000000128</v>
      </c>
      <c r="T1996" s="10">
        <f t="shared" ca="1" si="295"/>
        <v>350</v>
      </c>
      <c r="U1996" s="10">
        <f t="shared" ca="1" si="296"/>
        <v>350</v>
      </c>
      <c r="V1996">
        <f t="shared" si="297"/>
        <v>6</v>
      </c>
    </row>
    <row r="1997" spans="1:22" x14ac:dyDescent="0.25">
      <c r="A1997">
        <v>222</v>
      </c>
      <c r="B1997">
        <v>7</v>
      </c>
      <c r="C1997">
        <v>75</v>
      </c>
      <c r="D1997">
        <v>1</v>
      </c>
      <c r="E1997">
        <v>1</v>
      </c>
      <c r="F1997">
        <v>0</v>
      </c>
      <c r="G1997">
        <v>1</v>
      </c>
      <c r="H1997">
        <v>450</v>
      </c>
      <c r="I1997">
        <f t="shared" si="298"/>
        <v>1989</v>
      </c>
      <c r="J1997" s="6">
        <f t="array" aca="1" ref="J1997:N1997" ca="1">TRANSPOSE(ols(OFFSET($C$2:$C$10,I1997,0),OFFSET($D$2:$H$10,I1997,0)))</f>
        <v>132.49999999999818</v>
      </c>
      <c r="K1997" s="6">
        <f ca="1"/>
        <v>-6.25</v>
      </c>
      <c r="L1997" s="6">
        <f ca="1"/>
        <v>-27.499999999999091</v>
      </c>
      <c r="M1997" s="6">
        <f ca="1"/>
        <v>15.000000000000455</v>
      </c>
      <c r="N1997" s="6">
        <f ca="1"/>
        <v>-0.15000000000000036</v>
      </c>
      <c r="O1997" s="6">
        <f t="shared" ca="1" si="290"/>
        <v>73.749999999998479</v>
      </c>
      <c r="P1997" t="str">
        <f t="shared" si="291"/>
        <v>NA</v>
      </c>
      <c r="Q1997" s="10">
        <f t="shared" ca="1" si="292"/>
        <v>67.499999999999417</v>
      </c>
      <c r="R1997" s="10">
        <f t="shared" ca="1" si="293"/>
        <v>141.24999999999864</v>
      </c>
      <c r="S1997" s="10">
        <f t="shared" ca="1" si="294"/>
        <v>-73.749999999999218</v>
      </c>
      <c r="T1997" s="10">
        <f t="shared" ca="1" si="295"/>
        <v>491.66666666666032</v>
      </c>
      <c r="U1997" s="10">
        <f t="shared" ca="1" si="296"/>
        <v>491.66666666666032</v>
      </c>
      <c r="V1997">
        <f t="shared" si="297"/>
        <v>5</v>
      </c>
    </row>
    <row r="1998" spans="1:22" x14ac:dyDescent="0.25">
      <c r="A1998">
        <v>222</v>
      </c>
      <c r="B1998">
        <v>8</v>
      </c>
      <c r="C1998">
        <v>60</v>
      </c>
      <c r="D1998">
        <v>1</v>
      </c>
      <c r="E1998">
        <v>1</v>
      </c>
      <c r="F1998">
        <v>0</v>
      </c>
      <c r="G1998">
        <v>1</v>
      </c>
      <c r="H1998">
        <v>550</v>
      </c>
      <c r="I1998">
        <f t="shared" si="298"/>
        <v>1989</v>
      </c>
      <c r="J1998" s="6">
        <f t="array" aca="1" ref="J1998:N1998" ca="1">TRANSPOSE(ols(OFFSET($C$2:$C$10,I1998,0),OFFSET($D$2:$H$10,I1998,0)))</f>
        <v>132.49999999999818</v>
      </c>
      <c r="K1998" s="6">
        <f ca="1"/>
        <v>-6.25</v>
      </c>
      <c r="L1998" s="6">
        <f ca="1"/>
        <v>-27.499999999999091</v>
      </c>
      <c r="M1998" s="6">
        <f ca="1"/>
        <v>15.000000000000455</v>
      </c>
      <c r="N1998" s="6">
        <f ca="1"/>
        <v>-0.15000000000000036</v>
      </c>
      <c r="O1998" s="6">
        <f t="shared" ca="1" si="290"/>
        <v>58.749999999998437</v>
      </c>
      <c r="P1998" t="str">
        <f t="shared" si="291"/>
        <v>NA</v>
      </c>
      <c r="Q1998" s="10">
        <f t="shared" ca="1" si="292"/>
        <v>67.499999999999417</v>
      </c>
      <c r="R1998" s="10">
        <f t="shared" ca="1" si="293"/>
        <v>141.24999999999864</v>
      </c>
      <c r="S1998" s="10">
        <f t="shared" ca="1" si="294"/>
        <v>-73.749999999999218</v>
      </c>
      <c r="T1998" s="10">
        <f t="shared" ca="1" si="295"/>
        <v>491.66666666666032</v>
      </c>
      <c r="U1998" s="10">
        <f t="shared" ca="1" si="296"/>
        <v>491.66666666666032</v>
      </c>
      <c r="V1998">
        <f t="shared" si="297"/>
        <v>5</v>
      </c>
    </row>
    <row r="1999" spans="1:22" x14ac:dyDescent="0.25">
      <c r="A1999">
        <v>222</v>
      </c>
      <c r="B1999">
        <v>9</v>
      </c>
      <c r="C1999">
        <v>50</v>
      </c>
      <c r="D1999">
        <v>1</v>
      </c>
      <c r="E1999">
        <v>0</v>
      </c>
      <c r="F1999">
        <v>0</v>
      </c>
      <c r="G1999">
        <v>1</v>
      </c>
      <c r="H1999">
        <v>650</v>
      </c>
      <c r="I1999">
        <f t="shared" si="298"/>
        <v>1989</v>
      </c>
      <c r="J1999" s="6">
        <f t="array" aca="1" ref="J1999:N1999" ca="1">TRANSPOSE(ols(OFFSET($C$2:$C$10,I1999,0),OFFSET($D$2:$H$10,I1999,0)))</f>
        <v>132.49999999999818</v>
      </c>
      <c r="K1999" s="6">
        <f ca="1"/>
        <v>-6.25</v>
      </c>
      <c r="L1999" s="6">
        <f ca="1"/>
        <v>-27.499999999999091</v>
      </c>
      <c r="M1999" s="6">
        <f ca="1"/>
        <v>15.000000000000455</v>
      </c>
      <c r="N1999" s="6">
        <f ca="1"/>
        <v>-0.15000000000000036</v>
      </c>
      <c r="O1999" s="6">
        <f t="shared" ca="1" si="290"/>
        <v>49.999999999998408</v>
      </c>
      <c r="P1999" t="str">
        <f t="shared" si="291"/>
        <v>NA</v>
      </c>
      <c r="Q1999" s="10">
        <f t="shared" ca="1" si="292"/>
        <v>67.499999999999417</v>
      </c>
      <c r="R1999" s="10">
        <f t="shared" ca="1" si="293"/>
        <v>147.49999999999864</v>
      </c>
      <c r="S1999" s="10">
        <f t="shared" ca="1" si="294"/>
        <v>-79.999999999999218</v>
      </c>
      <c r="T1999" s="10">
        <f t="shared" ca="1" si="295"/>
        <v>533.33333333332689</v>
      </c>
      <c r="U1999" s="10">
        <f t="shared" ca="1" si="296"/>
        <v>533.33333333332689</v>
      </c>
      <c r="V1999">
        <f t="shared" si="297"/>
        <v>4</v>
      </c>
    </row>
    <row r="2000" spans="1:22" x14ac:dyDescent="0.25">
      <c r="A2000">
        <v>223</v>
      </c>
      <c r="B2000">
        <v>1</v>
      </c>
      <c r="C2000">
        <v>40</v>
      </c>
      <c r="D2000">
        <v>1</v>
      </c>
      <c r="E2000">
        <v>0</v>
      </c>
      <c r="F2000">
        <v>1</v>
      </c>
      <c r="G2000">
        <v>0</v>
      </c>
      <c r="H2000">
        <v>250</v>
      </c>
      <c r="I2000">
        <f t="shared" si="298"/>
        <v>1998</v>
      </c>
      <c r="J2000" s="6">
        <f t="array" aca="1" ref="J2000:N2000" ca="1">TRANSPOSE(ols(OFFSET($C$2:$C$10,I2000,0),OFFSET($D$2:$H$10,I2000,0)))</f>
        <v>68.273809523808723</v>
      </c>
      <c r="K2000" s="6">
        <f ca="1"/>
        <v>0.71428571428589294</v>
      </c>
      <c r="L2000" s="6">
        <f ca="1"/>
        <v>-5.4761904761903679</v>
      </c>
      <c r="M2000" s="6">
        <f ca="1"/>
        <v>-4.7619047619045887</v>
      </c>
      <c r="N2000" s="6">
        <f ca="1"/>
        <v>-8.690476190476204E-2</v>
      </c>
      <c r="O2000" s="6">
        <f t="shared" ca="1" si="290"/>
        <v>41.071428571427845</v>
      </c>
      <c r="P2000" t="str">
        <f t="shared" si="291"/>
        <v>NA</v>
      </c>
      <c r="Q2000" s="10">
        <f t="shared" ca="1" si="292"/>
        <v>27.619047619047052</v>
      </c>
      <c r="R2000" s="10">
        <f t="shared" ca="1" si="293"/>
        <v>62.797619047618355</v>
      </c>
      <c r="S2000" s="10">
        <f t="shared" ca="1" si="294"/>
        <v>-35.178571428571303</v>
      </c>
      <c r="T2000" s="10">
        <f t="shared" ca="1" si="295"/>
        <v>404.79452054794314</v>
      </c>
      <c r="U2000" s="10">
        <f t="shared" ca="1" si="296"/>
        <v>404.79452054794314</v>
      </c>
      <c r="V2000">
        <f t="shared" si="297"/>
        <v>3</v>
      </c>
    </row>
    <row r="2001" spans="1:22" x14ac:dyDescent="0.25">
      <c r="A2001">
        <v>223</v>
      </c>
      <c r="B2001">
        <v>2</v>
      </c>
      <c r="C2001">
        <v>40</v>
      </c>
      <c r="D2001">
        <v>1</v>
      </c>
      <c r="E2001">
        <v>1</v>
      </c>
      <c r="F2001">
        <v>0</v>
      </c>
      <c r="G2001">
        <v>0</v>
      </c>
      <c r="H2001">
        <v>350</v>
      </c>
      <c r="I2001">
        <f t="shared" si="298"/>
        <v>1998</v>
      </c>
      <c r="J2001" s="6">
        <f t="array" aca="1" ref="J2001:N2001" ca="1">TRANSPOSE(ols(OFFSET($C$2:$C$10,I2001,0),OFFSET($D$2:$H$10,I2001,0)))</f>
        <v>68.273809523808723</v>
      </c>
      <c r="K2001" s="6">
        <f ca="1"/>
        <v>0.71428571428589294</v>
      </c>
      <c r="L2001" s="6">
        <f ca="1"/>
        <v>-5.4761904761903679</v>
      </c>
      <c r="M2001" s="6">
        <f ca="1"/>
        <v>-4.7619047619045887</v>
      </c>
      <c r="N2001" s="6">
        <f ca="1"/>
        <v>-8.690476190476204E-2</v>
      </c>
      <c r="O2001" s="6">
        <f t="shared" ca="1" si="290"/>
        <v>38.571428571427901</v>
      </c>
      <c r="P2001" t="str">
        <f t="shared" si="291"/>
        <v>NA</v>
      </c>
      <c r="Q2001" s="10">
        <f t="shared" ca="1" si="292"/>
        <v>27.619047619047052</v>
      </c>
      <c r="R2001" s="10">
        <f t="shared" ca="1" si="293"/>
        <v>68.988095238094616</v>
      </c>
      <c r="S2001" s="10">
        <f t="shared" ca="1" si="294"/>
        <v>-41.369047619047564</v>
      </c>
      <c r="T2001" s="10">
        <f t="shared" ca="1" si="295"/>
        <v>476.02739726027261</v>
      </c>
      <c r="U2001" s="10">
        <f t="shared" ca="1" si="296"/>
        <v>476.02739726027261</v>
      </c>
      <c r="V2001">
        <f t="shared" si="297"/>
        <v>2</v>
      </c>
    </row>
    <row r="2002" spans="1:22" x14ac:dyDescent="0.25">
      <c r="A2002">
        <v>223</v>
      </c>
      <c r="B2002">
        <v>3</v>
      </c>
      <c r="C2002">
        <v>30</v>
      </c>
      <c r="D2002">
        <v>1</v>
      </c>
      <c r="E2002">
        <v>1</v>
      </c>
      <c r="F2002">
        <v>0</v>
      </c>
      <c r="G2002">
        <v>0</v>
      </c>
      <c r="H2002">
        <v>450</v>
      </c>
      <c r="I2002">
        <f t="shared" si="298"/>
        <v>1998</v>
      </c>
      <c r="J2002" s="6">
        <f t="array" aca="1" ref="J2002:N2002" ca="1">TRANSPOSE(ols(OFFSET($C$2:$C$10,I2002,0),OFFSET($D$2:$H$10,I2002,0)))</f>
        <v>68.273809523808723</v>
      </c>
      <c r="K2002" s="6">
        <f ca="1"/>
        <v>0.71428571428589294</v>
      </c>
      <c r="L2002" s="6">
        <f ca="1"/>
        <v>-5.4761904761903679</v>
      </c>
      <c r="M2002" s="6">
        <f ca="1"/>
        <v>-4.7619047619045887</v>
      </c>
      <c r="N2002" s="6">
        <f ca="1"/>
        <v>-8.690476190476204E-2</v>
      </c>
      <c r="O2002" s="6">
        <f t="shared" ca="1" si="290"/>
        <v>29.880952380951697</v>
      </c>
      <c r="P2002" t="str">
        <f t="shared" si="291"/>
        <v>NA</v>
      </c>
      <c r="Q2002" s="10">
        <f t="shared" ca="1" si="292"/>
        <v>27.619047619047052</v>
      </c>
      <c r="R2002" s="10">
        <f t="shared" ca="1" si="293"/>
        <v>68.988095238094616</v>
      </c>
      <c r="S2002" s="10">
        <f t="shared" ca="1" si="294"/>
        <v>-41.369047619047564</v>
      </c>
      <c r="T2002" s="10">
        <f t="shared" ca="1" si="295"/>
        <v>476.02739726027261</v>
      </c>
      <c r="U2002" s="10">
        <f t="shared" ca="1" si="296"/>
        <v>476.02739726027261</v>
      </c>
      <c r="V2002">
        <f t="shared" si="297"/>
        <v>2</v>
      </c>
    </row>
    <row r="2003" spans="1:22" x14ac:dyDescent="0.25">
      <c r="A2003">
        <v>223</v>
      </c>
      <c r="B2003">
        <v>4</v>
      </c>
      <c r="C2003">
        <v>20</v>
      </c>
      <c r="D2003">
        <v>1</v>
      </c>
      <c r="E2003">
        <v>0</v>
      </c>
      <c r="F2003">
        <v>0</v>
      </c>
      <c r="G2003">
        <v>0</v>
      </c>
      <c r="H2003">
        <v>550</v>
      </c>
      <c r="I2003">
        <f t="shared" si="298"/>
        <v>1998</v>
      </c>
      <c r="J2003" s="6">
        <f t="array" aca="1" ref="J2003:N2003" ca="1">TRANSPOSE(ols(OFFSET($C$2:$C$10,I2003,0),OFFSET($D$2:$H$10,I2003,0)))</f>
        <v>68.273809523808723</v>
      </c>
      <c r="K2003" s="6">
        <f ca="1"/>
        <v>0.71428571428589294</v>
      </c>
      <c r="L2003" s="6">
        <f ca="1"/>
        <v>-5.4761904761903679</v>
      </c>
      <c r="M2003" s="6">
        <f ca="1"/>
        <v>-4.7619047619045887</v>
      </c>
      <c r="N2003" s="6">
        <f ca="1"/>
        <v>-8.690476190476204E-2</v>
      </c>
      <c r="O2003" s="6">
        <f t="shared" ca="1" si="290"/>
        <v>20.476190476189601</v>
      </c>
      <c r="P2003" t="str">
        <f t="shared" si="291"/>
        <v>NA</v>
      </c>
      <c r="Q2003" s="10">
        <f t="shared" ca="1" si="292"/>
        <v>27.619047619047052</v>
      </c>
      <c r="R2003" s="10">
        <f t="shared" ca="1" si="293"/>
        <v>68.273809523808723</v>
      </c>
      <c r="S2003" s="10">
        <f t="shared" ca="1" si="294"/>
        <v>-40.654761904761671</v>
      </c>
      <c r="T2003" s="10">
        <f t="shared" ca="1" si="295"/>
        <v>467.80821917807879</v>
      </c>
      <c r="U2003" s="10">
        <f t="shared" ca="1" si="296"/>
        <v>467.80821917807879</v>
      </c>
      <c r="V2003">
        <f t="shared" si="297"/>
        <v>1</v>
      </c>
    </row>
    <row r="2004" spans="1:22" x14ac:dyDescent="0.25">
      <c r="A2004">
        <v>223</v>
      </c>
      <c r="B2004">
        <v>5</v>
      </c>
      <c r="C2004">
        <v>35</v>
      </c>
      <c r="D2004">
        <v>1</v>
      </c>
      <c r="E2004">
        <v>0</v>
      </c>
      <c r="F2004">
        <v>1</v>
      </c>
      <c r="G2004">
        <v>1</v>
      </c>
      <c r="H2004">
        <v>250</v>
      </c>
      <c r="I2004">
        <f t="shared" si="298"/>
        <v>1998</v>
      </c>
      <c r="J2004" s="6">
        <f t="array" aca="1" ref="J2004:N2004" ca="1">TRANSPOSE(ols(OFFSET($C$2:$C$10,I2004,0),OFFSET($D$2:$H$10,I2004,0)))</f>
        <v>68.273809523808723</v>
      </c>
      <c r="K2004" s="6">
        <f ca="1"/>
        <v>0.71428571428589294</v>
      </c>
      <c r="L2004" s="6">
        <f ca="1"/>
        <v>-5.4761904761903679</v>
      </c>
      <c r="M2004" s="6">
        <f ca="1"/>
        <v>-4.7619047619045887</v>
      </c>
      <c r="N2004" s="6">
        <f ca="1"/>
        <v>-8.690476190476204E-2</v>
      </c>
      <c r="O2004" s="6">
        <f t="shared" ca="1" si="290"/>
        <v>36.309523809523256</v>
      </c>
      <c r="P2004" t="str">
        <f t="shared" si="291"/>
        <v>NA</v>
      </c>
      <c r="Q2004" s="10">
        <f t="shared" ca="1" si="292"/>
        <v>27.619047619047052</v>
      </c>
      <c r="R2004" s="10">
        <f t="shared" ca="1" si="293"/>
        <v>58.035714285713766</v>
      </c>
      <c r="S2004" s="10">
        <f t="shared" ca="1" si="294"/>
        <v>-30.416666666666714</v>
      </c>
      <c r="T2004" s="10">
        <f t="shared" ca="1" si="295"/>
        <v>350</v>
      </c>
      <c r="U2004" s="10">
        <f t="shared" ca="1" si="296"/>
        <v>350</v>
      </c>
      <c r="V2004">
        <f t="shared" si="297"/>
        <v>6</v>
      </c>
    </row>
    <row r="2005" spans="1:22" x14ac:dyDescent="0.25">
      <c r="A2005">
        <v>223</v>
      </c>
      <c r="B2005">
        <v>6</v>
      </c>
      <c r="C2005">
        <v>30</v>
      </c>
      <c r="D2005">
        <v>1</v>
      </c>
      <c r="E2005">
        <v>0</v>
      </c>
      <c r="F2005">
        <v>1</v>
      </c>
      <c r="G2005">
        <v>1</v>
      </c>
      <c r="H2005">
        <v>350</v>
      </c>
      <c r="I2005">
        <f t="shared" si="298"/>
        <v>1998</v>
      </c>
      <c r="J2005" s="6">
        <f t="array" aca="1" ref="J2005:N2005" ca="1">TRANSPOSE(ols(OFFSET($C$2:$C$10,I2005,0),OFFSET($D$2:$H$10,I2005,0)))</f>
        <v>68.273809523808723</v>
      </c>
      <c r="K2005" s="6">
        <f ca="1"/>
        <v>0.71428571428589294</v>
      </c>
      <c r="L2005" s="6">
        <f ca="1"/>
        <v>-5.4761904761903679</v>
      </c>
      <c r="M2005" s="6">
        <f ca="1"/>
        <v>-4.7619047619045887</v>
      </c>
      <c r="N2005" s="6">
        <f ca="1"/>
        <v>-8.690476190476204E-2</v>
      </c>
      <c r="O2005" s="6">
        <f t="shared" ca="1" si="290"/>
        <v>27.619047619047052</v>
      </c>
      <c r="P2005">
        <f t="shared" ca="1" si="291"/>
        <v>27.619047619047052</v>
      </c>
      <c r="Q2005" s="10">
        <f t="shared" ca="1" si="292"/>
        <v>27.619047619047052</v>
      </c>
      <c r="R2005" s="10">
        <f t="shared" ca="1" si="293"/>
        <v>58.035714285713766</v>
      </c>
      <c r="S2005" s="10">
        <f t="shared" ca="1" si="294"/>
        <v>-30.416666666666714</v>
      </c>
      <c r="T2005" s="10">
        <f t="shared" ca="1" si="295"/>
        <v>350</v>
      </c>
      <c r="U2005" s="10">
        <f t="shared" ca="1" si="296"/>
        <v>350</v>
      </c>
      <c r="V2005">
        <f t="shared" si="297"/>
        <v>6</v>
      </c>
    </row>
    <row r="2006" spans="1:22" x14ac:dyDescent="0.25">
      <c r="A2006">
        <v>223</v>
      </c>
      <c r="B2006">
        <v>7</v>
      </c>
      <c r="C2006">
        <v>25</v>
      </c>
      <c r="D2006">
        <v>1</v>
      </c>
      <c r="E2006">
        <v>1</v>
      </c>
      <c r="F2006">
        <v>0</v>
      </c>
      <c r="G2006">
        <v>1</v>
      </c>
      <c r="H2006">
        <v>450</v>
      </c>
      <c r="I2006">
        <f t="shared" si="298"/>
        <v>1998</v>
      </c>
      <c r="J2006" s="6">
        <f t="array" aca="1" ref="J2006:N2006" ca="1">TRANSPOSE(ols(OFFSET($C$2:$C$10,I2006,0),OFFSET($D$2:$H$10,I2006,0)))</f>
        <v>68.273809523808723</v>
      </c>
      <c r="K2006" s="6">
        <f ca="1"/>
        <v>0.71428571428589294</v>
      </c>
      <c r="L2006" s="6">
        <f ca="1"/>
        <v>-5.4761904761903679</v>
      </c>
      <c r="M2006" s="6">
        <f ca="1"/>
        <v>-4.7619047619045887</v>
      </c>
      <c r="N2006" s="6">
        <f ca="1"/>
        <v>-8.690476190476204E-2</v>
      </c>
      <c r="O2006" s="6">
        <f t="shared" ca="1" si="290"/>
        <v>25.119047619047109</v>
      </c>
      <c r="P2006" t="str">
        <f t="shared" si="291"/>
        <v>NA</v>
      </c>
      <c r="Q2006" s="10">
        <f t="shared" ca="1" si="292"/>
        <v>27.619047619047052</v>
      </c>
      <c r="R2006" s="10">
        <f t="shared" ca="1" si="293"/>
        <v>64.226190476190027</v>
      </c>
      <c r="S2006" s="10">
        <f t="shared" ca="1" si="294"/>
        <v>-36.607142857142975</v>
      </c>
      <c r="T2006" s="10">
        <f t="shared" ca="1" si="295"/>
        <v>421.23287671232947</v>
      </c>
      <c r="U2006" s="10">
        <f t="shared" ca="1" si="296"/>
        <v>421.23287671232947</v>
      </c>
      <c r="V2006">
        <f t="shared" si="297"/>
        <v>5</v>
      </c>
    </row>
    <row r="2007" spans="1:22" x14ac:dyDescent="0.25">
      <c r="A2007">
        <v>223</v>
      </c>
      <c r="B2007">
        <v>8</v>
      </c>
      <c r="C2007">
        <v>15</v>
      </c>
      <c r="D2007">
        <v>1</v>
      </c>
      <c r="E2007">
        <v>1</v>
      </c>
      <c r="F2007">
        <v>0</v>
      </c>
      <c r="G2007">
        <v>1</v>
      </c>
      <c r="H2007">
        <v>550</v>
      </c>
      <c r="I2007">
        <f t="shared" si="298"/>
        <v>1998</v>
      </c>
      <c r="J2007" s="6">
        <f t="array" aca="1" ref="J2007:N2007" ca="1">TRANSPOSE(ols(OFFSET($C$2:$C$10,I2007,0),OFFSET($D$2:$H$10,I2007,0)))</f>
        <v>68.273809523808723</v>
      </c>
      <c r="K2007" s="6">
        <f ca="1"/>
        <v>0.71428571428589294</v>
      </c>
      <c r="L2007" s="6">
        <f ca="1"/>
        <v>-5.4761904761903679</v>
      </c>
      <c r="M2007" s="6">
        <f ca="1"/>
        <v>-4.7619047619045887</v>
      </c>
      <c r="N2007" s="6">
        <f ca="1"/>
        <v>-8.690476190476204E-2</v>
      </c>
      <c r="O2007" s="6">
        <f t="shared" ca="1" si="290"/>
        <v>16.428571428570905</v>
      </c>
      <c r="P2007" t="str">
        <f t="shared" si="291"/>
        <v>NA</v>
      </c>
      <c r="Q2007" s="10">
        <f t="shared" ca="1" si="292"/>
        <v>27.619047619047052</v>
      </c>
      <c r="R2007" s="10">
        <f t="shared" ca="1" si="293"/>
        <v>64.226190476190027</v>
      </c>
      <c r="S2007" s="10">
        <f t="shared" ca="1" si="294"/>
        <v>-36.607142857142975</v>
      </c>
      <c r="T2007" s="10">
        <f t="shared" ca="1" si="295"/>
        <v>421.23287671232947</v>
      </c>
      <c r="U2007" s="10">
        <f t="shared" ca="1" si="296"/>
        <v>421.23287671232947</v>
      </c>
      <c r="V2007">
        <f t="shared" si="297"/>
        <v>5</v>
      </c>
    </row>
    <row r="2008" spans="1:22" x14ac:dyDescent="0.25">
      <c r="A2008">
        <v>223</v>
      </c>
      <c r="B2008">
        <v>9</v>
      </c>
      <c r="C2008">
        <v>7.5</v>
      </c>
      <c r="D2008">
        <v>1</v>
      </c>
      <c r="E2008">
        <v>0</v>
      </c>
      <c r="F2008">
        <v>0</v>
      </c>
      <c r="G2008">
        <v>1</v>
      </c>
      <c r="H2008">
        <v>650</v>
      </c>
      <c r="I2008">
        <f t="shared" si="298"/>
        <v>1998</v>
      </c>
      <c r="J2008" s="6">
        <f t="array" aca="1" ref="J2008:N2008" ca="1">TRANSPOSE(ols(OFFSET($C$2:$C$10,I2008,0),OFFSET($D$2:$H$10,I2008,0)))</f>
        <v>68.273809523808723</v>
      </c>
      <c r="K2008" s="6">
        <f ca="1"/>
        <v>0.71428571428589294</v>
      </c>
      <c r="L2008" s="6">
        <f ca="1"/>
        <v>-5.4761904761903679</v>
      </c>
      <c r="M2008" s="6">
        <f ca="1"/>
        <v>-4.7619047619045887</v>
      </c>
      <c r="N2008" s="6">
        <f ca="1"/>
        <v>-8.690476190476204E-2</v>
      </c>
      <c r="O2008" s="6">
        <f t="shared" ca="1" si="290"/>
        <v>7.0238095238088079</v>
      </c>
      <c r="P2008" t="str">
        <f t="shared" si="291"/>
        <v>NA</v>
      </c>
      <c r="Q2008" s="10">
        <f t="shared" ca="1" si="292"/>
        <v>27.619047619047052</v>
      </c>
      <c r="R2008" s="10">
        <f t="shared" ca="1" si="293"/>
        <v>63.511904761904134</v>
      </c>
      <c r="S2008" s="10">
        <f t="shared" ca="1" si="294"/>
        <v>-35.892857142857082</v>
      </c>
      <c r="T2008" s="10">
        <f t="shared" ca="1" si="295"/>
        <v>413.01369863013565</v>
      </c>
      <c r="U2008" s="10">
        <f t="shared" ca="1" si="296"/>
        <v>413.01369863013565</v>
      </c>
      <c r="V2008">
        <f t="shared" si="297"/>
        <v>4</v>
      </c>
    </row>
    <row r="2009" spans="1:22" x14ac:dyDescent="0.25">
      <c r="A2009">
        <v>224</v>
      </c>
      <c r="B2009">
        <v>1</v>
      </c>
      <c r="C2009">
        <v>35</v>
      </c>
      <c r="D2009">
        <v>1</v>
      </c>
      <c r="E2009">
        <v>0</v>
      </c>
      <c r="F2009">
        <v>1</v>
      </c>
      <c r="G2009">
        <v>0</v>
      </c>
      <c r="H2009">
        <v>250</v>
      </c>
      <c r="I2009">
        <f t="shared" si="298"/>
        <v>2007</v>
      </c>
      <c r="J2009" s="6">
        <f t="array" aca="1" ref="J2009:N2009" ca="1">TRANSPOSE(ols(OFFSET($C$2:$C$10,I2009,0),OFFSET($D$2:$H$10,I2009,0)))</f>
        <v>64.553571428571104</v>
      </c>
      <c r="K2009" s="6">
        <f ca="1"/>
        <v>0.357142857143117</v>
      </c>
      <c r="L2009" s="6">
        <f ca="1"/>
        <v>-1.0714285714284415</v>
      </c>
      <c r="M2009" s="6">
        <f ca="1"/>
        <v>23.035714285714448</v>
      </c>
      <c r="N2009" s="6">
        <f ca="1"/>
        <v>-0.10178571428571459</v>
      </c>
      <c r="O2009" s="6">
        <f t="shared" ca="1" si="290"/>
        <v>38.035714285714015</v>
      </c>
      <c r="P2009" t="str">
        <f t="shared" si="291"/>
        <v>NA</v>
      </c>
      <c r="Q2009" s="10">
        <f t="shared" ca="1" si="292"/>
        <v>50.892857142857004</v>
      </c>
      <c r="R2009" s="10">
        <f t="shared" ca="1" si="293"/>
        <v>63.482142857142662</v>
      </c>
      <c r="S2009" s="10">
        <f t="shared" ca="1" si="294"/>
        <v>-12.589285714285658</v>
      </c>
      <c r="T2009" s="10">
        <f t="shared" ca="1" si="295"/>
        <v>123.68421052631487</v>
      </c>
      <c r="U2009" s="10" t="str">
        <f t="shared" ca="1" si="296"/>
        <v>OR</v>
      </c>
      <c r="V2009">
        <f t="shared" si="297"/>
        <v>3</v>
      </c>
    </row>
    <row r="2010" spans="1:22" x14ac:dyDescent="0.25">
      <c r="A2010">
        <v>224</v>
      </c>
      <c r="B2010">
        <v>2</v>
      </c>
      <c r="C2010">
        <v>35</v>
      </c>
      <c r="D2010">
        <v>1</v>
      </c>
      <c r="E2010">
        <v>1</v>
      </c>
      <c r="F2010">
        <v>0</v>
      </c>
      <c r="G2010">
        <v>0</v>
      </c>
      <c r="H2010">
        <v>350</v>
      </c>
      <c r="I2010">
        <f t="shared" si="298"/>
        <v>2007</v>
      </c>
      <c r="J2010" s="6">
        <f t="array" aca="1" ref="J2010:N2010" ca="1">TRANSPOSE(ols(OFFSET($C$2:$C$10,I2010,0),OFFSET($D$2:$H$10,I2010,0)))</f>
        <v>64.553571428571104</v>
      </c>
      <c r="K2010" s="6">
        <f ca="1"/>
        <v>0.357142857143117</v>
      </c>
      <c r="L2010" s="6">
        <f ca="1"/>
        <v>-1.0714285714284415</v>
      </c>
      <c r="M2010" s="6">
        <f ca="1"/>
        <v>23.035714285714448</v>
      </c>
      <c r="N2010" s="6">
        <f ca="1"/>
        <v>-0.10178571428571459</v>
      </c>
      <c r="O2010" s="6">
        <f t="shared" ca="1" si="290"/>
        <v>29.285714285714114</v>
      </c>
      <c r="P2010" t="str">
        <f t="shared" si="291"/>
        <v>NA</v>
      </c>
      <c r="Q2010" s="10">
        <f t="shared" ca="1" si="292"/>
        <v>50.892857142857004</v>
      </c>
      <c r="R2010" s="10">
        <f t="shared" ca="1" si="293"/>
        <v>64.910714285714221</v>
      </c>
      <c r="S2010" s="10">
        <f t="shared" ca="1" si="294"/>
        <v>-14.017857142857217</v>
      </c>
      <c r="T2010" s="10">
        <f t="shared" ca="1" si="295"/>
        <v>137.71929824561434</v>
      </c>
      <c r="U2010" s="10" t="str">
        <f t="shared" ca="1" si="296"/>
        <v>OR</v>
      </c>
      <c r="V2010">
        <f t="shared" si="297"/>
        <v>2</v>
      </c>
    </row>
    <row r="2011" spans="1:22" x14ac:dyDescent="0.25">
      <c r="A2011">
        <v>224</v>
      </c>
      <c r="B2011">
        <v>3</v>
      </c>
      <c r="C2011">
        <v>15</v>
      </c>
      <c r="D2011">
        <v>1</v>
      </c>
      <c r="E2011">
        <v>1</v>
      </c>
      <c r="F2011">
        <v>0</v>
      </c>
      <c r="G2011">
        <v>0</v>
      </c>
      <c r="H2011">
        <v>450</v>
      </c>
      <c r="I2011">
        <f t="shared" si="298"/>
        <v>2007</v>
      </c>
      <c r="J2011" s="6">
        <f t="array" aca="1" ref="J2011:N2011" ca="1">TRANSPOSE(ols(OFFSET($C$2:$C$10,I2011,0),OFFSET($D$2:$H$10,I2011,0)))</f>
        <v>64.553571428571104</v>
      </c>
      <c r="K2011" s="6">
        <f ca="1"/>
        <v>0.357142857143117</v>
      </c>
      <c r="L2011" s="6">
        <f ca="1"/>
        <v>-1.0714285714284415</v>
      </c>
      <c r="M2011" s="6">
        <f ca="1"/>
        <v>23.035714285714448</v>
      </c>
      <c r="N2011" s="6">
        <f ca="1"/>
        <v>-0.10178571428571459</v>
      </c>
      <c r="O2011" s="6">
        <f t="shared" ca="1" si="290"/>
        <v>19.107142857142655</v>
      </c>
      <c r="P2011" t="str">
        <f t="shared" si="291"/>
        <v>NA</v>
      </c>
      <c r="Q2011" s="10">
        <f t="shared" ca="1" si="292"/>
        <v>50.892857142857004</v>
      </c>
      <c r="R2011" s="10">
        <f t="shared" ca="1" si="293"/>
        <v>64.910714285714221</v>
      </c>
      <c r="S2011" s="10">
        <f t="shared" ca="1" si="294"/>
        <v>-14.017857142857217</v>
      </c>
      <c r="T2011" s="10">
        <f t="shared" ca="1" si="295"/>
        <v>137.71929824561434</v>
      </c>
      <c r="U2011" s="10" t="str">
        <f t="shared" ca="1" si="296"/>
        <v>OR</v>
      </c>
      <c r="V2011">
        <f t="shared" si="297"/>
        <v>2</v>
      </c>
    </row>
    <row r="2012" spans="1:22" x14ac:dyDescent="0.25">
      <c r="A2012">
        <v>224</v>
      </c>
      <c r="B2012">
        <v>4</v>
      </c>
      <c r="C2012">
        <v>10</v>
      </c>
      <c r="D2012">
        <v>1</v>
      </c>
      <c r="E2012">
        <v>0</v>
      </c>
      <c r="F2012">
        <v>0</v>
      </c>
      <c r="G2012">
        <v>0</v>
      </c>
      <c r="H2012">
        <v>550</v>
      </c>
      <c r="I2012">
        <f t="shared" si="298"/>
        <v>2007</v>
      </c>
      <c r="J2012" s="6">
        <f t="array" aca="1" ref="J2012:N2012" ca="1">TRANSPOSE(ols(OFFSET($C$2:$C$10,I2012,0),OFFSET($D$2:$H$10,I2012,0)))</f>
        <v>64.553571428571104</v>
      </c>
      <c r="K2012" s="6">
        <f ca="1"/>
        <v>0.357142857143117</v>
      </c>
      <c r="L2012" s="6">
        <f ca="1"/>
        <v>-1.0714285714284415</v>
      </c>
      <c r="M2012" s="6">
        <f ca="1"/>
        <v>23.035714285714448</v>
      </c>
      <c r="N2012" s="6">
        <f ca="1"/>
        <v>-0.10178571428571459</v>
      </c>
      <c r="O2012" s="6">
        <f t="shared" ca="1" si="290"/>
        <v>8.5714285714280791</v>
      </c>
      <c r="P2012" t="str">
        <f t="shared" si="291"/>
        <v>NA</v>
      </c>
      <c r="Q2012" s="10">
        <f t="shared" ca="1" si="292"/>
        <v>50.892857142857004</v>
      </c>
      <c r="R2012" s="10">
        <f t="shared" ca="1" si="293"/>
        <v>64.553571428571104</v>
      </c>
      <c r="S2012" s="10">
        <f t="shared" ca="1" si="294"/>
        <v>-13.6607142857141</v>
      </c>
      <c r="T2012" s="10">
        <f t="shared" ca="1" si="295"/>
        <v>134.21052631578723</v>
      </c>
      <c r="U2012" s="10" t="str">
        <f t="shared" ca="1" si="296"/>
        <v>OR</v>
      </c>
      <c r="V2012">
        <f t="shared" si="297"/>
        <v>1</v>
      </c>
    </row>
    <row r="2013" spans="1:22" x14ac:dyDescent="0.25">
      <c r="A2013">
        <v>224</v>
      </c>
      <c r="B2013">
        <v>5</v>
      </c>
      <c r="C2013">
        <v>55</v>
      </c>
      <c r="D2013">
        <v>1</v>
      </c>
      <c r="E2013">
        <v>0</v>
      </c>
      <c r="F2013">
        <v>1</v>
      </c>
      <c r="G2013">
        <v>1</v>
      </c>
      <c r="H2013">
        <v>250</v>
      </c>
      <c r="I2013">
        <f t="shared" si="298"/>
        <v>2007</v>
      </c>
      <c r="J2013" s="6">
        <f t="array" aca="1" ref="J2013:N2013" ca="1">TRANSPOSE(ols(OFFSET($C$2:$C$10,I2013,0),OFFSET($D$2:$H$10,I2013,0)))</f>
        <v>64.553571428571104</v>
      </c>
      <c r="K2013" s="6">
        <f ca="1"/>
        <v>0.357142857143117</v>
      </c>
      <c r="L2013" s="6">
        <f ca="1"/>
        <v>-1.0714285714284415</v>
      </c>
      <c r="M2013" s="6">
        <f ca="1"/>
        <v>23.035714285714448</v>
      </c>
      <c r="N2013" s="6">
        <f ca="1"/>
        <v>-0.10178571428571459</v>
      </c>
      <c r="O2013" s="6">
        <f t="shared" ca="1" si="290"/>
        <v>61.071428571428463</v>
      </c>
      <c r="P2013" t="str">
        <f t="shared" si="291"/>
        <v>NA</v>
      </c>
      <c r="Q2013" s="10">
        <f t="shared" ca="1" si="292"/>
        <v>50.892857142857004</v>
      </c>
      <c r="R2013" s="10">
        <f t="shared" ca="1" si="293"/>
        <v>86.51785714285711</v>
      </c>
      <c r="S2013" s="10">
        <f t="shared" ca="1" si="294"/>
        <v>-35.625000000000107</v>
      </c>
      <c r="T2013" s="10">
        <f t="shared" ca="1" si="295"/>
        <v>350</v>
      </c>
      <c r="U2013" s="10">
        <f t="shared" ca="1" si="296"/>
        <v>350</v>
      </c>
      <c r="V2013">
        <f t="shared" si="297"/>
        <v>6</v>
      </c>
    </row>
    <row r="2014" spans="1:22" x14ac:dyDescent="0.25">
      <c r="A2014">
        <v>224</v>
      </c>
      <c r="B2014">
        <v>6</v>
      </c>
      <c r="C2014">
        <v>60</v>
      </c>
      <c r="D2014">
        <v>1</v>
      </c>
      <c r="E2014">
        <v>0</v>
      </c>
      <c r="F2014">
        <v>1</v>
      </c>
      <c r="G2014">
        <v>1</v>
      </c>
      <c r="H2014">
        <v>350</v>
      </c>
      <c r="I2014">
        <f t="shared" si="298"/>
        <v>2007</v>
      </c>
      <c r="J2014" s="6">
        <f t="array" aca="1" ref="J2014:N2014" ca="1">TRANSPOSE(ols(OFFSET($C$2:$C$10,I2014,0),OFFSET($D$2:$H$10,I2014,0)))</f>
        <v>64.553571428571104</v>
      </c>
      <c r="K2014" s="6">
        <f ca="1"/>
        <v>0.357142857143117</v>
      </c>
      <c r="L2014" s="6">
        <f ca="1"/>
        <v>-1.0714285714284415</v>
      </c>
      <c r="M2014" s="6">
        <f ca="1"/>
        <v>23.035714285714448</v>
      </c>
      <c r="N2014" s="6">
        <f ca="1"/>
        <v>-0.10178571428571459</v>
      </c>
      <c r="O2014" s="6">
        <f t="shared" ca="1" si="290"/>
        <v>50.892857142857004</v>
      </c>
      <c r="P2014">
        <f t="shared" ca="1" si="291"/>
        <v>50.892857142857004</v>
      </c>
      <c r="Q2014" s="10">
        <f t="shared" ca="1" si="292"/>
        <v>50.892857142857004</v>
      </c>
      <c r="R2014" s="10">
        <f t="shared" ca="1" si="293"/>
        <v>86.51785714285711</v>
      </c>
      <c r="S2014" s="10">
        <f t="shared" ca="1" si="294"/>
        <v>-35.625000000000107</v>
      </c>
      <c r="T2014" s="10">
        <f t="shared" ca="1" si="295"/>
        <v>350</v>
      </c>
      <c r="U2014" s="10">
        <f t="shared" ca="1" si="296"/>
        <v>350</v>
      </c>
      <c r="V2014">
        <f t="shared" si="297"/>
        <v>6</v>
      </c>
    </row>
    <row r="2015" spans="1:22" x14ac:dyDescent="0.25">
      <c r="A2015">
        <v>224</v>
      </c>
      <c r="B2015">
        <v>7</v>
      </c>
      <c r="C2015">
        <v>42.5</v>
      </c>
      <c r="D2015">
        <v>1</v>
      </c>
      <c r="E2015">
        <v>1</v>
      </c>
      <c r="F2015">
        <v>0</v>
      </c>
      <c r="G2015">
        <v>1</v>
      </c>
      <c r="H2015">
        <v>450</v>
      </c>
      <c r="I2015">
        <f t="shared" si="298"/>
        <v>2007</v>
      </c>
      <c r="J2015" s="6">
        <f t="array" aca="1" ref="J2015:N2015" ca="1">TRANSPOSE(ols(OFFSET($C$2:$C$10,I2015,0),OFFSET($D$2:$H$10,I2015,0)))</f>
        <v>64.553571428571104</v>
      </c>
      <c r="K2015" s="6">
        <f ca="1"/>
        <v>0.357142857143117</v>
      </c>
      <c r="L2015" s="6">
        <f ca="1"/>
        <v>-1.0714285714284415</v>
      </c>
      <c r="M2015" s="6">
        <f ca="1"/>
        <v>23.035714285714448</v>
      </c>
      <c r="N2015" s="6">
        <f ca="1"/>
        <v>-0.10178571428571459</v>
      </c>
      <c r="O2015" s="6">
        <f t="shared" ca="1" si="290"/>
        <v>42.142857142857103</v>
      </c>
      <c r="P2015" t="str">
        <f t="shared" si="291"/>
        <v>NA</v>
      </c>
      <c r="Q2015" s="10">
        <f t="shared" ca="1" si="292"/>
        <v>50.892857142857004</v>
      </c>
      <c r="R2015" s="10">
        <f t="shared" ca="1" si="293"/>
        <v>87.946428571428669</v>
      </c>
      <c r="S2015" s="10">
        <f t="shared" ca="1" si="294"/>
        <v>-37.053571428571665</v>
      </c>
      <c r="T2015" s="10">
        <f t="shared" ca="1" si="295"/>
        <v>364.0350877192995</v>
      </c>
      <c r="U2015" s="10">
        <f t="shared" ca="1" si="296"/>
        <v>364.0350877192995</v>
      </c>
      <c r="V2015">
        <f t="shared" si="297"/>
        <v>5</v>
      </c>
    </row>
    <row r="2016" spans="1:22" x14ac:dyDescent="0.25">
      <c r="A2016">
        <v>224</v>
      </c>
      <c r="B2016">
        <v>8</v>
      </c>
      <c r="C2016">
        <v>30</v>
      </c>
      <c r="D2016">
        <v>1</v>
      </c>
      <c r="E2016">
        <v>1</v>
      </c>
      <c r="F2016">
        <v>0</v>
      </c>
      <c r="G2016">
        <v>1</v>
      </c>
      <c r="H2016">
        <v>550</v>
      </c>
      <c r="I2016">
        <f t="shared" si="298"/>
        <v>2007</v>
      </c>
      <c r="J2016" s="6">
        <f t="array" aca="1" ref="J2016:N2016" ca="1">TRANSPOSE(ols(OFFSET($C$2:$C$10,I2016,0),OFFSET($D$2:$H$10,I2016,0)))</f>
        <v>64.553571428571104</v>
      </c>
      <c r="K2016" s="6">
        <f ca="1"/>
        <v>0.357142857143117</v>
      </c>
      <c r="L2016" s="6">
        <f ca="1"/>
        <v>-1.0714285714284415</v>
      </c>
      <c r="M2016" s="6">
        <f ca="1"/>
        <v>23.035714285714448</v>
      </c>
      <c r="N2016" s="6">
        <f ca="1"/>
        <v>-0.10178571428571459</v>
      </c>
      <c r="O2016" s="6">
        <f t="shared" ca="1" si="290"/>
        <v>31.964285714285644</v>
      </c>
      <c r="P2016" t="str">
        <f t="shared" si="291"/>
        <v>NA</v>
      </c>
      <c r="Q2016" s="10">
        <f t="shared" ca="1" si="292"/>
        <v>50.892857142857004</v>
      </c>
      <c r="R2016" s="10">
        <f t="shared" ca="1" si="293"/>
        <v>87.946428571428669</v>
      </c>
      <c r="S2016" s="10">
        <f t="shared" ca="1" si="294"/>
        <v>-37.053571428571665</v>
      </c>
      <c r="T2016" s="10">
        <f t="shared" ca="1" si="295"/>
        <v>364.0350877192995</v>
      </c>
      <c r="U2016" s="10">
        <f t="shared" ca="1" si="296"/>
        <v>364.0350877192995</v>
      </c>
      <c r="V2016">
        <f t="shared" si="297"/>
        <v>5</v>
      </c>
    </row>
    <row r="2017" spans="1:22" x14ac:dyDescent="0.25">
      <c r="A2017">
        <v>224</v>
      </c>
      <c r="B2017">
        <v>9</v>
      </c>
      <c r="C2017">
        <v>20</v>
      </c>
      <c r="D2017">
        <v>1</v>
      </c>
      <c r="E2017">
        <v>0</v>
      </c>
      <c r="F2017">
        <v>0</v>
      </c>
      <c r="G2017">
        <v>1</v>
      </c>
      <c r="H2017">
        <v>650</v>
      </c>
      <c r="I2017">
        <f t="shared" si="298"/>
        <v>2007</v>
      </c>
      <c r="J2017" s="6">
        <f t="array" aca="1" ref="J2017:N2017" ca="1">TRANSPOSE(ols(OFFSET($C$2:$C$10,I2017,0),OFFSET($D$2:$H$10,I2017,0)))</f>
        <v>64.553571428571104</v>
      </c>
      <c r="K2017" s="6">
        <f ca="1"/>
        <v>0.357142857143117</v>
      </c>
      <c r="L2017" s="6">
        <f ca="1"/>
        <v>-1.0714285714284415</v>
      </c>
      <c r="M2017" s="6">
        <f ca="1"/>
        <v>23.035714285714448</v>
      </c>
      <c r="N2017" s="6">
        <f ca="1"/>
        <v>-0.10178571428571459</v>
      </c>
      <c r="O2017" s="6">
        <f t="shared" ca="1" si="290"/>
        <v>21.428571428571075</v>
      </c>
      <c r="P2017" t="str">
        <f t="shared" si="291"/>
        <v>NA</v>
      </c>
      <c r="Q2017" s="10">
        <f t="shared" ca="1" si="292"/>
        <v>50.892857142857004</v>
      </c>
      <c r="R2017" s="10">
        <f t="shared" ca="1" si="293"/>
        <v>87.589285714285552</v>
      </c>
      <c r="S2017" s="10">
        <f t="shared" ca="1" si="294"/>
        <v>-36.696428571428548</v>
      </c>
      <c r="T2017" s="10">
        <f t="shared" ca="1" si="295"/>
        <v>360.52631578947239</v>
      </c>
      <c r="U2017" s="10">
        <f t="shared" ca="1" si="296"/>
        <v>360.52631578947239</v>
      </c>
      <c r="V2017">
        <f t="shared" si="297"/>
        <v>4</v>
      </c>
    </row>
    <row r="2018" spans="1:22" x14ac:dyDescent="0.25">
      <c r="A2018">
        <v>225</v>
      </c>
      <c r="B2018">
        <v>1</v>
      </c>
      <c r="C2018">
        <v>70</v>
      </c>
      <c r="D2018">
        <v>1</v>
      </c>
      <c r="E2018">
        <v>0</v>
      </c>
      <c r="F2018">
        <v>1</v>
      </c>
      <c r="G2018">
        <v>0</v>
      </c>
      <c r="H2018">
        <v>250</v>
      </c>
      <c r="I2018">
        <f t="shared" si="298"/>
        <v>2016</v>
      </c>
      <c r="J2018" s="6">
        <f t="array" aca="1" ref="J2018:N2018" ca="1">TRANSPOSE(ols(OFFSET($C$2:$C$10,I2018,0),OFFSET($D$2:$H$10,I2018,0)))</f>
        <v>109.7321428571413</v>
      </c>
      <c r="K2018" s="6">
        <f ca="1"/>
        <v>-5.5357142857144481</v>
      </c>
      <c r="L2018" s="6">
        <f ca="1"/>
        <v>-12.142857142856883</v>
      </c>
      <c r="M2018" s="6">
        <f ca="1"/>
        <v>-10.178571428571104</v>
      </c>
      <c r="N2018" s="6">
        <f ca="1"/>
        <v>-9.1071428571432023E-2</v>
      </c>
      <c r="O2018" s="6">
        <f t="shared" ca="1" si="290"/>
        <v>74.821428571426409</v>
      </c>
      <c r="P2018" t="str">
        <f t="shared" si="291"/>
        <v>NA</v>
      </c>
      <c r="Q2018" s="10">
        <f t="shared" ca="1" si="292"/>
        <v>55.535714285712103</v>
      </c>
      <c r="R2018" s="10">
        <f t="shared" ca="1" si="293"/>
        <v>97.589285714284415</v>
      </c>
      <c r="S2018" s="10">
        <f t="shared" ca="1" si="294"/>
        <v>-42.053571428572312</v>
      </c>
      <c r="T2018" s="10">
        <f t="shared" ca="1" si="295"/>
        <v>461.76470588234514</v>
      </c>
      <c r="U2018" s="10">
        <f t="shared" ca="1" si="296"/>
        <v>461.76470588234514</v>
      </c>
      <c r="V2018">
        <f t="shared" si="297"/>
        <v>3</v>
      </c>
    </row>
    <row r="2019" spans="1:22" x14ac:dyDescent="0.25">
      <c r="A2019">
        <v>225</v>
      </c>
      <c r="B2019">
        <v>2</v>
      </c>
      <c r="C2019">
        <v>75</v>
      </c>
      <c r="D2019">
        <v>1</v>
      </c>
      <c r="E2019">
        <v>1</v>
      </c>
      <c r="F2019">
        <v>0</v>
      </c>
      <c r="G2019">
        <v>0</v>
      </c>
      <c r="H2019">
        <v>350</v>
      </c>
      <c r="I2019">
        <f t="shared" si="298"/>
        <v>2016</v>
      </c>
      <c r="J2019" s="6">
        <f t="array" aca="1" ref="J2019:N2019" ca="1">TRANSPOSE(ols(OFFSET($C$2:$C$10,I2019,0),OFFSET($D$2:$H$10,I2019,0)))</f>
        <v>109.7321428571413</v>
      </c>
      <c r="K2019" s="6">
        <f ca="1"/>
        <v>-5.5357142857144481</v>
      </c>
      <c r="L2019" s="6">
        <f ca="1"/>
        <v>-12.142857142856883</v>
      </c>
      <c r="M2019" s="6">
        <f ca="1"/>
        <v>-10.178571428571104</v>
      </c>
      <c r="N2019" s="6">
        <f ca="1"/>
        <v>-9.1071428571432023E-2</v>
      </c>
      <c r="O2019" s="6">
        <f t="shared" ca="1" si="290"/>
        <v>72.321428571425642</v>
      </c>
      <c r="P2019" t="str">
        <f t="shared" si="291"/>
        <v>NA</v>
      </c>
      <c r="Q2019" s="10">
        <f t="shared" ca="1" si="292"/>
        <v>55.535714285712103</v>
      </c>
      <c r="R2019" s="10">
        <f t="shared" ca="1" si="293"/>
        <v>104.19642857142685</v>
      </c>
      <c r="S2019" s="10">
        <f t="shared" ca="1" si="294"/>
        <v>-48.660714285714747</v>
      </c>
      <c r="T2019" s="10">
        <f t="shared" ca="1" si="295"/>
        <v>534.3137254901809</v>
      </c>
      <c r="U2019" s="10">
        <f t="shared" ca="1" si="296"/>
        <v>534.3137254901809</v>
      </c>
      <c r="V2019">
        <f t="shared" si="297"/>
        <v>2</v>
      </c>
    </row>
    <row r="2020" spans="1:22" x14ac:dyDescent="0.25">
      <c r="A2020">
        <v>225</v>
      </c>
      <c r="B2020">
        <v>3</v>
      </c>
      <c r="C2020">
        <v>65</v>
      </c>
      <c r="D2020">
        <v>1</v>
      </c>
      <c r="E2020">
        <v>1</v>
      </c>
      <c r="F2020">
        <v>0</v>
      </c>
      <c r="G2020">
        <v>0</v>
      </c>
      <c r="H2020">
        <v>450</v>
      </c>
      <c r="I2020">
        <f t="shared" si="298"/>
        <v>2016</v>
      </c>
      <c r="J2020" s="6">
        <f t="array" aca="1" ref="J2020:N2020" ca="1">TRANSPOSE(ols(OFFSET($C$2:$C$10,I2020,0),OFFSET($D$2:$H$10,I2020,0)))</f>
        <v>109.7321428571413</v>
      </c>
      <c r="K2020" s="6">
        <f ca="1"/>
        <v>-5.5357142857144481</v>
      </c>
      <c r="L2020" s="6">
        <f ca="1"/>
        <v>-12.142857142856883</v>
      </c>
      <c r="M2020" s="6">
        <f ca="1"/>
        <v>-10.178571428571104</v>
      </c>
      <c r="N2020" s="6">
        <f ca="1"/>
        <v>-9.1071428571432023E-2</v>
      </c>
      <c r="O2020" s="6">
        <f t="shared" ca="1" si="290"/>
        <v>63.21428571428244</v>
      </c>
      <c r="P2020" t="str">
        <f t="shared" si="291"/>
        <v>NA</v>
      </c>
      <c r="Q2020" s="10">
        <f t="shared" ca="1" si="292"/>
        <v>55.535714285712103</v>
      </c>
      <c r="R2020" s="10">
        <f t="shared" ca="1" si="293"/>
        <v>104.19642857142685</v>
      </c>
      <c r="S2020" s="10">
        <f t="shared" ca="1" si="294"/>
        <v>-48.660714285714747</v>
      </c>
      <c r="T2020" s="10">
        <f t="shared" ca="1" si="295"/>
        <v>534.3137254901809</v>
      </c>
      <c r="U2020" s="10">
        <f t="shared" ca="1" si="296"/>
        <v>534.3137254901809</v>
      </c>
      <c r="V2020">
        <f t="shared" si="297"/>
        <v>2</v>
      </c>
    </row>
    <row r="2021" spans="1:22" x14ac:dyDescent="0.25">
      <c r="A2021">
        <v>225</v>
      </c>
      <c r="B2021">
        <v>4</v>
      </c>
      <c r="C2021">
        <v>60</v>
      </c>
      <c r="D2021">
        <v>1</v>
      </c>
      <c r="E2021">
        <v>0</v>
      </c>
      <c r="F2021">
        <v>0</v>
      </c>
      <c r="G2021">
        <v>0</v>
      </c>
      <c r="H2021">
        <v>550</v>
      </c>
      <c r="I2021">
        <f t="shared" si="298"/>
        <v>2016</v>
      </c>
      <c r="J2021" s="6">
        <f t="array" aca="1" ref="J2021:N2021" ca="1">TRANSPOSE(ols(OFFSET($C$2:$C$10,I2021,0),OFFSET($D$2:$H$10,I2021,0)))</f>
        <v>109.7321428571413</v>
      </c>
      <c r="K2021" s="6">
        <f ca="1"/>
        <v>-5.5357142857144481</v>
      </c>
      <c r="L2021" s="6">
        <f ca="1"/>
        <v>-12.142857142856883</v>
      </c>
      <c r="M2021" s="6">
        <f ca="1"/>
        <v>-10.178571428571104</v>
      </c>
      <c r="N2021" s="6">
        <f ca="1"/>
        <v>-9.1071428571432023E-2</v>
      </c>
      <c r="O2021" s="6">
        <f t="shared" ca="1" si="290"/>
        <v>59.642857142853686</v>
      </c>
      <c r="P2021" t="str">
        <f t="shared" si="291"/>
        <v>NA</v>
      </c>
      <c r="Q2021" s="10">
        <f t="shared" ca="1" si="292"/>
        <v>55.535714285712103</v>
      </c>
      <c r="R2021" s="10">
        <f t="shared" ca="1" si="293"/>
        <v>109.7321428571413</v>
      </c>
      <c r="S2021" s="10">
        <f t="shared" ca="1" si="294"/>
        <v>-54.196428571429195</v>
      </c>
      <c r="T2021" s="10">
        <f t="shared" ca="1" si="295"/>
        <v>595.09803921567061</v>
      </c>
      <c r="U2021" s="10">
        <f t="shared" ca="1" si="296"/>
        <v>595.09803921567061</v>
      </c>
      <c r="V2021">
        <f t="shared" si="297"/>
        <v>1</v>
      </c>
    </row>
    <row r="2022" spans="1:22" x14ac:dyDescent="0.25">
      <c r="A2022">
        <v>225</v>
      </c>
      <c r="B2022">
        <v>5</v>
      </c>
      <c r="C2022">
        <v>65</v>
      </c>
      <c r="D2022">
        <v>1</v>
      </c>
      <c r="E2022">
        <v>0</v>
      </c>
      <c r="F2022">
        <v>1</v>
      </c>
      <c r="G2022">
        <v>1</v>
      </c>
      <c r="H2022">
        <v>250</v>
      </c>
      <c r="I2022">
        <f t="shared" si="298"/>
        <v>2016</v>
      </c>
      <c r="J2022" s="6">
        <f t="array" aca="1" ref="J2022:N2022" ca="1">TRANSPOSE(ols(OFFSET($C$2:$C$10,I2022,0),OFFSET($D$2:$H$10,I2022,0)))</f>
        <v>109.7321428571413</v>
      </c>
      <c r="K2022" s="6">
        <f ca="1"/>
        <v>-5.5357142857144481</v>
      </c>
      <c r="L2022" s="6">
        <f ca="1"/>
        <v>-12.142857142856883</v>
      </c>
      <c r="M2022" s="6">
        <f ca="1"/>
        <v>-10.178571428571104</v>
      </c>
      <c r="N2022" s="6">
        <f ca="1"/>
        <v>-9.1071428571432023E-2</v>
      </c>
      <c r="O2022" s="6">
        <f t="shared" ca="1" si="290"/>
        <v>64.642857142855306</v>
      </c>
      <c r="P2022" t="str">
        <f t="shared" si="291"/>
        <v>NA</v>
      </c>
      <c r="Q2022" s="10">
        <f t="shared" ca="1" si="292"/>
        <v>55.535714285712103</v>
      </c>
      <c r="R2022" s="10">
        <f t="shared" ca="1" si="293"/>
        <v>87.410714285713311</v>
      </c>
      <c r="S2022" s="10">
        <f t="shared" ca="1" si="294"/>
        <v>-31.875000000001208</v>
      </c>
      <c r="T2022" s="10">
        <f t="shared" ca="1" si="295"/>
        <v>350</v>
      </c>
      <c r="U2022" s="10">
        <f t="shared" ca="1" si="296"/>
        <v>350</v>
      </c>
      <c r="V2022">
        <f t="shared" si="297"/>
        <v>6</v>
      </c>
    </row>
    <row r="2023" spans="1:22" x14ac:dyDescent="0.25">
      <c r="A2023">
        <v>225</v>
      </c>
      <c r="B2023">
        <v>6</v>
      </c>
      <c r="C2023">
        <v>60</v>
      </c>
      <c r="D2023">
        <v>1</v>
      </c>
      <c r="E2023">
        <v>0</v>
      </c>
      <c r="F2023">
        <v>1</v>
      </c>
      <c r="G2023">
        <v>1</v>
      </c>
      <c r="H2023">
        <v>350</v>
      </c>
      <c r="I2023">
        <f t="shared" si="298"/>
        <v>2016</v>
      </c>
      <c r="J2023" s="6">
        <f t="array" aca="1" ref="J2023:N2023" ca="1">TRANSPOSE(ols(OFFSET($C$2:$C$10,I2023,0),OFFSET($D$2:$H$10,I2023,0)))</f>
        <v>109.7321428571413</v>
      </c>
      <c r="K2023" s="6">
        <f ca="1"/>
        <v>-5.5357142857144481</v>
      </c>
      <c r="L2023" s="6">
        <f ca="1"/>
        <v>-12.142857142856883</v>
      </c>
      <c r="M2023" s="6">
        <f ca="1"/>
        <v>-10.178571428571104</v>
      </c>
      <c r="N2023" s="6">
        <f ca="1"/>
        <v>-9.1071428571432023E-2</v>
      </c>
      <c r="O2023" s="6">
        <f t="shared" ca="1" si="290"/>
        <v>55.535714285712103</v>
      </c>
      <c r="P2023">
        <f t="shared" ca="1" si="291"/>
        <v>55.535714285712103</v>
      </c>
      <c r="Q2023" s="10">
        <f t="shared" ca="1" si="292"/>
        <v>55.535714285712103</v>
      </c>
      <c r="R2023" s="10">
        <f t="shared" ca="1" si="293"/>
        <v>87.410714285713311</v>
      </c>
      <c r="S2023" s="10">
        <f t="shared" ca="1" si="294"/>
        <v>-31.875000000001208</v>
      </c>
      <c r="T2023" s="10">
        <f t="shared" ca="1" si="295"/>
        <v>350</v>
      </c>
      <c r="U2023" s="10">
        <f t="shared" ca="1" si="296"/>
        <v>350</v>
      </c>
      <c r="V2023">
        <f t="shared" si="297"/>
        <v>6</v>
      </c>
    </row>
    <row r="2024" spans="1:22" x14ac:dyDescent="0.25">
      <c r="A2024">
        <v>225</v>
      </c>
      <c r="B2024">
        <v>7</v>
      </c>
      <c r="C2024">
        <v>50</v>
      </c>
      <c r="D2024">
        <v>1</v>
      </c>
      <c r="E2024">
        <v>1</v>
      </c>
      <c r="F2024">
        <v>0</v>
      </c>
      <c r="G2024">
        <v>1</v>
      </c>
      <c r="H2024">
        <v>450</v>
      </c>
      <c r="I2024">
        <f t="shared" si="298"/>
        <v>2016</v>
      </c>
      <c r="J2024" s="6">
        <f t="array" aca="1" ref="J2024:N2024" ca="1">TRANSPOSE(ols(OFFSET($C$2:$C$10,I2024,0),OFFSET($D$2:$H$10,I2024,0)))</f>
        <v>109.7321428571413</v>
      </c>
      <c r="K2024" s="6">
        <f ca="1"/>
        <v>-5.5357142857144481</v>
      </c>
      <c r="L2024" s="6">
        <f ca="1"/>
        <v>-12.142857142856883</v>
      </c>
      <c r="M2024" s="6">
        <f ca="1"/>
        <v>-10.178571428571104</v>
      </c>
      <c r="N2024" s="6">
        <f ca="1"/>
        <v>-9.1071428571432023E-2</v>
      </c>
      <c r="O2024" s="6">
        <f t="shared" ca="1" si="290"/>
        <v>53.035714285711336</v>
      </c>
      <c r="P2024" t="str">
        <f t="shared" si="291"/>
        <v>NA</v>
      </c>
      <c r="Q2024" s="10">
        <f t="shared" ca="1" si="292"/>
        <v>55.535714285712103</v>
      </c>
      <c r="R2024" s="10">
        <f t="shared" ca="1" si="293"/>
        <v>94.017857142855746</v>
      </c>
      <c r="S2024" s="10">
        <f t="shared" ca="1" si="294"/>
        <v>-38.482142857143643</v>
      </c>
      <c r="T2024" s="10">
        <f t="shared" ca="1" si="295"/>
        <v>422.54901960783576</v>
      </c>
      <c r="U2024" s="10">
        <f t="shared" ca="1" si="296"/>
        <v>422.54901960783576</v>
      </c>
      <c r="V2024">
        <f t="shared" si="297"/>
        <v>5</v>
      </c>
    </row>
    <row r="2025" spans="1:22" x14ac:dyDescent="0.25">
      <c r="A2025">
        <v>225</v>
      </c>
      <c r="B2025">
        <v>8</v>
      </c>
      <c r="C2025">
        <v>42.5</v>
      </c>
      <c r="D2025">
        <v>1</v>
      </c>
      <c r="E2025">
        <v>1</v>
      </c>
      <c r="F2025">
        <v>0</v>
      </c>
      <c r="G2025">
        <v>1</v>
      </c>
      <c r="H2025">
        <v>550</v>
      </c>
      <c r="I2025">
        <f t="shared" si="298"/>
        <v>2016</v>
      </c>
      <c r="J2025" s="6">
        <f t="array" aca="1" ref="J2025:N2025" ca="1">TRANSPOSE(ols(OFFSET($C$2:$C$10,I2025,0),OFFSET($D$2:$H$10,I2025,0)))</f>
        <v>109.7321428571413</v>
      </c>
      <c r="K2025" s="6">
        <f ca="1"/>
        <v>-5.5357142857144481</v>
      </c>
      <c r="L2025" s="6">
        <f ca="1"/>
        <v>-12.142857142856883</v>
      </c>
      <c r="M2025" s="6">
        <f ca="1"/>
        <v>-10.178571428571104</v>
      </c>
      <c r="N2025" s="6">
        <f ca="1"/>
        <v>-9.1071428571432023E-2</v>
      </c>
      <c r="O2025" s="6">
        <f t="shared" ca="1" si="290"/>
        <v>43.928571428568134</v>
      </c>
      <c r="P2025" t="str">
        <f t="shared" si="291"/>
        <v>NA</v>
      </c>
      <c r="Q2025" s="10">
        <f t="shared" ca="1" si="292"/>
        <v>55.535714285712103</v>
      </c>
      <c r="R2025" s="10">
        <f t="shared" ca="1" si="293"/>
        <v>94.017857142855746</v>
      </c>
      <c r="S2025" s="10">
        <f t="shared" ca="1" si="294"/>
        <v>-38.482142857143643</v>
      </c>
      <c r="T2025" s="10">
        <f t="shared" ca="1" si="295"/>
        <v>422.54901960783576</v>
      </c>
      <c r="U2025" s="10">
        <f t="shared" ca="1" si="296"/>
        <v>422.54901960783576</v>
      </c>
      <c r="V2025">
        <f t="shared" si="297"/>
        <v>5</v>
      </c>
    </row>
    <row r="2026" spans="1:22" x14ac:dyDescent="0.25">
      <c r="A2026">
        <v>225</v>
      </c>
      <c r="B2026">
        <v>9</v>
      </c>
      <c r="C2026">
        <v>40</v>
      </c>
      <c r="D2026">
        <v>1</v>
      </c>
      <c r="E2026">
        <v>0</v>
      </c>
      <c r="F2026">
        <v>0</v>
      </c>
      <c r="G2026">
        <v>1</v>
      </c>
      <c r="H2026">
        <v>650</v>
      </c>
      <c r="I2026">
        <f t="shared" si="298"/>
        <v>2016</v>
      </c>
      <c r="J2026" s="6">
        <f t="array" aca="1" ref="J2026:N2026" ca="1">TRANSPOSE(ols(OFFSET($C$2:$C$10,I2026,0),OFFSET($D$2:$H$10,I2026,0)))</f>
        <v>109.7321428571413</v>
      </c>
      <c r="K2026" s="6">
        <f ca="1"/>
        <v>-5.5357142857144481</v>
      </c>
      <c r="L2026" s="6">
        <f ca="1"/>
        <v>-12.142857142856883</v>
      </c>
      <c r="M2026" s="6">
        <f ca="1"/>
        <v>-10.178571428571104</v>
      </c>
      <c r="N2026" s="6">
        <f ca="1"/>
        <v>-9.1071428571432023E-2</v>
      </c>
      <c r="O2026" s="6">
        <f t="shared" ca="1" si="290"/>
        <v>40.35714285713938</v>
      </c>
      <c r="P2026" t="str">
        <f t="shared" si="291"/>
        <v>NA</v>
      </c>
      <c r="Q2026" s="10">
        <f t="shared" ca="1" si="292"/>
        <v>55.535714285712103</v>
      </c>
      <c r="R2026" s="10">
        <f t="shared" ca="1" si="293"/>
        <v>99.553571428570194</v>
      </c>
      <c r="S2026" s="10">
        <f t="shared" ca="1" si="294"/>
        <v>-44.017857142858091</v>
      </c>
      <c r="T2026" s="10">
        <f t="shared" ca="1" si="295"/>
        <v>483.33333333332541</v>
      </c>
      <c r="U2026" s="10">
        <f t="shared" ca="1" si="296"/>
        <v>483.33333333332541</v>
      </c>
      <c r="V2026">
        <f t="shared" si="297"/>
        <v>4</v>
      </c>
    </row>
    <row r="2027" spans="1:22" x14ac:dyDescent="0.25">
      <c r="A2027">
        <v>226</v>
      </c>
      <c r="B2027">
        <v>1</v>
      </c>
      <c r="C2027">
        <v>95</v>
      </c>
      <c r="D2027">
        <v>1</v>
      </c>
      <c r="E2027">
        <v>0</v>
      </c>
      <c r="F2027">
        <v>1</v>
      </c>
      <c r="G2027">
        <v>0</v>
      </c>
      <c r="H2027">
        <v>250</v>
      </c>
      <c r="I2027">
        <f t="shared" si="298"/>
        <v>2025</v>
      </c>
      <c r="J2027" s="6">
        <f t="array" aca="1" ref="J2027:N2027" ca="1">TRANSPOSE(ols(OFFSET($C$2:$C$10,I2027,0),OFFSET($D$2:$H$10,I2027,0)))</f>
        <v>151.07142857142935</v>
      </c>
      <c r="K2027" s="6">
        <f ca="1"/>
        <v>-7.8571428571426623</v>
      </c>
      <c r="L2027" s="6">
        <f ca="1"/>
        <v>-21.428571428571558</v>
      </c>
      <c r="M2027" s="6">
        <f ca="1"/>
        <v>-9.285714285713766</v>
      </c>
      <c r="N2027" s="6">
        <f ca="1"/>
        <v>-0.13571428571428612</v>
      </c>
      <c r="O2027" s="6">
        <f t="shared" ca="1" si="290"/>
        <v>95.714285714286262</v>
      </c>
      <c r="P2027" t="str">
        <f t="shared" si="291"/>
        <v>NA</v>
      </c>
      <c r="Q2027" s="10">
        <f t="shared" ca="1" si="292"/>
        <v>72.857142857143884</v>
      </c>
      <c r="R2027" s="10">
        <f t="shared" ca="1" si="293"/>
        <v>129.64285714285779</v>
      </c>
      <c r="S2027" s="10">
        <f t="shared" ca="1" si="294"/>
        <v>-56.785714285713908</v>
      </c>
      <c r="T2027" s="10">
        <f t="shared" ca="1" si="295"/>
        <v>418.42105263157492</v>
      </c>
      <c r="U2027" s="10">
        <f t="shared" ca="1" si="296"/>
        <v>418.42105263157492</v>
      </c>
      <c r="V2027">
        <f t="shared" si="297"/>
        <v>3</v>
      </c>
    </row>
    <row r="2028" spans="1:22" x14ac:dyDescent="0.25">
      <c r="A2028">
        <v>226</v>
      </c>
      <c r="B2028">
        <v>2</v>
      </c>
      <c r="C2028">
        <v>95</v>
      </c>
      <c r="D2028">
        <v>1</v>
      </c>
      <c r="E2028">
        <v>1</v>
      </c>
      <c r="F2028">
        <v>0</v>
      </c>
      <c r="G2028">
        <v>0</v>
      </c>
      <c r="H2028">
        <v>350</v>
      </c>
      <c r="I2028">
        <f t="shared" si="298"/>
        <v>2025</v>
      </c>
      <c r="J2028" s="6">
        <f t="array" aca="1" ref="J2028:N2028" ca="1">TRANSPOSE(ols(OFFSET($C$2:$C$10,I2028,0),OFFSET($D$2:$H$10,I2028,0)))</f>
        <v>151.07142857142935</v>
      </c>
      <c r="K2028" s="6">
        <f ca="1"/>
        <v>-7.8571428571426623</v>
      </c>
      <c r="L2028" s="6">
        <f ca="1"/>
        <v>-21.428571428571558</v>
      </c>
      <c r="M2028" s="6">
        <f ca="1"/>
        <v>-9.285714285713766</v>
      </c>
      <c r="N2028" s="6">
        <f ca="1"/>
        <v>-0.13571428571428612</v>
      </c>
      <c r="O2028" s="6">
        <f t="shared" ca="1" si="290"/>
        <v>95.714285714286547</v>
      </c>
      <c r="P2028" t="str">
        <f t="shared" si="291"/>
        <v>NA</v>
      </c>
      <c r="Q2028" s="10">
        <f t="shared" ca="1" si="292"/>
        <v>72.857142857143884</v>
      </c>
      <c r="R2028" s="10">
        <f t="shared" ca="1" si="293"/>
        <v>143.21428571428669</v>
      </c>
      <c r="S2028" s="10">
        <f t="shared" ca="1" si="294"/>
        <v>-70.357142857142804</v>
      </c>
      <c r="T2028" s="10">
        <f t="shared" ca="1" si="295"/>
        <v>518.42105263157703</v>
      </c>
      <c r="U2028" s="10">
        <f t="shared" ca="1" si="296"/>
        <v>518.42105263157703</v>
      </c>
      <c r="V2028">
        <f t="shared" si="297"/>
        <v>2</v>
      </c>
    </row>
    <row r="2029" spans="1:22" x14ac:dyDescent="0.25">
      <c r="A2029">
        <v>226</v>
      </c>
      <c r="B2029">
        <v>3</v>
      </c>
      <c r="C2029">
        <v>85</v>
      </c>
      <c r="D2029">
        <v>1</v>
      </c>
      <c r="E2029">
        <v>1</v>
      </c>
      <c r="F2029">
        <v>0</v>
      </c>
      <c r="G2029">
        <v>0</v>
      </c>
      <c r="H2029">
        <v>450</v>
      </c>
      <c r="I2029">
        <f t="shared" si="298"/>
        <v>2025</v>
      </c>
      <c r="J2029" s="6">
        <f t="array" aca="1" ref="J2029:N2029" ca="1">TRANSPOSE(ols(OFFSET($C$2:$C$10,I2029,0),OFFSET($D$2:$H$10,I2029,0)))</f>
        <v>151.07142857142935</v>
      </c>
      <c r="K2029" s="6">
        <f ca="1"/>
        <v>-7.8571428571426623</v>
      </c>
      <c r="L2029" s="6">
        <f ca="1"/>
        <v>-21.428571428571558</v>
      </c>
      <c r="M2029" s="6">
        <f ca="1"/>
        <v>-9.285714285713766</v>
      </c>
      <c r="N2029" s="6">
        <f ca="1"/>
        <v>-0.13571428571428612</v>
      </c>
      <c r="O2029" s="6">
        <f t="shared" ca="1" si="290"/>
        <v>82.142857142857935</v>
      </c>
      <c r="P2029" t="str">
        <f t="shared" si="291"/>
        <v>NA</v>
      </c>
      <c r="Q2029" s="10">
        <f t="shared" ca="1" si="292"/>
        <v>72.857142857143884</v>
      </c>
      <c r="R2029" s="10">
        <f t="shared" ca="1" si="293"/>
        <v>143.21428571428669</v>
      </c>
      <c r="S2029" s="10">
        <f t="shared" ca="1" si="294"/>
        <v>-70.357142857142804</v>
      </c>
      <c r="T2029" s="10">
        <f t="shared" ca="1" si="295"/>
        <v>518.42105263157703</v>
      </c>
      <c r="U2029" s="10">
        <f t="shared" ca="1" si="296"/>
        <v>518.42105263157703</v>
      </c>
      <c r="V2029">
        <f t="shared" si="297"/>
        <v>2</v>
      </c>
    </row>
    <row r="2030" spans="1:22" x14ac:dyDescent="0.25">
      <c r="A2030">
        <v>226</v>
      </c>
      <c r="B2030">
        <v>4</v>
      </c>
      <c r="C2030">
        <v>75</v>
      </c>
      <c r="D2030">
        <v>1</v>
      </c>
      <c r="E2030">
        <v>0</v>
      </c>
      <c r="F2030">
        <v>0</v>
      </c>
      <c r="G2030">
        <v>0</v>
      </c>
      <c r="H2030">
        <v>550</v>
      </c>
      <c r="I2030">
        <f t="shared" si="298"/>
        <v>2025</v>
      </c>
      <c r="J2030" s="6">
        <f t="array" aca="1" ref="J2030:N2030" ca="1">TRANSPOSE(ols(OFFSET($C$2:$C$10,I2030,0),OFFSET($D$2:$H$10,I2030,0)))</f>
        <v>151.07142857142935</v>
      </c>
      <c r="K2030" s="6">
        <f ca="1"/>
        <v>-7.8571428571426623</v>
      </c>
      <c r="L2030" s="6">
        <f ca="1"/>
        <v>-21.428571428571558</v>
      </c>
      <c r="M2030" s="6">
        <f ca="1"/>
        <v>-9.285714285713766</v>
      </c>
      <c r="N2030" s="6">
        <f ca="1"/>
        <v>-0.13571428571428612</v>
      </c>
      <c r="O2030" s="6">
        <f t="shared" ca="1" si="290"/>
        <v>76.428571428571985</v>
      </c>
      <c r="P2030" t="str">
        <f t="shared" si="291"/>
        <v>NA</v>
      </c>
      <c r="Q2030" s="10">
        <f t="shared" ca="1" si="292"/>
        <v>72.857142857143884</v>
      </c>
      <c r="R2030" s="10">
        <f t="shared" ca="1" si="293"/>
        <v>151.07142857142935</v>
      </c>
      <c r="S2030" s="10">
        <f t="shared" ca="1" si="294"/>
        <v>-78.214285714285467</v>
      </c>
      <c r="T2030" s="10">
        <f t="shared" ca="1" si="295"/>
        <v>576.31578947368064</v>
      </c>
      <c r="U2030" s="10">
        <f t="shared" ca="1" si="296"/>
        <v>576.31578947368064</v>
      </c>
      <c r="V2030">
        <f t="shared" si="297"/>
        <v>1</v>
      </c>
    </row>
    <row r="2031" spans="1:22" x14ac:dyDescent="0.25">
      <c r="A2031">
        <v>226</v>
      </c>
      <c r="B2031">
        <v>5</v>
      </c>
      <c r="C2031">
        <v>85</v>
      </c>
      <c r="D2031">
        <v>1</v>
      </c>
      <c r="E2031">
        <v>0</v>
      </c>
      <c r="F2031">
        <v>1</v>
      </c>
      <c r="G2031">
        <v>1</v>
      </c>
      <c r="H2031">
        <v>250</v>
      </c>
      <c r="I2031">
        <f t="shared" si="298"/>
        <v>2025</v>
      </c>
      <c r="J2031" s="6">
        <f t="array" aca="1" ref="J2031:N2031" ca="1">TRANSPOSE(ols(OFFSET($C$2:$C$10,I2031,0),OFFSET($D$2:$H$10,I2031,0)))</f>
        <v>151.07142857142935</v>
      </c>
      <c r="K2031" s="6">
        <f ca="1"/>
        <v>-7.8571428571426623</v>
      </c>
      <c r="L2031" s="6">
        <f ca="1"/>
        <v>-21.428571428571558</v>
      </c>
      <c r="M2031" s="6">
        <f ca="1"/>
        <v>-9.285714285713766</v>
      </c>
      <c r="N2031" s="6">
        <f ca="1"/>
        <v>-0.13571428571428612</v>
      </c>
      <c r="O2031" s="6">
        <f t="shared" ca="1" si="290"/>
        <v>86.428571428572496</v>
      </c>
      <c r="P2031" t="str">
        <f t="shared" si="291"/>
        <v>NA</v>
      </c>
      <c r="Q2031" s="10">
        <f t="shared" ca="1" si="292"/>
        <v>72.857142857143884</v>
      </c>
      <c r="R2031" s="10">
        <f t="shared" ca="1" si="293"/>
        <v>120.35714285714403</v>
      </c>
      <c r="S2031" s="10">
        <f t="shared" ca="1" si="294"/>
        <v>-47.500000000000142</v>
      </c>
      <c r="T2031" s="10">
        <f t="shared" ca="1" si="295"/>
        <v>350</v>
      </c>
      <c r="U2031" s="10">
        <f t="shared" ca="1" si="296"/>
        <v>350</v>
      </c>
      <c r="V2031">
        <f t="shared" si="297"/>
        <v>6</v>
      </c>
    </row>
    <row r="2032" spans="1:22" x14ac:dyDescent="0.25">
      <c r="A2032">
        <v>226</v>
      </c>
      <c r="B2032">
        <v>6</v>
      </c>
      <c r="C2032">
        <v>75</v>
      </c>
      <c r="D2032">
        <v>1</v>
      </c>
      <c r="E2032">
        <v>0</v>
      </c>
      <c r="F2032">
        <v>1</v>
      </c>
      <c r="G2032">
        <v>1</v>
      </c>
      <c r="H2032">
        <v>350</v>
      </c>
      <c r="I2032">
        <f t="shared" si="298"/>
        <v>2025</v>
      </c>
      <c r="J2032" s="6">
        <f t="array" aca="1" ref="J2032:N2032" ca="1">TRANSPOSE(ols(OFFSET($C$2:$C$10,I2032,0),OFFSET($D$2:$H$10,I2032,0)))</f>
        <v>151.07142857142935</v>
      </c>
      <c r="K2032" s="6">
        <f ca="1"/>
        <v>-7.8571428571426623</v>
      </c>
      <c r="L2032" s="6">
        <f ca="1"/>
        <v>-21.428571428571558</v>
      </c>
      <c r="M2032" s="6">
        <f ca="1"/>
        <v>-9.285714285713766</v>
      </c>
      <c r="N2032" s="6">
        <f ca="1"/>
        <v>-0.13571428571428612</v>
      </c>
      <c r="O2032" s="6">
        <f t="shared" ca="1" si="290"/>
        <v>72.857142857143884</v>
      </c>
      <c r="P2032">
        <f t="shared" ca="1" si="291"/>
        <v>72.857142857143884</v>
      </c>
      <c r="Q2032" s="10">
        <f t="shared" ca="1" si="292"/>
        <v>72.857142857143884</v>
      </c>
      <c r="R2032" s="10">
        <f t="shared" ca="1" si="293"/>
        <v>120.35714285714403</v>
      </c>
      <c r="S2032" s="10">
        <f t="shared" ca="1" si="294"/>
        <v>-47.500000000000142</v>
      </c>
      <c r="T2032" s="10">
        <f t="shared" ca="1" si="295"/>
        <v>350</v>
      </c>
      <c r="U2032" s="10">
        <f t="shared" ca="1" si="296"/>
        <v>350</v>
      </c>
      <c r="V2032">
        <f t="shared" si="297"/>
        <v>6</v>
      </c>
    </row>
    <row r="2033" spans="1:22" x14ac:dyDescent="0.25">
      <c r="A2033">
        <v>226</v>
      </c>
      <c r="B2033">
        <v>7</v>
      </c>
      <c r="C2033">
        <v>75</v>
      </c>
      <c r="D2033">
        <v>1</v>
      </c>
      <c r="E2033">
        <v>1</v>
      </c>
      <c r="F2033">
        <v>0</v>
      </c>
      <c r="G2033">
        <v>1</v>
      </c>
      <c r="H2033">
        <v>450</v>
      </c>
      <c r="I2033">
        <f t="shared" si="298"/>
        <v>2025</v>
      </c>
      <c r="J2033" s="6">
        <f t="array" aca="1" ref="J2033:N2033" ca="1">TRANSPOSE(ols(OFFSET($C$2:$C$10,I2033,0),OFFSET($D$2:$H$10,I2033,0)))</f>
        <v>151.07142857142935</v>
      </c>
      <c r="K2033" s="6">
        <f ca="1"/>
        <v>-7.8571428571426623</v>
      </c>
      <c r="L2033" s="6">
        <f ca="1"/>
        <v>-21.428571428571558</v>
      </c>
      <c r="M2033" s="6">
        <f ca="1"/>
        <v>-9.285714285713766</v>
      </c>
      <c r="N2033" s="6">
        <f ca="1"/>
        <v>-0.13571428571428612</v>
      </c>
      <c r="O2033" s="6">
        <f t="shared" ca="1" si="290"/>
        <v>72.857142857144169</v>
      </c>
      <c r="P2033" t="str">
        <f t="shared" si="291"/>
        <v>NA</v>
      </c>
      <c r="Q2033" s="10">
        <f t="shared" ca="1" si="292"/>
        <v>72.857142857143884</v>
      </c>
      <c r="R2033" s="10">
        <f t="shared" ca="1" si="293"/>
        <v>133.92857142857292</v>
      </c>
      <c r="S2033" s="10">
        <f t="shared" ca="1" si="294"/>
        <v>-61.071428571429038</v>
      </c>
      <c r="T2033" s="10">
        <f t="shared" ca="1" si="295"/>
        <v>450.0000000000021</v>
      </c>
      <c r="U2033" s="10">
        <f t="shared" ca="1" si="296"/>
        <v>450.0000000000021</v>
      </c>
      <c r="V2033">
        <f t="shared" si="297"/>
        <v>5</v>
      </c>
    </row>
    <row r="2034" spans="1:22" x14ac:dyDescent="0.25">
      <c r="A2034">
        <v>226</v>
      </c>
      <c r="B2034">
        <v>8</v>
      </c>
      <c r="C2034">
        <v>55</v>
      </c>
      <c r="D2034">
        <v>1</v>
      </c>
      <c r="E2034">
        <v>1</v>
      </c>
      <c r="F2034">
        <v>0</v>
      </c>
      <c r="G2034">
        <v>1</v>
      </c>
      <c r="H2034">
        <v>550</v>
      </c>
      <c r="I2034">
        <f t="shared" si="298"/>
        <v>2025</v>
      </c>
      <c r="J2034" s="6">
        <f t="array" aca="1" ref="J2034:N2034" ca="1">TRANSPOSE(ols(OFFSET($C$2:$C$10,I2034,0),OFFSET($D$2:$H$10,I2034,0)))</f>
        <v>151.07142857142935</v>
      </c>
      <c r="K2034" s="6">
        <f ca="1"/>
        <v>-7.8571428571426623</v>
      </c>
      <c r="L2034" s="6">
        <f ca="1"/>
        <v>-21.428571428571558</v>
      </c>
      <c r="M2034" s="6">
        <f ca="1"/>
        <v>-9.285714285713766</v>
      </c>
      <c r="N2034" s="6">
        <f ca="1"/>
        <v>-0.13571428571428612</v>
      </c>
      <c r="O2034" s="6">
        <f t="shared" ca="1" si="290"/>
        <v>59.285714285715557</v>
      </c>
      <c r="P2034" t="str">
        <f t="shared" si="291"/>
        <v>NA</v>
      </c>
      <c r="Q2034" s="10">
        <f t="shared" ca="1" si="292"/>
        <v>72.857142857143884</v>
      </c>
      <c r="R2034" s="10">
        <f t="shared" ca="1" si="293"/>
        <v>133.92857142857292</v>
      </c>
      <c r="S2034" s="10">
        <f t="shared" ca="1" si="294"/>
        <v>-61.071428571429038</v>
      </c>
      <c r="T2034" s="10">
        <f t="shared" ca="1" si="295"/>
        <v>450.0000000000021</v>
      </c>
      <c r="U2034" s="10">
        <f t="shared" ca="1" si="296"/>
        <v>450.0000000000021</v>
      </c>
      <c r="V2034">
        <f t="shared" si="297"/>
        <v>5</v>
      </c>
    </row>
    <row r="2035" spans="1:22" x14ac:dyDescent="0.25">
      <c r="A2035">
        <v>226</v>
      </c>
      <c r="B2035">
        <v>9</v>
      </c>
      <c r="C2035">
        <v>55</v>
      </c>
      <c r="D2035">
        <v>1</v>
      </c>
      <c r="E2035">
        <v>0</v>
      </c>
      <c r="F2035">
        <v>0</v>
      </c>
      <c r="G2035">
        <v>1</v>
      </c>
      <c r="H2035">
        <v>650</v>
      </c>
      <c r="I2035">
        <f t="shared" si="298"/>
        <v>2025</v>
      </c>
      <c r="J2035" s="6">
        <f t="array" aca="1" ref="J2035:N2035" ca="1">TRANSPOSE(ols(OFFSET($C$2:$C$10,I2035,0),OFFSET($D$2:$H$10,I2035,0)))</f>
        <v>151.07142857142935</v>
      </c>
      <c r="K2035" s="6">
        <f ca="1"/>
        <v>-7.8571428571426623</v>
      </c>
      <c r="L2035" s="6">
        <f ca="1"/>
        <v>-21.428571428571558</v>
      </c>
      <c r="M2035" s="6">
        <f ca="1"/>
        <v>-9.285714285713766</v>
      </c>
      <c r="N2035" s="6">
        <f ca="1"/>
        <v>-0.13571428571428612</v>
      </c>
      <c r="O2035" s="6">
        <f t="shared" ca="1" si="290"/>
        <v>53.571428571429607</v>
      </c>
      <c r="P2035" t="str">
        <f t="shared" si="291"/>
        <v>NA</v>
      </c>
      <c r="Q2035" s="10">
        <f t="shared" ca="1" si="292"/>
        <v>72.857142857143884</v>
      </c>
      <c r="R2035" s="10">
        <f t="shared" ca="1" si="293"/>
        <v>141.78571428571558</v>
      </c>
      <c r="S2035" s="10">
        <f t="shared" ca="1" si="294"/>
        <v>-68.928571428571701</v>
      </c>
      <c r="T2035" s="10">
        <f t="shared" ca="1" si="295"/>
        <v>507.89473684210577</v>
      </c>
      <c r="U2035" s="10">
        <f t="shared" ca="1" si="296"/>
        <v>507.89473684210577</v>
      </c>
      <c r="V2035">
        <f t="shared" si="297"/>
        <v>4</v>
      </c>
    </row>
    <row r="2036" spans="1:22" x14ac:dyDescent="0.25">
      <c r="A2036">
        <v>227</v>
      </c>
      <c r="B2036">
        <v>1</v>
      </c>
      <c r="C2036">
        <v>80</v>
      </c>
      <c r="D2036">
        <v>1</v>
      </c>
      <c r="E2036">
        <v>0</v>
      </c>
      <c r="F2036">
        <v>1</v>
      </c>
      <c r="G2036">
        <v>0</v>
      </c>
      <c r="H2036">
        <v>250</v>
      </c>
      <c r="I2036">
        <f t="shared" si="298"/>
        <v>2034</v>
      </c>
      <c r="J2036" s="6">
        <f t="array" aca="1" ref="J2036:N2036" ca="1">TRANSPOSE(ols(OFFSET($C$2:$C$10,I2036,0),OFFSET($D$2:$H$10,I2036,0)))</f>
        <v>112.67857142857065</v>
      </c>
      <c r="K2036" s="6">
        <f ca="1"/>
        <v>-2.1428571428573377</v>
      </c>
      <c r="L2036" s="6">
        <f ca="1"/>
        <v>-8.571428571429351</v>
      </c>
      <c r="M2036" s="6">
        <f ca="1"/>
        <v>-8.2142857142855519</v>
      </c>
      <c r="N2036" s="6">
        <f ca="1"/>
        <v>-8.9285714285713524E-2</v>
      </c>
      <c r="O2036" s="6">
        <f t="shared" ca="1" si="290"/>
        <v>81.785714285712913</v>
      </c>
      <c r="P2036" t="str">
        <f t="shared" si="291"/>
        <v>NA</v>
      </c>
      <c r="Q2036" s="10">
        <f t="shared" ca="1" si="292"/>
        <v>64.642857142856016</v>
      </c>
      <c r="R2036" s="10">
        <f t="shared" ca="1" si="293"/>
        <v>104.1071428571413</v>
      </c>
      <c r="S2036" s="10">
        <f t="shared" ca="1" si="294"/>
        <v>-39.464285714285282</v>
      </c>
      <c r="T2036" s="10">
        <f t="shared" ca="1" si="295"/>
        <v>441.99999999999892</v>
      </c>
      <c r="U2036" s="10">
        <f t="shared" ca="1" si="296"/>
        <v>441.99999999999892</v>
      </c>
      <c r="V2036">
        <f t="shared" si="297"/>
        <v>3</v>
      </c>
    </row>
    <row r="2037" spans="1:22" x14ac:dyDescent="0.25">
      <c r="A2037">
        <v>227</v>
      </c>
      <c r="B2037">
        <v>2</v>
      </c>
      <c r="C2037">
        <v>80</v>
      </c>
      <c r="D2037">
        <v>1</v>
      </c>
      <c r="E2037">
        <v>1</v>
      </c>
      <c r="F2037">
        <v>0</v>
      </c>
      <c r="G2037">
        <v>0</v>
      </c>
      <c r="H2037">
        <v>350</v>
      </c>
      <c r="I2037">
        <f t="shared" si="298"/>
        <v>2034</v>
      </c>
      <c r="J2037" s="6">
        <f t="array" aca="1" ref="J2037:N2037" ca="1">TRANSPOSE(ols(OFFSET($C$2:$C$10,I2037,0),OFFSET($D$2:$H$10,I2037,0)))</f>
        <v>112.67857142857065</v>
      </c>
      <c r="K2037" s="6">
        <f ca="1"/>
        <v>-2.1428571428573377</v>
      </c>
      <c r="L2037" s="6">
        <f ca="1"/>
        <v>-8.571428571429351</v>
      </c>
      <c r="M2037" s="6">
        <f ca="1"/>
        <v>-8.2142857142855519</v>
      </c>
      <c r="N2037" s="6">
        <f ca="1"/>
        <v>-8.9285714285713524E-2</v>
      </c>
      <c r="O2037" s="6">
        <f t="shared" ca="1" si="290"/>
        <v>79.285714285713581</v>
      </c>
      <c r="P2037" t="str">
        <f t="shared" si="291"/>
        <v>NA</v>
      </c>
      <c r="Q2037" s="10">
        <f t="shared" ca="1" si="292"/>
        <v>64.642857142856016</v>
      </c>
      <c r="R2037" s="10">
        <f t="shared" ca="1" si="293"/>
        <v>110.53571428571331</v>
      </c>
      <c r="S2037" s="10">
        <f t="shared" ca="1" si="294"/>
        <v>-45.892857142857295</v>
      </c>
      <c r="T2037" s="10">
        <f t="shared" ca="1" si="295"/>
        <v>514.00000000000614</v>
      </c>
      <c r="U2037" s="10">
        <f t="shared" ca="1" si="296"/>
        <v>514.00000000000614</v>
      </c>
      <c r="V2037">
        <f t="shared" si="297"/>
        <v>2</v>
      </c>
    </row>
    <row r="2038" spans="1:22" x14ac:dyDescent="0.25">
      <c r="A2038">
        <v>227</v>
      </c>
      <c r="B2038">
        <v>3</v>
      </c>
      <c r="C2038">
        <v>70</v>
      </c>
      <c r="D2038">
        <v>1</v>
      </c>
      <c r="E2038">
        <v>1</v>
      </c>
      <c r="F2038">
        <v>0</v>
      </c>
      <c r="G2038">
        <v>0</v>
      </c>
      <c r="H2038">
        <v>450</v>
      </c>
      <c r="I2038">
        <f t="shared" si="298"/>
        <v>2034</v>
      </c>
      <c r="J2038" s="6">
        <f t="array" aca="1" ref="J2038:N2038" ca="1">TRANSPOSE(ols(OFFSET($C$2:$C$10,I2038,0),OFFSET($D$2:$H$10,I2038,0)))</f>
        <v>112.67857142857065</v>
      </c>
      <c r="K2038" s="6">
        <f ca="1"/>
        <v>-2.1428571428573377</v>
      </c>
      <c r="L2038" s="6">
        <f ca="1"/>
        <v>-8.571428571429351</v>
      </c>
      <c r="M2038" s="6">
        <f ca="1"/>
        <v>-8.2142857142855519</v>
      </c>
      <c r="N2038" s="6">
        <f ca="1"/>
        <v>-8.9285714285713524E-2</v>
      </c>
      <c r="O2038" s="6">
        <f t="shared" ca="1" si="290"/>
        <v>70.357142857142222</v>
      </c>
      <c r="P2038" t="str">
        <f t="shared" si="291"/>
        <v>NA</v>
      </c>
      <c r="Q2038" s="10">
        <f t="shared" ca="1" si="292"/>
        <v>64.642857142856016</v>
      </c>
      <c r="R2038" s="10">
        <f t="shared" ca="1" si="293"/>
        <v>110.53571428571331</v>
      </c>
      <c r="S2038" s="10">
        <f t="shared" ca="1" si="294"/>
        <v>-45.892857142857295</v>
      </c>
      <c r="T2038" s="10">
        <f t="shared" ca="1" si="295"/>
        <v>514.00000000000614</v>
      </c>
      <c r="U2038" s="10">
        <f t="shared" ca="1" si="296"/>
        <v>514.00000000000614</v>
      </c>
      <c r="V2038">
        <f t="shared" si="297"/>
        <v>2</v>
      </c>
    </row>
    <row r="2039" spans="1:22" x14ac:dyDescent="0.25">
      <c r="A2039">
        <v>227</v>
      </c>
      <c r="B2039">
        <v>4</v>
      </c>
      <c r="C2039">
        <v>65</v>
      </c>
      <c r="D2039">
        <v>1</v>
      </c>
      <c r="E2039">
        <v>0</v>
      </c>
      <c r="F2039">
        <v>0</v>
      </c>
      <c r="G2039">
        <v>0</v>
      </c>
      <c r="H2039">
        <v>550</v>
      </c>
      <c r="I2039">
        <f t="shared" si="298"/>
        <v>2034</v>
      </c>
      <c r="J2039" s="6">
        <f t="array" aca="1" ref="J2039:N2039" ca="1">TRANSPOSE(ols(OFFSET($C$2:$C$10,I2039,0),OFFSET($D$2:$H$10,I2039,0)))</f>
        <v>112.67857142857065</v>
      </c>
      <c r="K2039" s="6">
        <f ca="1"/>
        <v>-2.1428571428573377</v>
      </c>
      <c r="L2039" s="6">
        <f ca="1"/>
        <v>-8.571428571429351</v>
      </c>
      <c r="M2039" s="6">
        <f ca="1"/>
        <v>-8.2142857142855519</v>
      </c>
      <c r="N2039" s="6">
        <f ca="1"/>
        <v>-8.9285714285713524E-2</v>
      </c>
      <c r="O2039" s="6">
        <f t="shared" ca="1" si="290"/>
        <v>63.571428571428214</v>
      </c>
      <c r="P2039" t="str">
        <f t="shared" si="291"/>
        <v>NA</v>
      </c>
      <c r="Q2039" s="10">
        <f t="shared" ca="1" si="292"/>
        <v>64.642857142856016</v>
      </c>
      <c r="R2039" s="10">
        <f t="shared" ca="1" si="293"/>
        <v>112.67857142857065</v>
      </c>
      <c r="S2039" s="10">
        <f t="shared" ca="1" si="294"/>
        <v>-48.035714285714633</v>
      </c>
      <c r="T2039" s="10">
        <f t="shared" ca="1" si="295"/>
        <v>538.00000000000853</v>
      </c>
      <c r="U2039" s="10">
        <f t="shared" ca="1" si="296"/>
        <v>538.00000000000853</v>
      </c>
      <c r="V2039">
        <f t="shared" si="297"/>
        <v>1</v>
      </c>
    </row>
    <row r="2040" spans="1:22" x14ac:dyDescent="0.25">
      <c r="A2040">
        <v>227</v>
      </c>
      <c r="B2040">
        <v>5</v>
      </c>
      <c r="C2040">
        <v>70</v>
      </c>
      <c r="D2040">
        <v>1</v>
      </c>
      <c r="E2040">
        <v>0</v>
      </c>
      <c r="F2040">
        <v>1</v>
      </c>
      <c r="G2040">
        <v>1</v>
      </c>
      <c r="H2040">
        <v>250</v>
      </c>
      <c r="I2040">
        <f t="shared" si="298"/>
        <v>2034</v>
      </c>
      <c r="J2040" s="6">
        <f t="array" aca="1" ref="J2040:N2040" ca="1">TRANSPOSE(ols(OFFSET($C$2:$C$10,I2040,0),OFFSET($D$2:$H$10,I2040,0)))</f>
        <v>112.67857142857065</v>
      </c>
      <c r="K2040" s="6">
        <f ca="1"/>
        <v>-2.1428571428573377</v>
      </c>
      <c r="L2040" s="6">
        <f ca="1"/>
        <v>-8.571428571429351</v>
      </c>
      <c r="M2040" s="6">
        <f ca="1"/>
        <v>-8.2142857142855519</v>
      </c>
      <c r="N2040" s="6">
        <f ca="1"/>
        <v>-8.9285714285713524E-2</v>
      </c>
      <c r="O2040" s="6">
        <f t="shared" ca="1" si="290"/>
        <v>73.571428571427361</v>
      </c>
      <c r="P2040" t="str">
        <f t="shared" si="291"/>
        <v>NA</v>
      </c>
      <c r="Q2040" s="10">
        <f t="shared" ca="1" si="292"/>
        <v>64.642857142856016</v>
      </c>
      <c r="R2040" s="10">
        <f t="shared" ca="1" si="293"/>
        <v>95.892857142855746</v>
      </c>
      <c r="S2040" s="10">
        <f t="shared" ca="1" si="294"/>
        <v>-31.24999999999973</v>
      </c>
      <c r="T2040" s="10">
        <f t="shared" ca="1" si="295"/>
        <v>349.99999999999994</v>
      </c>
      <c r="U2040" s="10">
        <f t="shared" ca="1" si="296"/>
        <v>349.99999999999994</v>
      </c>
      <c r="V2040">
        <f t="shared" si="297"/>
        <v>6</v>
      </c>
    </row>
    <row r="2041" spans="1:22" x14ac:dyDescent="0.25">
      <c r="A2041">
        <v>227</v>
      </c>
      <c r="B2041">
        <v>6</v>
      </c>
      <c r="C2041">
        <v>70</v>
      </c>
      <c r="D2041">
        <v>1</v>
      </c>
      <c r="E2041">
        <v>0</v>
      </c>
      <c r="F2041">
        <v>1</v>
      </c>
      <c r="G2041">
        <v>1</v>
      </c>
      <c r="H2041">
        <v>350</v>
      </c>
      <c r="I2041">
        <f t="shared" si="298"/>
        <v>2034</v>
      </c>
      <c r="J2041" s="6">
        <f t="array" aca="1" ref="J2041:N2041" ca="1">TRANSPOSE(ols(OFFSET($C$2:$C$10,I2041,0),OFFSET($D$2:$H$10,I2041,0)))</f>
        <v>112.67857142857065</v>
      </c>
      <c r="K2041" s="6">
        <f ca="1"/>
        <v>-2.1428571428573377</v>
      </c>
      <c r="L2041" s="6">
        <f ca="1"/>
        <v>-8.571428571429351</v>
      </c>
      <c r="M2041" s="6">
        <f ca="1"/>
        <v>-8.2142857142855519</v>
      </c>
      <c r="N2041" s="6">
        <f ca="1"/>
        <v>-8.9285714285713524E-2</v>
      </c>
      <c r="O2041" s="6">
        <f t="shared" ca="1" si="290"/>
        <v>64.642857142856016</v>
      </c>
      <c r="P2041">
        <f t="shared" ca="1" si="291"/>
        <v>64.642857142856016</v>
      </c>
      <c r="Q2041" s="10">
        <f t="shared" ca="1" si="292"/>
        <v>64.642857142856016</v>
      </c>
      <c r="R2041" s="10">
        <f t="shared" ca="1" si="293"/>
        <v>95.892857142855746</v>
      </c>
      <c r="S2041" s="10">
        <f t="shared" ca="1" si="294"/>
        <v>-31.24999999999973</v>
      </c>
      <c r="T2041" s="10">
        <f t="shared" ca="1" si="295"/>
        <v>349.99999999999994</v>
      </c>
      <c r="U2041" s="10">
        <f t="shared" ca="1" si="296"/>
        <v>349.99999999999994</v>
      </c>
      <c r="V2041">
        <f t="shared" si="297"/>
        <v>6</v>
      </c>
    </row>
    <row r="2042" spans="1:22" x14ac:dyDescent="0.25">
      <c r="A2042">
        <v>227</v>
      </c>
      <c r="B2042">
        <v>7</v>
      </c>
      <c r="C2042">
        <v>65</v>
      </c>
      <c r="D2042">
        <v>1</v>
      </c>
      <c r="E2042">
        <v>1</v>
      </c>
      <c r="F2042">
        <v>0</v>
      </c>
      <c r="G2042">
        <v>1</v>
      </c>
      <c r="H2042">
        <v>450</v>
      </c>
      <c r="I2042">
        <f t="shared" si="298"/>
        <v>2034</v>
      </c>
      <c r="J2042" s="6">
        <f t="array" aca="1" ref="J2042:N2042" ca="1">TRANSPOSE(ols(OFFSET($C$2:$C$10,I2042,0),OFFSET($D$2:$H$10,I2042,0)))</f>
        <v>112.67857142857065</v>
      </c>
      <c r="K2042" s="6">
        <f ca="1"/>
        <v>-2.1428571428573377</v>
      </c>
      <c r="L2042" s="6">
        <f ca="1"/>
        <v>-8.571428571429351</v>
      </c>
      <c r="M2042" s="6">
        <f ca="1"/>
        <v>-8.2142857142855519</v>
      </c>
      <c r="N2042" s="6">
        <f ca="1"/>
        <v>-8.9285714285713524E-2</v>
      </c>
      <c r="O2042" s="6">
        <f t="shared" ca="1" si="290"/>
        <v>62.14285714285667</v>
      </c>
      <c r="P2042" t="str">
        <f t="shared" si="291"/>
        <v>NA</v>
      </c>
      <c r="Q2042" s="10">
        <f t="shared" ca="1" si="292"/>
        <v>64.642857142856016</v>
      </c>
      <c r="R2042" s="10">
        <f t="shared" ca="1" si="293"/>
        <v>102.32142857142776</v>
      </c>
      <c r="S2042" s="10">
        <f t="shared" ca="1" si="294"/>
        <v>-37.678571428571743</v>
      </c>
      <c r="T2042" s="10">
        <f t="shared" ca="1" si="295"/>
        <v>422.00000000000711</v>
      </c>
      <c r="U2042" s="10">
        <f t="shared" ca="1" si="296"/>
        <v>422.00000000000711</v>
      </c>
      <c r="V2042">
        <f t="shared" si="297"/>
        <v>5</v>
      </c>
    </row>
    <row r="2043" spans="1:22" x14ac:dyDescent="0.25">
      <c r="A2043">
        <v>227</v>
      </c>
      <c r="B2043">
        <v>8</v>
      </c>
      <c r="C2043">
        <v>50</v>
      </c>
      <c r="D2043">
        <v>1</v>
      </c>
      <c r="E2043">
        <v>1</v>
      </c>
      <c r="F2043">
        <v>0</v>
      </c>
      <c r="G2043">
        <v>1</v>
      </c>
      <c r="H2043">
        <v>550</v>
      </c>
      <c r="I2043">
        <f t="shared" si="298"/>
        <v>2034</v>
      </c>
      <c r="J2043" s="6">
        <f t="array" aca="1" ref="J2043:N2043" ca="1">TRANSPOSE(ols(OFFSET($C$2:$C$10,I2043,0),OFFSET($D$2:$H$10,I2043,0)))</f>
        <v>112.67857142857065</v>
      </c>
      <c r="K2043" s="6">
        <f ca="1"/>
        <v>-2.1428571428573377</v>
      </c>
      <c r="L2043" s="6">
        <f ca="1"/>
        <v>-8.571428571429351</v>
      </c>
      <c r="M2043" s="6">
        <f ca="1"/>
        <v>-8.2142857142855519</v>
      </c>
      <c r="N2043" s="6">
        <f ca="1"/>
        <v>-8.9285714285713524E-2</v>
      </c>
      <c r="O2043" s="6">
        <f t="shared" ca="1" si="290"/>
        <v>53.214285714285325</v>
      </c>
      <c r="P2043" t="str">
        <f t="shared" si="291"/>
        <v>NA</v>
      </c>
      <c r="Q2043" s="10">
        <f t="shared" ca="1" si="292"/>
        <v>64.642857142856016</v>
      </c>
      <c r="R2043" s="10">
        <f t="shared" ca="1" si="293"/>
        <v>102.32142857142776</v>
      </c>
      <c r="S2043" s="10">
        <f t="shared" ca="1" si="294"/>
        <v>-37.678571428571743</v>
      </c>
      <c r="T2043" s="10">
        <f t="shared" ca="1" si="295"/>
        <v>422.00000000000711</v>
      </c>
      <c r="U2043" s="10">
        <f t="shared" ca="1" si="296"/>
        <v>422.00000000000711</v>
      </c>
      <c r="V2043">
        <f t="shared" si="297"/>
        <v>5</v>
      </c>
    </row>
    <row r="2044" spans="1:22" x14ac:dyDescent="0.25">
      <c r="A2044">
        <v>227</v>
      </c>
      <c r="B2044">
        <v>9</v>
      </c>
      <c r="C2044">
        <v>45</v>
      </c>
      <c r="D2044">
        <v>1</v>
      </c>
      <c r="E2044">
        <v>0</v>
      </c>
      <c r="F2044">
        <v>0</v>
      </c>
      <c r="G2044">
        <v>1</v>
      </c>
      <c r="H2044">
        <v>650</v>
      </c>
      <c r="I2044">
        <f t="shared" si="298"/>
        <v>2034</v>
      </c>
      <c r="J2044" s="6">
        <f t="array" aca="1" ref="J2044:N2044" ca="1">TRANSPOSE(ols(OFFSET($C$2:$C$10,I2044,0),OFFSET($D$2:$H$10,I2044,0)))</f>
        <v>112.67857142857065</v>
      </c>
      <c r="K2044" s="6">
        <f ca="1"/>
        <v>-2.1428571428573377</v>
      </c>
      <c r="L2044" s="6">
        <f ca="1"/>
        <v>-8.571428571429351</v>
      </c>
      <c r="M2044" s="6">
        <f ca="1"/>
        <v>-8.2142857142855519</v>
      </c>
      <c r="N2044" s="6">
        <f ca="1"/>
        <v>-8.9285714285713524E-2</v>
      </c>
      <c r="O2044" s="6">
        <f t="shared" ca="1" si="290"/>
        <v>46.428571428571303</v>
      </c>
      <c r="P2044" t="str">
        <f t="shared" si="291"/>
        <v>NA</v>
      </c>
      <c r="Q2044" s="10">
        <f t="shared" ca="1" si="292"/>
        <v>64.642857142856016</v>
      </c>
      <c r="R2044" s="10">
        <f t="shared" ca="1" si="293"/>
        <v>104.4642857142851</v>
      </c>
      <c r="S2044" s="10">
        <f t="shared" ca="1" si="294"/>
        <v>-39.821428571429081</v>
      </c>
      <c r="T2044" s="10">
        <f t="shared" ca="1" si="295"/>
        <v>446.00000000000949</v>
      </c>
      <c r="U2044" s="10">
        <f t="shared" ca="1" si="296"/>
        <v>446.00000000000949</v>
      </c>
      <c r="V2044">
        <f t="shared" si="297"/>
        <v>4</v>
      </c>
    </row>
    <row r="2045" spans="1:22" x14ac:dyDescent="0.25">
      <c r="A2045">
        <v>228</v>
      </c>
      <c r="B2045">
        <v>1</v>
      </c>
      <c r="C2045">
        <v>90</v>
      </c>
      <c r="D2045">
        <v>1</v>
      </c>
      <c r="E2045">
        <v>0</v>
      </c>
      <c r="F2045">
        <v>1</v>
      </c>
      <c r="G2045">
        <v>0</v>
      </c>
      <c r="H2045">
        <v>250</v>
      </c>
      <c r="I2045">
        <f t="shared" si="298"/>
        <v>2043</v>
      </c>
      <c r="J2045" s="6">
        <f t="array" aca="1" ref="J2045:N2045" ca="1">TRANSPOSE(ols(OFFSET($C$2:$C$10,I2045,0),OFFSET($D$2:$H$10,I2045,0)))</f>
        <v>122.38095238095048</v>
      </c>
      <c r="K2045" s="6">
        <f ca="1"/>
        <v>-1.0714285714284415</v>
      </c>
      <c r="L2045" s="6">
        <f ca="1"/>
        <v>-2.6190476190486152</v>
      </c>
      <c r="M2045" s="6">
        <f ca="1"/>
        <v>-21.190476190475465</v>
      </c>
      <c r="N2045" s="6">
        <f ca="1"/>
        <v>-9.0476190476191931E-2</v>
      </c>
      <c r="O2045" s="6">
        <f t="shared" ca="1" si="290"/>
        <v>97.14285714285387</v>
      </c>
      <c r="P2045" t="str">
        <f t="shared" si="291"/>
        <v>NA</v>
      </c>
      <c r="Q2045" s="10">
        <f t="shared" ca="1" si="292"/>
        <v>66.904761904759226</v>
      </c>
      <c r="R2045" s="10">
        <f t="shared" ca="1" si="293"/>
        <v>119.76190476190186</v>
      </c>
      <c r="S2045" s="10">
        <f t="shared" ca="1" si="294"/>
        <v>-52.857142857142634</v>
      </c>
      <c r="T2045" s="10">
        <f t="shared" ca="1" si="295"/>
        <v>584.21052631577766</v>
      </c>
      <c r="U2045" s="10">
        <f t="shared" ca="1" si="296"/>
        <v>584.21052631577766</v>
      </c>
      <c r="V2045">
        <f t="shared" si="297"/>
        <v>3</v>
      </c>
    </row>
    <row r="2046" spans="1:22" x14ac:dyDescent="0.25">
      <c r="A2046">
        <v>228</v>
      </c>
      <c r="B2046">
        <v>2</v>
      </c>
      <c r="C2046">
        <v>90</v>
      </c>
      <c r="D2046">
        <v>1</v>
      </c>
      <c r="E2046">
        <v>1</v>
      </c>
      <c r="F2046">
        <v>0</v>
      </c>
      <c r="G2046">
        <v>0</v>
      </c>
      <c r="H2046">
        <v>350</v>
      </c>
      <c r="I2046">
        <f t="shared" si="298"/>
        <v>2043</v>
      </c>
      <c r="J2046" s="6">
        <f t="array" aca="1" ref="J2046:N2046" ca="1">TRANSPOSE(ols(OFFSET($C$2:$C$10,I2046,0),OFFSET($D$2:$H$10,I2046,0)))</f>
        <v>122.38095238095048</v>
      </c>
      <c r="K2046" s="6">
        <f ca="1"/>
        <v>-1.0714285714284415</v>
      </c>
      <c r="L2046" s="6">
        <f ca="1"/>
        <v>-2.6190476190486152</v>
      </c>
      <c r="M2046" s="6">
        <f ca="1"/>
        <v>-21.190476190475465</v>
      </c>
      <c r="N2046" s="6">
        <f ca="1"/>
        <v>-9.0476190476191931E-2</v>
      </c>
      <c r="O2046" s="6">
        <f t="shared" ca="1" si="290"/>
        <v>89.642857142854865</v>
      </c>
      <c r="P2046" t="str">
        <f t="shared" si="291"/>
        <v>NA</v>
      </c>
      <c r="Q2046" s="10">
        <f t="shared" ca="1" si="292"/>
        <v>66.904761904759226</v>
      </c>
      <c r="R2046" s="10">
        <f t="shared" ca="1" si="293"/>
        <v>121.30952380952203</v>
      </c>
      <c r="S2046" s="10">
        <f t="shared" ca="1" si="294"/>
        <v>-54.404761904762807</v>
      </c>
      <c r="T2046" s="10">
        <f t="shared" ca="1" si="295"/>
        <v>601.3157894736845</v>
      </c>
      <c r="U2046" s="10">
        <f t="shared" ca="1" si="296"/>
        <v>601.3157894736845</v>
      </c>
      <c r="V2046">
        <f t="shared" si="297"/>
        <v>2</v>
      </c>
    </row>
    <row r="2047" spans="1:22" x14ac:dyDescent="0.25">
      <c r="A2047">
        <v>228</v>
      </c>
      <c r="B2047">
        <v>3</v>
      </c>
      <c r="C2047">
        <v>85</v>
      </c>
      <c r="D2047">
        <v>1</v>
      </c>
      <c r="E2047">
        <v>1</v>
      </c>
      <c r="F2047">
        <v>0</v>
      </c>
      <c r="G2047">
        <v>0</v>
      </c>
      <c r="H2047">
        <v>450</v>
      </c>
      <c r="I2047">
        <f t="shared" si="298"/>
        <v>2043</v>
      </c>
      <c r="J2047" s="6">
        <f t="array" aca="1" ref="J2047:N2047" ca="1">TRANSPOSE(ols(OFFSET($C$2:$C$10,I2047,0),OFFSET($D$2:$H$10,I2047,0)))</f>
        <v>122.38095238095048</v>
      </c>
      <c r="K2047" s="6">
        <f ca="1"/>
        <v>-1.0714285714284415</v>
      </c>
      <c r="L2047" s="6">
        <f ca="1"/>
        <v>-2.6190476190486152</v>
      </c>
      <c r="M2047" s="6">
        <f ca="1"/>
        <v>-21.190476190475465</v>
      </c>
      <c r="N2047" s="6">
        <f ca="1"/>
        <v>-9.0476190476191931E-2</v>
      </c>
      <c r="O2047" s="6">
        <f t="shared" ca="1" si="290"/>
        <v>80.595238095235658</v>
      </c>
      <c r="P2047" t="str">
        <f t="shared" si="291"/>
        <v>NA</v>
      </c>
      <c r="Q2047" s="10">
        <f t="shared" ca="1" si="292"/>
        <v>66.904761904759226</v>
      </c>
      <c r="R2047" s="10">
        <f t="shared" ca="1" si="293"/>
        <v>121.30952380952203</v>
      </c>
      <c r="S2047" s="10">
        <f t="shared" ca="1" si="294"/>
        <v>-54.404761904762807</v>
      </c>
      <c r="T2047" s="10">
        <f t="shared" ca="1" si="295"/>
        <v>601.3157894736845</v>
      </c>
      <c r="U2047" s="10">
        <f t="shared" ca="1" si="296"/>
        <v>601.3157894736845</v>
      </c>
      <c r="V2047">
        <f t="shared" si="297"/>
        <v>2</v>
      </c>
    </row>
    <row r="2048" spans="1:22" x14ac:dyDescent="0.25">
      <c r="A2048">
        <v>228</v>
      </c>
      <c r="B2048">
        <v>4</v>
      </c>
      <c r="C2048">
        <v>75</v>
      </c>
      <c r="D2048">
        <v>1</v>
      </c>
      <c r="E2048">
        <v>0</v>
      </c>
      <c r="F2048">
        <v>0</v>
      </c>
      <c r="G2048">
        <v>0</v>
      </c>
      <c r="H2048">
        <v>550</v>
      </c>
      <c r="I2048">
        <f t="shared" si="298"/>
        <v>2043</v>
      </c>
      <c r="J2048" s="6">
        <f t="array" aca="1" ref="J2048:N2048" ca="1">TRANSPOSE(ols(OFFSET($C$2:$C$10,I2048,0),OFFSET($D$2:$H$10,I2048,0)))</f>
        <v>122.38095238095048</v>
      </c>
      <c r="K2048" s="6">
        <f ca="1"/>
        <v>-1.0714285714284415</v>
      </c>
      <c r="L2048" s="6">
        <f ca="1"/>
        <v>-2.6190476190486152</v>
      </c>
      <c r="M2048" s="6">
        <f ca="1"/>
        <v>-21.190476190475465</v>
      </c>
      <c r="N2048" s="6">
        <f ca="1"/>
        <v>-9.0476190476191931E-2</v>
      </c>
      <c r="O2048" s="6">
        <f t="shared" ca="1" si="290"/>
        <v>72.61904761904492</v>
      </c>
      <c r="P2048" t="str">
        <f t="shared" si="291"/>
        <v>NA</v>
      </c>
      <c r="Q2048" s="10">
        <f t="shared" ca="1" si="292"/>
        <v>66.904761904759226</v>
      </c>
      <c r="R2048" s="10">
        <f t="shared" ca="1" si="293"/>
        <v>122.38095238095048</v>
      </c>
      <c r="S2048" s="10">
        <f t="shared" ca="1" si="294"/>
        <v>-55.476190476191249</v>
      </c>
      <c r="T2048" s="10">
        <f t="shared" ca="1" si="295"/>
        <v>613.15789473684083</v>
      </c>
      <c r="U2048" s="10">
        <f t="shared" ca="1" si="296"/>
        <v>613.15789473684083</v>
      </c>
      <c r="V2048">
        <f t="shared" si="297"/>
        <v>1</v>
      </c>
    </row>
    <row r="2049" spans="1:22" x14ac:dyDescent="0.25">
      <c r="A2049">
        <v>228</v>
      </c>
      <c r="B2049">
        <v>5</v>
      </c>
      <c r="C2049">
        <v>80</v>
      </c>
      <c r="D2049">
        <v>1</v>
      </c>
      <c r="E2049">
        <v>0</v>
      </c>
      <c r="F2049">
        <v>1</v>
      </c>
      <c r="G2049">
        <v>1</v>
      </c>
      <c r="H2049">
        <v>250</v>
      </c>
      <c r="I2049">
        <f t="shared" si="298"/>
        <v>2043</v>
      </c>
      <c r="J2049" s="6">
        <f t="array" aca="1" ref="J2049:N2049" ca="1">TRANSPOSE(ols(OFFSET($C$2:$C$10,I2049,0),OFFSET($D$2:$H$10,I2049,0)))</f>
        <v>122.38095238095048</v>
      </c>
      <c r="K2049" s="6">
        <f ca="1"/>
        <v>-1.0714285714284415</v>
      </c>
      <c r="L2049" s="6">
        <f ca="1"/>
        <v>-2.6190476190486152</v>
      </c>
      <c r="M2049" s="6">
        <f ca="1"/>
        <v>-21.190476190475465</v>
      </c>
      <c r="N2049" s="6">
        <f ca="1"/>
        <v>-9.0476190476191931E-2</v>
      </c>
      <c r="O2049" s="6">
        <f t="shared" ca="1" si="290"/>
        <v>75.952380952378405</v>
      </c>
      <c r="P2049" t="str">
        <f t="shared" si="291"/>
        <v>NA</v>
      </c>
      <c r="Q2049" s="10">
        <f t="shared" ca="1" si="292"/>
        <v>66.904761904759226</v>
      </c>
      <c r="R2049" s="10">
        <f t="shared" ca="1" si="293"/>
        <v>98.571428571426395</v>
      </c>
      <c r="S2049" s="10">
        <f t="shared" ca="1" si="294"/>
        <v>-31.666666666667169</v>
      </c>
      <c r="T2049" s="10">
        <f t="shared" ca="1" si="295"/>
        <v>349.99999999999994</v>
      </c>
      <c r="U2049" s="10">
        <f t="shared" ca="1" si="296"/>
        <v>349.99999999999994</v>
      </c>
      <c r="V2049">
        <f t="shared" si="297"/>
        <v>6</v>
      </c>
    </row>
    <row r="2050" spans="1:22" x14ac:dyDescent="0.25">
      <c r="A2050">
        <v>228</v>
      </c>
      <c r="B2050">
        <v>6</v>
      </c>
      <c r="C2050">
        <v>70</v>
      </c>
      <c r="D2050">
        <v>1</v>
      </c>
      <c r="E2050">
        <v>0</v>
      </c>
      <c r="F2050">
        <v>1</v>
      </c>
      <c r="G2050">
        <v>1</v>
      </c>
      <c r="H2050">
        <v>350</v>
      </c>
      <c r="I2050">
        <f t="shared" si="298"/>
        <v>2043</v>
      </c>
      <c r="J2050" s="6">
        <f t="array" aca="1" ref="J2050:N2050" ca="1">TRANSPOSE(ols(OFFSET($C$2:$C$10,I2050,0),OFFSET($D$2:$H$10,I2050,0)))</f>
        <v>122.38095238095048</v>
      </c>
      <c r="K2050" s="6">
        <f ca="1"/>
        <v>-1.0714285714284415</v>
      </c>
      <c r="L2050" s="6">
        <f ca="1"/>
        <v>-2.6190476190486152</v>
      </c>
      <c r="M2050" s="6">
        <f ca="1"/>
        <v>-21.190476190475465</v>
      </c>
      <c r="N2050" s="6">
        <f ca="1"/>
        <v>-9.0476190476191931E-2</v>
      </c>
      <c r="O2050" s="6">
        <f t="shared" ca="1" si="290"/>
        <v>66.904761904759226</v>
      </c>
      <c r="P2050">
        <f t="shared" ca="1" si="291"/>
        <v>66.904761904759226</v>
      </c>
      <c r="Q2050" s="10">
        <f t="shared" ca="1" si="292"/>
        <v>66.904761904759226</v>
      </c>
      <c r="R2050" s="10">
        <f t="shared" ca="1" si="293"/>
        <v>98.571428571426395</v>
      </c>
      <c r="S2050" s="10">
        <f t="shared" ca="1" si="294"/>
        <v>-31.666666666667169</v>
      </c>
      <c r="T2050" s="10">
        <f t="shared" ca="1" si="295"/>
        <v>349.99999999999994</v>
      </c>
      <c r="U2050" s="10">
        <f t="shared" ca="1" si="296"/>
        <v>349.99999999999994</v>
      </c>
      <c r="V2050">
        <f t="shared" si="297"/>
        <v>6</v>
      </c>
    </row>
    <row r="2051" spans="1:22" x14ac:dyDescent="0.25">
      <c r="A2051">
        <v>228</v>
      </c>
      <c r="B2051">
        <v>7</v>
      </c>
      <c r="C2051">
        <v>55</v>
      </c>
      <c r="D2051">
        <v>1</v>
      </c>
      <c r="E2051">
        <v>1</v>
      </c>
      <c r="F2051">
        <v>0</v>
      </c>
      <c r="G2051">
        <v>1</v>
      </c>
      <c r="H2051">
        <v>450</v>
      </c>
      <c r="I2051">
        <f t="shared" si="298"/>
        <v>2043</v>
      </c>
      <c r="J2051" s="6">
        <f t="array" aca="1" ref="J2051:N2051" ca="1">TRANSPOSE(ols(OFFSET($C$2:$C$10,I2051,0),OFFSET($D$2:$H$10,I2051,0)))</f>
        <v>122.38095238095048</v>
      </c>
      <c r="K2051" s="6">
        <f ca="1"/>
        <v>-1.0714285714284415</v>
      </c>
      <c r="L2051" s="6">
        <f ca="1"/>
        <v>-2.6190476190486152</v>
      </c>
      <c r="M2051" s="6">
        <f ca="1"/>
        <v>-21.190476190475465</v>
      </c>
      <c r="N2051" s="6">
        <f ca="1"/>
        <v>-9.0476190476191931E-2</v>
      </c>
      <c r="O2051" s="6">
        <f t="shared" ref="O2051:O2114" ca="1" si="299">SUMPRODUCT(J2051:N2051,D2051:H2051)</f>
        <v>59.4047619047602</v>
      </c>
      <c r="P2051" t="str">
        <f t="shared" ref="P2051:P2114" si="300">IF(AND(F2051=1,G2051=1,H2051=350),O2051,"NA")</f>
        <v>NA</v>
      </c>
      <c r="Q2051" s="10">
        <f t="shared" ref="Q2051:Q2114" ca="1" si="301">AVERAGEIF($A$2:$A$5383,A2051,$P$2:$P$5383)</f>
        <v>66.904761904759226</v>
      </c>
      <c r="R2051" s="10">
        <f t="shared" ref="R2051:R2114" ca="1" si="302">O2051-N2051*H2051</f>
        <v>100.11904761904657</v>
      </c>
      <c r="S2051" s="10">
        <f t="shared" ref="S2051:S2114" ca="1" si="303">Q2051-R2051</f>
        <v>-33.214285714287342</v>
      </c>
      <c r="T2051" s="10">
        <f t="shared" ref="T2051:T2114" ca="1" si="304">S2051/N2051</f>
        <v>367.10526315790685</v>
      </c>
      <c r="U2051" s="10">
        <f t="shared" ref="U2051:U2114" ca="1" si="305">IF(OR(T2051&lt;250,T2051&gt;650),"OR",T2051)</f>
        <v>367.10526315790685</v>
      </c>
      <c r="V2051">
        <f t="shared" ref="V2051:V2114" si="306">IF(AND(E2051=1,G2051=0),2,IF(AND(F2051=1,G2051=0),3,IF(AND(E2051=1,G2051=1),5,IF(AND(F2051=1,G2051=1),6,IF(G2051=0,1,IF(G2051=1,4))))))</f>
        <v>5</v>
      </c>
    </row>
    <row r="2052" spans="1:22" x14ac:dyDescent="0.25">
      <c r="A2052">
        <v>228</v>
      </c>
      <c r="B2052">
        <v>8</v>
      </c>
      <c r="C2052">
        <v>50</v>
      </c>
      <c r="D2052">
        <v>1</v>
      </c>
      <c r="E2052">
        <v>1</v>
      </c>
      <c r="F2052">
        <v>0</v>
      </c>
      <c r="G2052">
        <v>1</v>
      </c>
      <c r="H2052">
        <v>550</v>
      </c>
      <c r="I2052">
        <f t="shared" si="298"/>
        <v>2043</v>
      </c>
      <c r="J2052" s="6">
        <f t="array" aca="1" ref="J2052:N2052" ca="1">TRANSPOSE(ols(OFFSET($C$2:$C$10,I2052,0),OFFSET($D$2:$H$10,I2052,0)))</f>
        <v>122.38095238095048</v>
      </c>
      <c r="K2052" s="6">
        <f ca="1"/>
        <v>-1.0714285714284415</v>
      </c>
      <c r="L2052" s="6">
        <f ca="1"/>
        <v>-2.6190476190486152</v>
      </c>
      <c r="M2052" s="6">
        <f ca="1"/>
        <v>-21.190476190475465</v>
      </c>
      <c r="N2052" s="6">
        <f ca="1"/>
        <v>-9.0476190476191931E-2</v>
      </c>
      <c r="O2052" s="6">
        <f t="shared" ca="1" si="299"/>
        <v>50.357142857141007</v>
      </c>
      <c r="P2052" t="str">
        <f t="shared" si="300"/>
        <v>NA</v>
      </c>
      <c r="Q2052" s="10">
        <f t="shared" ca="1" si="301"/>
        <v>66.904761904759226</v>
      </c>
      <c r="R2052" s="10">
        <f t="shared" ca="1" si="302"/>
        <v>100.11904761904657</v>
      </c>
      <c r="S2052" s="10">
        <f t="shared" ca="1" si="303"/>
        <v>-33.214285714287342</v>
      </c>
      <c r="T2052" s="10">
        <f t="shared" ca="1" si="304"/>
        <v>367.10526315790685</v>
      </c>
      <c r="U2052" s="10">
        <f t="shared" ca="1" si="305"/>
        <v>367.10526315790685</v>
      </c>
      <c r="V2052">
        <f t="shared" si="306"/>
        <v>5</v>
      </c>
    </row>
    <row r="2053" spans="1:22" x14ac:dyDescent="0.25">
      <c r="A2053">
        <v>228</v>
      </c>
      <c r="B2053">
        <v>9</v>
      </c>
      <c r="C2053">
        <v>40</v>
      </c>
      <c r="D2053">
        <v>1</v>
      </c>
      <c r="E2053">
        <v>0</v>
      </c>
      <c r="F2053">
        <v>0</v>
      </c>
      <c r="G2053">
        <v>1</v>
      </c>
      <c r="H2053">
        <v>650</v>
      </c>
      <c r="I2053">
        <f t="shared" si="298"/>
        <v>2043</v>
      </c>
      <c r="J2053" s="6">
        <f t="array" aca="1" ref="J2053:N2053" ca="1">TRANSPOSE(ols(OFFSET($C$2:$C$10,I2053,0),OFFSET($D$2:$H$10,I2053,0)))</f>
        <v>122.38095238095048</v>
      </c>
      <c r="K2053" s="6">
        <f ca="1"/>
        <v>-1.0714285714284415</v>
      </c>
      <c r="L2053" s="6">
        <f ca="1"/>
        <v>-2.6190476190486152</v>
      </c>
      <c r="M2053" s="6">
        <f ca="1"/>
        <v>-21.190476190475465</v>
      </c>
      <c r="N2053" s="6">
        <f ca="1"/>
        <v>-9.0476190476191931E-2</v>
      </c>
      <c r="O2053" s="6">
        <f t="shared" ca="1" si="299"/>
        <v>42.380952380950255</v>
      </c>
      <c r="P2053" t="str">
        <f t="shared" si="300"/>
        <v>NA</v>
      </c>
      <c r="Q2053" s="10">
        <f t="shared" ca="1" si="301"/>
        <v>66.904761904759226</v>
      </c>
      <c r="R2053" s="10">
        <f t="shared" ca="1" si="302"/>
        <v>101.19047619047501</v>
      </c>
      <c r="S2053" s="10">
        <f t="shared" ca="1" si="303"/>
        <v>-34.285714285715784</v>
      </c>
      <c r="T2053" s="10">
        <f t="shared" ca="1" si="304"/>
        <v>378.94736842106312</v>
      </c>
      <c r="U2053" s="10">
        <f t="shared" ca="1" si="305"/>
        <v>378.94736842106312</v>
      </c>
      <c r="V2053">
        <f t="shared" si="306"/>
        <v>4</v>
      </c>
    </row>
    <row r="2054" spans="1:22" x14ac:dyDescent="0.25">
      <c r="A2054">
        <v>229</v>
      </c>
      <c r="B2054">
        <v>1</v>
      </c>
      <c r="C2054">
        <v>55</v>
      </c>
      <c r="D2054">
        <v>1</v>
      </c>
      <c r="E2054">
        <v>0</v>
      </c>
      <c r="F2054">
        <v>1</v>
      </c>
      <c r="G2054">
        <v>0</v>
      </c>
      <c r="H2054">
        <v>250</v>
      </c>
      <c r="I2054">
        <f t="shared" si="298"/>
        <v>2052</v>
      </c>
      <c r="J2054" s="6">
        <f t="array" aca="1" ref="J2054:N2054" ca="1">TRANSPOSE(ols(OFFSET($C$2:$C$10,I2054,0),OFFSET($D$2:$H$10,I2054,0)))</f>
        <v>95.892857142855974</v>
      </c>
      <c r="K2054" s="6">
        <f ca="1"/>
        <v>-5.7142857142855519</v>
      </c>
      <c r="L2054" s="6">
        <f ca="1"/>
        <v>-7.857142857143117</v>
      </c>
      <c r="M2054" s="6">
        <f ca="1"/>
        <v>-16.071428571428328</v>
      </c>
      <c r="N2054" s="6">
        <f ca="1"/>
        <v>-9.6428571428569754E-2</v>
      </c>
      <c r="O2054" s="6">
        <f t="shared" ca="1" si="299"/>
        <v>63.928571428570422</v>
      </c>
      <c r="P2054" t="str">
        <f t="shared" si="300"/>
        <v>NA</v>
      </c>
      <c r="Q2054" s="10">
        <f t="shared" ca="1" si="301"/>
        <v>38.214285714285111</v>
      </c>
      <c r="R2054" s="10">
        <f t="shared" ca="1" si="302"/>
        <v>88.035714285712857</v>
      </c>
      <c r="S2054" s="10">
        <f t="shared" ca="1" si="303"/>
        <v>-49.821428571427745</v>
      </c>
      <c r="T2054" s="10">
        <f t="shared" ca="1" si="304"/>
        <v>516.66666666666708</v>
      </c>
      <c r="U2054" s="10">
        <f t="shared" ca="1" si="305"/>
        <v>516.66666666666708</v>
      </c>
      <c r="V2054">
        <f t="shared" si="306"/>
        <v>3</v>
      </c>
    </row>
    <row r="2055" spans="1:22" x14ac:dyDescent="0.25">
      <c r="A2055">
        <v>229</v>
      </c>
      <c r="B2055">
        <v>2</v>
      </c>
      <c r="C2055">
        <v>55</v>
      </c>
      <c r="D2055">
        <v>1</v>
      </c>
      <c r="E2055">
        <v>1</v>
      </c>
      <c r="F2055">
        <v>0</v>
      </c>
      <c r="G2055">
        <v>0</v>
      </c>
      <c r="H2055">
        <v>350</v>
      </c>
      <c r="I2055">
        <f t="shared" si="298"/>
        <v>2052</v>
      </c>
      <c r="J2055" s="6">
        <f t="array" aca="1" ref="J2055:N2055" ca="1">TRANSPOSE(ols(OFFSET($C$2:$C$10,I2055,0),OFFSET($D$2:$H$10,I2055,0)))</f>
        <v>95.892857142855974</v>
      </c>
      <c r="K2055" s="6">
        <f ca="1"/>
        <v>-5.7142857142855519</v>
      </c>
      <c r="L2055" s="6">
        <f ca="1"/>
        <v>-7.857142857143117</v>
      </c>
      <c r="M2055" s="6">
        <f ca="1"/>
        <v>-16.071428571428328</v>
      </c>
      <c r="N2055" s="6">
        <f ca="1"/>
        <v>-9.6428571428569754E-2</v>
      </c>
      <c r="O2055" s="6">
        <f t="shared" ca="1" si="299"/>
        <v>56.428571428571004</v>
      </c>
      <c r="P2055" t="str">
        <f t="shared" si="300"/>
        <v>NA</v>
      </c>
      <c r="Q2055" s="10">
        <f t="shared" ca="1" si="301"/>
        <v>38.214285714285111</v>
      </c>
      <c r="R2055" s="10">
        <f t="shared" ca="1" si="302"/>
        <v>90.178571428570422</v>
      </c>
      <c r="S2055" s="10">
        <f t="shared" ca="1" si="303"/>
        <v>-51.96428571428531</v>
      </c>
      <c r="T2055" s="10">
        <f t="shared" ca="1" si="304"/>
        <v>538.88888888889403</v>
      </c>
      <c r="U2055" s="10">
        <f t="shared" ca="1" si="305"/>
        <v>538.88888888889403</v>
      </c>
      <c r="V2055">
        <f t="shared" si="306"/>
        <v>2</v>
      </c>
    </row>
    <row r="2056" spans="1:22" x14ac:dyDescent="0.25">
      <c r="A2056">
        <v>229</v>
      </c>
      <c r="B2056">
        <v>3</v>
      </c>
      <c r="C2056">
        <v>50</v>
      </c>
      <c r="D2056">
        <v>1</v>
      </c>
      <c r="E2056">
        <v>1</v>
      </c>
      <c r="F2056">
        <v>0</v>
      </c>
      <c r="G2056">
        <v>0</v>
      </c>
      <c r="H2056">
        <v>450</v>
      </c>
      <c r="I2056">
        <f t="shared" si="298"/>
        <v>2052</v>
      </c>
      <c r="J2056" s="6">
        <f t="array" aca="1" ref="J2056:N2056" ca="1">TRANSPOSE(ols(OFFSET($C$2:$C$10,I2056,0),OFFSET($D$2:$H$10,I2056,0)))</f>
        <v>95.892857142855974</v>
      </c>
      <c r="K2056" s="6">
        <f ca="1"/>
        <v>-5.7142857142855519</v>
      </c>
      <c r="L2056" s="6">
        <f ca="1"/>
        <v>-7.857142857143117</v>
      </c>
      <c r="M2056" s="6">
        <f ca="1"/>
        <v>-16.071428571428328</v>
      </c>
      <c r="N2056" s="6">
        <f ca="1"/>
        <v>-9.6428571428569754E-2</v>
      </c>
      <c r="O2056" s="6">
        <f t="shared" ca="1" si="299"/>
        <v>46.785714285714036</v>
      </c>
      <c r="P2056" t="str">
        <f t="shared" si="300"/>
        <v>NA</v>
      </c>
      <c r="Q2056" s="10">
        <f t="shared" ca="1" si="301"/>
        <v>38.214285714285111</v>
      </c>
      <c r="R2056" s="10">
        <f t="shared" ca="1" si="302"/>
        <v>90.178571428570422</v>
      </c>
      <c r="S2056" s="10">
        <f t="shared" ca="1" si="303"/>
        <v>-51.96428571428531</v>
      </c>
      <c r="T2056" s="10">
        <f t="shared" ca="1" si="304"/>
        <v>538.88888888889403</v>
      </c>
      <c r="U2056" s="10">
        <f t="shared" ca="1" si="305"/>
        <v>538.88888888889403</v>
      </c>
      <c r="V2056">
        <f t="shared" si="306"/>
        <v>2</v>
      </c>
    </row>
    <row r="2057" spans="1:22" x14ac:dyDescent="0.25">
      <c r="A2057">
        <v>229</v>
      </c>
      <c r="B2057">
        <v>4</v>
      </c>
      <c r="C2057">
        <v>50</v>
      </c>
      <c r="D2057">
        <v>1</v>
      </c>
      <c r="E2057">
        <v>0</v>
      </c>
      <c r="F2057">
        <v>0</v>
      </c>
      <c r="G2057">
        <v>0</v>
      </c>
      <c r="H2057">
        <v>550</v>
      </c>
      <c r="I2057">
        <f t="shared" si="298"/>
        <v>2052</v>
      </c>
      <c r="J2057" s="6">
        <f t="array" aca="1" ref="J2057:N2057" ca="1">TRANSPOSE(ols(OFFSET($C$2:$C$10,I2057,0),OFFSET($D$2:$H$10,I2057,0)))</f>
        <v>95.892857142855974</v>
      </c>
      <c r="K2057" s="6">
        <f ca="1"/>
        <v>-5.7142857142855519</v>
      </c>
      <c r="L2057" s="6">
        <f ca="1"/>
        <v>-7.857142857143117</v>
      </c>
      <c r="M2057" s="6">
        <f ca="1"/>
        <v>-16.071428571428328</v>
      </c>
      <c r="N2057" s="6">
        <f ca="1"/>
        <v>-9.6428571428569754E-2</v>
      </c>
      <c r="O2057" s="6">
        <f t="shared" ca="1" si="299"/>
        <v>42.857142857142605</v>
      </c>
      <c r="P2057" t="str">
        <f t="shared" si="300"/>
        <v>NA</v>
      </c>
      <c r="Q2057" s="10">
        <f t="shared" ca="1" si="301"/>
        <v>38.214285714285111</v>
      </c>
      <c r="R2057" s="10">
        <f t="shared" ca="1" si="302"/>
        <v>95.892857142855974</v>
      </c>
      <c r="S2057" s="10">
        <f t="shared" ca="1" si="303"/>
        <v>-57.678571428570862</v>
      </c>
      <c r="T2057" s="10">
        <f t="shared" ca="1" si="304"/>
        <v>598.1481481481527</v>
      </c>
      <c r="U2057" s="10">
        <f t="shared" ca="1" si="305"/>
        <v>598.1481481481527</v>
      </c>
      <c r="V2057">
        <f t="shared" si="306"/>
        <v>1</v>
      </c>
    </row>
    <row r="2058" spans="1:22" x14ac:dyDescent="0.25">
      <c r="A2058">
        <v>229</v>
      </c>
      <c r="B2058">
        <v>5</v>
      </c>
      <c r="C2058">
        <v>50</v>
      </c>
      <c r="D2058">
        <v>1</v>
      </c>
      <c r="E2058">
        <v>0</v>
      </c>
      <c r="F2058">
        <v>1</v>
      </c>
      <c r="G2058">
        <v>1</v>
      </c>
      <c r="H2058">
        <v>250</v>
      </c>
      <c r="I2058">
        <f t="shared" si="298"/>
        <v>2052</v>
      </c>
      <c r="J2058" s="6">
        <f t="array" aca="1" ref="J2058:N2058" ca="1">TRANSPOSE(ols(OFFSET($C$2:$C$10,I2058,0),OFFSET($D$2:$H$10,I2058,0)))</f>
        <v>95.892857142855974</v>
      </c>
      <c r="K2058" s="6">
        <f ca="1"/>
        <v>-5.7142857142855519</v>
      </c>
      <c r="L2058" s="6">
        <f ca="1"/>
        <v>-7.857142857143117</v>
      </c>
      <c r="M2058" s="6">
        <f ca="1"/>
        <v>-16.071428571428328</v>
      </c>
      <c r="N2058" s="6">
        <f ca="1"/>
        <v>-9.6428571428569754E-2</v>
      </c>
      <c r="O2058" s="6">
        <f t="shared" ca="1" si="299"/>
        <v>47.857142857142094</v>
      </c>
      <c r="P2058" t="str">
        <f t="shared" si="300"/>
        <v>NA</v>
      </c>
      <c r="Q2058" s="10">
        <f t="shared" ca="1" si="301"/>
        <v>38.214285714285111</v>
      </c>
      <c r="R2058" s="10">
        <f t="shared" ca="1" si="302"/>
        <v>71.964285714284529</v>
      </c>
      <c r="S2058" s="10">
        <f t="shared" ca="1" si="303"/>
        <v>-33.749999999999417</v>
      </c>
      <c r="T2058" s="10">
        <f t="shared" ca="1" si="304"/>
        <v>350.00000000000006</v>
      </c>
      <c r="U2058" s="10">
        <f t="shared" ca="1" si="305"/>
        <v>350.00000000000006</v>
      </c>
      <c r="V2058">
        <f t="shared" si="306"/>
        <v>6</v>
      </c>
    </row>
    <row r="2059" spans="1:22" x14ac:dyDescent="0.25">
      <c r="A2059">
        <v>229</v>
      </c>
      <c r="B2059">
        <v>6</v>
      </c>
      <c r="C2059">
        <v>45</v>
      </c>
      <c r="D2059">
        <v>1</v>
      </c>
      <c r="E2059">
        <v>0</v>
      </c>
      <c r="F2059">
        <v>1</v>
      </c>
      <c r="G2059">
        <v>1</v>
      </c>
      <c r="H2059">
        <v>350</v>
      </c>
      <c r="I2059">
        <f t="shared" si="298"/>
        <v>2052</v>
      </c>
      <c r="J2059" s="6">
        <f t="array" aca="1" ref="J2059:N2059" ca="1">TRANSPOSE(ols(OFFSET($C$2:$C$10,I2059,0),OFFSET($D$2:$H$10,I2059,0)))</f>
        <v>95.892857142855974</v>
      </c>
      <c r="K2059" s="6">
        <f ca="1"/>
        <v>-5.7142857142855519</v>
      </c>
      <c r="L2059" s="6">
        <f ca="1"/>
        <v>-7.857142857143117</v>
      </c>
      <c r="M2059" s="6">
        <f ca="1"/>
        <v>-16.071428571428328</v>
      </c>
      <c r="N2059" s="6">
        <f ca="1"/>
        <v>-9.6428571428569754E-2</v>
      </c>
      <c r="O2059" s="6">
        <f t="shared" ca="1" si="299"/>
        <v>38.214285714285111</v>
      </c>
      <c r="P2059">
        <f t="shared" ca="1" si="300"/>
        <v>38.214285714285111</v>
      </c>
      <c r="Q2059" s="10">
        <f t="shared" ca="1" si="301"/>
        <v>38.214285714285111</v>
      </c>
      <c r="R2059" s="10">
        <f t="shared" ca="1" si="302"/>
        <v>71.964285714284529</v>
      </c>
      <c r="S2059" s="10">
        <f t="shared" ca="1" si="303"/>
        <v>-33.749999999999417</v>
      </c>
      <c r="T2059" s="10">
        <f t="shared" ca="1" si="304"/>
        <v>350.00000000000006</v>
      </c>
      <c r="U2059" s="10">
        <f t="shared" ca="1" si="305"/>
        <v>350.00000000000006</v>
      </c>
      <c r="V2059">
        <f t="shared" si="306"/>
        <v>6</v>
      </c>
    </row>
    <row r="2060" spans="1:22" x14ac:dyDescent="0.25">
      <c r="A2060">
        <v>229</v>
      </c>
      <c r="B2060">
        <v>7</v>
      </c>
      <c r="C2060">
        <v>30</v>
      </c>
      <c r="D2060">
        <v>1</v>
      </c>
      <c r="E2060">
        <v>1</v>
      </c>
      <c r="F2060">
        <v>0</v>
      </c>
      <c r="G2060">
        <v>1</v>
      </c>
      <c r="H2060">
        <v>450</v>
      </c>
      <c r="I2060">
        <f t="shared" ref="I2060:I2123" si="307">IF(A2060&gt;A2059,I2059+9,I2059)</f>
        <v>2052</v>
      </c>
      <c r="J2060" s="6">
        <f t="array" aca="1" ref="J2060:N2060" ca="1">TRANSPOSE(ols(OFFSET($C$2:$C$10,I2060,0),OFFSET($D$2:$H$10,I2060,0)))</f>
        <v>95.892857142855974</v>
      </c>
      <c r="K2060" s="6">
        <f ca="1"/>
        <v>-5.7142857142855519</v>
      </c>
      <c r="L2060" s="6">
        <f ca="1"/>
        <v>-7.857142857143117</v>
      </c>
      <c r="M2060" s="6">
        <f ca="1"/>
        <v>-16.071428571428328</v>
      </c>
      <c r="N2060" s="6">
        <f ca="1"/>
        <v>-9.6428571428569754E-2</v>
      </c>
      <c r="O2060" s="6">
        <f t="shared" ca="1" si="299"/>
        <v>30.714285714285708</v>
      </c>
      <c r="P2060" t="str">
        <f t="shared" si="300"/>
        <v>NA</v>
      </c>
      <c r="Q2060" s="10">
        <f t="shared" ca="1" si="301"/>
        <v>38.214285714285111</v>
      </c>
      <c r="R2060" s="10">
        <f t="shared" ca="1" si="302"/>
        <v>74.107142857142094</v>
      </c>
      <c r="S2060" s="10">
        <f t="shared" ca="1" si="303"/>
        <v>-35.892857142856982</v>
      </c>
      <c r="T2060" s="10">
        <f t="shared" ca="1" si="304"/>
        <v>372.222222222227</v>
      </c>
      <c r="U2060" s="10">
        <f t="shared" ca="1" si="305"/>
        <v>372.222222222227</v>
      </c>
      <c r="V2060">
        <f t="shared" si="306"/>
        <v>5</v>
      </c>
    </row>
    <row r="2061" spans="1:22" x14ac:dyDescent="0.25">
      <c r="A2061">
        <v>229</v>
      </c>
      <c r="B2061">
        <v>8</v>
      </c>
      <c r="C2061">
        <v>20</v>
      </c>
      <c r="D2061">
        <v>1</v>
      </c>
      <c r="E2061">
        <v>1</v>
      </c>
      <c r="F2061">
        <v>0</v>
      </c>
      <c r="G2061">
        <v>1</v>
      </c>
      <c r="H2061">
        <v>550</v>
      </c>
      <c r="I2061">
        <f t="shared" si="307"/>
        <v>2052</v>
      </c>
      <c r="J2061" s="6">
        <f t="array" aca="1" ref="J2061:N2061" ca="1">TRANSPOSE(ols(OFFSET($C$2:$C$10,I2061,0),OFFSET($D$2:$H$10,I2061,0)))</f>
        <v>95.892857142855974</v>
      </c>
      <c r="K2061" s="6">
        <f ca="1"/>
        <v>-5.7142857142855519</v>
      </c>
      <c r="L2061" s="6">
        <f ca="1"/>
        <v>-7.857142857143117</v>
      </c>
      <c r="M2061" s="6">
        <f ca="1"/>
        <v>-16.071428571428328</v>
      </c>
      <c r="N2061" s="6">
        <f ca="1"/>
        <v>-9.6428571428569754E-2</v>
      </c>
      <c r="O2061" s="6">
        <f t="shared" ca="1" si="299"/>
        <v>21.071428571428726</v>
      </c>
      <c r="P2061" t="str">
        <f t="shared" si="300"/>
        <v>NA</v>
      </c>
      <c r="Q2061" s="10">
        <f t="shared" ca="1" si="301"/>
        <v>38.214285714285111</v>
      </c>
      <c r="R2061" s="10">
        <f t="shared" ca="1" si="302"/>
        <v>74.107142857142094</v>
      </c>
      <c r="S2061" s="10">
        <f t="shared" ca="1" si="303"/>
        <v>-35.892857142856982</v>
      </c>
      <c r="T2061" s="10">
        <f t="shared" ca="1" si="304"/>
        <v>372.222222222227</v>
      </c>
      <c r="U2061" s="10">
        <f t="shared" ca="1" si="305"/>
        <v>372.222222222227</v>
      </c>
      <c r="V2061">
        <f t="shared" si="306"/>
        <v>5</v>
      </c>
    </row>
    <row r="2062" spans="1:22" x14ac:dyDescent="0.25">
      <c r="A2062">
        <v>229</v>
      </c>
      <c r="B2062">
        <v>9</v>
      </c>
      <c r="C2062">
        <v>10</v>
      </c>
      <c r="D2062">
        <v>1</v>
      </c>
      <c r="E2062">
        <v>0</v>
      </c>
      <c r="F2062">
        <v>0</v>
      </c>
      <c r="G2062">
        <v>1</v>
      </c>
      <c r="H2062">
        <v>650</v>
      </c>
      <c r="I2062">
        <f t="shared" si="307"/>
        <v>2052</v>
      </c>
      <c r="J2062" s="6">
        <f t="array" aca="1" ref="J2062:N2062" ca="1">TRANSPOSE(ols(OFFSET($C$2:$C$10,I2062,0),OFFSET($D$2:$H$10,I2062,0)))</f>
        <v>95.892857142855974</v>
      </c>
      <c r="K2062" s="6">
        <f ca="1"/>
        <v>-5.7142857142855519</v>
      </c>
      <c r="L2062" s="6">
        <f ca="1"/>
        <v>-7.857142857143117</v>
      </c>
      <c r="M2062" s="6">
        <f ca="1"/>
        <v>-16.071428571428328</v>
      </c>
      <c r="N2062" s="6">
        <f ca="1"/>
        <v>-9.6428571428569754E-2</v>
      </c>
      <c r="O2062" s="6">
        <f t="shared" ca="1" si="299"/>
        <v>17.142857142857309</v>
      </c>
      <c r="P2062" t="str">
        <f t="shared" si="300"/>
        <v>NA</v>
      </c>
      <c r="Q2062" s="10">
        <f t="shared" ca="1" si="301"/>
        <v>38.214285714285111</v>
      </c>
      <c r="R2062" s="10">
        <f t="shared" ca="1" si="302"/>
        <v>79.821428571427646</v>
      </c>
      <c r="S2062" s="10">
        <f t="shared" ca="1" si="303"/>
        <v>-41.607142857142534</v>
      </c>
      <c r="T2062" s="10">
        <f t="shared" ca="1" si="304"/>
        <v>431.48148148148562</v>
      </c>
      <c r="U2062" s="10">
        <f t="shared" ca="1" si="305"/>
        <v>431.48148148148562</v>
      </c>
      <c r="V2062">
        <f t="shared" si="306"/>
        <v>4</v>
      </c>
    </row>
    <row r="2063" spans="1:22" x14ac:dyDescent="0.25">
      <c r="A2063">
        <v>230</v>
      </c>
      <c r="B2063">
        <v>1</v>
      </c>
      <c r="C2063">
        <v>35</v>
      </c>
      <c r="D2063">
        <v>1</v>
      </c>
      <c r="E2063">
        <v>0</v>
      </c>
      <c r="F2063">
        <v>1</v>
      </c>
      <c r="G2063">
        <v>0</v>
      </c>
      <c r="H2063">
        <v>250</v>
      </c>
      <c r="I2063">
        <f t="shared" si="307"/>
        <v>2061</v>
      </c>
      <c r="J2063" s="6">
        <f t="array" aca="1" ref="J2063:N2063" ca="1">TRANSPOSE(ols(OFFSET($C$2:$C$10,I2063,0),OFFSET($D$2:$H$10,I2063,0)))</f>
        <v>44.226190476189458</v>
      </c>
      <c r="K2063" s="6">
        <f ca="1"/>
        <v>4.2857142857142208</v>
      </c>
      <c r="L2063" s="6">
        <f ca="1"/>
        <v>0.47619047619036792</v>
      </c>
      <c r="M2063" s="6">
        <f ca="1"/>
        <v>2.2619047619048729</v>
      </c>
      <c r="N2063" s="6">
        <f ca="1"/>
        <v>-6.3095238095239203E-2</v>
      </c>
      <c r="O2063" s="6">
        <f t="shared" ca="1" si="299"/>
        <v>28.928571428570024</v>
      </c>
      <c r="P2063" t="str">
        <f t="shared" si="300"/>
        <v>NA</v>
      </c>
      <c r="Q2063" s="10">
        <f t="shared" ca="1" si="301"/>
        <v>24.88095238095098</v>
      </c>
      <c r="R2063" s="10">
        <f t="shared" ca="1" si="302"/>
        <v>44.702380952379826</v>
      </c>
      <c r="S2063" s="10">
        <f t="shared" ca="1" si="303"/>
        <v>-19.821428571428847</v>
      </c>
      <c r="T2063" s="10">
        <f t="shared" ca="1" si="304"/>
        <v>314.15094339622527</v>
      </c>
      <c r="U2063" s="10">
        <f t="shared" ca="1" si="305"/>
        <v>314.15094339622527</v>
      </c>
      <c r="V2063">
        <f t="shared" si="306"/>
        <v>3</v>
      </c>
    </row>
    <row r="2064" spans="1:22" x14ac:dyDescent="0.25">
      <c r="A2064">
        <v>230</v>
      </c>
      <c r="B2064">
        <v>2</v>
      </c>
      <c r="C2064">
        <v>30</v>
      </c>
      <c r="D2064">
        <v>1</v>
      </c>
      <c r="E2064">
        <v>1</v>
      </c>
      <c r="F2064">
        <v>0</v>
      </c>
      <c r="G2064">
        <v>0</v>
      </c>
      <c r="H2064">
        <v>350</v>
      </c>
      <c r="I2064">
        <f t="shared" si="307"/>
        <v>2061</v>
      </c>
      <c r="J2064" s="6">
        <f t="array" aca="1" ref="J2064:N2064" ca="1">TRANSPOSE(ols(OFFSET($C$2:$C$10,I2064,0),OFFSET($D$2:$H$10,I2064,0)))</f>
        <v>44.226190476189458</v>
      </c>
      <c r="K2064" s="6">
        <f ca="1"/>
        <v>4.2857142857142208</v>
      </c>
      <c r="L2064" s="6">
        <f ca="1"/>
        <v>0.47619047619036792</v>
      </c>
      <c r="M2064" s="6">
        <f ca="1"/>
        <v>2.2619047619048729</v>
      </c>
      <c r="N2064" s="6">
        <f ca="1"/>
        <v>-6.3095238095239203E-2</v>
      </c>
      <c r="O2064" s="6">
        <f t="shared" ca="1" si="299"/>
        <v>26.42857142856996</v>
      </c>
      <c r="P2064" t="str">
        <f t="shared" si="300"/>
        <v>NA</v>
      </c>
      <c r="Q2064" s="10">
        <f t="shared" ca="1" si="301"/>
        <v>24.88095238095098</v>
      </c>
      <c r="R2064" s="10">
        <f t="shared" ca="1" si="302"/>
        <v>48.511904761903679</v>
      </c>
      <c r="S2064" s="10">
        <f t="shared" ca="1" si="303"/>
        <v>-23.630952380952699</v>
      </c>
      <c r="T2064" s="10">
        <f t="shared" ca="1" si="304"/>
        <v>374.52830188679093</v>
      </c>
      <c r="U2064" s="10">
        <f t="shared" ca="1" si="305"/>
        <v>374.52830188679093</v>
      </c>
      <c r="V2064">
        <f t="shared" si="306"/>
        <v>2</v>
      </c>
    </row>
    <row r="2065" spans="1:22" x14ac:dyDescent="0.25">
      <c r="A2065">
        <v>230</v>
      </c>
      <c r="B2065">
        <v>3</v>
      </c>
      <c r="C2065">
        <v>15</v>
      </c>
      <c r="D2065">
        <v>1</v>
      </c>
      <c r="E2065">
        <v>1</v>
      </c>
      <c r="F2065">
        <v>0</v>
      </c>
      <c r="G2065">
        <v>0</v>
      </c>
      <c r="H2065">
        <v>450</v>
      </c>
      <c r="I2065">
        <f t="shared" si="307"/>
        <v>2061</v>
      </c>
      <c r="J2065" s="6">
        <f t="array" aca="1" ref="J2065:N2065" ca="1">TRANSPOSE(ols(OFFSET($C$2:$C$10,I2065,0),OFFSET($D$2:$H$10,I2065,0)))</f>
        <v>44.226190476189458</v>
      </c>
      <c r="K2065" s="6">
        <f ca="1"/>
        <v>4.2857142857142208</v>
      </c>
      <c r="L2065" s="6">
        <f ca="1"/>
        <v>0.47619047619036792</v>
      </c>
      <c r="M2065" s="6">
        <f ca="1"/>
        <v>2.2619047619048729</v>
      </c>
      <c r="N2065" s="6">
        <f ca="1"/>
        <v>-6.3095238095239203E-2</v>
      </c>
      <c r="O2065" s="6">
        <f t="shared" ca="1" si="299"/>
        <v>20.119047619046036</v>
      </c>
      <c r="P2065" t="str">
        <f t="shared" si="300"/>
        <v>NA</v>
      </c>
      <c r="Q2065" s="10">
        <f t="shared" ca="1" si="301"/>
        <v>24.88095238095098</v>
      </c>
      <c r="R2065" s="10">
        <f t="shared" ca="1" si="302"/>
        <v>48.511904761903679</v>
      </c>
      <c r="S2065" s="10">
        <f t="shared" ca="1" si="303"/>
        <v>-23.630952380952699</v>
      </c>
      <c r="T2065" s="10">
        <f t="shared" ca="1" si="304"/>
        <v>374.52830188679093</v>
      </c>
      <c r="U2065" s="10">
        <f t="shared" ca="1" si="305"/>
        <v>374.52830188679093</v>
      </c>
      <c r="V2065">
        <f t="shared" si="306"/>
        <v>2</v>
      </c>
    </row>
    <row r="2066" spans="1:22" x14ac:dyDescent="0.25">
      <c r="A2066">
        <v>230</v>
      </c>
      <c r="B2066">
        <v>4</v>
      </c>
      <c r="C2066">
        <v>5</v>
      </c>
      <c r="D2066">
        <v>1</v>
      </c>
      <c r="E2066">
        <v>0</v>
      </c>
      <c r="F2066">
        <v>0</v>
      </c>
      <c r="G2066">
        <v>0</v>
      </c>
      <c r="H2066">
        <v>550</v>
      </c>
      <c r="I2066">
        <f t="shared" si="307"/>
        <v>2061</v>
      </c>
      <c r="J2066" s="6">
        <f t="array" aca="1" ref="J2066:N2066" ca="1">TRANSPOSE(ols(OFFSET($C$2:$C$10,I2066,0),OFFSET($D$2:$H$10,I2066,0)))</f>
        <v>44.226190476189458</v>
      </c>
      <c r="K2066" s="6">
        <f ca="1"/>
        <v>4.2857142857142208</v>
      </c>
      <c r="L2066" s="6">
        <f ca="1"/>
        <v>0.47619047619036792</v>
      </c>
      <c r="M2066" s="6">
        <f ca="1"/>
        <v>2.2619047619048729</v>
      </c>
      <c r="N2066" s="6">
        <f ca="1"/>
        <v>-6.3095238095239203E-2</v>
      </c>
      <c r="O2066" s="6">
        <f t="shared" ca="1" si="299"/>
        <v>9.5238095238078984</v>
      </c>
      <c r="P2066" t="str">
        <f t="shared" si="300"/>
        <v>NA</v>
      </c>
      <c r="Q2066" s="10">
        <f t="shared" ca="1" si="301"/>
        <v>24.88095238095098</v>
      </c>
      <c r="R2066" s="10">
        <f t="shared" ca="1" si="302"/>
        <v>44.226190476189458</v>
      </c>
      <c r="S2066" s="10">
        <f t="shared" ca="1" si="303"/>
        <v>-19.345238095238479</v>
      </c>
      <c r="T2066" s="10">
        <f t="shared" ca="1" si="304"/>
        <v>306.60377358490638</v>
      </c>
      <c r="U2066" s="10">
        <f t="shared" ca="1" si="305"/>
        <v>306.60377358490638</v>
      </c>
      <c r="V2066">
        <f t="shared" si="306"/>
        <v>1</v>
      </c>
    </row>
    <row r="2067" spans="1:22" x14ac:dyDescent="0.25">
      <c r="A2067">
        <v>230</v>
      </c>
      <c r="B2067">
        <v>5</v>
      </c>
      <c r="C2067">
        <v>25</v>
      </c>
      <c r="D2067">
        <v>1</v>
      </c>
      <c r="E2067">
        <v>0</v>
      </c>
      <c r="F2067">
        <v>1</v>
      </c>
      <c r="G2067">
        <v>1</v>
      </c>
      <c r="H2067">
        <v>250</v>
      </c>
      <c r="I2067">
        <f t="shared" si="307"/>
        <v>2061</v>
      </c>
      <c r="J2067" s="6">
        <f t="array" aca="1" ref="J2067:N2067" ca="1">TRANSPOSE(ols(OFFSET($C$2:$C$10,I2067,0),OFFSET($D$2:$H$10,I2067,0)))</f>
        <v>44.226190476189458</v>
      </c>
      <c r="K2067" s="6">
        <f ca="1"/>
        <v>4.2857142857142208</v>
      </c>
      <c r="L2067" s="6">
        <f ca="1"/>
        <v>0.47619047619036792</v>
      </c>
      <c r="M2067" s="6">
        <f ca="1"/>
        <v>2.2619047619048729</v>
      </c>
      <c r="N2067" s="6">
        <f ca="1"/>
        <v>-6.3095238095239203E-2</v>
      </c>
      <c r="O2067" s="6">
        <f t="shared" ca="1" si="299"/>
        <v>31.190476190474897</v>
      </c>
      <c r="P2067" t="str">
        <f t="shared" si="300"/>
        <v>NA</v>
      </c>
      <c r="Q2067" s="10">
        <f t="shared" ca="1" si="301"/>
        <v>24.88095238095098</v>
      </c>
      <c r="R2067" s="10">
        <f t="shared" ca="1" si="302"/>
        <v>46.964285714284699</v>
      </c>
      <c r="S2067" s="10">
        <f t="shared" ca="1" si="303"/>
        <v>-22.083333333333719</v>
      </c>
      <c r="T2067" s="10">
        <f t="shared" ca="1" si="304"/>
        <v>350</v>
      </c>
      <c r="U2067" s="10">
        <f t="shared" ca="1" si="305"/>
        <v>350</v>
      </c>
      <c r="V2067">
        <f t="shared" si="306"/>
        <v>6</v>
      </c>
    </row>
    <row r="2068" spans="1:22" x14ac:dyDescent="0.25">
      <c r="A2068">
        <v>230</v>
      </c>
      <c r="B2068">
        <v>6</v>
      </c>
      <c r="C2068">
        <v>25</v>
      </c>
      <c r="D2068">
        <v>1</v>
      </c>
      <c r="E2068">
        <v>0</v>
      </c>
      <c r="F2068">
        <v>1</v>
      </c>
      <c r="G2068">
        <v>1</v>
      </c>
      <c r="H2068">
        <v>350</v>
      </c>
      <c r="I2068">
        <f t="shared" si="307"/>
        <v>2061</v>
      </c>
      <c r="J2068" s="6">
        <f t="array" aca="1" ref="J2068:N2068" ca="1">TRANSPOSE(ols(OFFSET($C$2:$C$10,I2068,0),OFFSET($D$2:$H$10,I2068,0)))</f>
        <v>44.226190476189458</v>
      </c>
      <c r="K2068" s="6">
        <f ca="1"/>
        <v>4.2857142857142208</v>
      </c>
      <c r="L2068" s="6">
        <f ca="1"/>
        <v>0.47619047619036792</v>
      </c>
      <c r="M2068" s="6">
        <f ca="1"/>
        <v>2.2619047619048729</v>
      </c>
      <c r="N2068" s="6">
        <f ca="1"/>
        <v>-6.3095238095239203E-2</v>
      </c>
      <c r="O2068" s="6">
        <f t="shared" ca="1" si="299"/>
        <v>24.88095238095098</v>
      </c>
      <c r="P2068">
        <f t="shared" ca="1" si="300"/>
        <v>24.88095238095098</v>
      </c>
      <c r="Q2068" s="10">
        <f t="shared" ca="1" si="301"/>
        <v>24.88095238095098</v>
      </c>
      <c r="R2068" s="10">
        <f t="shared" ca="1" si="302"/>
        <v>46.964285714284699</v>
      </c>
      <c r="S2068" s="10">
        <f t="shared" ca="1" si="303"/>
        <v>-22.083333333333719</v>
      </c>
      <c r="T2068" s="10">
        <f t="shared" ca="1" si="304"/>
        <v>350</v>
      </c>
      <c r="U2068" s="10">
        <f t="shared" ca="1" si="305"/>
        <v>350</v>
      </c>
      <c r="V2068">
        <f t="shared" si="306"/>
        <v>6</v>
      </c>
    </row>
    <row r="2069" spans="1:22" x14ac:dyDescent="0.25">
      <c r="A2069">
        <v>230</v>
      </c>
      <c r="B2069">
        <v>7</v>
      </c>
      <c r="C2069">
        <v>25</v>
      </c>
      <c r="D2069">
        <v>1</v>
      </c>
      <c r="E2069">
        <v>1</v>
      </c>
      <c r="F2069">
        <v>0</v>
      </c>
      <c r="G2069">
        <v>1</v>
      </c>
      <c r="H2069">
        <v>450</v>
      </c>
      <c r="I2069">
        <f t="shared" si="307"/>
        <v>2061</v>
      </c>
      <c r="J2069" s="6">
        <f t="array" aca="1" ref="J2069:N2069" ca="1">TRANSPOSE(ols(OFFSET($C$2:$C$10,I2069,0),OFFSET($D$2:$H$10,I2069,0)))</f>
        <v>44.226190476189458</v>
      </c>
      <c r="K2069" s="6">
        <f ca="1"/>
        <v>4.2857142857142208</v>
      </c>
      <c r="L2069" s="6">
        <f ca="1"/>
        <v>0.47619047619036792</v>
      </c>
      <c r="M2069" s="6">
        <f ca="1"/>
        <v>2.2619047619048729</v>
      </c>
      <c r="N2069" s="6">
        <f ca="1"/>
        <v>-6.3095238095239203E-2</v>
      </c>
      <c r="O2069" s="6">
        <f t="shared" ca="1" si="299"/>
        <v>22.380952380950909</v>
      </c>
      <c r="P2069" t="str">
        <f t="shared" si="300"/>
        <v>NA</v>
      </c>
      <c r="Q2069" s="10">
        <f t="shared" ca="1" si="301"/>
        <v>24.88095238095098</v>
      </c>
      <c r="R2069" s="10">
        <f t="shared" ca="1" si="302"/>
        <v>50.773809523808552</v>
      </c>
      <c r="S2069" s="10">
        <f t="shared" ca="1" si="303"/>
        <v>-25.892857142857572</v>
      </c>
      <c r="T2069" s="10">
        <f t="shared" ca="1" si="304"/>
        <v>410.37735849056565</v>
      </c>
      <c r="U2069" s="10">
        <f t="shared" ca="1" si="305"/>
        <v>410.37735849056565</v>
      </c>
      <c r="V2069">
        <f t="shared" si="306"/>
        <v>5</v>
      </c>
    </row>
    <row r="2070" spans="1:22" x14ac:dyDescent="0.25">
      <c r="A2070">
        <v>230</v>
      </c>
      <c r="B2070">
        <v>8</v>
      </c>
      <c r="C2070">
        <v>15</v>
      </c>
      <c r="D2070">
        <v>1</v>
      </c>
      <c r="E2070">
        <v>1</v>
      </c>
      <c r="F2070">
        <v>0</v>
      </c>
      <c r="G2070">
        <v>1</v>
      </c>
      <c r="H2070">
        <v>550</v>
      </c>
      <c r="I2070">
        <f t="shared" si="307"/>
        <v>2061</v>
      </c>
      <c r="J2070" s="6">
        <f t="array" aca="1" ref="J2070:N2070" ca="1">TRANSPOSE(ols(OFFSET($C$2:$C$10,I2070,0),OFFSET($D$2:$H$10,I2070,0)))</f>
        <v>44.226190476189458</v>
      </c>
      <c r="K2070" s="6">
        <f ca="1"/>
        <v>4.2857142857142208</v>
      </c>
      <c r="L2070" s="6">
        <f ca="1"/>
        <v>0.47619047619036792</v>
      </c>
      <c r="M2070" s="6">
        <f ca="1"/>
        <v>2.2619047619048729</v>
      </c>
      <c r="N2070" s="6">
        <f ca="1"/>
        <v>-6.3095238095239203E-2</v>
      </c>
      <c r="O2070" s="6">
        <f t="shared" ca="1" si="299"/>
        <v>16.071428571426992</v>
      </c>
      <c r="P2070" t="str">
        <f t="shared" si="300"/>
        <v>NA</v>
      </c>
      <c r="Q2070" s="10">
        <f t="shared" ca="1" si="301"/>
        <v>24.88095238095098</v>
      </c>
      <c r="R2070" s="10">
        <f t="shared" ca="1" si="302"/>
        <v>50.773809523808552</v>
      </c>
      <c r="S2070" s="10">
        <f t="shared" ca="1" si="303"/>
        <v>-25.892857142857572</v>
      </c>
      <c r="T2070" s="10">
        <f t="shared" ca="1" si="304"/>
        <v>410.37735849056565</v>
      </c>
      <c r="U2070" s="10">
        <f t="shared" ca="1" si="305"/>
        <v>410.37735849056565</v>
      </c>
      <c r="V2070">
        <f t="shared" si="306"/>
        <v>5</v>
      </c>
    </row>
    <row r="2071" spans="1:22" x14ac:dyDescent="0.25">
      <c r="A2071">
        <v>230</v>
      </c>
      <c r="B2071">
        <v>9</v>
      </c>
      <c r="C2071">
        <v>10</v>
      </c>
      <c r="D2071">
        <v>1</v>
      </c>
      <c r="E2071">
        <v>0</v>
      </c>
      <c r="F2071">
        <v>0</v>
      </c>
      <c r="G2071">
        <v>1</v>
      </c>
      <c r="H2071">
        <v>650</v>
      </c>
      <c r="I2071">
        <f t="shared" si="307"/>
        <v>2061</v>
      </c>
      <c r="J2071" s="6">
        <f t="array" aca="1" ref="J2071:N2071" ca="1">TRANSPOSE(ols(OFFSET($C$2:$C$10,I2071,0),OFFSET($D$2:$H$10,I2071,0)))</f>
        <v>44.226190476189458</v>
      </c>
      <c r="K2071" s="6">
        <f ca="1"/>
        <v>4.2857142857142208</v>
      </c>
      <c r="L2071" s="6">
        <f ca="1"/>
        <v>0.47619047619036792</v>
      </c>
      <c r="M2071" s="6">
        <f ca="1"/>
        <v>2.2619047619048729</v>
      </c>
      <c r="N2071" s="6">
        <f ca="1"/>
        <v>-6.3095238095239203E-2</v>
      </c>
      <c r="O2071" s="6">
        <f t="shared" ca="1" si="299"/>
        <v>5.4761904761888474</v>
      </c>
      <c r="P2071" t="str">
        <f t="shared" si="300"/>
        <v>NA</v>
      </c>
      <c r="Q2071" s="10">
        <f t="shared" ca="1" si="301"/>
        <v>24.88095238095098</v>
      </c>
      <c r="R2071" s="10">
        <f t="shared" ca="1" si="302"/>
        <v>46.488095238094331</v>
      </c>
      <c r="S2071" s="10">
        <f t="shared" ca="1" si="303"/>
        <v>-21.607142857143351</v>
      </c>
      <c r="T2071" s="10">
        <f t="shared" ca="1" si="304"/>
        <v>342.45283018868105</v>
      </c>
      <c r="U2071" s="10">
        <f t="shared" ca="1" si="305"/>
        <v>342.45283018868105</v>
      </c>
      <c r="V2071">
        <f t="shared" si="306"/>
        <v>4</v>
      </c>
    </row>
    <row r="2072" spans="1:22" x14ac:dyDescent="0.25">
      <c r="A2072">
        <v>231</v>
      </c>
      <c r="B2072">
        <v>1</v>
      </c>
      <c r="C2072">
        <v>55</v>
      </c>
      <c r="D2072">
        <v>1</v>
      </c>
      <c r="E2072">
        <v>0</v>
      </c>
      <c r="F2072">
        <v>1</v>
      </c>
      <c r="G2072">
        <v>0</v>
      </c>
      <c r="H2072">
        <v>250</v>
      </c>
      <c r="I2072">
        <f t="shared" si="307"/>
        <v>2070</v>
      </c>
      <c r="J2072" s="6">
        <f t="array" aca="1" ref="J2072:N2072" ca="1">TRANSPOSE(ols(OFFSET($C$2:$C$10,I2072,0),OFFSET($D$2:$H$10,I2072,0)))</f>
        <v>66.309523809522034</v>
      </c>
      <c r="K2072" s="6">
        <f ca="1"/>
        <v>1.7857142857142208</v>
      </c>
      <c r="L2072" s="6">
        <f ca="1"/>
        <v>8.8095238095233981</v>
      </c>
      <c r="M2072" s="6">
        <f ca="1"/>
        <v>-16.904761904761585</v>
      </c>
      <c r="N2072" s="6">
        <f ca="1"/>
        <v>-5.4761904761903679E-2</v>
      </c>
      <c r="O2072" s="6">
        <f t="shared" ca="1" si="299"/>
        <v>61.428571428569512</v>
      </c>
      <c r="P2072" t="str">
        <f t="shared" si="300"/>
        <v>NA</v>
      </c>
      <c r="Q2072" s="10">
        <f t="shared" ca="1" si="301"/>
        <v>39.047619047617559</v>
      </c>
      <c r="R2072" s="10">
        <f t="shared" ca="1" si="302"/>
        <v>75.119047619045432</v>
      </c>
      <c r="S2072" s="10">
        <f t="shared" ca="1" si="303"/>
        <v>-36.071428571427873</v>
      </c>
      <c r="T2072" s="10">
        <f t="shared" ca="1" si="304"/>
        <v>658.69565217391334</v>
      </c>
      <c r="U2072" s="10" t="str">
        <f t="shared" ca="1" si="305"/>
        <v>OR</v>
      </c>
      <c r="V2072">
        <f t="shared" si="306"/>
        <v>3</v>
      </c>
    </row>
    <row r="2073" spans="1:22" x14ac:dyDescent="0.25">
      <c r="A2073">
        <v>231</v>
      </c>
      <c r="B2073">
        <v>2</v>
      </c>
      <c r="C2073">
        <v>50</v>
      </c>
      <c r="D2073">
        <v>1</v>
      </c>
      <c r="E2073">
        <v>1</v>
      </c>
      <c r="F2073">
        <v>0</v>
      </c>
      <c r="G2073">
        <v>0</v>
      </c>
      <c r="H2073">
        <v>350</v>
      </c>
      <c r="I2073">
        <f t="shared" si="307"/>
        <v>2070</v>
      </c>
      <c r="J2073" s="6">
        <f t="array" aca="1" ref="J2073:N2073" ca="1">TRANSPOSE(ols(OFFSET($C$2:$C$10,I2073,0),OFFSET($D$2:$H$10,I2073,0)))</f>
        <v>66.309523809522034</v>
      </c>
      <c r="K2073" s="6">
        <f ca="1"/>
        <v>1.7857142857142208</v>
      </c>
      <c r="L2073" s="6">
        <f ca="1"/>
        <v>8.8095238095233981</v>
      </c>
      <c r="M2073" s="6">
        <f ca="1"/>
        <v>-16.904761904761585</v>
      </c>
      <c r="N2073" s="6">
        <f ca="1"/>
        <v>-5.4761904761903679E-2</v>
      </c>
      <c r="O2073" s="6">
        <f t="shared" ca="1" si="299"/>
        <v>48.928571428569967</v>
      </c>
      <c r="P2073" t="str">
        <f t="shared" si="300"/>
        <v>NA</v>
      </c>
      <c r="Q2073" s="10">
        <f t="shared" ca="1" si="301"/>
        <v>39.047619047617559</v>
      </c>
      <c r="R2073" s="10">
        <f t="shared" ca="1" si="302"/>
        <v>68.095238095236255</v>
      </c>
      <c r="S2073" s="10">
        <f t="shared" ca="1" si="303"/>
        <v>-29.047619047618696</v>
      </c>
      <c r="T2073" s="10">
        <f t="shared" ca="1" si="304"/>
        <v>530.43478260869972</v>
      </c>
      <c r="U2073" s="10">
        <f t="shared" ca="1" si="305"/>
        <v>530.43478260869972</v>
      </c>
      <c r="V2073">
        <f t="shared" si="306"/>
        <v>2</v>
      </c>
    </row>
    <row r="2074" spans="1:22" x14ac:dyDescent="0.25">
      <c r="A2074">
        <v>231</v>
      </c>
      <c r="B2074">
        <v>3</v>
      </c>
      <c r="C2074">
        <v>45</v>
      </c>
      <c r="D2074">
        <v>1</v>
      </c>
      <c r="E2074">
        <v>1</v>
      </c>
      <c r="F2074">
        <v>0</v>
      </c>
      <c r="G2074">
        <v>0</v>
      </c>
      <c r="H2074">
        <v>450</v>
      </c>
      <c r="I2074">
        <f t="shared" si="307"/>
        <v>2070</v>
      </c>
      <c r="J2074" s="6">
        <f t="array" aca="1" ref="J2074:N2074" ca="1">TRANSPOSE(ols(OFFSET($C$2:$C$10,I2074,0),OFFSET($D$2:$H$10,I2074,0)))</f>
        <v>66.309523809522034</v>
      </c>
      <c r="K2074" s="6">
        <f ca="1"/>
        <v>1.7857142857142208</v>
      </c>
      <c r="L2074" s="6">
        <f ca="1"/>
        <v>8.8095238095233981</v>
      </c>
      <c r="M2074" s="6">
        <f ca="1"/>
        <v>-16.904761904761585</v>
      </c>
      <c r="N2074" s="6">
        <f ca="1"/>
        <v>-5.4761904761903679E-2</v>
      </c>
      <c r="O2074" s="6">
        <f t="shared" ca="1" si="299"/>
        <v>43.452380952379599</v>
      </c>
      <c r="P2074" t="str">
        <f t="shared" si="300"/>
        <v>NA</v>
      </c>
      <c r="Q2074" s="10">
        <f t="shared" ca="1" si="301"/>
        <v>39.047619047617559</v>
      </c>
      <c r="R2074" s="10">
        <f t="shared" ca="1" si="302"/>
        <v>68.095238095236255</v>
      </c>
      <c r="S2074" s="10">
        <f t="shared" ca="1" si="303"/>
        <v>-29.047619047618696</v>
      </c>
      <c r="T2074" s="10">
        <f t="shared" ca="1" si="304"/>
        <v>530.43478260869972</v>
      </c>
      <c r="U2074" s="10">
        <f t="shared" ca="1" si="305"/>
        <v>530.43478260869972</v>
      </c>
      <c r="V2074">
        <f t="shared" si="306"/>
        <v>2</v>
      </c>
    </row>
    <row r="2075" spans="1:22" x14ac:dyDescent="0.25">
      <c r="A2075">
        <v>231</v>
      </c>
      <c r="B2075">
        <v>4</v>
      </c>
      <c r="C2075">
        <v>40</v>
      </c>
      <c r="D2075">
        <v>1</v>
      </c>
      <c r="E2075">
        <v>0</v>
      </c>
      <c r="F2075">
        <v>0</v>
      </c>
      <c r="G2075">
        <v>0</v>
      </c>
      <c r="H2075">
        <v>550</v>
      </c>
      <c r="I2075">
        <f t="shared" si="307"/>
        <v>2070</v>
      </c>
      <c r="J2075" s="6">
        <f t="array" aca="1" ref="J2075:N2075" ca="1">TRANSPOSE(ols(OFFSET($C$2:$C$10,I2075,0),OFFSET($D$2:$H$10,I2075,0)))</f>
        <v>66.309523809522034</v>
      </c>
      <c r="K2075" s="6">
        <f ca="1"/>
        <v>1.7857142857142208</v>
      </c>
      <c r="L2075" s="6">
        <f ca="1"/>
        <v>8.8095238095233981</v>
      </c>
      <c r="M2075" s="6">
        <f ca="1"/>
        <v>-16.904761904761585</v>
      </c>
      <c r="N2075" s="6">
        <f ca="1"/>
        <v>-5.4761904761903679E-2</v>
      </c>
      <c r="O2075" s="6">
        <f t="shared" ca="1" si="299"/>
        <v>36.19047619047501</v>
      </c>
      <c r="P2075" t="str">
        <f t="shared" si="300"/>
        <v>NA</v>
      </c>
      <c r="Q2075" s="10">
        <f t="shared" ca="1" si="301"/>
        <v>39.047619047617559</v>
      </c>
      <c r="R2075" s="10">
        <f t="shared" ca="1" si="302"/>
        <v>66.309523809522034</v>
      </c>
      <c r="S2075" s="10">
        <f t="shared" ca="1" si="303"/>
        <v>-27.261904761904475</v>
      </c>
      <c r="T2075" s="10">
        <f t="shared" ca="1" si="304"/>
        <v>497.82608695652635</v>
      </c>
      <c r="U2075" s="10">
        <f t="shared" ca="1" si="305"/>
        <v>497.82608695652635</v>
      </c>
      <c r="V2075">
        <f t="shared" si="306"/>
        <v>1</v>
      </c>
    </row>
    <row r="2076" spans="1:22" x14ac:dyDescent="0.25">
      <c r="A2076">
        <v>231</v>
      </c>
      <c r="B2076">
        <v>5</v>
      </c>
      <c r="C2076">
        <v>45</v>
      </c>
      <c r="D2076">
        <v>1</v>
      </c>
      <c r="E2076">
        <v>0</v>
      </c>
      <c r="F2076">
        <v>1</v>
      </c>
      <c r="G2076">
        <v>1</v>
      </c>
      <c r="H2076">
        <v>250</v>
      </c>
      <c r="I2076">
        <f t="shared" si="307"/>
        <v>2070</v>
      </c>
      <c r="J2076" s="6">
        <f t="array" aca="1" ref="J2076:N2076" ca="1">TRANSPOSE(ols(OFFSET($C$2:$C$10,I2076,0),OFFSET($D$2:$H$10,I2076,0)))</f>
        <v>66.309523809522034</v>
      </c>
      <c r="K2076" s="6">
        <f ca="1"/>
        <v>1.7857142857142208</v>
      </c>
      <c r="L2076" s="6">
        <f ca="1"/>
        <v>8.8095238095233981</v>
      </c>
      <c r="M2076" s="6">
        <f ca="1"/>
        <v>-16.904761904761585</v>
      </c>
      <c r="N2076" s="6">
        <f ca="1"/>
        <v>-5.4761904761903679E-2</v>
      </c>
      <c r="O2076" s="6">
        <f t="shared" ca="1" si="299"/>
        <v>44.523809523807927</v>
      </c>
      <c r="P2076" t="str">
        <f t="shared" si="300"/>
        <v>NA</v>
      </c>
      <c r="Q2076" s="10">
        <f t="shared" ca="1" si="301"/>
        <v>39.047619047617559</v>
      </c>
      <c r="R2076" s="10">
        <f t="shared" ca="1" si="302"/>
        <v>58.214285714283847</v>
      </c>
      <c r="S2076" s="10">
        <f t="shared" ca="1" si="303"/>
        <v>-19.166666666666288</v>
      </c>
      <c r="T2076" s="10">
        <f t="shared" ca="1" si="304"/>
        <v>350</v>
      </c>
      <c r="U2076" s="10">
        <f t="shared" ca="1" si="305"/>
        <v>350</v>
      </c>
      <c r="V2076">
        <f t="shared" si="306"/>
        <v>6</v>
      </c>
    </row>
    <row r="2077" spans="1:22" x14ac:dyDescent="0.25">
      <c r="A2077">
        <v>231</v>
      </c>
      <c r="B2077">
        <v>6</v>
      </c>
      <c r="C2077">
        <v>45</v>
      </c>
      <c r="D2077">
        <v>1</v>
      </c>
      <c r="E2077">
        <v>0</v>
      </c>
      <c r="F2077">
        <v>1</v>
      </c>
      <c r="G2077">
        <v>1</v>
      </c>
      <c r="H2077">
        <v>350</v>
      </c>
      <c r="I2077">
        <f t="shared" si="307"/>
        <v>2070</v>
      </c>
      <c r="J2077" s="6">
        <f t="array" aca="1" ref="J2077:N2077" ca="1">TRANSPOSE(ols(OFFSET($C$2:$C$10,I2077,0),OFFSET($D$2:$H$10,I2077,0)))</f>
        <v>66.309523809522034</v>
      </c>
      <c r="K2077" s="6">
        <f ca="1"/>
        <v>1.7857142857142208</v>
      </c>
      <c r="L2077" s="6">
        <f ca="1"/>
        <v>8.8095238095233981</v>
      </c>
      <c r="M2077" s="6">
        <f ca="1"/>
        <v>-16.904761904761585</v>
      </c>
      <c r="N2077" s="6">
        <f ca="1"/>
        <v>-5.4761904761903679E-2</v>
      </c>
      <c r="O2077" s="6">
        <f t="shared" ca="1" si="299"/>
        <v>39.047619047617559</v>
      </c>
      <c r="P2077">
        <f t="shared" ca="1" si="300"/>
        <v>39.047619047617559</v>
      </c>
      <c r="Q2077" s="10">
        <f t="shared" ca="1" si="301"/>
        <v>39.047619047617559</v>
      </c>
      <c r="R2077" s="10">
        <f t="shared" ca="1" si="302"/>
        <v>58.214285714283847</v>
      </c>
      <c r="S2077" s="10">
        <f t="shared" ca="1" si="303"/>
        <v>-19.166666666666288</v>
      </c>
      <c r="T2077" s="10">
        <f t="shared" ca="1" si="304"/>
        <v>350</v>
      </c>
      <c r="U2077" s="10">
        <f t="shared" ca="1" si="305"/>
        <v>350</v>
      </c>
      <c r="V2077">
        <f t="shared" si="306"/>
        <v>6</v>
      </c>
    </row>
    <row r="2078" spans="1:22" x14ac:dyDescent="0.25">
      <c r="A2078">
        <v>231</v>
      </c>
      <c r="B2078">
        <v>7</v>
      </c>
      <c r="C2078">
        <v>25</v>
      </c>
      <c r="D2078">
        <v>1</v>
      </c>
      <c r="E2078">
        <v>1</v>
      </c>
      <c r="F2078">
        <v>0</v>
      </c>
      <c r="G2078">
        <v>1</v>
      </c>
      <c r="H2078">
        <v>450</v>
      </c>
      <c r="I2078">
        <f t="shared" si="307"/>
        <v>2070</v>
      </c>
      <c r="J2078" s="6">
        <f t="array" aca="1" ref="J2078:N2078" ca="1">TRANSPOSE(ols(OFFSET($C$2:$C$10,I2078,0),OFFSET($D$2:$H$10,I2078,0)))</f>
        <v>66.309523809522034</v>
      </c>
      <c r="K2078" s="6">
        <f ca="1"/>
        <v>1.7857142857142208</v>
      </c>
      <c r="L2078" s="6">
        <f ca="1"/>
        <v>8.8095238095233981</v>
      </c>
      <c r="M2078" s="6">
        <f ca="1"/>
        <v>-16.904761904761585</v>
      </c>
      <c r="N2078" s="6">
        <f ca="1"/>
        <v>-5.4761904761903679E-2</v>
      </c>
      <c r="O2078" s="6">
        <f t="shared" ca="1" si="299"/>
        <v>26.547619047618014</v>
      </c>
      <c r="P2078" t="str">
        <f t="shared" si="300"/>
        <v>NA</v>
      </c>
      <c r="Q2078" s="10">
        <f t="shared" ca="1" si="301"/>
        <v>39.047619047617559</v>
      </c>
      <c r="R2078" s="10">
        <f t="shared" ca="1" si="302"/>
        <v>51.190476190474669</v>
      </c>
      <c r="S2078" s="10">
        <f t="shared" ca="1" si="303"/>
        <v>-12.14285714285711</v>
      </c>
      <c r="T2078" s="10">
        <f t="shared" ca="1" si="304"/>
        <v>221.7391304347864</v>
      </c>
      <c r="U2078" s="10" t="str">
        <f t="shared" ca="1" si="305"/>
        <v>OR</v>
      </c>
      <c r="V2078">
        <f t="shared" si="306"/>
        <v>5</v>
      </c>
    </row>
    <row r="2079" spans="1:22" x14ac:dyDescent="0.25">
      <c r="A2079">
        <v>231</v>
      </c>
      <c r="B2079">
        <v>8</v>
      </c>
      <c r="C2079">
        <v>20</v>
      </c>
      <c r="D2079">
        <v>1</v>
      </c>
      <c r="E2079">
        <v>1</v>
      </c>
      <c r="F2079">
        <v>0</v>
      </c>
      <c r="G2079">
        <v>1</v>
      </c>
      <c r="H2079">
        <v>550</v>
      </c>
      <c r="I2079">
        <f t="shared" si="307"/>
        <v>2070</v>
      </c>
      <c r="J2079" s="6">
        <f t="array" aca="1" ref="J2079:N2079" ca="1">TRANSPOSE(ols(OFFSET($C$2:$C$10,I2079,0),OFFSET($D$2:$H$10,I2079,0)))</f>
        <v>66.309523809522034</v>
      </c>
      <c r="K2079" s="6">
        <f ca="1"/>
        <v>1.7857142857142208</v>
      </c>
      <c r="L2079" s="6">
        <f ca="1"/>
        <v>8.8095238095233981</v>
      </c>
      <c r="M2079" s="6">
        <f ca="1"/>
        <v>-16.904761904761585</v>
      </c>
      <c r="N2079" s="6">
        <f ca="1"/>
        <v>-5.4761904761903679E-2</v>
      </c>
      <c r="O2079" s="6">
        <f t="shared" ca="1" si="299"/>
        <v>21.071428571427646</v>
      </c>
      <c r="P2079" t="str">
        <f t="shared" si="300"/>
        <v>NA</v>
      </c>
      <c r="Q2079" s="10">
        <f t="shared" ca="1" si="301"/>
        <v>39.047619047617559</v>
      </c>
      <c r="R2079" s="10">
        <f t="shared" ca="1" si="302"/>
        <v>51.190476190474669</v>
      </c>
      <c r="S2079" s="10">
        <f t="shared" ca="1" si="303"/>
        <v>-12.14285714285711</v>
      </c>
      <c r="T2079" s="10">
        <f t="shared" ca="1" si="304"/>
        <v>221.7391304347864</v>
      </c>
      <c r="U2079" s="10" t="str">
        <f t="shared" ca="1" si="305"/>
        <v>OR</v>
      </c>
      <c r="V2079">
        <f t="shared" si="306"/>
        <v>5</v>
      </c>
    </row>
    <row r="2080" spans="1:22" x14ac:dyDescent="0.25">
      <c r="A2080">
        <v>231</v>
      </c>
      <c r="B2080">
        <v>9</v>
      </c>
      <c r="C2080">
        <v>10</v>
      </c>
      <c r="D2080">
        <v>1</v>
      </c>
      <c r="E2080">
        <v>0</v>
      </c>
      <c r="F2080">
        <v>0</v>
      </c>
      <c r="G2080">
        <v>1</v>
      </c>
      <c r="H2080">
        <v>650</v>
      </c>
      <c r="I2080">
        <f t="shared" si="307"/>
        <v>2070</v>
      </c>
      <c r="J2080" s="6">
        <f t="array" aca="1" ref="J2080:N2080" ca="1">TRANSPOSE(ols(OFFSET($C$2:$C$10,I2080,0),OFFSET($D$2:$H$10,I2080,0)))</f>
        <v>66.309523809522034</v>
      </c>
      <c r="K2080" s="6">
        <f ca="1"/>
        <v>1.7857142857142208</v>
      </c>
      <c r="L2080" s="6">
        <f ca="1"/>
        <v>8.8095238095233981</v>
      </c>
      <c r="M2080" s="6">
        <f ca="1"/>
        <v>-16.904761904761585</v>
      </c>
      <c r="N2080" s="6">
        <f ca="1"/>
        <v>-5.4761904761903679E-2</v>
      </c>
      <c r="O2080" s="6">
        <f t="shared" ca="1" si="299"/>
        <v>13.809523809523057</v>
      </c>
      <c r="P2080" t="str">
        <f t="shared" si="300"/>
        <v>NA</v>
      </c>
      <c r="Q2080" s="10">
        <f t="shared" ca="1" si="301"/>
        <v>39.047619047617559</v>
      </c>
      <c r="R2080" s="10">
        <f t="shared" ca="1" si="302"/>
        <v>49.404761904760448</v>
      </c>
      <c r="S2080" s="10">
        <f t="shared" ca="1" si="303"/>
        <v>-10.35714285714289</v>
      </c>
      <c r="T2080" s="10">
        <f t="shared" ca="1" si="304"/>
        <v>189.13043478261304</v>
      </c>
      <c r="U2080" s="10" t="str">
        <f t="shared" ca="1" si="305"/>
        <v>OR</v>
      </c>
      <c r="V2080">
        <f t="shared" si="306"/>
        <v>4</v>
      </c>
    </row>
    <row r="2081" spans="1:22" x14ac:dyDescent="0.25">
      <c r="A2081">
        <v>232</v>
      </c>
      <c r="B2081">
        <v>1</v>
      </c>
      <c r="C2081">
        <v>65</v>
      </c>
      <c r="D2081">
        <v>1</v>
      </c>
      <c r="E2081">
        <v>0</v>
      </c>
      <c r="F2081">
        <v>1</v>
      </c>
      <c r="G2081">
        <v>0</v>
      </c>
      <c r="H2081">
        <v>250</v>
      </c>
      <c r="I2081">
        <f t="shared" si="307"/>
        <v>2079</v>
      </c>
      <c r="J2081" s="6">
        <f t="array" aca="1" ref="J2081:N2081" ca="1">TRANSPOSE(ols(OFFSET($C$2:$C$10,I2081,0),OFFSET($D$2:$H$10,I2081,0)))</f>
        <v>89.880952380950475</v>
      </c>
      <c r="K2081" s="6">
        <f ca="1"/>
        <v>-1.0714285714288962</v>
      </c>
      <c r="L2081" s="6">
        <f ca="1"/>
        <v>2.3809523809522943</v>
      </c>
      <c r="M2081" s="6">
        <f ca="1"/>
        <v>-1.1904761904759198</v>
      </c>
      <c r="N2081" s="6">
        <f ca="1"/>
        <v>-9.0476190476193707E-2</v>
      </c>
      <c r="O2081" s="6">
        <f t="shared" ca="1" si="299"/>
        <v>69.642857142854339</v>
      </c>
      <c r="P2081" t="str">
        <f t="shared" si="300"/>
        <v>NA</v>
      </c>
      <c r="Q2081" s="10">
        <f t="shared" ca="1" si="301"/>
        <v>59.404761904759056</v>
      </c>
      <c r="R2081" s="10">
        <f t="shared" ca="1" si="302"/>
        <v>92.26190476190277</v>
      </c>
      <c r="S2081" s="10">
        <f t="shared" ca="1" si="303"/>
        <v>-32.857142857143714</v>
      </c>
      <c r="T2081" s="10">
        <f t="shared" ca="1" si="304"/>
        <v>363.15789473683861</v>
      </c>
      <c r="U2081" s="10">
        <f t="shared" ca="1" si="305"/>
        <v>363.15789473683861</v>
      </c>
      <c r="V2081">
        <f t="shared" si="306"/>
        <v>3</v>
      </c>
    </row>
    <row r="2082" spans="1:22" x14ac:dyDescent="0.25">
      <c r="A2082">
        <v>232</v>
      </c>
      <c r="B2082">
        <v>2</v>
      </c>
      <c r="C2082">
        <v>60</v>
      </c>
      <c r="D2082">
        <v>1</v>
      </c>
      <c r="E2082">
        <v>1</v>
      </c>
      <c r="F2082">
        <v>0</v>
      </c>
      <c r="G2082">
        <v>0</v>
      </c>
      <c r="H2082">
        <v>350</v>
      </c>
      <c r="I2082">
        <f t="shared" si="307"/>
        <v>2079</v>
      </c>
      <c r="J2082" s="6">
        <f t="array" aca="1" ref="J2082:N2082" ca="1">TRANSPOSE(ols(OFFSET($C$2:$C$10,I2082,0),OFFSET($D$2:$H$10,I2082,0)))</f>
        <v>89.880952380950475</v>
      </c>
      <c r="K2082" s="6">
        <f ca="1"/>
        <v>-1.0714285714288962</v>
      </c>
      <c r="L2082" s="6">
        <f ca="1"/>
        <v>2.3809523809522943</v>
      </c>
      <c r="M2082" s="6">
        <f ca="1"/>
        <v>-1.1904761904759198</v>
      </c>
      <c r="N2082" s="6">
        <f ca="1"/>
        <v>-9.0476190476193707E-2</v>
      </c>
      <c r="O2082" s="6">
        <f t="shared" ca="1" si="299"/>
        <v>57.142857142853785</v>
      </c>
      <c r="P2082" t="str">
        <f t="shared" si="300"/>
        <v>NA</v>
      </c>
      <c r="Q2082" s="10">
        <f t="shared" ca="1" si="301"/>
        <v>59.404761904759056</v>
      </c>
      <c r="R2082" s="10">
        <f t="shared" ca="1" si="302"/>
        <v>88.809523809521579</v>
      </c>
      <c r="S2082" s="10">
        <f t="shared" ca="1" si="303"/>
        <v>-29.404761904762523</v>
      </c>
      <c r="T2082" s="10">
        <f t="shared" ca="1" si="304"/>
        <v>324.99999999999523</v>
      </c>
      <c r="U2082" s="10">
        <f t="shared" ca="1" si="305"/>
        <v>324.99999999999523</v>
      </c>
      <c r="V2082">
        <f t="shared" si="306"/>
        <v>2</v>
      </c>
    </row>
    <row r="2083" spans="1:22" x14ac:dyDescent="0.25">
      <c r="A2083">
        <v>232</v>
      </c>
      <c r="B2083">
        <v>3</v>
      </c>
      <c r="C2083">
        <v>50</v>
      </c>
      <c r="D2083">
        <v>1</v>
      </c>
      <c r="E2083">
        <v>1</v>
      </c>
      <c r="F2083">
        <v>0</v>
      </c>
      <c r="G2083">
        <v>0</v>
      </c>
      <c r="H2083">
        <v>450</v>
      </c>
      <c r="I2083">
        <f t="shared" si="307"/>
        <v>2079</v>
      </c>
      <c r="J2083" s="6">
        <f t="array" aca="1" ref="J2083:N2083" ca="1">TRANSPOSE(ols(OFFSET($C$2:$C$10,I2083,0),OFFSET($D$2:$H$10,I2083,0)))</f>
        <v>89.880952380950475</v>
      </c>
      <c r="K2083" s="6">
        <f ca="1"/>
        <v>-1.0714285714288962</v>
      </c>
      <c r="L2083" s="6">
        <f ca="1"/>
        <v>2.3809523809522943</v>
      </c>
      <c r="M2083" s="6">
        <f ca="1"/>
        <v>-1.1904761904759198</v>
      </c>
      <c r="N2083" s="6">
        <f ca="1"/>
        <v>-9.0476190476193707E-2</v>
      </c>
      <c r="O2083" s="6">
        <f t="shared" ca="1" si="299"/>
        <v>48.095238095234407</v>
      </c>
      <c r="P2083" t="str">
        <f t="shared" si="300"/>
        <v>NA</v>
      </c>
      <c r="Q2083" s="10">
        <f t="shared" ca="1" si="301"/>
        <v>59.404761904759056</v>
      </c>
      <c r="R2083" s="10">
        <f t="shared" ca="1" si="302"/>
        <v>88.809523809521579</v>
      </c>
      <c r="S2083" s="10">
        <f t="shared" ca="1" si="303"/>
        <v>-29.404761904762523</v>
      </c>
      <c r="T2083" s="10">
        <f t="shared" ca="1" si="304"/>
        <v>324.99999999999523</v>
      </c>
      <c r="U2083" s="10">
        <f t="shared" ca="1" si="305"/>
        <v>324.99999999999523</v>
      </c>
      <c r="V2083">
        <f t="shared" si="306"/>
        <v>2</v>
      </c>
    </row>
    <row r="2084" spans="1:22" x14ac:dyDescent="0.25">
      <c r="A2084">
        <v>232</v>
      </c>
      <c r="B2084">
        <v>4</v>
      </c>
      <c r="C2084">
        <v>40</v>
      </c>
      <c r="D2084">
        <v>1</v>
      </c>
      <c r="E2084">
        <v>0</v>
      </c>
      <c r="F2084">
        <v>0</v>
      </c>
      <c r="G2084">
        <v>0</v>
      </c>
      <c r="H2084">
        <v>550</v>
      </c>
      <c r="I2084">
        <f t="shared" si="307"/>
        <v>2079</v>
      </c>
      <c r="J2084" s="6">
        <f t="array" aca="1" ref="J2084:N2084" ca="1">TRANSPOSE(ols(OFFSET($C$2:$C$10,I2084,0),OFFSET($D$2:$H$10,I2084,0)))</f>
        <v>89.880952380950475</v>
      </c>
      <c r="K2084" s="6">
        <f ca="1"/>
        <v>-1.0714285714288962</v>
      </c>
      <c r="L2084" s="6">
        <f ca="1"/>
        <v>2.3809523809522943</v>
      </c>
      <c r="M2084" s="6">
        <f ca="1"/>
        <v>-1.1904761904759198</v>
      </c>
      <c r="N2084" s="6">
        <f ca="1"/>
        <v>-9.0476190476193707E-2</v>
      </c>
      <c r="O2084" s="6">
        <f t="shared" ca="1" si="299"/>
        <v>40.11904761904394</v>
      </c>
      <c r="P2084" t="str">
        <f t="shared" si="300"/>
        <v>NA</v>
      </c>
      <c r="Q2084" s="10">
        <f t="shared" ca="1" si="301"/>
        <v>59.404761904759056</v>
      </c>
      <c r="R2084" s="10">
        <f t="shared" ca="1" si="302"/>
        <v>89.880952380950475</v>
      </c>
      <c r="S2084" s="10">
        <f t="shared" ca="1" si="303"/>
        <v>-30.47619047619142</v>
      </c>
      <c r="T2084" s="10">
        <f t="shared" ca="1" si="304"/>
        <v>336.84210526315627</v>
      </c>
      <c r="U2084" s="10">
        <f t="shared" ca="1" si="305"/>
        <v>336.84210526315627</v>
      </c>
      <c r="V2084">
        <f t="shared" si="306"/>
        <v>1</v>
      </c>
    </row>
    <row r="2085" spans="1:22" x14ac:dyDescent="0.25">
      <c r="A2085">
        <v>232</v>
      </c>
      <c r="B2085">
        <v>5</v>
      </c>
      <c r="C2085">
        <v>67.5</v>
      </c>
      <c r="D2085">
        <v>1</v>
      </c>
      <c r="E2085">
        <v>0</v>
      </c>
      <c r="F2085">
        <v>1</v>
      </c>
      <c r="G2085">
        <v>1</v>
      </c>
      <c r="H2085">
        <v>250</v>
      </c>
      <c r="I2085">
        <f t="shared" si="307"/>
        <v>2079</v>
      </c>
      <c r="J2085" s="6">
        <f t="array" aca="1" ref="J2085:N2085" ca="1">TRANSPOSE(ols(OFFSET($C$2:$C$10,I2085,0),OFFSET($D$2:$H$10,I2085,0)))</f>
        <v>89.880952380950475</v>
      </c>
      <c r="K2085" s="6">
        <f ca="1"/>
        <v>-1.0714285714288962</v>
      </c>
      <c r="L2085" s="6">
        <f ca="1"/>
        <v>2.3809523809522943</v>
      </c>
      <c r="M2085" s="6">
        <f ca="1"/>
        <v>-1.1904761904759198</v>
      </c>
      <c r="N2085" s="6">
        <f ca="1"/>
        <v>-9.0476190476193707E-2</v>
      </c>
      <c r="O2085" s="6">
        <f t="shared" ca="1" si="299"/>
        <v>68.452380952378419</v>
      </c>
      <c r="P2085" t="str">
        <f t="shared" si="300"/>
        <v>NA</v>
      </c>
      <c r="Q2085" s="10">
        <f t="shared" ca="1" si="301"/>
        <v>59.404761904759056</v>
      </c>
      <c r="R2085" s="10">
        <f t="shared" ca="1" si="302"/>
        <v>91.07142857142685</v>
      </c>
      <c r="S2085" s="10">
        <f t="shared" ca="1" si="303"/>
        <v>-31.666666666667794</v>
      </c>
      <c r="T2085" s="10">
        <f t="shared" ca="1" si="304"/>
        <v>349.99999999999994</v>
      </c>
      <c r="U2085" s="10">
        <f t="shared" ca="1" si="305"/>
        <v>349.99999999999994</v>
      </c>
      <c r="V2085">
        <f t="shared" si="306"/>
        <v>6</v>
      </c>
    </row>
    <row r="2086" spans="1:22" x14ac:dyDescent="0.25">
      <c r="A2086">
        <v>232</v>
      </c>
      <c r="B2086">
        <v>6</v>
      </c>
      <c r="C2086">
        <v>65</v>
      </c>
      <c r="D2086">
        <v>1</v>
      </c>
      <c r="E2086">
        <v>0</v>
      </c>
      <c r="F2086">
        <v>1</v>
      </c>
      <c r="G2086">
        <v>1</v>
      </c>
      <c r="H2086">
        <v>350</v>
      </c>
      <c r="I2086">
        <f t="shared" si="307"/>
        <v>2079</v>
      </c>
      <c r="J2086" s="6">
        <f t="array" aca="1" ref="J2086:N2086" ca="1">TRANSPOSE(ols(OFFSET($C$2:$C$10,I2086,0),OFFSET($D$2:$H$10,I2086,0)))</f>
        <v>89.880952380950475</v>
      </c>
      <c r="K2086" s="6">
        <f ca="1"/>
        <v>-1.0714285714288962</v>
      </c>
      <c r="L2086" s="6">
        <f ca="1"/>
        <v>2.3809523809522943</v>
      </c>
      <c r="M2086" s="6">
        <f ca="1"/>
        <v>-1.1904761904759198</v>
      </c>
      <c r="N2086" s="6">
        <f ca="1"/>
        <v>-9.0476190476193707E-2</v>
      </c>
      <c r="O2086" s="6">
        <f t="shared" ca="1" si="299"/>
        <v>59.404761904759056</v>
      </c>
      <c r="P2086">
        <f t="shared" ca="1" si="300"/>
        <v>59.404761904759056</v>
      </c>
      <c r="Q2086" s="10">
        <f t="shared" ca="1" si="301"/>
        <v>59.404761904759056</v>
      </c>
      <c r="R2086" s="10">
        <f t="shared" ca="1" si="302"/>
        <v>91.07142857142685</v>
      </c>
      <c r="S2086" s="10">
        <f t="shared" ca="1" si="303"/>
        <v>-31.666666666667794</v>
      </c>
      <c r="T2086" s="10">
        <f t="shared" ca="1" si="304"/>
        <v>349.99999999999994</v>
      </c>
      <c r="U2086" s="10">
        <f t="shared" ca="1" si="305"/>
        <v>349.99999999999994</v>
      </c>
      <c r="V2086">
        <f t="shared" si="306"/>
        <v>6</v>
      </c>
    </row>
    <row r="2087" spans="1:22" x14ac:dyDescent="0.25">
      <c r="A2087">
        <v>232</v>
      </c>
      <c r="B2087">
        <v>7</v>
      </c>
      <c r="C2087">
        <v>45</v>
      </c>
      <c r="D2087">
        <v>1</v>
      </c>
      <c r="E2087">
        <v>1</v>
      </c>
      <c r="F2087">
        <v>0</v>
      </c>
      <c r="G2087">
        <v>1</v>
      </c>
      <c r="H2087">
        <v>450</v>
      </c>
      <c r="I2087">
        <f t="shared" si="307"/>
        <v>2079</v>
      </c>
      <c r="J2087" s="6">
        <f t="array" aca="1" ref="J2087:N2087" ca="1">TRANSPOSE(ols(OFFSET($C$2:$C$10,I2087,0),OFFSET($D$2:$H$10,I2087,0)))</f>
        <v>89.880952380950475</v>
      </c>
      <c r="K2087" s="6">
        <f ca="1"/>
        <v>-1.0714285714288962</v>
      </c>
      <c r="L2087" s="6">
        <f ca="1"/>
        <v>2.3809523809522943</v>
      </c>
      <c r="M2087" s="6">
        <f ca="1"/>
        <v>-1.1904761904759198</v>
      </c>
      <c r="N2087" s="6">
        <f ca="1"/>
        <v>-9.0476190476193707E-2</v>
      </c>
      <c r="O2087" s="6">
        <f t="shared" ca="1" si="299"/>
        <v>46.904761904758487</v>
      </c>
      <c r="P2087" t="str">
        <f t="shared" si="300"/>
        <v>NA</v>
      </c>
      <c r="Q2087" s="10">
        <f t="shared" ca="1" si="301"/>
        <v>59.404761904759056</v>
      </c>
      <c r="R2087" s="10">
        <f t="shared" ca="1" si="302"/>
        <v>87.619047619045659</v>
      </c>
      <c r="S2087" s="10">
        <f t="shared" ca="1" si="303"/>
        <v>-28.214285714286603</v>
      </c>
      <c r="T2087" s="10">
        <f t="shared" ca="1" si="304"/>
        <v>311.84210526315661</v>
      </c>
      <c r="U2087" s="10">
        <f t="shared" ca="1" si="305"/>
        <v>311.84210526315661</v>
      </c>
      <c r="V2087">
        <f t="shared" si="306"/>
        <v>5</v>
      </c>
    </row>
    <row r="2088" spans="1:22" x14ac:dyDescent="0.25">
      <c r="A2088">
        <v>232</v>
      </c>
      <c r="B2088">
        <v>8</v>
      </c>
      <c r="C2088">
        <v>35</v>
      </c>
      <c r="D2088">
        <v>1</v>
      </c>
      <c r="E2088">
        <v>1</v>
      </c>
      <c r="F2088">
        <v>0</v>
      </c>
      <c r="G2088">
        <v>1</v>
      </c>
      <c r="H2088">
        <v>550</v>
      </c>
      <c r="I2088">
        <f t="shared" si="307"/>
        <v>2079</v>
      </c>
      <c r="J2088" s="6">
        <f t="array" aca="1" ref="J2088:N2088" ca="1">TRANSPOSE(ols(OFFSET($C$2:$C$10,I2088,0),OFFSET($D$2:$H$10,I2088,0)))</f>
        <v>89.880952380950475</v>
      </c>
      <c r="K2088" s="6">
        <f ca="1"/>
        <v>-1.0714285714288962</v>
      </c>
      <c r="L2088" s="6">
        <f ca="1"/>
        <v>2.3809523809522943</v>
      </c>
      <c r="M2088" s="6">
        <f ca="1"/>
        <v>-1.1904761904759198</v>
      </c>
      <c r="N2088" s="6">
        <f ca="1"/>
        <v>-9.0476190476193707E-2</v>
      </c>
      <c r="O2088" s="6">
        <f t="shared" ca="1" si="299"/>
        <v>37.857142857139124</v>
      </c>
      <c r="P2088" t="str">
        <f t="shared" si="300"/>
        <v>NA</v>
      </c>
      <c r="Q2088" s="10">
        <f t="shared" ca="1" si="301"/>
        <v>59.404761904759056</v>
      </c>
      <c r="R2088" s="10">
        <f t="shared" ca="1" si="302"/>
        <v>87.619047619045659</v>
      </c>
      <c r="S2088" s="10">
        <f t="shared" ca="1" si="303"/>
        <v>-28.214285714286603</v>
      </c>
      <c r="T2088" s="10">
        <f t="shared" ca="1" si="304"/>
        <v>311.84210526315661</v>
      </c>
      <c r="U2088" s="10">
        <f t="shared" ca="1" si="305"/>
        <v>311.84210526315661</v>
      </c>
      <c r="V2088">
        <f t="shared" si="306"/>
        <v>5</v>
      </c>
    </row>
    <row r="2089" spans="1:22" x14ac:dyDescent="0.25">
      <c r="A2089">
        <v>232</v>
      </c>
      <c r="B2089">
        <v>9</v>
      </c>
      <c r="C2089">
        <v>30</v>
      </c>
      <c r="D2089">
        <v>1</v>
      </c>
      <c r="E2089">
        <v>0</v>
      </c>
      <c r="F2089">
        <v>0</v>
      </c>
      <c r="G2089">
        <v>1</v>
      </c>
      <c r="H2089">
        <v>650</v>
      </c>
      <c r="I2089">
        <f t="shared" si="307"/>
        <v>2079</v>
      </c>
      <c r="J2089" s="6">
        <f t="array" aca="1" ref="J2089:N2089" ca="1">TRANSPOSE(ols(OFFSET($C$2:$C$10,I2089,0),OFFSET($D$2:$H$10,I2089,0)))</f>
        <v>89.880952380950475</v>
      </c>
      <c r="K2089" s="6">
        <f ca="1"/>
        <v>-1.0714285714288962</v>
      </c>
      <c r="L2089" s="6">
        <f ca="1"/>
        <v>2.3809523809522943</v>
      </c>
      <c r="M2089" s="6">
        <f ca="1"/>
        <v>-1.1904761904759198</v>
      </c>
      <c r="N2089" s="6">
        <f ca="1"/>
        <v>-9.0476190476193707E-2</v>
      </c>
      <c r="O2089" s="6">
        <f t="shared" ca="1" si="299"/>
        <v>29.880952380948642</v>
      </c>
      <c r="P2089" t="str">
        <f t="shared" si="300"/>
        <v>NA</v>
      </c>
      <c r="Q2089" s="10">
        <f t="shared" ca="1" si="301"/>
        <v>59.404761904759056</v>
      </c>
      <c r="R2089" s="10">
        <f t="shared" ca="1" si="302"/>
        <v>88.690476190474556</v>
      </c>
      <c r="S2089" s="10">
        <f t="shared" ca="1" si="303"/>
        <v>-29.2857142857155</v>
      </c>
      <c r="T2089" s="10">
        <f t="shared" ca="1" si="304"/>
        <v>323.68421052631766</v>
      </c>
      <c r="U2089" s="10">
        <f t="shared" ca="1" si="305"/>
        <v>323.68421052631766</v>
      </c>
      <c r="V2089">
        <f t="shared" si="306"/>
        <v>4</v>
      </c>
    </row>
    <row r="2090" spans="1:22" x14ac:dyDescent="0.25">
      <c r="A2090">
        <v>233</v>
      </c>
      <c r="B2090">
        <v>1</v>
      </c>
      <c r="C2090">
        <v>20</v>
      </c>
      <c r="D2090">
        <v>1</v>
      </c>
      <c r="E2090">
        <v>0</v>
      </c>
      <c r="F2090">
        <v>1</v>
      </c>
      <c r="G2090">
        <v>0</v>
      </c>
      <c r="H2090">
        <v>250</v>
      </c>
      <c r="I2090">
        <f t="shared" si="307"/>
        <v>2088</v>
      </c>
      <c r="J2090" s="6">
        <f t="array" aca="1" ref="J2090:N2090" ca="1">TRANSPOSE(ols(OFFSET($C$2:$C$10,I2090,0),OFFSET($D$2:$H$10,I2090,0)))</f>
        <v>41.309523809523398</v>
      </c>
      <c r="K2090" s="6">
        <f ca="1"/>
        <v>-5.7142857142857224</v>
      </c>
      <c r="L2090" s="6">
        <f ca="1"/>
        <v>-6.1904761904759198</v>
      </c>
      <c r="M2090" s="6">
        <f ca="1"/>
        <v>3.0952380952381304</v>
      </c>
      <c r="N2090" s="6">
        <f ca="1"/>
        <v>-5.4761904761904567E-2</v>
      </c>
      <c r="O2090" s="6">
        <f t="shared" ca="1" si="299"/>
        <v>21.428571428571338</v>
      </c>
      <c r="P2090" t="str">
        <f t="shared" si="300"/>
        <v>NA</v>
      </c>
      <c r="Q2090" s="10">
        <f t="shared" ca="1" si="301"/>
        <v>19.047619047619008</v>
      </c>
      <c r="R2090" s="10">
        <f t="shared" ca="1" si="302"/>
        <v>35.119047619047478</v>
      </c>
      <c r="S2090" s="10">
        <f t="shared" ca="1" si="303"/>
        <v>-16.07142857142847</v>
      </c>
      <c r="T2090" s="10">
        <f t="shared" ca="1" si="304"/>
        <v>293.47826086956439</v>
      </c>
      <c r="U2090" s="10">
        <f t="shared" ca="1" si="305"/>
        <v>293.47826086956439</v>
      </c>
      <c r="V2090">
        <f t="shared" si="306"/>
        <v>3</v>
      </c>
    </row>
    <row r="2091" spans="1:22" x14ac:dyDescent="0.25">
      <c r="A2091">
        <v>233</v>
      </c>
      <c r="B2091">
        <v>2</v>
      </c>
      <c r="C2091">
        <v>20</v>
      </c>
      <c r="D2091">
        <v>1</v>
      </c>
      <c r="E2091">
        <v>1</v>
      </c>
      <c r="F2091">
        <v>0</v>
      </c>
      <c r="G2091">
        <v>0</v>
      </c>
      <c r="H2091">
        <v>350</v>
      </c>
      <c r="I2091">
        <f t="shared" si="307"/>
        <v>2088</v>
      </c>
      <c r="J2091" s="6">
        <f t="array" aca="1" ref="J2091:N2091" ca="1">TRANSPOSE(ols(OFFSET($C$2:$C$10,I2091,0),OFFSET($D$2:$H$10,I2091,0)))</f>
        <v>41.309523809523398</v>
      </c>
      <c r="K2091" s="6">
        <f ca="1"/>
        <v>-5.7142857142857224</v>
      </c>
      <c r="L2091" s="6">
        <f ca="1"/>
        <v>-6.1904761904759198</v>
      </c>
      <c r="M2091" s="6">
        <f ca="1"/>
        <v>3.0952380952381304</v>
      </c>
      <c r="N2091" s="6">
        <f ca="1"/>
        <v>-5.4761904761904567E-2</v>
      </c>
      <c r="O2091" s="6">
        <f t="shared" ca="1" si="299"/>
        <v>16.428571428571075</v>
      </c>
      <c r="P2091" t="str">
        <f t="shared" si="300"/>
        <v>NA</v>
      </c>
      <c r="Q2091" s="10">
        <f t="shared" ca="1" si="301"/>
        <v>19.047619047619008</v>
      </c>
      <c r="R2091" s="10">
        <f t="shared" ca="1" si="302"/>
        <v>35.595238095237676</v>
      </c>
      <c r="S2091" s="10">
        <f t="shared" ca="1" si="303"/>
        <v>-16.547619047618667</v>
      </c>
      <c r="T2091" s="10">
        <f t="shared" ca="1" si="304"/>
        <v>302.1739130434724</v>
      </c>
      <c r="U2091" s="10">
        <f t="shared" ca="1" si="305"/>
        <v>302.1739130434724</v>
      </c>
      <c r="V2091">
        <f t="shared" si="306"/>
        <v>2</v>
      </c>
    </row>
    <row r="2092" spans="1:22" x14ac:dyDescent="0.25">
      <c r="A2092">
        <v>233</v>
      </c>
      <c r="B2092">
        <v>3</v>
      </c>
      <c r="C2092">
        <v>10</v>
      </c>
      <c r="D2092">
        <v>1</v>
      </c>
      <c r="E2092">
        <v>1</v>
      </c>
      <c r="F2092">
        <v>0</v>
      </c>
      <c r="G2092">
        <v>0</v>
      </c>
      <c r="H2092">
        <v>450</v>
      </c>
      <c r="I2092">
        <f t="shared" si="307"/>
        <v>2088</v>
      </c>
      <c r="J2092" s="6">
        <f t="array" aca="1" ref="J2092:N2092" ca="1">TRANSPOSE(ols(OFFSET($C$2:$C$10,I2092,0),OFFSET($D$2:$H$10,I2092,0)))</f>
        <v>41.309523809523398</v>
      </c>
      <c r="K2092" s="6">
        <f ca="1"/>
        <v>-5.7142857142857224</v>
      </c>
      <c r="L2092" s="6">
        <f ca="1"/>
        <v>-6.1904761904759198</v>
      </c>
      <c r="M2092" s="6">
        <f ca="1"/>
        <v>3.0952380952381304</v>
      </c>
      <c r="N2092" s="6">
        <f ca="1"/>
        <v>-5.4761904761904567E-2</v>
      </c>
      <c r="O2092" s="6">
        <f t="shared" ca="1" si="299"/>
        <v>10.952380952380622</v>
      </c>
      <c r="P2092" t="str">
        <f t="shared" si="300"/>
        <v>NA</v>
      </c>
      <c r="Q2092" s="10">
        <f t="shared" ca="1" si="301"/>
        <v>19.047619047619008</v>
      </c>
      <c r="R2092" s="10">
        <f t="shared" ca="1" si="302"/>
        <v>35.595238095237676</v>
      </c>
      <c r="S2092" s="10">
        <f t="shared" ca="1" si="303"/>
        <v>-16.547619047618667</v>
      </c>
      <c r="T2092" s="10">
        <f t="shared" ca="1" si="304"/>
        <v>302.1739130434724</v>
      </c>
      <c r="U2092" s="10">
        <f t="shared" ca="1" si="305"/>
        <v>302.1739130434724</v>
      </c>
      <c r="V2092">
        <f t="shared" si="306"/>
        <v>2</v>
      </c>
    </row>
    <row r="2093" spans="1:22" x14ac:dyDescent="0.25">
      <c r="A2093">
        <v>233</v>
      </c>
      <c r="B2093">
        <v>4</v>
      </c>
      <c r="C2093">
        <v>10</v>
      </c>
      <c r="D2093">
        <v>1</v>
      </c>
      <c r="E2093">
        <v>0</v>
      </c>
      <c r="F2093">
        <v>0</v>
      </c>
      <c r="G2093">
        <v>0</v>
      </c>
      <c r="H2093">
        <v>550</v>
      </c>
      <c r="I2093">
        <f t="shared" si="307"/>
        <v>2088</v>
      </c>
      <c r="J2093" s="6">
        <f t="array" aca="1" ref="J2093:N2093" ca="1">TRANSPOSE(ols(OFFSET($C$2:$C$10,I2093,0),OFFSET($D$2:$H$10,I2093,0)))</f>
        <v>41.309523809523398</v>
      </c>
      <c r="K2093" s="6">
        <f ca="1"/>
        <v>-5.7142857142857224</v>
      </c>
      <c r="L2093" s="6">
        <f ca="1"/>
        <v>-6.1904761904759198</v>
      </c>
      <c r="M2093" s="6">
        <f ca="1"/>
        <v>3.0952380952381304</v>
      </c>
      <c r="N2093" s="6">
        <f ca="1"/>
        <v>-5.4761904761904567E-2</v>
      </c>
      <c r="O2093" s="6">
        <f t="shared" ca="1" si="299"/>
        <v>11.190476190475884</v>
      </c>
      <c r="P2093" t="str">
        <f t="shared" si="300"/>
        <v>NA</v>
      </c>
      <c r="Q2093" s="10">
        <f t="shared" ca="1" si="301"/>
        <v>19.047619047619008</v>
      </c>
      <c r="R2093" s="10">
        <f t="shared" ca="1" si="302"/>
        <v>41.309523809523398</v>
      </c>
      <c r="S2093" s="10">
        <f t="shared" ca="1" si="303"/>
        <v>-22.26190476190439</v>
      </c>
      <c r="T2093" s="10">
        <f t="shared" ca="1" si="304"/>
        <v>406.52173913042941</v>
      </c>
      <c r="U2093" s="10">
        <f t="shared" ca="1" si="305"/>
        <v>406.52173913042941</v>
      </c>
      <c r="V2093">
        <f t="shared" si="306"/>
        <v>1</v>
      </c>
    </row>
    <row r="2094" spans="1:22" x14ac:dyDescent="0.25">
      <c r="A2094">
        <v>233</v>
      </c>
      <c r="B2094">
        <v>5</v>
      </c>
      <c r="C2094">
        <v>25</v>
      </c>
      <c r="D2094">
        <v>1</v>
      </c>
      <c r="E2094">
        <v>0</v>
      </c>
      <c r="F2094">
        <v>1</v>
      </c>
      <c r="G2094">
        <v>1</v>
      </c>
      <c r="H2094">
        <v>250</v>
      </c>
      <c r="I2094">
        <f t="shared" si="307"/>
        <v>2088</v>
      </c>
      <c r="J2094" s="6">
        <f t="array" aca="1" ref="J2094:N2094" ca="1">TRANSPOSE(ols(OFFSET($C$2:$C$10,I2094,0),OFFSET($D$2:$H$10,I2094,0)))</f>
        <v>41.309523809523398</v>
      </c>
      <c r="K2094" s="6">
        <f ca="1"/>
        <v>-5.7142857142857224</v>
      </c>
      <c r="L2094" s="6">
        <f ca="1"/>
        <v>-6.1904761904759198</v>
      </c>
      <c r="M2094" s="6">
        <f ca="1"/>
        <v>3.0952380952381304</v>
      </c>
      <c r="N2094" s="6">
        <f ca="1"/>
        <v>-5.4761904761904567E-2</v>
      </c>
      <c r="O2094" s="6">
        <f t="shared" ca="1" si="299"/>
        <v>24.523809523809469</v>
      </c>
      <c r="P2094" t="str">
        <f t="shared" si="300"/>
        <v>NA</v>
      </c>
      <c r="Q2094" s="10">
        <f t="shared" ca="1" si="301"/>
        <v>19.047619047619008</v>
      </c>
      <c r="R2094" s="10">
        <f t="shared" ca="1" si="302"/>
        <v>38.214285714285609</v>
      </c>
      <c r="S2094" s="10">
        <f t="shared" ca="1" si="303"/>
        <v>-19.1666666666666</v>
      </c>
      <c r="T2094" s="10">
        <f t="shared" ca="1" si="304"/>
        <v>350.00000000000006</v>
      </c>
      <c r="U2094" s="10">
        <f t="shared" ca="1" si="305"/>
        <v>350.00000000000006</v>
      </c>
      <c r="V2094">
        <f t="shared" si="306"/>
        <v>6</v>
      </c>
    </row>
    <row r="2095" spans="1:22" x14ac:dyDescent="0.25">
      <c r="A2095">
        <v>233</v>
      </c>
      <c r="B2095">
        <v>6</v>
      </c>
      <c r="C2095">
        <v>20</v>
      </c>
      <c r="D2095">
        <v>1</v>
      </c>
      <c r="E2095">
        <v>0</v>
      </c>
      <c r="F2095">
        <v>1</v>
      </c>
      <c r="G2095">
        <v>1</v>
      </c>
      <c r="H2095">
        <v>350</v>
      </c>
      <c r="I2095">
        <f t="shared" si="307"/>
        <v>2088</v>
      </c>
      <c r="J2095" s="6">
        <f t="array" aca="1" ref="J2095:N2095" ca="1">TRANSPOSE(ols(OFFSET($C$2:$C$10,I2095,0),OFFSET($D$2:$H$10,I2095,0)))</f>
        <v>41.309523809523398</v>
      </c>
      <c r="K2095" s="6">
        <f ca="1"/>
        <v>-5.7142857142857224</v>
      </c>
      <c r="L2095" s="6">
        <f ca="1"/>
        <v>-6.1904761904759198</v>
      </c>
      <c r="M2095" s="6">
        <f ca="1"/>
        <v>3.0952380952381304</v>
      </c>
      <c r="N2095" s="6">
        <f ca="1"/>
        <v>-5.4761904761904567E-2</v>
      </c>
      <c r="O2095" s="6">
        <f t="shared" ca="1" si="299"/>
        <v>19.047619047619008</v>
      </c>
      <c r="P2095">
        <f t="shared" ca="1" si="300"/>
        <v>19.047619047619008</v>
      </c>
      <c r="Q2095" s="10">
        <f t="shared" ca="1" si="301"/>
        <v>19.047619047619008</v>
      </c>
      <c r="R2095" s="10">
        <f t="shared" ca="1" si="302"/>
        <v>38.214285714285609</v>
      </c>
      <c r="S2095" s="10">
        <f t="shared" ca="1" si="303"/>
        <v>-19.1666666666666</v>
      </c>
      <c r="T2095" s="10">
        <f t="shared" ca="1" si="304"/>
        <v>350.00000000000006</v>
      </c>
      <c r="U2095" s="10">
        <f t="shared" ca="1" si="305"/>
        <v>350.00000000000006</v>
      </c>
      <c r="V2095">
        <f t="shared" si="306"/>
        <v>6</v>
      </c>
    </row>
    <row r="2096" spans="1:22" x14ac:dyDescent="0.25">
      <c r="A2096">
        <v>233</v>
      </c>
      <c r="B2096">
        <v>7</v>
      </c>
      <c r="C2096">
        <v>10</v>
      </c>
      <c r="D2096">
        <v>1</v>
      </c>
      <c r="E2096">
        <v>1</v>
      </c>
      <c r="F2096">
        <v>0</v>
      </c>
      <c r="G2096">
        <v>1</v>
      </c>
      <c r="H2096">
        <v>450</v>
      </c>
      <c r="I2096">
        <f t="shared" si="307"/>
        <v>2088</v>
      </c>
      <c r="J2096" s="6">
        <f t="array" aca="1" ref="J2096:N2096" ca="1">TRANSPOSE(ols(OFFSET($C$2:$C$10,I2096,0),OFFSET($D$2:$H$10,I2096,0)))</f>
        <v>41.309523809523398</v>
      </c>
      <c r="K2096" s="6">
        <f ca="1"/>
        <v>-5.7142857142857224</v>
      </c>
      <c r="L2096" s="6">
        <f ca="1"/>
        <v>-6.1904761904759198</v>
      </c>
      <c r="M2096" s="6">
        <f ca="1"/>
        <v>3.0952380952381304</v>
      </c>
      <c r="N2096" s="6">
        <f ca="1"/>
        <v>-5.4761904761904567E-2</v>
      </c>
      <c r="O2096" s="6">
        <f t="shared" ca="1" si="299"/>
        <v>14.047619047618753</v>
      </c>
      <c r="P2096" t="str">
        <f t="shared" si="300"/>
        <v>NA</v>
      </c>
      <c r="Q2096" s="10">
        <f t="shared" ca="1" si="301"/>
        <v>19.047619047619008</v>
      </c>
      <c r="R2096" s="10">
        <f t="shared" ca="1" si="302"/>
        <v>38.690476190475806</v>
      </c>
      <c r="S2096" s="10">
        <f t="shared" ca="1" si="303"/>
        <v>-19.642857142856798</v>
      </c>
      <c r="T2096" s="10">
        <f t="shared" ca="1" si="304"/>
        <v>358.695652173908</v>
      </c>
      <c r="U2096" s="10">
        <f t="shared" ca="1" si="305"/>
        <v>358.695652173908</v>
      </c>
      <c r="V2096">
        <f t="shared" si="306"/>
        <v>5</v>
      </c>
    </row>
    <row r="2097" spans="1:22" x14ac:dyDescent="0.25">
      <c r="A2097">
        <v>233</v>
      </c>
      <c r="B2097">
        <v>8</v>
      </c>
      <c r="C2097">
        <v>10</v>
      </c>
      <c r="D2097">
        <v>1</v>
      </c>
      <c r="E2097">
        <v>1</v>
      </c>
      <c r="F2097">
        <v>0</v>
      </c>
      <c r="G2097">
        <v>1</v>
      </c>
      <c r="H2097">
        <v>550</v>
      </c>
      <c r="I2097">
        <f t="shared" si="307"/>
        <v>2088</v>
      </c>
      <c r="J2097" s="6">
        <f t="array" aca="1" ref="J2097:N2097" ca="1">TRANSPOSE(ols(OFFSET($C$2:$C$10,I2097,0),OFFSET($D$2:$H$10,I2097,0)))</f>
        <v>41.309523809523398</v>
      </c>
      <c r="K2097" s="6">
        <f ca="1"/>
        <v>-5.7142857142857224</v>
      </c>
      <c r="L2097" s="6">
        <f ca="1"/>
        <v>-6.1904761904759198</v>
      </c>
      <c r="M2097" s="6">
        <f ca="1"/>
        <v>3.0952380952381304</v>
      </c>
      <c r="N2097" s="6">
        <f ca="1"/>
        <v>-5.4761904761904567E-2</v>
      </c>
      <c r="O2097" s="6">
        <f t="shared" ca="1" si="299"/>
        <v>8.5714285714282923</v>
      </c>
      <c r="P2097" t="str">
        <f t="shared" si="300"/>
        <v>NA</v>
      </c>
      <c r="Q2097" s="10">
        <f t="shared" ca="1" si="301"/>
        <v>19.047619047619008</v>
      </c>
      <c r="R2097" s="10">
        <f t="shared" ca="1" si="302"/>
        <v>38.690476190475806</v>
      </c>
      <c r="S2097" s="10">
        <f t="shared" ca="1" si="303"/>
        <v>-19.642857142856798</v>
      </c>
      <c r="T2097" s="10">
        <f t="shared" ca="1" si="304"/>
        <v>358.695652173908</v>
      </c>
      <c r="U2097" s="10">
        <f t="shared" ca="1" si="305"/>
        <v>358.695652173908</v>
      </c>
      <c r="V2097">
        <f t="shared" si="306"/>
        <v>5</v>
      </c>
    </row>
    <row r="2098" spans="1:22" x14ac:dyDescent="0.25">
      <c r="A2098">
        <v>233</v>
      </c>
      <c r="B2098">
        <v>9</v>
      </c>
      <c r="C2098">
        <v>10</v>
      </c>
      <c r="D2098">
        <v>1</v>
      </c>
      <c r="E2098">
        <v>0</v>
      </c>
      <c r="F2098">
        <v>0</v>
      </c>
      <c r="G2098">
        <v>1</v>
      </c>
      <c r="H2098">
        <v>650</v>
      </c>
      <c r="I2098">
        <f t="shared" si="307"/>
        <v>2088</v>
      </c>
      <c r="J2098" s="6">
        <f t="array" aca="1" ref="J2098:N2098" ca="1">TRANSPOSE(ols(OFFSET($C$2:$C$10,I2098,0),OFFSET($D$2:$H$10,I2098,0)))</f>
        <v>41.309523809523398</v>
      </c>
      <c r="K2098" s="6">
        <f ca="1"/>
        <v>-5.7142857142857224</v>
      </c>
      <c r="L2098" s="6">
        <f ca="1"/>
        <v>-6.1904761904759198</v>
      </c>
      <c r="M2098" s="6">
        <f ca="1"/>
        <v>3.0952380952381304</v>
      </c>
      <c r="N2098" s="6">
        <f ca="1"/>
        <v>-5.4761904761904567E-2</v>
      </c>
      <c r="O2098" s="6">
        <f t="shared" ca="1" si="299"/>
        <v>8.8095238095235615</v>
      </c>
      <c r="P2098" t="str">
        <f t="shared" si="300"/>
        <v>NA</v>
      </c>
      <c r="Q2098" s="10">
        <f t="shared" ca="1" si="301"/>
        <v>19.047619047619008</v>
      </c>
      <c r="R2098" s="10">
        <f t="shared" ca="1" si="302"/>
        <v>44.404761904761529</v>
      </c>
      <c r="S2098" s="10">
        <f t="shared" ca="1" si="303"/>
        <v>-25.35714285714252</v>
      </c>
      <c r="T2098" s="10">
        <f t="shared" ca="1" si="304"/>
        <v>463.04347826086507</v>
      </c>
      <c r="U2098" s="10">
        <f t="shared" ca="1" si="305"/>
        <v>463.04347826086507</v>
      </c>
      <c r="V2098">
        <f t="shared" si="306"/>
        <v>4</v>
      </c>
    </row>
    <row r="2099" spans="1:22" x14ac:dyDescent="0.25">
      <c r="A2099">
        <v>234</v>
      </c>
      <c r="B2099">
        <v>1</v>
      </c>
      <c r="C2099">
        <v>45</v>
      </c>
      <c r="D2099">
        <v>1</v>
      </c>
      <c r="E2099">
        <v>0</v>
      </c>
      <c r="F2099">
        <v>1</v>
      </c>
      <c r="G2099">
        <v>0</v>
      </c>
      <c r="H2099">
        <v>250</v>
      </c>
      <c r="I2099">
        <f t="shared" si="307"/>
        <v>2097</v>
      </c>
      <c r="J2099" s="6">
        <f t="array" aca="1" ref="J2099:N2099" ca="1">TRANSPOSE(ols(OFFSET($C$2:$C$10,I2099,0),OFFSET($D$2:$H$10,I2099,0)))</f>
        <v>62.738095238095411</v>
      </c>
      <c r="K2099" s="6">
        <f ca="1"/>
        <v>4.6428571428571104</v>
      </c>
      <c r="L2099" s="6">
        <f ca="1"/>
        <v>0.23809523809495658</v>
      </c>
      <c r="M2099" s="6">
        <f ca="1"/>
        <v>-2.6190476190474783</v>
      </c>
      <c r="N2099" s="6">
        <f ca="1"/>
        <v>-6.904761904761969E-2</v>
      </c>
      <c r="O2099" s="6">
        <f t="shared" ca="1" si="299"/>
        <v>45.714285714285445</v>
      </c>
      <c r="P2099" t="str">
        <f t="shared" si="300"/>
        <v>NA</v>
      </c>
      <c r="Q2099" s="10">
        <f t="shared" ca="1" si="301"/>
        <v>36.190476190475998</v>
      </c>
      <c r="R2099" s="10">
        <f t="shared" ca="1" si="302"/>
        <v>62.976190476190368</v>
      </c>
      <c r="S2099" s="10">
        <f t="shared" ca="1" si="303"/>
        <v>-26.78571428571437</v>
      </c>
      <c r="T2099" s="10">
        <f t="shared" ca="1" si="304"/>
        <v>387.93103448275622</v>
      </c>
      <c r="U2099" s="10">
        <f t="shared" ca="1" si="305"/>
        <v>387.93103448275622</v>
      </c>
      <c r="V2099">
        <f t="shared" si="306"/>
        <v>3</v>
      </c>
    </row>
    <row r="2100" spans="1:22" x14ac:dyDescent="0.25">
      <c r="A2100">
        <v>234</v>
      </c>
      <c r="B2100">
        <v>2</v>
      </c>
      <c r="C2100">
        <v>45</v>
      </c>
      <c r="D2100">
        <v>1</v>
      </c>
      <c r="E2100">
        <v>1</v>
      </c>
      <c r="F2100">
        <v>0</v>
      </c>
      <c r="G2100">
        <v>0</v>
      </c>
      <c r="H2100">
        <v>350</v>
      </c>
      <c r="I2100">
        <f t="shared" si="307"/>
        <v>2097</v>
      </c>
      <c r="J2100" s="6">
        <f t="array" aca="1" ref="J2100:N2100" ca="1">TRANSPOSE(ols(OFFSET($C$2:$C$10,I2100,0),OFFSET($D$2:$H$10,I2100,0)))</f>
        <v>62.738095238095411</v>
      </c>
      <c r="K2100" s="6">
        <f ca="1"/>
        <v>4.6428571428571104</v>
      </c>
      <c r="L2100" s="6">
        <f ca="1"/>
        <v>0.23809523809495658</v>
      </c>
      <c r="M2100" s="6">
        <f ca="1"/>
        <v>-2.6190476190474783</v>
      </c>
      <c r="N2100" s="6">
        <f ca="1"/>
        <v>-6.904761904761969E-2</v>
      </c>
      <c r="O2100" s="6">
        <f t="shared" ca="1" si="299"/>
        <v>43.21428571428563</v>
      </c>
      <c r="P2100" t="str">
        <f t="shared" si="300"/>
        <v>NA</v>
      </c>
      <c r="Q2100" s="10">
        <f t="shared" ca="1" si="301"/>
        <v>36.190476190475998</v>
      </c>
      <c r="R2100" s="10">
        <f t="shared" ca="1" si="302"/>
        <v>67.380952380952522</v>
      </c>
      <c r="S2100" s="10">
        <f t="shared" ca="1" si="303"/>
        <v>-31.190476190476524</v>
      </c>
      <c r="T2100" s="10">
        <f t="shared" ca="1" si="304"/>
        <v>451.7241379310351</v>
      </c>
      <c r="U2100" s="10">
        <f t="shared" ca="1" si="305"/>
        <v>451.7241379310351</v>
      </c>
      <c r="V2100">
        <f t="shared" si="306"/>
        <v>2</v>
      </c>
    </row>
    <row r="2101" spans="1:22" x14ac:dyDescent="0.25">
      <c r="A2101">
        <v>234</v>
      </c>
      <c r="B2101">
        <v>3</v>
      </c>
      <c r="C2101">
        <v>35</v>
      </c>
      <c r="D2101">
        <v>1</v>
      </c>
      <c r="E2101">
        <v>1</v>
      </c>
      <c r="F2101">
        <v>0</v>
      </c>
      <c r="G2101">
        <v>0</v>
      </c>
      <c r="H2101">
        <v>450</v>
      </c>
      <c r="I2101">
        <f t="shared" si="307"/>
        <v>2097</v>
      </c>
      <c r="J2101" s="6">
        <f t="array" aca="1" ref="J2101:N2101" ca="1">TRANSPOSE(ols(OFFSET($C$2:$C$10,I2101,0),OFFSET($D$2:$H$10,I2101,0)))</f>
        <v>62.738095238095411</v>
      </c>
      <c r="K2101" s="6">
        <f ca="1"/>
        <v>4.6428571428571104</v>
      </c>
      <c r="L2101" s="6">
        <f ca="1"/>
        <v>0.23809523809495658</v>
      </c>
      <c r="M2101" s="6">
        <f ca="1"/>
        <v>-2.6190476190474783</v>
      </c>
      <c r="N2101" s="6">
        <f ca="1"/>
        <v>-6.904761904761969E-2</v>
      </c>
      <c r="O2101" s="6">
        <f t="shared" ca="1" si="299"/>
        <v>36.309523809523661</v>
      </c>
      <c r="P2101" t="str">
        <f t="shared" si="300"/>
        <v>NA</v>
      </c>
      <c r="Q2101" s="10">
        <f t="shared" ca="1" si="301"/>
        <v>36.190476190475998</v>
      </c>
      <c r="R2101" s="10">
        <f t="shared" ca="1" si="302"/>
        <v>67.380952380952522</v>
      </c>
      <c r="S2101" s="10">
        <f t="shared" ca="1" si="303"/>
        <v>-31.190476190476524</v>
      </c>
      <c r="T2101" s="10">
        <f t="shared" ca="1" si="304"/>
        <v>451.7241379310351</v>
      </c>
      <c r="U2101" s="10">
        <f t="shared" ca="1" si="305"/>
        <v>451.7241379310351</v>
      </c>
      <c r="V2101">
        <f t="shared" si="306"/>
        <v>2</v>
      </c>
    </row>
    <row r="2102" spans="1:22" x14ac:dyDescent="0.25">
      <c r="A2102">
        <v>234</v>
      </c>
      <c r="B2102">
        <v>4</v>
      </c>
      <c r="C2102">
        <v>25</v>
      </c>
      <c r="D2102">
        <v>1</v>
      </c>
      <c r="E2102">
        <v>0</v>
      </c>
      <c r="F2102">
        <v>0</v>
      </c>
      <c r="G2102">
        <v>0</v>
      </c>
      <c r="H2102">
        <v>550</v>
      </c>
      <c r="I2102">
        <f t="shared" si="307"/>
        <v>2097</v>
      </c>
      <c r="J2102" s="6">
        <f t="array" aca="1" ref="J2102:N2102" ca="1">TRANSPOSE(ols(OFFSET($C$2:$C$10,I2102,0),OFFSET($D$2:$H$10,I2102,0)))</f>
        <v>62.738095238095411</v>
      </c>
      <c r="K2102" s="6">
        <f ca="1"/>
        <v>4.6428571428571104</v>
      </c>
      <c r="L2102" s="6">
        <f ca="1"/>
        <v>0.23809523809495658</v>
      </c>
      <c r="M2102" s="6">
        <f ca="1"/>
        <v>-2.6190476190474783</v>
      </c>
      <c r="N2102" s="6">
        <f ca="1"/>
        <v>-6.904761904761969E-2</v>
      </c>
      <c r="O2102" s="6">
        <f t="shared" ca="1" si="299"/>
        <v>24.761904761904582</v>
      </c>
      <c r="P2102" t="str">
        <f t="shared" si="300"/>
        <v>NA</v>
      </c>
      <c r="Q2102" s="10">
        <f t="shared" ca="1" si="301"/>
        <v>36.190476190475998</v>
      </c>
      <c r="R2102" s="10">
        <f t="shared" ca="1" si="302"/>
        <v>62.738095238095411</v>
      </c>
      <c r="S2102" s="10">
        <f t="shared" ca="1" si="303"/>
        <v>-26.547619047619413</v>
      </c>
      <c r="T2102" s="10">
        <f t="shared" ca="1" si="304"/>
        <v>384.48275862069136</v>
      </c>
      <c r="U2102" s="10">
        <f t="shared" ca="1" si="305"/>
        <v>384.48275862069136</v>
      </c>
      <c r="V2102">
        <f t="shared" si="306"/>
        <v>1</v>
      </c>
    </row>
    <row r="2103" spans="1:22" x14ac:dyDescent="0.25">
      <c r="A2103">
        <v>234</v>
      </c>
      <c r="B2103">
        <v>5</v>
      </c>
      <c r="C2103">
        <v>40</v>
      </c>
      <c r="D2103">
        <v>1</v>
      </c>
      <c r="E2103">
        <v>0</v>
      </c>
      <c r="F2103">
        <v>1</v>
      </c>
      <c r="G2103">
        <v>1</v>
      </c>
      <c r="H2103">
        <v>250</v>
      </c>
      <c r="I2103">
        <f t="shared" si="307"/>
        <v>2097</v>
      </c>
      <c r="J2103" s="6">
        <f t="array" aca="1" ref="J2103:N2103" ca="1">TRANSPOSE(ols(OFFSET($C$2:$C$10,I2103,0),OFFSET($D$2:$H$10,I2103,0)))</f>
        <v>62.738095238095411</v>
      </c>
      <c r="K2103" s="6">
        <f ca="1"/>
        <v>4.6428571428571104</v>
      </c>
      <c r="L2103" s="6">
        <f ca="1"/>
        <v>0.23809523809495658</v>
      </c>
      <c r="M2103" s="6">
        <f ca="1"/>
        <v>-2.6190476190474783</v>
      </c>
      <c r="N2103" s="6">
        <f ca="1"/>
        <v>-6.904761904761969E-2</v>
      </c>
      <c r="O2103" s="6">
        <f t="shared" ca="1" si="299"/>
        <v>43.095238095237967</v>
      </c>
      <c r="P2103" t="str">
        <f t="shared" si="300"/>
        <v>NA</v>
      </c>
      <c r="Q2103" s="10">
        <f t="shared" ca="1" si="301"/>
        <v>36.190476190475998</v>
      </c>
      <c r="R2103" s="10">
        <f t="shared" ca="1" si="302"/>
        <v>60.35714285714289</v>
      </c>
      <c r="S2103" s="10">
        <f t="shared" ca="1" si="303"/>
        <v>-24.166666666666892</v>
      </c>
      <c r="T2103" s="10">
        <f t="shared" ca="1" si="304"/>
        <v>350</v>
      </c>
      <c r="U2103" s="10">
        <f t="shared" ca="1" si="305"/>
        <v>350</v>
      </c>
      <c r="V2103">
        <f t="shared" si="306"/>
        <v>6</v>
      </c>
    </row>
    <row r="2104" spans="1:22" x14ac:dyDescent="0.25">
      <c r="A2104">
        <v>234</v>
      </c>
      <c r="B2104">
        <v>6</v>
      </c>
      <c r="C2104">
        <v>40</v>
      </c>
      <c r="D2104">
        <v>1</v>
      </c>
      <c r="E2104">
        <v>0</v>
      </c>
      <c r="F2104">
        <v>1</v>
      </c>
      <c r="G2104">
        <v>1</v>
      </c>
      <c r="H2104">
        <v>350</v>
      </c>
      <c r="I2104">
        <f t="shared" si="307"/>
        <v>2097</v>
      </c>
      <c r="J2104" s="6">
        <f t="array" aca="1" ref="J2104:N2104" ca="1">TRANSPOSE(ols(OFFSET($C$2:$C$10,I2104,0),OFFSET($D$2:$H$10,I2104,0)))</f>
        <v>62.738095238095411</v>
      </c>
      <c r="K2104" s="6">
        <f ca="1"/>
        <v>4.6428571428571104</v>
      </c>
      <c r="L2104" s="6">
        <f ca="1"/>
        <v>0.23809523809495658</v>
      </c>
      <c r="M2104" s="6">
        <f ca="1"/>
        <v>-2.6190476190474783</v>
      </c>
      <c r="N2104" s="6">
        <f ca="1"/>
        <v>-6.904761904761969E-2</v>
      </c>
      <c r="O2104" s="6">
        <f t="shared" ca="1" si="299"/>
        <v>36.190476190475998</v>
      </c>
      <c r="P2104">
        <f t="shared" ca="1" si="300"/>
        <v>36.190476190475998</v>
      </c>
      <c r="Q2104" s="10">
        <f t="shared" ca="1" si="301"/>
        <v>36.190476190475998</v>
      </c>
      <c r="R2104" s="10">
        <f t="shared" ca="1" si="302"/>
        <v>60.35714285714289</v>
      </c>
      <c r="S2104" s="10">
        <f t="shared" ca="1" si="303"/>
        <v>-24.166666666666892</v>
      </c>
      <c r="T2104" s="10">
        <f t="shared" ca="1" si="304"/>
        <v>350</v>
      </c>
      <c r="U2104" s="10">
        <f t="shared" ca="1" si="305"/>
        <v>350</v>
      </c>
      <c r="V2104">
        <f t="shared" si="306"/>
        <v>6</v>
      </c>
    </row>
    <row r="2105" spans="1:22" x14ac:dyDescent="0.25">
      <c r="A2105">
        <v>234</v>
      </c>
      <c r="B2105">
        <v>7</v>
      </c>
      <c r="C2105">
        <v>35</v>
      </c>
      <c r="D2105">
        <v>1</v>
      </c>
      <c r="E2105">
        <v>1</v>
      </c>
      <c r="F2105">
        <v>0</v>
      </c>
      <c r="G2105">
        <v>1</v>
      </c>
      <c r="H2105">
        <v>450</v>
      </c>
      <c r="I2105">
        <f t="shared" si="307"/>
        <v>2097</v>
      </c>
      <c r="J2105" s="6">
        <f t="array" aca="1" ref="J2105:N2105" ca="1">TRANSPOSE(ols(OFFSET($C$2:$C$10,I2105,0),OFFSET($D$2:$H$10,I2105,0)))</f>
        <v>62.738095238095411</v>
      </c>
      <c r="K2105" s="6">
        <f ca="1"/>
        <v>4.6428571428571104</v>
      </c>
      <c r="L2105" s="6">
        <f ca="1"/>
        <v>0.23809523809495658</v>
      </c>
      <c r="M2105" s="6">
        <f ca="1"/>
        <v>-2.6190476190474783</v>
      </c>
      <c r="N2105" s="6">
        <f ca="1"/>
        <v>-6.904761904761969E-2</v>
      </c>
      <c r="O2105" s="6">
        <f t="shared" ca="1" si="299"/>
        <v>33.690476190476183</v>
      </c>
      <c r="P2105" t="str">
        <f t="shared" si="300"/>
        <v>NA</v>
      </c>
      <c r="Q2105" s="10">
        <f t="shared" ca="1" si="301"/>
        <v>36.190476190475998</v>
      </c>
      <c r="R2105" s="10">
        <f t="shared" ca="1" si="302"/>
        <v>64.761904761905043</v>
      </c>
      <c r="S2105" s="10">
        <f t="shared" ca="1" si="303"/>
        <v>-28.571428571429045</v>
      </c>
      <c r="T2105" s="10">
        <f t="shared" ca="1" si="304"/>
        <v>413.79310344827888</v>
      </c>
      <c r="U2105" s="10">
        <f t="shared" ca="1" si="305"/>
        <v>413.79310344827888</v>
      </c>
      <c r="V2105">
        <f t="shared" si="306"/>
        <v>5</v>
      </c>
    </row>
    <row r="2106" spans="1:22" x14ac:dyDescent="0.25">
      <c r="A2106">
        <v>234</v>
      </c>
      <c r="B2106">
        <v>8</v>
      </c>
      <c r="C2106">
        <v>25</v>
      </c>
      <c r="D2106">
        <v>1</v>
      </c>
      <c r="E2106">
        <v>1</v>
      </c>
      <c r="F2106">
        <v>0</v>
      </c>
      <c r="G2106">
        <v>1</v>
      </c>
      <c r="H2106">
        <v>550</v>
      </c>
      <c r="I2106">
        <f t="shared" si="307"/>
        <v>2097</v>
      </c>
      <c r="J2106" s="6">
        <f t="array" aca="1" ref="J2106:N2106" ca="1">TRANSPOSE(ols(OFFSET($C$2:$C$10,I2106,0),OFFSET($D$2:$H$10,I2106,0)))</f>
        <v>62.738095238095411</v>
      </c>
      <c r="K2106" s="6">
        <f ca="1"/>
        <v>4.6428571428571104</v>
      </c>
      <c r="L2106" s="6">
        <f ca="1"/>
        <v>0.23809523809495658</v>
      </c>
      <c r="M2106" s="6">
        <f ca="1"/>
        <v>-2.6190476190474783</v>
      </c>
      <c r="N2106" s="6">
        <f ca="1"/>
        <v>-6.904761904761969E-2</v>
      </c>
      <c r="O2106" s="6">
        <f t="shared" ca="1" si="299"/>
        <v>26.785714285714214</v>
      </c>
      <c r="P2106" t="str">
        <f t="shared" si="300"/>
        <v>NA</v>
      </c>
      <c r="Q2106" s="10">
        <f t="shared" ca="1" si="301"/>
        <v>36.190476190475998</v>
      </c>
      <c r="R2106" s="10">
        <f t="shared" ca="1" si="302"/>
        <v>64.761904761905043</v>
      </c>
      <c r="S2106" s="10">
        <f t="shared" ca="1" si="303"/>
        <v>-28.571428571429045</v>
      </c>
      <c r="T2106" s="10">
        <f t="shared" ca="1" si="304"/>
        <v>413.79310344827888</v>
      </c>
      <c r="U2106" s="10">
        <f t="shared" ca="1" si="305"/>
        <v>413.79310344827888</v>
      </c>
      <c r="V2106">
        <f t="shared" si="306"/>
        <v>5</v>
      </c>
    </row>
    <row r="2107" spans="1:22" x14ac:dyDescent="0.25">
      <c r="A2107">
        <v>234</v>
      </c>
      <c r="B2107">
        <v>9</v>
      </c>
      <c r="C2107">
        <v>15</v>
      </c>
      <c r="D2107">
        <v>1</v>
      </c>
      <c r="E2107">
        <v>0</v>
      </c>
      <c r="F2107">
        <v>0</v>
      </c>
      <c r="G2107">
        <v>1</v>
      </c>
      <c r="H2107">
        <v>650</v>
      </c>
      <c r="I2107">
        <f t="shared" si="307"/>
        <v>2097</v>
      </c>
      <c r="J2107" s="6">
        <f t="array" aca="1" ref="J2107:N2107" ca="1">TRANSPOSE(ols(OFFSET($C$2:$C$10,I2107,0),OFFSET($D$2:$H$10,I2107,0)))</f>
        <v>62.738095238095411</v>
      </c>
      <c r="K2107" s="6">
        <f ca="1"/>
        <v>4.6428571428571104</v>
      </c>
      <c r="L2107" s="6">
        <f ca="1"/>
        <v>0.23809523809495658</v>
      </c>
      <c r="M2107" s="6">
        <f ca="1"/>
        <v>-2.6190476190474783</v>
      </c>
      <c r="N2107" s="6">
        <f ca="1"/>
        <v>-6.904761904761969E-2</v>
      </c>
      <c r="O2107" s="6">
        <f t="shared" ca="1" si="299"/>
        <v>15.238095238095134</v>
      </c>
      <c r="P2107" t="str">
        <f t="shared" si="300"/>
        <v>NA</v>
      </c>
      <c r="Q2107" s="10">
        <f t="shared" ca="1" si="301"/>
        <v>36.190476190475998</v>
      </c>
      <c r="R2107" s="10">
        <f t="shared" ca="1" si="302"/>
        <v>60.119047619047933</v>
      </c>
      <c r="S2107" s="10">
        <f t="shared" ca="1" si="303"/>
        <v>-23.928571428571935</v>
      </c>
      <c r="T2107" s="10">
        <f t="shared" ca="1" si="304"/>
        <v>346.55172413793514</v>
      </c>
      <c r="U2107" s="10">
        <f t="shared" ca="1" si="305"/>
        <v>346.55172413793514</v>
      </c>
      <c r="V2107">
        <f t="shared" si="306"/>
        <v>4</v>
      </c>
    </row>
    <row r="2108" spans="1:22" x14ac:dyDescent="0.25">
      <c r="A2108">
        <v>235</v>
      </c>
      <c r="B2108">
        <v>1</v>
      </c>
      <c r="C2108">
        <v>55</v>
      </c>
      <c r="D2108">
        <v>1</v>
      </c>
      <c r="E2108">
        <v>0</v>
      </c>
      <c r="F2108">
        <v>1</v>
      </c>
      <c r="G2108">
        <v>0</v>
      </c>
      <c r="H2108">
        <v>250</v>
      </c>
      <c r="I2108">
        <f t="shared" si="307"/>
        <v>2106</v>
      </c>
      <c r="J2108" s="6">
        <f t="array" aca="1" ref="J2108:N2108" ca="1">TRANSPOSE(ols(OFFSET($C$2:$C$10,I2108,0),OFFSET($D$2:$H$10,I2108,0)))</f>
        <v>73.869047619047251</v>
      </c>
      <c r="K2108" s="6">
        <f ca="1"/>
        <v>3.5714285714284415</v>
      </c>
      <c r="L2108" s="6">
        <f ca="1"/>
        <v>2.6190476190477057</v>
      </c>
      <c r="M2108" s="6">
        <f ca="1"/>
        <v>-11.309523809523625</v>
      </c>
      <c r="N2108" s="6">
        <f ca="1"/>
        <v>-8.4523809523808779E-2</v>
      </c>
      <c r="O2108" s="6">
        <f t="shared" ca="1" si="299"/>
        <v>55.357142857142762</v>
      </c>
      <c r="P2108" t="str">
        <f t="shared" si="300"/>
        <v>NA</v>
      </c>
      <c r="Q2108" s="10">
        <f t="shared" ca="1" si="301"/>
        <v>35.595238095238258</v>
      </c>
      <c r="R2108" s="10">
        <f t="shared" ca="1" si="302"/>
        <v>76.488095238094957</v>
      </c>
      <c r="S2108" s="10">
        <f t="shared" ca="1" si="303"/>
        <v>-40.892857142856698</v>
      </c>
      <c r="T2108" s="10">
        <f t="shared" ca="1" si="304"/>
        <v>483.80281690140743</v>
      </c>
      <c r="U2108" s="10">
        <f t="shared" ca="1" si="305"/>
        <v>483.80281690140743</v>
      </c>
      <c r="V2108">
        <f t="shared" si="306"/>
        <v>3</v>
      </c>
    </row>
    <row r="2109" spans="1:22" x14ac:dyDescent="0.25">
      <c r="A2109">
        <v>235</v>
      </c>
      <c r="B2109">
        <v>2</v>
      </c>
      <c r="C2109">
        <v>50</v>
      </c>
      <c r="D2109">
        <v>1</v>
      </c>
      <c r="E2109">
        <v>1</v>
      </c>
      <c r="F2109">
        <v>0</v>
      </c>
      <c r="G2109">
        <v>0</v>
      </c>
      <c r="H2109">
        <v>350</v>
      </c>
      <c r="I2109">
        <f t="shared" si="307"/>
        <v>2106</v>
      </c>
      <c r="J2109" s="6">
        <f t="array" aca="1" ref="J2109:N2109" ca="1">TRANSPOSE(ols(OFFSET($C$2:$C$10,I2109,0),OFFSET($D$2:$H$10,I2109,0)))</f>
        <v>73.869047619047251</v>
      </c>
      <c r="K2109" s="6">
        <f ca="1"/>
        <v>3.5714285714284415</v>
      </c>
      <c r="L2109" s="6">
        <f ca="1"/>
        <v>2.6190476190477057</v>
      </c>
      <c r="M2109" s="6">
        <f ca="1"/>
        <v>-11.309523809523625</v>
      </c>
      <c r="N2109" s="6">
        <f ca="1"/>
        <v>-8.4523809523808779E-2</v>
      </c>
      <c r="O2109" s="6">
        <f t="shared" ca="1" si="299"/>
        <v>47.85714285714262</v>
      </c>
      <c r="P2109" t="str">
        <f t="shared" si="300"/>
        <v>NA</v>
      </c>
      <c r="Q2109" s="10">
        <f t="shared" ca="1" si="301"/>
        <v>35.595238095238258</v>
      </c>
      <c r="R2109" s="10">
        <f t="shared" ca="1" si="302"/>
        <v>77.440476190475692</v>
      </c>
      <c r="S2109" s="10">
        <f t="shared" ca="1" si="303"/>
        <v>-41.845238095237434</v>
      </c>
      <c r="T2109" s="10">
        <f t="shared" ca="1" si="304"/>
        <v>495.0704225352078</v>
      </c>
      <c r="U2109" s="10">
        <f t="shared" ca="1" si="305"/>
        <v>495.0704225352078</v>
      </c>
      <c r="V2109">
        <f t="shared" si="306"/>
        <v>2</v>
      </c>
    </row>
    <row r="2110" spans="1:22" x14ac:dyDescent="0.25">
      <c r="A2110">
        <v>235</v>
      </c>
      <c r="B2110">
        <v>3</v>
      </c>
      <c r="C2110">
        <v>40</v>
      </c>
      <c r="D2110">
        <v>1</v>
      </c>
      <c r="E2110">
        <v>1</v>
      </c>
      <c r="F2110">
        <v>0</v>
      </c>
      <c r="G2110">
        <v>0</v>
      </c>
      <c r="H2110">
        <v>450</v>
      </c>
      <c r="I2110">
        <f t="shared" si="307"/>
        <v>2106</v>
      </c>
      <c r="J2110" s="6">
        <f t="array" aca="1" ref="J2110:N2110" ca="1">TRANSPOSE(ols(OFFSET($C$2:$C$10,I2110,0),OFFSET($D$2:$H$10,I2110,0)))</f>
        <v>73.869047619047251</v>
      </c>
      <c r="K2110" s="6">
        <f ca="1"/>
        <v>3.5714285714284415</v>
      </c>
      <c r="L2110" s="6">
        <f ca="1"/>
        <v>2.6190476190477057</v>
      </c>
      <c r="M2110" s="6">
        <f ca="1"/>
        <v>-11.309523809523625</v>
      </c>
      <c r="N2110" s="6">
        <f ca="1"/>
        <v>-8.4523809523808779E-2</v>
      </c>
      <c r="O2110" s="6">
        <f t="shared" ca="1" si="299"/>
        <v>39.404761904761742</v>
      </c>
      <c r="P2110" t="str">
        <f t="shared" si="300"/>
        <v>NA</v>
      </c>
      <c r="Q2110" s="10">
        <f t="shared" ca="1" si="301"/>
        <v>35.595238095238258</v>
      </c>
      <c r="R2110" s="10">
        <f t="shared" ca="1" si="302"/>
        <v>77.440476190475692</v>
      </c>
      <c r="S2110" s="10">
        <f t="shared" ca="1" si="303"/>
        <v>-41.845238095237434</v>
      </c>
      <c r="T2110" s="10">
        <f t="shared" ca="1" si="304"/>
        <v>495.0704225352078</v>
      </c>
      <c r="U2110" s="10">
        <f t="shared" ca="1" si="305"/>
        <v>495.0704225352078</v>
      </c>
      <c r="V2110">
        <f t="shared" si="306"/>
        <v>2</v>
      </c>
    </row>
    <row r="2111" spans="1:22" x14ac:dyDescent="0.25">
      <c r="A2111">
        <v>235</v>
      </c>
      <c r="B2111">
        <v>4</v>
      </c>
      <c r="C2111">
        <v>25</v>
      </c>
      <c r="D2111">
        <v>1</v>
      </c>
      <c r="E2111">
        <v>0</v>
      </c>
      <c r="F2111">
        <v>0</v>
      </c>
      <c r="G2111">
        <v>0</v>
      </c>
      <c r="H2111">
        <v>550</v>
      </c>
      <c r="I2111">
        <f t="shared" si="307"/>
        <v>2106</v>
      </c>
      <c r="J2111" s="6">
        <f t="array" aca="1" ref="J2111:N2111" ca="1">TRANSPOSE(ols(OFFSET($C$2:$C$10,I2111,0),OFFSET($D$2:$H$10,I2111,0)))</f>
        <v>73.869047619047251</v>
      </c>
      <c r="K2111" s="6">
        <f ca="1"/>
        <v>3.5714285714284415</v>
      </c>
      <c r="L2111" s="6">
        <f ca="1"/>
        <v>2.6190476190477057</v>
      </c>
      <c r="M2111" s="6">
        <f ca="1"/>
        <v>-11.309523809523625</v>
      </c>
      <c r="N2111" s="6">
        <f ca="1"/>
        <v>-8.4523809523808779E-2</v>
      </c>
      <c r="O2111" s="6">
        <f t="shared" ca="1" si="299"/>
        <v>27.380952380952422</v>
      </c>
      <c r="P2111" t="str">
        <f t="shared" si="300"/>
        <v>NA</v>
      </c>
      <c r="Q2111" s="10">
        <f t="shared" ca="1" si="301"/>
        <v>35.595238095238258</v>
      </c>
      <c r="R2111" s="10">
        <f t="shared" ca="1" si="302"/>
        <v>73.869047619047251</v>
      </c>
      <c r="S2111" s="10">
        <f t="shared" ca="1" si="303"/>
        <v>-38.273809523808993</v>
      </c>
      <c r="T2111" s="10">
        <f t="shared" ca="1" si="304"/>
        <v>452.81690140844842</v>
      </c>
      <c r="U2111" s="10">
        <f t="shared" ca="1" si="305"/>
        <v>452.81690140844842</v>
      </c>
      <c r="V2111">
        <f t="shared" si="306"/>
        <v>1</v>
      </c>
    </row>
    <row r="2112" spans="1:22" x14ac:dyDescent="0.25">
      <c r="A2112">
        <v>235</v>
      </c>
      <c r="B2112">
        <v>5</v>
      </c>
      <c r="C2112">
        <v>45</v>
      </c>
      <c r="D2112">
        <v>1</v>
      </c>
      <c r="E2112">
        <v>0</v>
      </c>
      <c r="F2112">
        <v>1</v>
      </c>
      <c r="G2112">
        <v>1</v>
      </c>
      <c r="H2112">
        <v>250</v>
      </c>
      <c r="I2112">
        <f t="shared" si="307"/>
        <v>2106</v>
      </c>
      <c r="J2112" s="6">
        <f t="array" aca="1" ref="J2112:N2112" ca="1">TRANSPOSE(ols(OFFSET($C$2:$C$10,I2112,0),OFFSET($D$2:$H$10,I2112,0)))</f>
        <v>73.869047619047251</v>
      </c>
      <c r="K2112" s="6">
        <f ca="1"/>
        <v>3.5714285714284415</v>
      </c>
      <c r="L2112" s="6">
        <f ca="1"/>
        <v>2.6190476190477057</v>
      </c>
      <c r="M2112" s="6">
        <f ca="1"/>
        <v>-11.309523809523625</v>
      </c>
      <c r="N2112" s="6">
        <f ca="1"/>
        <v>-8.4523809523808779E-2</v>
      </c>
      <c r="O2112" s="6">
        <f t="shared" ca="1" si="299"/>
        <v>44.047619047619136</v>
      </c>
      <c r="P2112" t="str">
        <f t="shared" si="300"/>
        <v>NA</v>
      </c>
      <c r="Q2112" s="10">
        <f t="shared" ca="1" si="301"/>
        <v>35.595238095238258</v>
      </c>
      <c r="R2112" s="10">
        <f t="shared" ca="1" si="302"/>
        <v>65.178571428571331</v>
      </c>
      <c r="S2112" s="10">
        <f t="shared" ca="1" si="303"/>
        <v>-29.583333333333073</v>
      </c>
      <c r="T2112" s="10">
        <f t="shared" ca="1" si="304"/>
        <v>350</v>
      </c>
      <c r="U2112" s="10">
        <f t="shared" ca="1" si="305"/>
        <v>350</v>
      </c>
      <c r="V2112">
        <f t="shared" si="306"/>
        <v>6</v>
      </c>
    </row>
    <row r="2113" spans="1:22" x14ac:dyDescent="0.25">
      <c r="A2113">
        <v>235</v>
      </c>
      <c r="B2113">
        <v>6</v>
      </c>
      <c r="C2113">
        <v>35</v>
      </c>
      <c r="D2113">
        <v>1</v>
      </c>
      <c r="E2113">
        <v>0</v>
      </c>
      <c r="F2113">
        <v>1</v>
      </c>
      <c r="G2113">
        <v>1</v>
      </c>
      <c r="H2113">
        <v>350</v>
      </c>
      <c r="I2113">
        <f t="shared" si="307"/>
        <v>2106</v>
      </c>
      <c r="J2113" s="6">
        <f t="array" aca="1" ref="J2113:N2113" ca="1">TRANSPOSE(ols(OFFSET($C$2:$C$10,I2113,0),OFFSET($D$2:$H$10,I2113,0)))</f>
        <v>73.869047619047251</v>
      </c>
      <c r="K2113" s="6">
        <f ca="1"/>
        <v>3.5714285714284415</v>
      </c>
      <c r="L2113" s="6">
        <f ca="1"/>
        <v>2.6190476190477057</v>
      </c>
      <c r="M2113" s="6">
        <f ca="1"/>
        <v>-11.309523809523625</v>
      </c>
      <c r="N2113" s="6">
        <f ca="1"/>
        <v>-8.4523809523808779E-2</v>
      </c>
      <c r="O2113" s="6">
        <f t="shared" ca="1" si="299"/>
        <v>35.595238095238258</v>
      </c>
      <c r="P2113">
        <f t="shared" ca="1" si="300"/>
        <v>35.595238095238258</v>
      </c>
      <c r="Q2113" s="10">
        <f t="shared" ca="1" si="301"/>
        <v>35.595238095238258</v>
      </c>
      <c r="R2113" s="10">
        <f t="shared" ca="1" si="302"/>
        <v>65.178571428571331</v>
      </c>
      <c r="S2113" s="10">
        <f t="shared" ca="1" si="303"/>
        <v>-29.583333333333073</v>
      </c>
      <c r="T2113" s="10">
        <f t="shared" ca="1" si="304"/>
        <v>350</v>
      </c>
      <c r="U2113" s="10">
        <f t="shared" ca="1" si="305"/>
        <v>350</v>
      </c>
      <c r="V2113">
        <f t="shared" si="306"/>
        <v>6</v>
      </c>
    </row>
    <row r="2114" spans="1:22" x14ac:dyDescent="0.25">
      <c r="A2114">
        <v>235</v>
      </c>
      <c r="B2114">
        <v>7</v>
      </c>
      <c r="C2114">
        <v>25</v>
      </c>
      <c r="D2114">
        <v>1</v>
      </c>
      <c r="E2114">
        <v>1</v>
      </c>
      <c r="F2114">
        <v>0</v>
      </c>
      <c r="G2114">
        <v>1</v>
      </c>
      <c r="H2114">
        <v>450</v>
      </c>
      <c r="I2114">
        <f t="shared" si="307"/>
        <v>2106</v>
      </c>
      <c r="J2114" s="6">
        <f t="array" aca="1" ref="J2114:N2114" ca="1">TRANSPOSE(ols(OFFSET($C$2:$C$10,I2114,0),OFFSET($D$2:$H$10,I2114,0)))</f>
        <v>73.869047619047251</v>
      </c>
      <c r="K2114" s="6">
        <f ca="1"/>
        <v>3.5714285714284415</v>
      </c>
      <c r="L2114" s="6">
        <f ca="1"/>
        <v>2.6190476190477057</v>
      </c>
      <c r="M2114" s="6">
        <f ca="1"/>
        <v>-11.309523809523625</v>
      </c>
      <c r="N2114" s="6">
        <f ca="1"/>
        <v>-8.4523809523808779E-2</v>
      </c>
      <c r="O2114" s="6">
        <f t="shared" ca="1" si="299"/>
        <v>28.095238095238116</v>
      </c>
      <c r="P2114" t="str">
        <f t="shared" si="300"/>
        <v>NA</v>
      </c>
      <c r="Q2114" s="10">
        <f t="shared" ca="1" si="301"/>
        <v>35.595238095238258</v>
      </c>
      <c r="R2114" s="10">
        <f t="shared" ca="1" si="302"/>
        <v>66.130952380952067</v>
      </c>
      <c r="S2114" s="10">
        <f t="shared" ca="1" si="303"/>
        <v>-30.535714285713809</v>
      </c>
      <c r="T2114" s="10">
        <f t="shared" ca="1" si="304"/>
        <v>361.26760563380037</v>
      </c>
      <c r="U2114" s="10">
        <f t="shared" ca="1" si="305"/>
        <v>361.26760563380037</v>
      </c>
      <c r="V2114">
        <f t="shared" si="306"/>
        <v>5</v>
      </c>
    </row>
    <row r="2115" spans="1:22" x14ac:dyDescent="0.25">
      <c r="A2115">
        <v>235</v>
      </c>
      <c r="B2115">
        <v>8</v>
      </c>
      <c r="C2115">
        <v>20</v>
      </c>
      <c r="D2115">
        <v>1</v>
      </c>
      <c r="E2115">
        <v>1</v>
      </c>
      <c r="F2115">
        <v>0</v>
      </c>
      <c r="G2115">
        <v>1</v>
      </c>
      <c r="H2115">
        <v>550</v>
      </c>
      <c r="I2115">
        <f t="shared" si="307"/>
        <v>2106</v>
      </c>
      <c r="J2115" s="6">
        <f t="array" aca="1" ref="J2115:N2115" ca="1">TRANSPOSE(ols(OFFSET($C$2:$C$10,I2115,0),OFFSET($D$2:$H$10,I2115,0)))</f>
        <v>73.869047619047251</v>
      </c>
      <c r="K2115" s="6">
        <f ca="1"/>
        <v>3.5714285714284415</v>
      </c>
      <c r="L2115" s="6">
        <f ca="1"/>
        <v>2.6190476190477057</v>
      </c>
      <c r="M2115" s="6">
        <f ca="1"/>
        <v>-11.309523809523625</v>
      </c>
      <c r="N2115" s="6">
        <f ca="1"/>
        <v>-8.4523809523808779E-2</v>
      </c>
      <c r="O2115" s="6">
        <f t="shared" ref="O2115:O2178" ca="1" si="308">SUMPRODUCT(J2115:N2115,D2115:H2115)</f>
        <v>19.642857142857238</v>
      </c>
      <c r="P2115" t="str">
        <f t="shared" ref="P2115:P2178" si="309">IF(AND(F2115=1,G2115=1,H2115=350),O2115,"NA")</f>
        <v>NA</v>
      </c>
      <c r="Q2115" s="10">
        <f t="shared" ref="Q2115:Q2178" ca="1" si="310">AVERAGEIF($A$2:$A$5383,A2115,$P$2:$P$5383)</f>
        <v>35.595238095238258</v>
      </c>
      <c r="R2115" s="10">
        <f t="shared" ref="R2115:R2178" ca="1" si="311">O2115-N2115*H2115</f>
        <v>66.130952380952067</v>
      </c>
      <c r="S2115" s="10">
        <f t="shared" ref="S2115:S2178" ca="1" si="312">Q2115-R2115</f>
        <v>-30.535714285713809</v>
      </c>
      <c r="T2115" s="10">
        <f t="shared" ref="T2115:T2178" ca="1" si="313">S2115/N2115</f>
        <v>361.26760563380037</v>
      </c>
      <c r="U2115" s="10">
        <f t="shared" ref="U2115:U2178" ca="1" si="314">IF(OR(T2115&lt;250,T2115&gt;650),"OR",T2115)</f>
        <v>361.26760563380037</v>
      </c>
      <c r="V2115">
        <f t="shared" ref="V2115:V2178" si="315">IF(AND(E2115=1,G2115=0),2,IF(AND(F2115=1,G2115=0),3,IF(AND(E2115=1,G2115=1),5,IF(AND(F2115=1,G2115=1),6,IF(G2115=0,1,IF(G2115=1,4))))))</f>
        <v>5</v>
      </c>
    </row>
    <row r="2116" spans="1:22" x14ac:dyDescent="0.25">
      <c r="A2116">
        <v>235</v>
      </c>
      <c r="B2116">
        <v>9</v>
      </c>
      <c r="C2116">
        <v>10</v>
      </c>
      <c r="D2116">
        <v>1</v>
      </c>
      <c r="E2116">
        <v>0</v>
      </c>
      <c r="F2116">
        <v>0</v>
      </c>
      <c r="G2116">
        <v>1</v>
      </c>
      <c r="H2116">
        <v>650</v>
      </c>
      <c r="I2116">
        <f t="shared" si="307"/>
        <v>2106</v>
      </c>
      <c r="J2116" s="6">
        <f t="array" aca="1" ref="J2116:N2116" ca="1">TRANSPOSE(ols(OFFSET($C$2:$C$10,I2116,0),OFFSET($D$2:$H$10,I2116,0)))</f>
        <v>73.869047619047251</v>
      </c>
      <c r="K2116" s="6">
        <f ca="1"/>
        <v>3.5714285714284415</v>
      </c>
      <c r="L2116" s="6">
        <f ca="1"/>
        <v>2.6190476190477057</v>
      </c>
      <c r="M2116" s="6">
        <f ca="1"/>
        <v>-11.309523809523625</v>
      </c>
      <c r="N2116" s="6">
        <f ca="1"/>
        <v>-8.4523809523808779E-2</v>
      </c>
      <c r="O2116" s="6">
        <f t="shared" ca="1" si="308"/>
        <v>7.6190476190479188</v>
      </c>
      <c r="P2116" t="str">
        <f t="shared" si="309"/>
        <v>NA</v>
      </c>
      <c r="Q2116" s="10">
        <f t="shared" ca="1" si="310"/>
        <v>35.595238095238258</v>
      </c>
      <c r="R2116" s="10">
        <f t="shared" ca="1" si="311"/>
        <v>62.559523809523625</v>
      </c>
      <c r="S2116" s="10">
        <f t="shared" ca="1" si="312"/>
        <v>-26.964285714285367</v>
      </c>
      <c r="T2116" s="10">
        <f t="shared" ca="1" si="313"/>
        <v>319.01408450704093</v>
      </c>
      <c r="U2116" s="10">
        <f t="shared" ca="1" si="314"/>
        <v>319.01408450704093</v>
      </c>
      <c r="V2116">
        <f t="shared" si="315"/>
        <v>4</v>
      </c>
    </row>
    <row r="2117" spans="1:22" x14ac:dyDescent="0.25">
      <c r="A2117">
        <v>236</v>
      </c>
      <c r="B2117">
        <v>1</v>
      </c>
      <c r="C2117">
        <v>45</v>
      </c>
      <c r="D2117">
        <v>1</v>
      </c>
      <c r="E2117">
        <v>0</v>
      </c>
      <c r="F2117">
        <v>1</v>
      </c>
      <c r="G2117">
        <v>0</v>
      </c>
      <c r="H2117">
        <v>250</v>
      </c>
      <c r="I2117">
        <f t="shared" si="307"/>
        <v>2115</v>
      </c>
      <c r="J2117" s="6">
        <f t="array" aca="1" ref="J2117:N2117" ca="1">TRANSPOSE(ols(OFFSET($C$2:$C$10,I2117,0),OFFSET($D$2:$H$10,I2117,0)))</f>
        <v>44.285714285714221</v>
      </c>
      <c r="K2117" s="6">
        <f ca="1"/>
        <v>8.5714285714285552</v>
      </c>
      <c r="L2117" s="6">
        <f ca="1"/>
        <v>14.285714285714221</v>
      </c>
      <c r="M2117" s="6">
        <f ca="1"/>
        <v>-7.142857142856883</v>
      </c>
      <c r="N2117" s="6">
        <f ca="1"/>
        <v>-4.2857142857143593E-2</v>
      </c>
      <c r="O2117" s="6">
        <f t="shared" ca="1" si="308"/>
        <v>47.857142857142541</v>
      </c>
      <c r="P2117" t="str">
        <f t="shared" si="309"/>
        <v>NA</v>
      </c>
      <c r="Q2117" s="10">
        <f t="shared" ca="1" si="310"/>
        <v>36.428571428571303</v>
      </c>
      <c r="R2117" s="10">
        <f t="shared" ca="1" si="311"/>
        <v>58.571428571428442</v>
      </c>
      <c r="S2117" s="10">
        <f t="shared" ca="1" si="312"/>
        <v>-22.142857142857139</v>
      </c>
      <c r="T2117" s="10">
        <f t="shared" ca="1" si="313"/>
        <v>516.66666666665765</v>
      </c>
      <c r="U2117" s="10">
        <f t="shared" ca="1" si="314"/>
        <v>516.66666666665765</v>
      </c>
      <c r="V2117">
        <f t="shared" si="315"/>
        <v>3</v>
      </c>
    </row>
    <row r="2118" spans="1:22" x14ac:dyDescent="0.25">
      <c r="A2118">
        <v>236</v>
      </c>
      <c r="B2118">
        <v>2</v>
      </c>
      <c r="C2118">
        <v>40</v>
      </c>
      <c r="D2118">
        <v>1</v>
      </c>
      <c r="E2118">
        <v>1</v>
      </c>
      <c r="F2118">
        <v>0</v>
      </c>
      <c r="G2118">
        <v>0</v>
      </c>
      <c r="H2118">
        <v>350</v>
      </c>
      <c r="I2118">
        <f t="shared" si="307"/>
        <v>2115</v>
      </c>
      <c r="J2118" s="6">
        <f t="array" aca="1" ref="J2118:N2118" ca="1">TRANSPOSE(ols(OFFSET($C$2:$C$10,I2118,0),OFFSET($D$2:$H$10,I2118,0)))</f>
        <v>44.285714285714221</v>
      </c>
      <c r="K2118" s="6">
        <f ca="1"/>
        <v>8.5714285714285552</v>
      </c>
      <c r="L2118" s="6">
        <f ca="1"/>
        <v>14.285714285714221</v>
      </c>
      <c r="M2118" s="6">
        <f ca="1"/>
        <v>-7.142857142856883</v>
      </c>
      <c r="N2118" s="6">
        <f ca="1"/>
        <v>-4.2857142857143593E-2</v>
      </c>
      <c r="O2118" s="6">
        <f t="shared" ca="1" si="308"/>
        <v>37.85714285714252</v>
      </c>
      <c r="P2118" t="str">
        <f t="shared" si="309"/>
        <v>NA</v>
      </c>
      <c r="Q2118" s="10">
        <f t="shared" ca="1" si="310"/>
        <v>36.428571428571303</v>
      </c>
      <c r="R2118" s="10">
        <f t="shared" ca="1" si="311"/>
        <v>52.857142857142776</v>
      </c>
      <c r="S2118" s="10">
        <f t="shared" ca="1" si="312"/>
        <v>-16.428571428571473</v>
      </c>
      <c r="T2118" s="10">
        <f t="shared" ca="1" si="313"/>
        <v>383.3333333333278</v>
      </c>
      <c r="U2118" s="10">
        <f t="shared" ca="1" si="314"/>
        <v>383.3333333333278</v>
      </c>
      <c r="V2118">
        <f t="shared" si="315"/>
        <v>2</v>
      </c>
    </row>
    <row r="2119" spans="1:22" x14ac:dyDescent="0.25">
      <c r="A2119">
        <v>236</v>
      </c>
      <c r="B2119">
        <v>3</v>
      </c>
      <c r="C2119">
        <v>35</v>
      </c>
      <c r="D2119">
        <v>1</v>
      </c>
      <c r="E2119">
        <v>1</v>
      </c>
      <c r="F2119">
        <v>0</v>
      </c>
      <c r="G2119">
        <v>0</v>
      </c>
      <c r="H2119">
        <v>450</v>
      </c>
      <c r="I2119">
        <f t="shared" si="307"/>
        <v>2115</v>
      </c>
      <c r="J2119" s="6">
        <f t="array" aca="1" ref="J2119:N2119" ca="1">TRANSPOSE(ols(OFFSET($C$2:$C$10,I2119,0),OFFSET($D$2:$H$10,I2119,0)))</f>
        <v>44.285714285714221</v>
      </c>
      <c r="K2119" s="6">
        <f ca="1"/>
        <v>8.5714285714285552</v>
      </c>
      <c r="L2119" s="6">
        <f ca="1"/>
        <v>14.285714285714221</v>
      </c>
      <c r="M2119" s="6">
        <f ca="1"/>
        <v>-7.142857142856883</v>
      </c>
      <c r="N2119" s="6">
        <f ca="1"/>
        <v>-4.2857142857143593E-2</v>
      </c>
      <c r="O2119" s="6">
        <f t="shared" ca="1" si="308"/>
        <v>33.571428571428157</v>
      </c>
      <c r="P2119" t="str">
        <f t="shared" si="309"/>
        <v>NA</v>
      </c>
      <c r="Q2119" s="10">
        <f t="shared" ca="1" si="310"/>
        <v>36.428571428571303</v>
      </c>
      <c r="R2119" s="10">
        <f t="shared" ca="1" si="311"/>
        <v>52.857142857142776</v>
      </c>
      <c r="S2119" s="10">
        <f t="shared" ca="1" si="312"/>
        <v>-16.428571428571473</v>
      </c>
      <c r="T2119" s="10">
        <f t="shared" ca="1" si="313"/>
        <v>383.3333333333278</v>
      </c>
      <c r="U2119" s="10">
        <f t="shared" ca="1" si="314"/>
        <v>383.3333333333278</v>
      </c>
      <c r="V2119">
        <f t="shared" si="315"/>
        <v>2</v>
      </c>
    </row>
    <row r="2120" spans="1:22" x14ac:dyDescent="0.25">
      <c r="A2120">
        <v>236</v>
      </c>
      <c r="B2120">
        <v>4</v>
      </c>
      <c r="C2120">
        <v>20</v>
      </c>
      <c r="D2120">
        <v>1</v>
      </c>
      <c r="E2120">
        <v>0</v>
      </c>
      <c r="F2120">
        <v>0</v>
      </c>
      <c r="G2120">
        <v>0</v>
      </c>
      <c r="H2120">
        <v>550</v>
      </c>
      <c r="I2120">
        <f t="shared" si="307"/>
        <v>2115</v>
      </c>
      <c r="J2120" s="6">
        <f t="array" aca="1" ref="J2120:N2120" ca="1">TRANSPOSE(ols(OFFSET($C$2:$C$10,I2120,0),OFFSET($D$2:$H$10,I2120,0)))</f>
        <v>44.285714285714221</v>
      </c>
      <c r="K2120" s="6">
        <f ca="1"/>
        <v>8.5714285714285552</v>
      </c>
      <c r="L2120" s="6">
        <f ca="1"/>
        <v>14.285714285714221</v>
      </c>
      <c r="M2120" s="6">
        <f ca="1"/>
        <v>-7.142857142856883</v>
      </c>
      <c r="N2120" s="6">
        <f ca="1"/>
        <v>-4.2857142857143593E-2</v>
      </c>
      <c r="O2120" s="6">
        <f t="shared" ca="1" si="308"/>
        <v>20.714285714285246</v>
      </c>
      <c r="P2120" t="str">
        <f t="shared" si="309"/>
        <v>NA</v>
      </c>
      <c r="Q2120" s="10">
        <f t="shared" ca="1" si="310"/>
        <v>36.428571428571303</v>
      </c>
      <c r="R2120" s="10">
        <f t="shared" ca="1" si="311"/>
        <v>44.285714285714221</v>
      </c>
      <c r="S2120" s="10">
        <f t="shared" ca="1" si="312"/>
        <v>-7.857142857142918</v>
      </c>
      <c r="T2120" s="10">
        <f t="shared" ca="1" si="313"/>
        <v>183.33333333333161</v>
      </c>
      <c r="U2120" s="10" t="str">
        <f t="shared" ca="1" si="314"/>
        <v>OR</v>
      </c>
      <c r="V2120">
        <f t="shared" si="315"/>
        <v>1</v>
      </c>
    </row>
    <row r="2121" spans="1:22" x14ac:dyDescent="0.25">
      <c r="A2121">
        <v>236</v>
      </c>
      <c r="B2121">
        <v>5</v>
      </c>
      <c r="C2121">
        <v>40</v>
      </c>
      <c r="D2121">
        <v>1</v>
      </c>
      <c r="E2121">
        <v>0</v>
      </c>
      <c r="F2121">
        <v>1</v>
      </c>
      <c r="G2121">
        <v>1</v>
      </c>
      <c r="H2121">
        <v>250</v>
      </c>
      <c r="I2121">
        <f t="shared" si="307"/>
        <v>2115</v>
      </c>
      <c r="J2121" s="6">
        <f t="array" aca="1" ref="J2121:N2121" ca="1">TRANSPOSE(ols(OFFSET($C$2:$C$10,I2121,0),OFFSET($D$2:$H$10,I2121,0)))</f>
        <v>44.285714285714221</v>
      </c>
      <c r="K2121" s="6">
        <f ca="1"/>
        <v>8.5714285714285552</v>
      </c>
      <c r="L2121" s="6">
        <f ca="1"/>
        <v>14.285714285714221</v>
      </c>
      <c r="M2121" s="6">
        <f ca="1"/>
        <v>-7.142857142856883</v>
      </c>
      <c r="N2121" s="6">
        <f ca="1"/>
        <v>-4.2857142857143593E-2</v>
      </c>
      <c r="O2121" s="6">
        <f t="shared" ca="1" si="308"/>
        <v>40.714285714285658</v>
      </c>
      <c r="P2121" t="str">
        <f t="shared" si="309"/>
        <v>NA</v>
      </c>
      <c r="Q2121" s="10">
        <f t="shared" ca="1" si="310"/>
        <v>36.428571428571303</v>
      </c>
      <c r="R2121" s="10">
        <f t="shared" ca="1" si="311"/>
        <v>51.428571428571558</v>
      </c>
      <c r="S2121" s="10">
        <f t="shared" ca="1" si="312"/>
        <v>-15.000000000000256</v>
      </c>
      <c r="T2121" s="10">
        <f t="shared" ca="1" si="313"/>
        <v>349.99999999999994</v>
      </c>
      <c r="U2121" s="10">
        <f t="shared" ca="1" si="314"/>
        <v>349.99999999999994</v>
      </c>
      <c r="V2121">
        <f t="shared" si="315"/>
        <v>6</v>
      </c>
    </row>
    <row r="2122" spans="1:22" x14ac:dyDescent="0.25">
      <c r="A2122">
        <v>236</v>
      </c>
      <c r="B2122">
        <v>6</v>
      </c>
      <c r="C2122">
        <v>40</v>
      </c>
      <c r="D2122">
        <v>1</v>
      </c>
      <c r="E2122">
        <v>0</v>
      </c>
      <c r="F2122">
        <v>1</v>
      </c>
      <c r="G2122">
        <v>1</v>
      </c>
      <c r="H2122">
        <v>350</v>
      </c>
      <c r="I2122">
        <f t="shared" si="307"/>
        <v>2115</v>
      </c>
      <c r="J2122" s="6">
        <f t="array" aca="1" ref="J2122:N2122" ca="1">TRANSPOSE(ols(OFFSET($C$2:$C$10,I2122,0),OFFSET($D$2:$H$10,I2122,0)))</f>
        <v>44.285714285714221</v>
      </c>
      <c r="K2122" s="6">
        <f ca="1"/>
        <v>8.5714285714285552</v>
      </c>
      <c r="L2122" s="6">
        <f ca="1"/>
        <v>14.285714285714221</v>
      </c>
      <c r="M2122" s="6">
        <f ca="1"/>
        <v>-7.142857142856883</v>
      </c>
      <c r="N2122" s="6">
        <f ca="1"/>
        <v>-4.2857142857143593E-2</v>
      </c>
      <c r="O2122" s="6">
        <f t="shared" ca="1" si="308"/>
        <v>36.428571428571303</v>
      </c>
      <c r="P2122">
        <f t="shared" ca="1" si="309"/>
        <v>36.428571428571303</v>
      </c>
      <c r="Q2122" s="10">
        <f t="shared" ca="1" si="310"/>
        <v>36.428571428571303</v>
      </c>
      <c r="R2122" s="10">
        <f t="shared" ca="1" si="311"/>
        <v>51.428571428571558</v>
      </c>
      <c r="S2122" s="10">
        <f t="shared" ca="1" si="312"/>
        <v>-15.000000000000256</v>
      </c>
      <c r="T2122" s="10">
        <f t="shared" ca="1" si="313"/>
        <v>349.99999999999994</v>
      </c>
      <c r="U2122" s="10">
        <f t="shared" ca="1" si="314"/>
        <v>349.99999999999994</v>
      </c>
      <c r="V2122">
        <f t="shared" si="315"/>
        <v>6</v>
      </c>
    </row>
    <row r="2123" spans="1:22" x14ac:dyDescent="0.25">
      <c r="A2123">
        <v>236</v>
      </c>
      <c r="B2123">
        <v>7</v>
      </c>
      <c r="C2123">
        <v>25</v>
      </c>
      <c r="D2123">
        <v>1</v>
      </c>
      <c r="E2123">
        <v>1</v>
      </c>
      <c r="F2123">
        <v>0</v>
      </c>
      <c r="G2123">
        <v>1</v>
      </c>
      <c r="H2123">
        <v>450</v>
      </c>
      <c r="I2123">
        <f t="shared" si="307"/>
        <v>2115</v>
      </c>
      <c r="J2123" s="6">
        <f t="array" aca="1" ref="J2123:N2123" ca="1">TRANSPOSE(ols(OFFSET($C$2:$C$10,I2123,0),OFFSET($D$2:$H$10,I2123,0)))</f>
        <v>44.285714285714221</v>
      </c>
      <c r="K2123" s="6">
        <f ca="1"/>
        <v>8.5714285714285552</v>
      </c>
      <c r="L2123" s="6">
        <f ca="1"/>
        <v>14.285714285714221</v>
      </c>
      <c r="M2123" s="6">
        <f ca="1"/>
        <v>-7.142857142856883</v>
      </c>
      <c r="N2123" s="6">
        <f ca="1"/>
        <v>-4.2857142857143593E-2</v>
      </c>
      <c r="O2123" s="6">
        <f t="shared" ca="1" si="308"/>
        <v>26.428571428571274</v>
      </c>
      <c r="P2123" t="str">
        <f t="shared" si="309"/>
        <v>NA</v>
      </c>
      <c r="Q2123" s="10">
        <f t="shared" ca="1" si="310"/>
        <v>36.428571428571303</v>
      </c>
      <c r="R2123" s="10">
        <f t="shared" ca="1" si="311"/>
        <v>45.714285714285893</v>
      </c>
      <c r="S2123" s="10">
        <f t="shared" ca="1" si="312"/>
        <v>-9.2857142857145902</v>
      </c>
      <c r="T2123" s="10">
        <f t="shared" ca="1" si="313"/>
        <v>216.66666666667004</v>
      </c>
      <c r="U2123" s="10" t="str">
        <f t="shared" ca="1" si="314"/>
        <v>OR</v>
      </c>
      <c r="V2123">
        <f t="shared" si="315"/>
        <v>5</v>
      </c>
    </row>
    <row r="2124" spans="1:22" x14ac:dyDescent="0.25">
      <c r="A2124">
        <v>236</v>
      </c>
      <c r="B2124">
        <v>8</v>
      </c>
      <c r="C2124">
        <v>20</v>
      </c>
      <c r="D2124">
        <v>1</v>
      </c>
      <c r="E2124">
        <v>1</v>
      </c>
      <c r="F2124">
        <v>0</v>
      </c>
      <c r="G2124">
        <v>1</v>
      </c>
      <c r="H2124">
        <v>550</v>
      </c>
      <c r="I2124">
        <f t="shared" ref="I2124:I2187" si="316">IF(A2124&gt;A2123,I2123+9,I2123)</f>
        <v>2115</v>
      </c>
      <c r="J2124" s="6">
        <f t="array" aca="1" ref="J2124:N2124" ca="1">TRANSPOSE(ols(OFFSET($C$2:$C$10,I2124,0),OFFSET($D$2:$H$10,I2124,0)))</f>
        <v>44.285714285714221</v>
      </c>
      <c r="K2124" s="6">
        <f ca="1"/>
        <v>8.5714285714285552</v>
      </c>
      <c r="L2124" s="6">
        <f ca="1"/>
        <v>14.285714285714221</v>
      </c>
      <c r="M2124" s="6">
        <f ca="1"/>
        <v>-7.142857142856883</v>
      </c>
      <c r="N2124" s="6">
        <f ca="1"/>
        <v>-4.2857142857143593E-2</v>
      </c>
      <c r="O2124" s="6">
        <f t="shared" ca="1" si="308"/>
        <v>22.142857142856919</v>
      </c>
      <c r="P2124" t="str">
        <f t="shared" si="309"/>
        <v>NA</v>
      </c>
      <c r="Q2124" s="10">
        <f t="shared" ca="1" si="310"/>
        <v>36.428571428571303</v>
      </c>
      <c r="R2124" s="10">
        <f t="shared" ca="1" si="311"/>
        <v>45.714285714285893</v>
      </c>
      <c r="S2124" s="10">
        <f t="shared" ca="1" si="312"/>
        <v>-9.2857142857145902</v>
      </c>
      <c r="T2124" s="10">
        <f t="shared" ca="1" si="313"/>
        <v>216.66666666667004</v>
      </c>
      <c r="U2124" s="10" t="str">
        <f t="shared" ca="1" si="314"/>
        <v>OR</v>
      </c>
      <c r="V2124">
        <f t="shared" si="315"/>
        <v>5</v>
      </c>
    </row>
    <row r="2125" spans="1:22" x14ac:dyDescent="0.25">
      <c r="A2125">
        <v>236</v>
      </c>
      <c r="B2125">
        <v>9</v>
      </c>
      <c r="C2125">
        <v>10</v>
      </c>
      <c r="D2125">
        <v>1</v>
      </c>
      <c r="E2125">
        <v>0</v>
      </c>
      <c r="F2125">
        <v>0</v>
      </c>
      <c r="G2125">
        <v>1</v>
      </c>
      <c r="H2125">
        <v>650</v>
      </c>
      <c r="I2125">
        <f t="shared" si="316"/>
        <v>2115</v>
      </c>
      <c r="J2125" s="6">
        <f t="array" aca="1" ref="J2125:N2125" ca="1">TRANSPOSE(ols(OFFSET($C$2:$C$10,I2125,0),OFFSET($D$2:$H$10,I2125,0)))</f>
        <v>44.285714285714221</v>
      </c>
      <c r="K2125" s="6">
        <f ca="1"/>
        <v>8.5714285714285552</v>
      </c>
      <c r="L2125" s="6">
        <f ca="1"/>
        <v>14.285714285714221</v>
      </c>
      <c r="M2125" s="6">
        <f ca="1"/>
        <v>-7.142857142856883</v>
      </c>
      <c r="N2125" s="6">
        <f ca="1"/>
        <v>-4.2857142857143593E-2</v>
      </c>
      <c r="O2125" s="6">
        <f t="shared" ca="1" si="308"/>
        <v>9.2857142857140005</v>
      </c>
      <c r="P2125" t="str">
        <f t="shared" si="309"/>
        <v>NA</v>
      </c>
      <c r="Q2125" s="10">
        <f t="shared" ca="1" si="310"/>
        <v>36.428571428571303</v>
      </c>
      <c r="R2125" s="10">
        <f t="shared" ca="1" si="311"/>
        <v>37.142857142857338</v>
      </c>
      <c r="S2125" s="10">
        <f t="shared" ca="1" si="312"/>
        <v>-0.71428571428603505</v>
      </c>
      <c r="T2125" s="10">
        <f t="shared" ca="1" si="313"/>
        <v>16.666666666673866</v>
      </c>
      <c r="U2125" s="10" t="str">
        <f t="shared" ca="1" si="314"/>
        <v>OR</v>
      </c>
      <c r="V2125">
        <f t="shared" si="315"/>
        <v>4</v>
      </c>
    </row>
    <row r="2126" spans="1:22" x14ac:dyDescent="0.25">
      <c r="A2126">
        <v>237</v>
      </c>
      <c r="B2126">
        <v>1</v>
      </c>
      <c r="C2126">
        <v>65</v>
      </c>
      <c r="D2126">
        <v>1</v>
      </c>
      <c r="E2126">
        <v>0</v>
      </c>
      <c r="F2126">
        <v>1</v>
      </c>
      <c r="G2126">
        <v>0</v>
      </c>
      <c r="H2126">
        <v>250</v>
      </c>
      <c r="I2126">
        <f t="shared" si="316"/>
        <v>2124</v>
      </c>
      <c r="J2126" s="6">
        <f t="array" aca="1" ref="J2126:N2126" ca="1">TRANSPOSE(ols(OFFSET($C$2:$C$10,I2126,0),OFFSET($D$2:$H$10,I2126,0)))</f>
        <v>70.773809523809177</v>
      </c>
      <c r="K2126" s="6">
        <f ca="1"/>
        <v>3.2142857142857792</v>
      </c>
      <c r="L2126" s="6">
        <f ca="1"/>
        <v>-0.47619047619082266</v>
      </c>
      <c r="M2126" s="6">
        <f ca="1"/>
        <v>-22.261904761904589</v>
      </c>
      <c r="N2126" s="6">
        <f ca="1"/>
        <v>-3.6904761904764882E-2</v>
      </c>
      <c r="O2126" s="6">
        <f t="shared" ca="1" si="308"/>
        <v>61.071428571427134</v>
      </c>
      <c r="P2126" t="str">
        <f t="shared" si="309"/>
        <v>NA</v>
      </c>
      <c r="Q2126" s="10">
        <f t="shared" ca="1" si="310"/>
        <v>35.119047619046057</v>
      </c>
      <c r="R2126" s="10">
        <f t="shared" ca="1" si="311"/>
        <v>70.297619047618355</v>
      </c>
      <c r="S2126" s="10">
        <f t="shared" ca="1" si="312"/>
        <v>-35.178571428572297</v>
      </c>
      <c r="T2126" s="10">
        <f t="shared" ca="1" si="313"/>
        <v>953.22580645155949</v>
      </c>
      <c r="U2126" s="10" t="str">
        <f t="shared" ca="1" si="314"/>
        <v>OR</v>
      </c>
      <c r="V2126">
        <f t="shared" si="315"/>
        <v>3</v>
      </c>
    </row>
    <row r="2127" spans="1:22" x14ac:dyDescent="0.25">
      <c r="A2127">
        <v>237</v>
      </c>
      <c r="B2127">
        <v>2</v>
      </c>
      <c r="C2127">
        <v>65</v>
      </c>
      <c r="D2127">
        <v>1</v>
      </c>
      <c r="E2127">
        <v>1</v>
      </c>
      <c r="F2127">
        <v>0</v>
      </c>
      <c r="G2127">
        <v>0</v>
      </c>
      <c r="H2127">
        <v>350</v>
      </c>
      <c r="I2127">
        <f t="shared" si="316"/>
        <v>2124</v>
      </c>
      <c r="J2127" s="6">
        <f t="array" aca="1" ref="J2127:N2127" ca="1">TRANSPOSE(ols(OFFSET($C$2:$C$10,I2127,0),OFFSET($D$2:$H$10,I2127,0)))</f>
        <v>70.773809523809177</v>
      </c>
      <c r="K2127" s="6">
        <f ca="1"/>
        <v>3.2142857142857792</v>
      </c>
      <c r="L2127" s="6">
        <f ca="1"/>
        <v>-0.47619047619082266</v>
      </c>
      <c r="M2127" s="6">
        <f ca="1"/>
        <v>-22.261904761904589</v>
      </c>
      <c r="N2127" s="6">
        <f ca="1"/>
        <v>-3.6904761904764882E-2</v>
      </c>
      <c r="O2127" s="6">
        <f t="shared" ca="1" si="308"/>
        <v>61.071428571427248</v>
      </c>
      <c r="P2127" t="str">
        <f t="shared" si="309"/>
        <v>NA</v>
      </c>
      <c r="Q2127" s="10">
        <f t="shared" ca="1" si="310"/>
        <v>35.119047619046057</v>
      </c>
      <c r="R2127" s="10">
        <f t="shared" ca="1" si="311"/>
        <v>73.988095238094957</v>
      </c>
      <c r="S2127" s="10">
        <f t="shared" ca="1" si="312"/>
        <v>-38.869047619048899</v>
      </c>
      <c r="T2127" s="10">
        <f t="shared" ca="1" si="313"/>
        <v>1053.2258064515627</v>
      </c>
      <c r="U2127" s="10" t="str">
        <f t="shared" ca="1" si="314"/>
        <v>OR</v>
      </c>
      <c r="V2127">
        <f t="shared" si="315"/>
        <v>2</v>
      </c>
    </row>
    <row r="2128" spans="1:22" x14ac:dyDescent="0.25">
      <c r="A2128">
        <v>237</v>
      </c>
      <c r="B2128">
        <v>3</v>
      </c>
      <c r="C2128">
        <v>55</v>
      </c>
      <c r="D2128">
        <v>1</v>
      </c>
      <c r="E2128">
        <v>1</v>
      </c>
      <c r="F2128">
        <v>0</v>
      </c>
      <c r="G2128">
        <v>0</v>
      </c>
      <c r="H2128">
        <v>450</v>
      </c>
      <c r="I2128">
        <f t="shared" si="316"/>
        <v>2124</v>
      </c>
      <c r="J2128" s="6">
        <f t="array" aca="1" ref="J2128:N2128" ca="1">TRANSPOSE(ols(OFFSET($C$2:$C$10,I2128,0),OFFSET($D$2:$H$10,I2128,0)))</f>
        <v>70.773809523809177</v>
      </c>
      <c r="K2128" s="6">
        <f ca="1"/>
        <v>3.2142857142857792</v>
      </c>
      <c r="L2128" s="6">
        <f ca="1"/>
        <v>-0.47619047619082266</v>
      </c>
      <c r="M2128" s="6">
        <f ca="1"/>
        <v>-22.261904761904589</v>
      </c>
      <c r="N2128" s="6">
        <f ca="1"/>
        <v>-3.6904761904764882E-2</v>
      </c>
      <c r="O2128" s="6">
        <f t="shared" ca="1" si="308"/>
        <v>57.38095238095076</v>
      </c>
      <c r="P2128" t="str">
        <f t="shared" si="309"/>
        <v>NA</v>
      </c>
      <c r="Q2128" s="10">
        <f t="shared" ca="1" si="310"/>
        <v>35.119047619046057</v>
      </c>
      <c r="R2128" s="10">
        <f t="shared" ca="1" si="311"/>
        <v>73.988095238094957</v>
      </c>
      <c r="S2128" s="10">
        <f t="shared" ca="1" si="312"/>
        <v>-38.869047619048899</v>
      </c>
      <c r="T2128" s="10">
        <f t="shared" ca="1" si="313"/>
        <v>1053.2258064515627</v>
      </c>
      <c r="U2128" s="10" t="str">
        <f t="shared" ca="1" si="314"/>
        <v>OR</v>
      </c>
      <c r="V2128">
        <f t="shared" si="315"/>
        <v>2</v>
      </c>
    </row>
    <row r="2129" spans="1:22" x14ac:dyDescent="0.25">
      <c r="A2129">
        <v>237</v>
      </c>
      <c r="B2129">
        <v>4</v>
      </c>
      <c r="C2129">
        <v>45</v>
      </c>
      <c r="D2129">
        <v>1</v>
      </c>
      <c r="E2129">
        <v>0</v>
      </c>
      <c r="F2129">
        <v>0</v>
      </c>
      <c r="G2129">
        <v>0</v>
      </c>
      <c r="H2129">
        <v>550</v>
      </c>
      <c r="I2129">
        <f t="shared" si="316"/>
        <v>2124</v>
      </c>
      <c r="J2129" s="6">
        <f t="array" aca="1" ref="J2129:N2129" ca="1">TRANSPOSE(ols(OFFSET($C$2:$C$10,I2129,0),OFFSET($D$2:$H$10,I2129,0)))</f>
        <v>70.773809523809177</v>
      </c>
      <c r="K2129" s="6">
        <f ca="1"/>
        <v>3.2142857142857792</v>
      </c>
      <c r="L2129" s="6">
        <f ca="1"/>
        <v>-0.47619047619082266</v>
      </c>
      <c r="M2129" s="6">
        <f ca="1"/>
        <v>-22.261904761904589</v>
      </c>
      <c r="N2129" s="6">
        <f ca="1"/>
        <v>-3.6904761904764882E-2</v>
      </c>
      <c r="O2129" s="6">
        <f t="shared" ca="1" si="308"/>
        <v>50.476190476188492</v>
      </c>
      <c r="P2129" t="str">
        <f t="shared" si="309"/>
        <v>NA</v>
      </c>
      <c r="Q2129" s="10">
        <f t="shared" ca="1" si="310"/>
        <v>35.119047619046057</v>
      </c>
      <c r="R2129" s="10">
        <f t="shared" ca="1" si="311"/>
        <v>70.773809523809177</v>
      </c>
      <c r="S2129" s="10">
        <f t="shared" ca="1" si="312"/>
        <v>-35.65476190476312</v>
      </c>
      <c r="T2129" s="10">
        <f t="shared" ca="1" si="313"/>
        <v>966.12903225801949</v>
      </c>
      <c r="U2129" s="10" t="str">
        <f t="shared" ca="1" si="314"/>
        <v>OR</v>
      </c>
      <c r="V2129">
        <f t="shared" si="315"/>
        <v>1</v>
      </c>
    </row>
    <row r="2130" spans="1:22" x14ac:dyDescent="0.25">
      <c r="A2130">
        <v>237</v>
      </c>
      <c r="B2130">
        <v>5</v>
      </c>
      <c r="C2130">
        <v>35</v>
      </c>
      <c r="D2130">
        <v>1</v>
      </c>
      <c r="E2130">
        <v>0</v>
      </c>
      <c r="F2130">
        <v>1</v>
      </c>
      <c r="G2130">
        <v>1</v>
      </c>
      <c r="H2130">
        <v>250</v>
      </c>
      <c r="I2130">
        <f t="shared" si="316"/>
        <v>2124</v>
      </c>
      <c r="J2130" s="6">
        <f t="array" aca="1" ref="J2130:N2130" ca="1">TRANSPOSE(ols(OFFSET($C$2:$C$10,I2130,0),OFFSET($D$2:$H$10,I2130,0)))</f>
        <v>70.773809523809177</v>
      </c>
      <c r="K2130" s="6">
        <f ca="1"/>
        <v>3.2142857142857792</v>
      </c>
      <c r="L2130" s="6">
        <f ca="1"/>
        <v>-0.47619047619082266</v>
      </c>
      <c r="M2130" s="6">
        <f ca="1"/>
        <v>-22.261904761904589</v>
      </c>
      <c r="N2130" s="6">
        <f ca="1"/>
        <v>-3.6904761904764882E-2</v>
      </c>
      <c r="O2130" s="6">
        <f t="shared" ca="1" si="308"/>
        <v>38.809523809522545</v>
      </c>
      <c r="P2130" t="str">
        <f t="shared" si="309"/>
        <v>NA</v>
      </c>
      <c r="Q2130" s="10">
        <f t="shared" ca="1" si="310"/>
        <v>35.119047619046057</v>
      </c>
      <c r="R2130" s="10">
        <f t="shared" ca="1" si="311"/>
        <v>48.035714285713766</v>
      </c>
      <c r="S2130" s="10">
        <f t="shared" ca="1" si="312"/>
        <v>-12.916666666667709</v>
      </c>
      <c r="T2130" s="10">
        <f t="shared" ca="1" si="313"/>
        <v>350</v>
      </c>
      <c r="U2130" s="10">
        <f t="shared" ca="1" si="314"/>
        <v>350</v>
      </c>
      <c r="V2130">
        <f t="shared" si="315"/>
        <v>6</v>
      </c>
    </row>
    <row r="2131" spans="1:22" x14ac:dyDescent="0.25">
      <c r="A2131">
        <v>237</v>
      </c>
      <c r="B2131">
        <v>6</v>
      </c>
      <c r="C2131">
        <v>35</v>
      </c>
      <c r="D2131">
        <v>1</v>
      </c>
      <c r="E2131">
        <v>0</v>
      </c>
      <c r="F2131">
        <v>1</v>
      </c>
      <c r="G2131">
        <v>1</v>
      </c>
      <c r="H2131">
        <v>350</v>
      </c>
      <c r="I2131">
        <f t="shared" si="316"/>
        <v>2124</v>
      </c>
      <c r="J2131" s="6">
        <f t="array" aca="1" ref="J2131:N2131" ca="1">TRANSPOSE(ols(OFFSET($C$2:$C$10,I2131,0),OFFSET($D$2:$H$10,I2131,0)))</f>
        <v>70.773809523809177</v>
      </c>
      <c r="K2131" s="6">
        <f ca="1"/>
        <v>3.2142857142857792</v>
      </c>
      <c r="L2131" s="6">
        <f ca="1"/>
        <v>-0.47619047619082266</v>
      </c>
      <c r="M2131" s="6">
        <f ca="1"/>
        <v>-22.261904761904589</v>
      </c>
      <c r="N2131" s="6">
        <f ca="1"/>
        <v>-3.6904761904764882E-2</v>
      </c>
      <c r="O2131" s="6">
        <f t="shared" ca="1" si="308"/>
        <v>35.119047619046057</v>
      </c>
      <c r="P2131">
        <f t="shared" ca="1" si="309"/>
        <v>35.119047619046057</v>
      </c>
      <c r="Q2131" s="10">
        <f t="shared" ca="1" si="310"/>
        <v>35.119047619046057</v>
      </c>
      <c r="R2131" s="10">
        <f t="shared" ca="1" si="311"/>
        <v>48.035714285713766</v>
      </c>
      <c r="S2131" s="10">
        <f t="shared" ca="1" si="312"/>
        <v>-12.916666666667709</v>
      </c>
      <c r="T2131" s="10">
        <f t="shared" ca="1" si="313"/>
        <v>350</v>
      </c>
      <c r="U2131" s="10">
        <f t="shared" ca="1" si="314"/>
        <v>350</v>
      </c>
      <c r="V2131">
        <f t="shared" si="315"/>
        <v>6</v>
      </c>
    </row>
    <row r="2132" spans="1:22" x14ac:dyDescent="0.25">
      <c r="A2132">
        <v>237</v>
      </c>
      <c r="B2132">
        <v>7</v>
      </c>
      <c r="C2132">
        <v>35</v>
      </c>
      <c r="D2132">
        <v>1</v>
      </c>
      <c r="E2132">
        <v>1</v>
      </c>
      <c r="F2132">
        <v>0</v>
      </c>
      <c r="G2132">
        <v>1</v>
      </c>
      <c r="H2132">
        <v>450</v>
      </c>
      <c r="I2132">
        <f t="shared" si="316"/>
        <v>2124</v>
      </c>
      <c r="J2132" s="6">
        <f t="array" aca="1" ref="J2132:N2132" ca="1">TRANSPOSE(ols(OFFSET($C$2:$C$10,I2132,0),OFFSET($D$2:$H$10,I2132,0)))</f>
        <v>70.773809523809177</v>
      </c>
      <c r="K2132" s="6">
        <f ca="1"/>
        <v>3.2142857142857792</v>
      </c>
      <c r="L2132" s="6">
        <f ca="1"/>
        <v>-0.47619047619082266</v>
      </c>
      <c r="M2132" s="6">
        <f ca="1"/>
        <v>-22.261904761904589</v>
      </c>
      <c r="N2132" s="6">
        <f ca="1"/>
        <v>-3.6904761904764882E-2</v>
      </c>
      <c r="O2132" s="6">
        <f t="shared" ca="1" si="308"/>
        <v>35.119047619046171</v>
      </c>
      <c r="P2132" t="str">
        <f t="shared" si="309"/>
        <v>NA</v>
      </c>
      <c r="Q2132" s="10">
        <f t="shared" ca="1" si="310"/>
        <v>35.119047619046057</v>
      </c>
      <c r="R2132" s="10">
        <f t="shared" ca="1" si="311"/>
        <v>51.726190476190368</v>
      </c>
      <c r="S2132" s="10">
        <f t="shared" ca="1" si="312"/>
        <v>-16.607142857144311</v>
      </c>
      <c r="T2132" s="10">
        <f t="shared" ca="1" si="313"/>
        <v>450.00000000000307</v>
      </c>
      <c r="U2132" s="10">
        <f t="shared" ca="1" si="314"/>
        <v>450.00000000000307</v>
      </c>
      <c r="V2132">
        <f t="shared" si="315"/>
        <v>5</v>
      </c>
    </row>
    <row r="2133" spans="1:22" x14ac:dyDescent="0.25">
      <c r="A2133">
        <v>237</v>
      </c>
      <c r="B2133">
        <v>8</v>
      </c>
      <c r="C2133">
        <v>30</v>
      </c>
      <c r="D2133">
        <v>1</v>
      </c>
      <c r="E2133">
        <v>1</v>
      </c>
      <c r="F2133">
        <v>0</v>
      </c>
      <c r="G2133">
        <v>1</v>
      </c>
      <c r="H2133">
        <v>550</v>
      </c>
      <c r="I2133">
        <f t="shared" si="316"/>
        <v>2124</v>
      </c>
      <c r="J2133" s="6">
        <f t="array" aca="1" ref="J2133:N2133" ca="1">TRANSPOSE(ols(OFFSET($C$2:$C$10,I2133,0),OFFSET($D$2:$H$10,I2133,0)))</f>
        <v>70.773809523809177</v>
      </c>
      <c r="K2133" s="6">
        <f ca="1"/>
        <v>3.2142857142857792</v>
      </c>
      <c r="L2133" s="6">
        <f ca="1"/>
        <v>-0.47619047619082266</v>
      </c>
      <c r="M2133" s="6">
        <f ca="1"/>
        <v>-22.261904761904589</v>
      </c>
      <c r="N2133" s="6">
        <f ca="1"/>
        <v>-3.6904761904764882E-2</v>
      </c>
      <c r="O2133" s="6">
        <f t="shared" ca="1" si="308"/>
        <v>31.428571428569683</v>
      </c>
      <c r="P2133" t="str">
        <f t="shared" si="309"/>
        <v>NA</v>
      </c>
      <c r="Q2133" s="10">
        <f t="shared" ca="1" si="310"/>
        <v>35.119047619046057</v>
      </c>
      <c r="R2133" s="10">
        <f t="shared" ca="1" si="311"/>
        <v>51.726190476190368</v>
      </c>
      <c r="S2133" s="10">
        <f t="shared" ca="1" si="312"/>
        <v>-16.607142857144311</v>
      </c>
      <c r="T2133" s="10">
        <f t="shared" ca="1" si="313"/>
        <v>450.00000000000307</v>
      </c>
      <c r="U2133" s="10">
        <f t="shared" ca="1" si="314"/>
        <v>450.00000000000307</v>
      </c>
      <c r="V2133">
        <f t="shared" si="315"/>
        <v>5</v>
      </c>
    </row>
    <row r="2134" spans="1:22" x14ac:dyDescent="0.25">
      <c r="A2134">
        <v>237</v>
      </c>
      <c r="B2134">
        <v>9</v>
      </c>
      <c r="C2134">
        <v>30</v>
      </c>
      <c r="D2134">
        <v>1</v>
      </c>
      <c r="E2134">
        <v>0</v>
      </c>
      <c r="F2134">
        <v>0</v>
      </c>
      <c r="G2134">
        <v>1</v>
      </c>
      <c r="H2134">
        <v>650</v>
      </c>
      <c r="I2134">
        <f t="shared" si="316"/>
        <v>2124</v>
      </c>
      <c r="J2134" s="6">
        <f t="array" aca="1" ref="J2134:N2134" ca="1">TRANSPOSE(ols(OFFSET($C$2:$C$10,I2134,0),OFFSET($D$2:$H$10,I2134,0)))</f>
        <v>70.773809523809177</v>
      </c>
      <c r="K2134" s="6">
        <f ca="1"/>
        <v>3.2142857142857792</v>
      </c>
      <c r="L2134" s="6">
        <f ca="1"/>
        <v>-0.47619047619082266</v>
      </c>
      <c r="M2134" s="6">
        <f ca="1"/>
        <v>-22.261904761904589</v>
      </c>
      <c r="N2134" s="6">
        <f ca="1"/>
        <v>-3.6904761904764882E-2</v>
      </c>
      <c r="O2134" s="6">
        <f t="shared" ca="1" si="308"/>
        <v>24.523809523807415</v>
      </c>
      <c r="P2134" t="str">
        <f t="shared" si="309"/>
        <v>NA</v>
      </c>
      <c r="Q2134" s="10">
        <f t="shared" ca="1" si="310"/>
        <v>35.119047619046057</v>
      </c>
      <c r="R2134" s="10">
        <f t="shared" ca="1" si="311"/>
        <v>48.511904761904589</v>
      </c>
      <c r="S2134" s="10">
        <f t="shared" ca="1" si="312"/>
        <v>-13.392857142858531</v>
      </c>
      <c r="T2134" s="10">
        <f t="shared" ca="1" si="313"/>
        <v>362.90322580645994</v>
      </c>
      <c r="U2134" s="10">
        <f t="shared" ca="1" si="314"/>
        <v>362.90322580645994</v>
      </c>
      <c r="V2134">
        <f t="shared" si="315"/>
        <v>4</v>
      </c>
    </row>
    <row r="2135" spans="1:22" x14ac:dyDescent="0.25">
      <c r="A2135">
        <v>238</v>
      </c>
      <c r="B2135">
        <v>1</v>
      </c>
      <c r="C2135">
        <v>65</v>
      </c>
      <c r="D2135">
        <v>1</v>
      </c>
      <c r="E2135">
        <v>0</v>
      </c>
      <c r="F2135">
        <v>1</v>
      </c>
      <c r="G2135">
        <v>0</v>
      </c>
      <c r="H2135">
        <v>250</v>
      </c>
      <c r="I2135">
        <f t="shared" si="316"/>
        <v>2133</v>
      </c>
      <c r="J2135" s="6">
        <f t="array" aca="1" ref="J2135:N2135" ca="1">TRANSPOSE(ols(OFFSET($C$2:$C$10,I2135,0),OFFSET($D$2:$H$10,I2135,0)))</f>
        <v>111.84523809523671</v>
      </c>
      <c r="K2135" s="6">
        <f ca="1"/>
        <v>-5.892857142856883</v>
      </c>
      <c r="L2135" s="6">
        <f ca="1"/>
        <v>-14.404761904761472</v>
      </c>
      <c r="M2135" s="6">
        <f ca="1"/>
        <v>13.452380952381191</v>
      </c>
      <c r="N2135" s="6">
        <f ca="1"/>
        <v>-0.12261904761904852</v>
      </c>
      <c r="O2135" s="6">
        <f t="shared" ca="1" si="308"/>
        <v>66.785714285713112</v>
      </c>
      <c r="P2135" t="str">
        <f t="shared" si="309"/>
        <v>NA</v>
      </c>
      <c r="Q2135" s="10">
        <f t="shared" ca="1" si="310"/>
        <v>67.976190476189444</v>
      </c>
      <c r="R2135" s="10">
        <f t="shared" ca="1" si="311"/>
        <v>97.440476190475238</v>
      </c>
      <c r="S2135" s="10">
        <f t="shared" ca="1" si="312"/>
        <v>-29.464285714285793</v>
      </c>
      <c r="T2135" s="10">
        <f t="shared" ca="1" si="313"/>
        <v>240.29126213592122</v>
      </c>
      <c r="U2135" s="10" t="str">
        <f t="shared" ca="1" si="314"/>
        <v>OR</v>
      </c>
      <c r="V2135">
        <f t="shared" si="315"/>
        <v>3</v>
      </c>
    </row>
    <row r="2136" spans="1:22" x14ac:dyDescent="0.25">
      <c r="A2136">
        <v>238</v>
      </c>
      <c r="B2136">
        <v>2</v>
      </c>
      <c r="C2136">
        <v>65</v>
      </c>
      <c r="D2136">
        <v>1</v>
      </c>
      <c r="E2136">
        <v>1</v>
      </c>
      <c r="F2136">
        <v>0</v>
      </c>
      <c r="G2136">
        <v>0</v>
      </c>
      <c r="H2136">
        <v>350</v>
      </c>
      <c r="I2136">
        <f t="shared" si="316"/>
        <v>2133</v>
      </c>
      <c r="J2136" s="6">
        <f t="array" aca="1" ref="J2136:N2136" ca="1">TRANSPOSE(ols(OFFSET($C$2:$C$10,I2136,0),OFFSET($D$2:$H$10,I2136,0)))</f>
        <v>111.84523809523671</v>
      </c>
      <c r="K2136" s="6">
        <f ca="1"/>
        <v>-5.892857142856883</v>
      </c>
      <c r="L2136" s="6">
        <f ca="1"/>
        <v>-14.404761904761472</v>
      </c>
      <c r="M2136" s="6">
        <f ca="1"/>
        <v>13.452380952381191</v>
      </c>
      <c r="N2136" s="6">
        <f ca="1"/>
        <v>-0.12261904761904852</v>
      </c>
      <c r="O2136" s="6">
        <f t="shared" ca="1" si="308"/>
        <v>63.035714285712842</v>
      </c>
      <c r="P2136" t="str">
        <f t="shared" si="309"/>
        <v>NA</v>
      </c>
      <c r="Q2136" s="10">
        <f t="shared" ca="1" si="310"/>
        <v>67.976190476189444</v>
      </c>
      <c r="R2136" s="10">
        <f t="shared" ca="1" si="311"/>
        <v>105.95238095237983</v>
      </c>
      <c r="S2136" s="10">
        <f t="shared" ca="1" si="312"/>
        <v>-37.976190476190382</v>
      </c>
      <c r="T2136" s="10">
        <f t="shared" ca="1" si="313"/>
        <v>309.70873786407464</v>
      </c>
      <c r="U2136" s="10">
        <f t="shared" ca="1" si="314"/>
        <v>309.70873786407464</v>
      </c>
      <c r="V2136">
        <f t="shared" si="315"/>
        <v>2</v>
      </c>
    </row>
    <row r="2137" spans="1:22" x14ac:dyDescent="0.25">
      <c r="A2137">
        <v>238</v>
      </c>
      <c r="B2137">
        <v>3</v>
      </c>
      <c r="C2137">
        <v>50</v>
      </c>
      <c r="D2137">
        <v>1</v>
      </c>
      <c r="E2137">
        <v>1</v>
      </c>
      <c r="F2137">
        <v>0</v>
      </c>
      <c r="G2137">
        <v>0</v>
      </c>
      <c r="H2137">
        <v>450</v>
      </c>
      <c r="I2137">
        <f t="shared" si="316"/>
        <v>2133</v>
      </c>
      <c r="J2137" s="6">
        <f t="array" aca="1" ref="J2137:N2137" ca="1">TRANSPOSE(ols(OFFSET($C$2:$C$10,I2137,0),OFFSET($D$2:$H$10,I2137,0)))</f>
        <v>111.84523809523671</v>
      </c>
      <c r="K2137" s="6">
        <f ca="1"/>
        <v>-5.892857142856883</v>
      </c>
      <c r="L2137" s="6">
        <f ca="1"/>
        <v>-14.404761904761472</v>
      </c>
      <c r="M2137" s="6">
        <f ca="1"/>
        <v>13.452380952381191</v>
      </c>
      <c r="N2137" s="6">
        <f ca="1"/>
        <v>-0.12261904761904852</v>
      </c>
      <c r="O2137" s="6">
        <f t="shared" ca="1" si="308"/>
        <v>50.773809523807998</v>
      </c>
      <c r="P2137" t="str">
        <f t="shared" si="309"/>
        <v>NA</v>
      </c>
      <c r="Q2137" s="10">
        <f t="shared" ca="1" si="310"/>
        <v>67.976190476189444</v>
      </c>
      <c r="R2137" s="10">
        <f t="shared" ca="1" si="311"/>
        <v>105.95238095237983</v>
      </c>
      <c r="S2137" s="10">
        <f t="shared" ca="1" si="312"/>
        <v>-37.976190476190382</v>
      </c>
      <c r="T2137" s="10">
        <f t="shared" ca="1" si="313"/>
        <v>309.70873786407464</v>
      </c>
      <c r="U2137" s="10">
        <f t="shared" ca="1" si="314"/>
        <v>309.70873786407464</v>
      </c>
      <c r="V2137">
        <f t="shared" si="315"/>
        <v>2</v>
      </c>
    </row>
    <row r="2138" spans="1:22" x14ac:dyDescent="0.25">
      <c r="A2138">
        <v>238</v>
      </c>
      <c r="B2138">
        <v>4</v>
      </c>
      <c r="C2138">
        <v>45</v>
      </c>
      <c r="D2138">
        <v>1</v>
      </c>
      <c r="E2138">
        <v>0</v>
      </c>
      <c r="F2138">
        <v>0</v>
      </c>
      <c r="G2138">
        <v>0</v>
      </c>
      <c r="H2138">
        <v>550</v>
      </c>
      <c r="I2138">
        <f t="shared" si="316"/>
        <v>2133</v>
      </c>
      <c r="J2138" s="6">
        <f t="array" aca="1" ref="J2138:N2138" ca="1">TRANSPOSE(ols(OFFSET($C$2:$C$10,I2138,0),OFFSET($D$2:$H$10,I2138,0)))</f>
        <v>111.84523809523671</v>
      </c>
      <c r="K2138" s="6">
        <f ca="1"/>
        <v>-5.892857142856883</v>
      </c>
      <c r="L2138" s="6">
        <f ca="1"/>
        <v>-14.404761904761472</v>
      </c>
      <c r="M2138" s="6">
        <f ca="1"/>
        <v>13.452380952381191</v>
      </c>
      <c r="N2138" s="6">
        <f ca="1"/>
        <v>-0.12261904761904852</v>
      </c>
      <c r="O2138" s="6">
        <f t="shared" ca="1" si="308"/>
        <v>44.404761904760022</v>
      </c>
      <c r="P2138" t="str">
        <f t="shared" si="309"/>
        <v>NA</v>
      </c>
      <c r="Q2138" s="10">
        <f t="shared" ca="1" si="310"/>
        <v>67.976190476189444</v>
      </c>
      <c r="R2138" s="10">
        <f t="shared" ca="1" si="311"/>
        <v>111.84523809523671</v>
      </c>
      <c r="S2138" s="10">
        <f t="shared" ca="1" si="312"/>
        <v>-43.869047619047265</v>
      </c>
      <c r="T2138" s="10">
        <f t="shared" ca="1" si="313"/>
        <v>357.76699029125666</v>
      </c>
      <c r="U2138" s="10">
        <f t="shared" ca="1" si="314"/>
        <v>357.76699029125666</v>
      </c>
      <c r="V2138">
        <f t="shared" si="315"/>
        <v>1</v>
      </c>
    </row>
    <row r="2139" spans="1:22" x14ac:dyDescent="0.25">
      <c r="A2139">
        <v>238</v>
      </c>
      <c r="B2139">
        <v>5</v>
      </c>
      <c r="C2139">
        <v>77.5</v>
      </c>
      <c r="D2139">
        <v>1</v>
      </c>
      <c r="E2139">
        <v>0</v>
      </c>
      <c r="F2139">
        <v>1</v>
      </c>
      <c r="G2139">
        <v>1</v>
      </c>
      <c r="H2139">
        <v>250</v>
      </c>
      <c r="I2139">
        <f t="shared" si="316"/>
        <v>2133</v>
      </c>
      <c r="J2139" s="6">
        <f t="array" aca="1" ref="J2139:N2139" ca="1">TRANSPOSE(ols(OFFSET($C$2:$C$10,I2139,0),OFFSET($D$2:$H$10,I2139,0)))</f>
        <v>111.84523809523671</v>
      </c>
      <c r="K2139" s="6">
        <f ca="1"/>
        <v>-5.892857142856883</v>
      </c>
      <c r="L2139" s="6">
        <f ca="1"/>
        <v>-14.404761904761472</v>
      </c>
      <c r="M2139" s="6">
        <f ca="1"/>
        <v>13.452380952381191</v>
      </c>
      <c r="N2139" s="6">
        <f ca="1"/>
        <v>-0.12261904761904852</v>
      </c>
      <c r="O2139" s="6">
        <f t="shared" ca="1" si="308"/>
        <v>80.238095238094303</v>
      </c>
      <c r="P2139" t="str">
        <f t="shared" si="309"/>
        <v>NA</v>
      </c>
      <c r="Q2139" s="10">
        <f t="shared" ca="1" si="310"/>
        <v>67.976190476189444</v>
      </c>
      <c r="R2139" s="10">
        <f t="shared" ca="1" si="311"/>
        <v>110.89285714285643</v>
      </c>
      <c r="S2139" s="10">
        <f t="shared" ca="1" si="312"/>
        <v>-42.916666666666984</v>
      </c>
      <c r="T2139" s="10">
        <f t="shared" ca="1" si="313"/>
        <v>350.00000000000006</v>
      </c>
      <c r="U2139" s="10">
        <f t="shared" ca="1" si="314"/>
        <v>350.00000000000006</v>
      </c>
      <c r="V2139">
        <f t="shared" si="315"/>
        <v>6</v>
      </c>
    </row>
    <row r="2140" spans="1:22" x14ac:dyDescent="0.25">
      <c r="A2140">
        <v>238</v>
      </c>
      <c r="B2140">
        <v>6</v>
      </c>
      <c r="C2140">
        <v>72.5</v>
      </c>
      <c r="D2140">
        <v>1</v>
      </c>
      <c r="E2140">
        <v>0</v>
      </c>
      <c r="F2140">
        <v>1</v>
      </c>
      <c r="G2140">
        <v>1</v>
      </c>
      <c r="H2140">
        <v>350</v>
      </c>
      <c r="I2140">
        <f t="shared" si="316"/>
        <v>2133</v>
      </c>
      <c r="J2140" s="6">
        <f t="array" aca="1" ref="J2140:N2140" ca="1">TRANSPOSE(ols(OFFSET($C$2:$C$10,I2140,0),OFFSET($D$2:$H$10,I2140,0)))</f>
        <v>111.84523809523671</v>
      </c>
      <c r="K2140" s="6">
        <f ca="1"/>
        <v>-5.892857142856883</v>
      </c>
      <c r="L2140" s="6">
        <f ca="1"/>
        <v>-14.404761904761472</v>
      </c>
      <c r="M2140" s="6">
        <f ca="1"/>
        <v>13.452380952381191</v>
      </c>
      <c r="N2140" s="6">
        <f ca="1"/>
        <v>-0.12261904761904852</v>
      </c>
      <c r="O2140" s="6">
        <f t="shared" ca="1" si="308"/>
        <v>67.976190476189444</v>
      </c>
      <c r="P2140">
        <f t="shared" ca="1" si="309"/>
        <v>67.976190476189444</v>
      </c>
      <c r="Q2140" s="10">
        <f t="shared" ca="1" si="310"/>
        <v>67.976190476189444</v>
      </c>
      <c r="R2140" s="10">
        <f t="shared" ca="1" si="311"/>
        <v>110.89285714285643</v>
      </c>
      <c r="S2140" s="10">
        <f t="shared" ca="1" si="312"/>
        <v>-42.916666666666984</v>
      </c>
      <c r="T2140" s="10">
        <f t="shared" ca="1" si="313"/>
        <v>350.00000000000006</v>
      </c>
      <c r="U2140" s="10">
        <f t="shared" ca="1" si="314"/>
        <v>350.00000000000006</v>
      </c>
      <c r="V2140">
        <f t="shared" si="315"/>
        <v>6</v>
      </c>
    </row>
    <row r="2141" spans="1:22" x14ac:dyDescent="0.25">
      <c r="A2141">
        <v>238</v>
      </c>
      <c r="B2141">
        <v>7</v>
      </c>
      <c r="C2141">
        <v>65</v>
      </c>
      <c r="D2141">
        <v>1</v>
      </c>
      <c r="E2141">
        <v>1</v>
      </c>
      <c r="F2141">
        <v>0</v>
      </c>
      <c r="G2141">
        <v>1</v>
      </c>
      <c r="H2141">
        <v>450</v>
      </c>
      <c r="I2141">
        <f t="shared" si="316"/>
        <v>2133</v>
      </c>
      <c r="J2141" s="6">
        <f t="array" aca="1" ref="J2141:N2141" ca="1">TRANSPOSE(ols(OFFSET($C$2:$C$10,I2141,0),OFFSET($D$2:$H$10,I2141,0)))</f>
        <v>111.84523809523671</v>
      </c>
      <c r="K2141" s="6">
        <f ca="1"/>
        <v>-5.892857142856883</v>
      </c>
      <c r="L2141" s="6">
        <f ca="1"/>
        <v>-14.404761904761472</v>
      </c>
      <c r="M2141" s="6">
        <f ca="1"/>
        <v>13.452380952381191</v>
      </c>
      <c r="N2141" s="6">
        <f ca="1"/>
        <v>-0.12261904761904852</v>
      </c>
      <c r="O2141" s="6">
        <f t="shared" ca="1" si="308"/>
        <v>64.226190476189188</v>
      </c>
      <c r="P2141" t="str">
        <f t="shared" si="309"/>
        <v>NA</v>
      </c>
      <c r="Q2141" s="10">
        <f t="shared" ca="1" si="310"/>
        <v>67.976190476189444</v>
      </c>
      <c r="R2141" s="10">
        <f t="shared" ca="1" si="311"/>
        <v>119.40476190476102</v>
      </c>
      <c r="S2141" s="10">
        <f t="shared" ca="1" si="312"/>
        <v>-51.428571428571573</v>
      </c>
      <c r="T2141" s="10">
        <f t="shared" ca="1" si="313"/>
        <v>419.41747572815348</v>
      </c>
      <c r="U2141" s="10">
        <f t="shared" ca="1" si="314"/>
        <v>419.41747572815348</v>
      </c>
      <c r="V2141">
        <f t="shared" si="315"/>
        <v>5</v>
      </c>
    </row>
    <row r="2142" spans="1:22" x14ac:dyDescent="0.25">
      <c r="A2142">
        <v>238</v>
      </c>
      <c r="B2142">
        <v>8</v>
      </c>
      <c r="C2142">
        <v>50</v>
      </c>
      <c r="D2142">
        <v>1</v>
      </c>
      <c r="E2142">
        <v>1</v>
      </c>
      <c r="F2142">
        <v>0</v>
      </c>
      <c r="G2142">
        <v>1</v>
      </c>
      <c r="H2142">
        <v>550</v>
      </c>
      <c r="I2142">
        <f t="shared" si="316"/>
        <v>2133</v>
      </c>
      <c r="J2142" s="6">
        <f t="array" aca="1" ref="J2142:N2142" ca="1">TRANSPOSE(ols(OFFSET($C$2:$C$10,I2142,0),OFFSET($D$2:$H$10,I2142,0)))</f>
        <v>111.84523809523671</v>
      </c>
      <c r="K2142" s="6">
        <f ca="1"/>
        <v>-5.892857142856883</v>
      </c>
      <c r="L2142" s="6">
        <f ca="1"/>
        <v>-14.404761904761472</v>
      </c>
      <c r="M2142" s="6">
        <f ca="1"/>
        <v>13.452380952381191</v>
      </c>
      <c r="N2142" s="6">
        <f ca="1"/>
        <v>-0.12261904761904852</v>
      </c>
      <c r="O2142" s="6">
        <f t="shared" ca="1" si="308"/>
        <v>51.96428571428433</v>
      </c>
      <c r="P2142" t="str">
        <f t="shared" si="309"/>
        <v>NA</v>
      </c>
      <c r="Q2142" s="10">
        <f t="shared" ca="1" si="310"/>
        <v>67.976190476189444</v>
      </c>
      <c r="R2142" s="10">
        <f t="shared" ca="1" si="311"/>
        <v>119.40476190476102</v>
      </c>
      <c r="S2142" s="10">
        <f t="shared" ca="1" si="312"/>
        <v>-51.428571428571573</v>
      </c>
      <c r="T2142" s="10">
        <f t="shared" ca="1" si="313"/>
        <v>419.41747572815348</v>
      </c>
      <c r="U2142" s="10">
        <f t="shared" ca="1" si="314"/>
        <v>419.41747572815348</v>
      </c>
      <c r="V2142">
        <f t="shared" si="315"/>
        <v>5</v>
      </c>
    </row>
    <row r="2143" spans="1:22" x14ac:dyDescent="0.25">
      <c r="A2143">
        <v>238</v>
      </c>
      <c r="B2143">
        <v>9</v>
      </c>
      <c r="C2143">
        <v>45</v>
      </c>
      <c r="D2143">
        <v>1</v>
      </c>
      <c r="E2143">
        <v>0</v>
      </c>
      <c r="F2143">
        <v>0</v>
      </c>
      <c r="G2143">
        <v>1</v>
      </c>
      <c r="H2143">
        <v>650</v>
      </c>
      <c r="I2143">
        <f t="shared" si="316"/>
        <v>2133</v>
      </c>
      <c r="J2143" s="6">
        <f t="array" aca="1" ref="J2143:N2143" ca="1">TRANSPOSE(ols(OFFSET($C$2:$C$10,I2143,0),OFFSET($D$2:$H$10,I2143,0)))</f>
        <v>111.84523809523671</v>
      </c>
      <c r="K2143" s="6">
        <f ca="1"/>
        <v>-5.892857142856883</v>
      </c>
      <c r="L2143" s="6">
        <f ca="1"/>
        <v>-14.404761904761472</v>
      </c>
      <c r="M2143" s="6">
        <f ca="1"/>
        <v>13.452380952381191</v>
      </c>
      <c r="N2143" s="6">
        <f ca="1"/>
        <v>-0.12261904761904852</v>
      </c>
      <c r="O2143" s="6">
        <f t="shared" ca="1" si="308"/>
        <v>45.595238095236368</v>
      </c>
      <c r="P2143" t="str">
        <f t="shared" si="309"/>
        <v>NA</v>
      </c>
      <c r="Q2143" s="10">
        <f t="shared" ca="1" si="310"/>
        <v>67.976190476189444</v>
      </c>
      <c r="R2143" s="10">
        <f t="shared" ca="1" si="311"/>
        <v>125.2976190476179</v>
      </c>
      <c r="S2143" s="10">
        <f t="shared" ca="1" si="312"/>
        <v>-57.321428571428456</v>
      </c>
      <c r="T2143" s="10">
        <f t="shared" ca="1" si="313"/>
        <v>467.47572815533545</v>
      </c>
      <c r="U2143" s="10">
        <f t="shared" ca="1" si="314"/>
        <v>467.47572815533545</v>
      </c>
      <c r="V2143">
        <f t="shared" si="315"/>
        <v>4</v>
      </c>
    </row>
    <row r="2144" spans="1:22" x14ac:dyDescent="0.25">
      <c r="A2144">
        <v>239</v>
      </c>
      <c r="B2144">
        <v>1</v>
      </c>
      <c r="C2144">
        <v>50</v>
      </c>
      <c r="D2144">
        <v>1</v>
      </c>
      <c r="E2144">
        <v>0</v>
      </c>
      <c r="F2144">
        <v>1</v>
      </c>
      <c r="G2144">
        <v>0</v>
      </c>
      <c r="H2144">
        <v>250</v>
      </c>
      <c r="I2144">
        <f t="shared" si="316"/>
        <v>2142</v>
      </c>
      <c r="J2144" s="6">
        <f t="array" aca="1" ref="J2144:N2144" ca="1">TRANSPOSE(ols(OFFSET($C$2:$C$10,I2144,0),OFFSET($D$2:$H$10,I2144,0)))</f>
        <v>53.690476190477057</v>
      </c>
      <c r="K2144" s="6">
        <f ca="1"/>
        <v>-1.7857142857144481</v>
      </c>
      <c r="L2144" s="6">
        <f ca="1"/>
        <v>6.1904761904761472</v>
      </c>
      <c r="M2144" s="6">
        <f ca="1"/>
        <v>-3.0952380952379599</v>
      </c>
      <c r="N2144" s="6">
        <f ca="1"/>
        <v>-4.5238095238095966E-2</v>
      </c>
      <c r="O2144" s="6">
        <f t="shared" ca="1" si="308"/>
        <v>48.571428571429209</v>
      </c>
      <c r="P2144" t="str">
        <f t="shared" si="309"/>
        <v>NA</v>
      </c>
      <c r="Q2144" s="10">
        <f t="shared" ca="1" si="310"/>
        <v>40.95238095238166</v>
      </c>
      <c r="R2144" s="10">
        <f t="shared" ca="1" si="311"/>
        <v>59.880952380953204</v>
      </c>
      <c r="S2144" s="10">
        <f t="shared" ca="1" si="312"/>
        <v>-18.928571428571544</v>
      </c>
      <c r="T2144" s="10">
        <f t="shared" ca="1" si="313"/>
        <v>418.42105263157475</v>
      </c>
      <c r="U2144" s="10">
        <f t="shared" ca="1" si="314"/>
        <v>418.42105263157475</v>
      </c>
      <c r="V2144">
        <f t="shared" si="315"/>
        <v>3</v>
      </c>
    </row>
    <row r="2145" spans="1:22" x14ac:dyDescent="0.25">
      <c r="A2145">
        <v>239</v>
      </c>
      <c r="B2145">
        <v>2</v>
      </c>
      <c r="C2145">
        <v>35</v>
      </c>
      <c r="D2145">
        <v>1</v>
      </c>
      <c r="E2145">
        <v>1</v>
      </c>
      <c r="F2145">
        <v>0</v>
      </c>
      <c r="G2145">
        <v>0</v>
      </c>
      <c r="H2145">
        <v>350</v>
      </c>
      <c r="I2145">
        <f t="shared" si="316"/>
        <v>2142</v>
      </c>
      <c r="J2145" s="6">
        <f t="array" aca="1" ref="J2145:N2145" ca="1">TRANSPOSE(ols(OFFSET($C$2:$C$10,I2145,0),OFFSET($D$2:$H$10,I2145,0)))</f>
        <v>53.690476190477057</v>
      </c>
      <c r="K2145" s="6">
        <f ca="1"/>
        <v>-1.7857142857144481</v>
      </c>
      <c r="L2145" s="6">
        <f ca="1"/>
        <v>6.1904761904761472</v>
      </c>
      <c r="M2145" s="6">
        <f ca="1"/>
        <v>-3.0952380952379599</v>
      </c>
      <c r="N2145" s="6">
        <f ca="1"/>
        <v>-4.5238095238095966E-2</v>
      </c>
      <c r="O2145" s="6">
        <f t="shared" ca="1" si="308"/>
        <v>36.071428571429024</v>
      </c>
      <c r="P2145" t="str">
        <f t="shared" si="309"/>
        <v>NA</v>
      </c>
      <c r="Q2145" s="10">
        <f t="shared" ca="1" si="310"/>
        <v>40.95238095238166</v>
      </c>
      <c r="R2145" s="10">
        <f t="shared" ca="1" si="311"/>
        <v>51.904761904762609</v>
      </c>
      <c r="S2145" s="10">
        <f t="shared" ca="1" si="312"/>
        <v>-10.952380952380949</v>
      </c>
      <c r="T2145" s="10">
        <f t="shared" ca="1" si="313"/>
        <v>242.10526315789076</v>
      </c>
      <c r="U2145" s="10" t="str">
        <f t="shared" ca="1" si="314"/>
        <v>OR</v>
      </c>
      <c r="V2145">
        <f t="shared" si="315"/>
        <v>2</v>
      </c>
    </row>
    <row r="2146" spans="1:22" x14ac:dyDescent="0.25">
      <c r="A2146">
        <v>239</v>
      </c>
      <c r="B2146">
        <v>3</v>
      </c>
      <c r="C2146">
        <v>30</v>
      </c>
      <c r="D2146">
        <v>1</v>
      </c>
      <c r="E2146">
        <v>1</v>
      </c>
      <c r="F2146">
        <v>0</v>
      </c>
      <c r="G2146">
        <v>0</v>
      </c>
      <c r="H2146">
        <v>450</v>
      </c>
      <c r="I2146">
        <f t="shared" si="316"/>
        <v>2142</v>
      </c>
      <c r="J2146" s="6">
        <f t="array" aca="1" ref="J2146:N2146" ca="1">TRANSPOSE(ols(OFFSET($C$2:$C$10,I2146,0),OFFSET($D$2:$H$10,I2146,0)))</f>
        <v>53.690476190477057</v>
      </c>
      <c r="K2146" s="6">
        <f ca="1"/>
        <v>-1.7857142857144481</v>
      </c>
      <c r="L2146" s="6">
        <f ca="1"/>
        <v>6.1904761904761472</v>
      </c>
      <c r="M2146" s="6">
        <f ca="1"/>
        <v>-3.0952380952379599</v>
      </c>
      <c r="N2146" s="6">
        <f ca="1"/>
        <v>-4.5238095238095966E-2</v>
      </c>
      <c r="O2146" s="6">
        <f t="shared" ca="1" si="308"/>
        <v>31.547619047619424</v>
      </c>
      <c r="P2146" t="str">
        <f t="shared" si="309"/>
        <v>NA</v>
      </c>
      <c r="Q2146" s="10">
        <f t="shared" ca="1" si="310"/>
        <v>40.95238095238166</v>
      </c>
      <c r="R2146" s="10">
        <f t="shared" ca="1" si="311"/>
        <v>51.904761904762609</v>
      </c>
      <c r="S2146" s="10">
        <f t="shared" ca="1" si="312"/>
        <v>-10.952380952380949</v>
      </c>
      <c r="T2146" s="10">
        <f t="shared" ca="1" si="313"/>
        <v>242.10526315789076</v>
      </c>
      <c r="U2146" s="10" t="str">
        <f t="shared" ca="1" si="314"/>
        <v>OR</v>
      </c>
      <c r="V2146">
        <f t="shared" si="315"/>
        <v>2</v>
      </c>
    </row>
    <row r="2147" spans="1:22" x14ac:dyDescent="0.25">
      <c r="A2147">
        <v>239</v>
      </c>
      <c r="B2147">
        <v>4</v>
      </c>
      <c r="C2147">
        <v>30</v>
      </c>
      <c r="D2147">
        <v>1</v>
      </c>
      <c r="E2147">
        <v>0</v>
      </c>
      <c r="F2147">
        <v>0</v>
      </c>
      <c r="G2147">
        <v>0</v>
      </c>
      <c r="H2147">
        <v>550</v>
      </c>
      <c r="I2147">
        <f t="shared" si="316"/>
        <v>2142</v>
      </c>
      <c r="J2147" s="6">
        <f t="array" aca="1" ref="J2147:N2147" ca="1">TRANSPOSE(ols(OFFSET($C$2:$C$10,I2147,0),OFFSET($D$2:$H$10,I2147,0)))</f>
        <v>53.690476190477057</v>
      </c>
      <c r="K2147" s="6">
        <f ca="1"/>
        <v>-1.7857142857144481</v>
      </c>
      <c r="L2147" s="6">
        <f ca="1"/>
        <v>6.1904761904761472</v>
      </c>
      <c r="M2147" s="6">
        <f ca="1"/>
        <v>-3.0952380952379599</v>
      </c>
      <c r="N2147" s="6">
        <f ca="1"/>
        <v>-4.5238095238095966E-2</v>
      </c>
      <c r="O2147" s="6">
        <f t="shared" ca="1" si="308"/>
        <v>28.809523809524276</v>
      </c>
      <c r="P2147" t="str">
        <f t="shared" si="309"/>
        <v>NA</v>
      </c>
      <c r="Q2147" s="10">
        <f t="shared" ca="1" si="310"/>
        <v>40.95238095238166</v>
      </c>
      <c r="R2147" s="10">
        <f t="shared" ca="1" si="311"/>
        <v>53.690476190477057</v>
      </c>
      <c r="S2147" s="10">
        <f t="shared" ca="1" si="312"/>
        <v>-12.738095238095397</v>
      </c>
      <c r="T2147" s="10">
        <f t="shared" ca="1" si="313"/>
        <v>281.57894736842002</v>
      </c>
      <c r="U2147" s="10">
        <f t="shared" ca="1" si="314"/>
        <v>281.57894736842002</v>
      </c>
      <c r="V2147">
        <f t="shared" si="315"/>
        <v>1</v>
      </c>
    </row>
    <row r="2148" spans="1:22" x14ac:dyDescent="0.25">
      <c r="A2148">
        <v>239</v>
      </c>
      <c r="B2148">
        <v>5</v>
      </c>
      <c r="C2148">
        <v>45</v>
      </c>
      <c r="D2148">
        <v>1</v>
      </c>
      <c r="E2148">
        <v>0</v>
      </c>
      <c r="F2148">
        <v>1</v>
      </c>
      <c r="G2148">
        <v>1</v>
      </c>
      <c r="H2148">
        <v>250</v>
      </c>
      <c r="I2148">
        <f t="shared" si="316"/>
        <v>2142</v>
      </c>
      <c r="J2148" s="6">
        <f t="array" aca="1" ref="J2148:N2148" ca="1">TRANSPOSE(ols(OFFSET($C$2:$C$10,I2148,0),OFFSET($D$2:$H$10,I2148,0)))</f>
        <v>53.690476190477057</v>
      </c>
      <c r="K2148" s="6">
        <f ca="1"/>
        <v>-1.7857142857144481</v>
      </c>
      <c r="L2148" s="6">
        <f ca="1"/>
        <v>6.1904761904761472</v>
      </c>
      <c r="M2148" s="6">
        <f ca="1"/>
        <v>-3.0952380952379599</v>
      </c>
      <c r="N2148" s="6">
        <f ca="1"/>
        <v>-4.5238095238095966E-2</v>
      </c>
      <c r="O2148" s="6">
        <f t="shared" ca="1" si="308"/>
        <v>45.476190476191249</v>
      </c>
      <c r="P2148" t="str">
        <f t="shared" si="309"/>
        <v>NA</v>
      </c>
      <c r="Q2148" s="10">
        <f t="shared" ca="1" si="310"/>
        <v>40.95238095238166</v>
      </c>
      <c r="R2148" s="10">
        <f t="shared" ca="1" si="311"/>
        <v>56.785714285715244</v>
      </c>
      <c r="S2148" s="10">
        <f t="shared" ca="1" si="312"/>
        <v>-15.833333333333584</v>
      </c>
      <c r="T2148" s="10">
        <f t="shared" ca="1" si="313"/>
        <v>349.99999999999994</v>
      </c>
      <c r="U2148" s="10">
        <f t="shared" ca="1" si="314"/>
        <v>349.99999999999994</v>
      </c>
      <c r="V2148">
        <f t="shared" si="315"/>
        <v>6</v>
      </c>
    </row>
    <row r="2149" spans="1:22" x14ac:dyDescent="0.25">
      <c r="A2149">
        <v>239</v>
      </c>
      <c r="B2149">
        <v>6</v>
      </c>
      <c r="C2149">
        <v>40</v>
      </c>
      <c r="D2149">
        <v>1</v>
      </c>
      <c r="E2149">
        <v>0</v>
      </c>
      <c r="F2149">
        <v>1</v>
      </c>
      <c r="G2149">
        <v>1</v>
      </c>
      <c r="H2149">
        <v>350</v>
      </c>
      <c r="I2149">
        <f t="shared" si="316"/>
        <v>2142</v>
      </c>
      <c r="J2149" s="6">
        <f t="array" aca="1" ref="J2149:N2149" ca="1">TRANSPOSE(ols(OFFSET($C$2:$C$10,I2149,0),OFFSET($D$2:$H$10,I2149,0)))</f>
        <v>53.690476190477057</v>
      </c>
      <c r="K2149" s="6">
        <f ca="1"/>
        <v>-1.7857142857144481</v>
      </c>
      <c r="L2149" s="6">
        <f ca="1"/>
        <v>6.1904761904761472</v>
      </c>
      <c r="M2149" s="6">
        <f ca="1"/>
        <v>-3.0952380952379599</v>
      </c>
      <c r="N2149" s="6">
        <f ca="1"/>
        <v>-4.5238095238095966E-2</v>
      </c>
      <c r="O2149" s="6">
        <f t="shared" ca="1" si="308"/>
        <v>40.95238095238166</v>
      </c>
      <c r="P2149">
        <f t="shared" ca="1" si="309"/>
        <v>40.95238095238166</v>
      </c>
      <c r="Q2149" s="10">
        <f t="shared" ca="1" si="310"/>
        <v>40.95238095238166</v>
      </c>
      <c r="R2149" s="10">
        <f t="shared" ca="1" si="311"/>
        <v>56.785714285715244</v>
      </c>
      <c r="S2149" s="10">
        <f t="shared" ca="1" si="312"/>
        <v>-15.833333333333584</v>
      </c>
      <c r="T2149" s="10">
        <f t="shared" ca="1" si="313"/>
        <v>349.99999999999994</v>
      </c>
      <c r="U2149" s="10">
        <f t="shared" ca="1" si="314"/>
        <v>349.99999999999994</v>
      </c>
      <c r="V2149">
        <f t="shared" si="315"/>
        <v>6</v>
      </c>
    </row>
    <row r="2150" spans="1:22" x14ac:dyDescent="0.25">
      <c r="A2150">
        <v>239</v>
      </c>
      <c r="B2150">
        <v>7</v>
      </c>
      <c r="C2150">
        <v>30</v>
      </c>
      <c r="D2150">
        <v>1</v>
      </c>
      <c r="E2150">
        <v>1</v>
      </c>
      <c r="F2150">
        <v>0</v>
      </c>
      <c r="G2150">
        <v>1</v>
      </c>
      <c r="H2150">
        <v>450</v>
      </c>
      <c r="I2150">
        <f t="shared" si="316"/>
        <v>2142</v>
      </c>
      <c r="J2150" s="6">
        <f t="array" aca="1" ref="J2150:N2150" ca="1">TRANSPOSE(ols(OFFSET($C$2:$C$10,I2150,0),OFFSET($D$2:$H$10,I2150,0)))</f>
        <v>53.690476190477057</v>
      </c>
      <c r="K2150" s="6">
        <f ca="1"/>
        <v>-1.7857142857144481</v>
      </c>
      <c r="L2150" s="6">
        <f ca="1"/>
        <v>6.1904761904761472</v>
      </c>
      <c r="M2150" s="6">
        <f ca="1"/>
        <v>-3.0952380952379599</v>
      </c>
      <c r="N2150" s="6">
        <f ca="1"/>
        <v>-4.5238095238095966E-2</v>
      </c>
      <c r="O2150" s="6">
        <f t="shared" ca="1" si="308"/>
        <v>28.452380952381464</v>
      </c>
      <c r="P2150" t="str">
        <f t="shared" si="309"/>
        <v>NA</v>
      </c>
      <c r="Q2150" s="10">
        <f t="shared" ca="1" si="310"/>
        <v>40.95238095238166</v>
      </c>
      <c r="R2150" s="10">
        <f t="shared" ca="1" si="311"/>
        <v>48.809523809524649</v>
      </c>
      <c r="S2150" s="10">
        <f t="shared" ca="1" si="312"/>
        <v>-7.8571428571429891</v>
      </c>
      <c r="T2150" s="10">
        <f t="shared" ca="1" si="313"/>
        <v>173.68421052631592</v>
      </c>
      <c r="U2150" s="10" t="str">
        <f t="shared" ca="1" si="314"/>
        <v>OR</v>
      </c>
      <c r="V2150">
        <f t="shared" si="315"/>
        <v>5</v>
      </c>
    </row>
    <row r="2151" spans="1:22" x14ac:dyDescent="0.25">
      <c r="A2151">
        <v>239</v>
      </c>
      <c r="B2151">
        <v>8</v>
      </c>
      <c r="C2151">
        <v>25</v>
      </c>
      <c r="D2151">
        <v>1</v>
      </c>
      <c r="E2151">
        <v>1</v>
      </c>
      <c r="F2151">
        <v>0</v>
      </c>
      <c r="G2151">
        <v>1</v>
      </c>
      <c r="H2151">
        <v>550</v>
      </c>
      <c r="I2151">
        <f t="shared" si="316"/>
        <v>2142</v>
      </c>
      <c r="J2151" s="6">
        <f t="array" aca="1" ref="J2151:N2151" ca="1">TRANSPOSE(ols(OFFSET($C$2:$C$10,I2151,0),OFFSET($D$2:$H$10,I2151,0)))</f>
        <v>53.690476190477057</v>
      </c>
      <c r="K2151" s="6">
        <f ca="1"/>
        <v>-1.7857142857144481</v>
      </c>
      <c r="L2151" s="6">
        <f ca="1"/>
        <v>6.1904761904761472</v>
      </c>
      <c r="M2151" s="6">
        <f ca="1"/>
        <v>-3.0952380952379599</v>
      </c>
      <c r="N2151" s="6">
        <f ca="1"/>
        <v>-4.5238095238095966E-2</v>
      </c>
      <c r="O2151" s="6">
        <f t="shared" ca="1" si="308"/>
        <v>23.928571428571868</v>
      </c>
      <c r="P2151" t="str">
        <f t="shared" si="309"/>
        <v>NA</v>
      </c>
      <c r="Q2151" s="10">
        <f t="shared" ca="1" si="310"/>
        <v>40.95238095238166</v>
      </c>
      <c r="R2151" s="10">
        <f t="shared" ca="1" si="311"/>
        <v>48.809523809524649</v>
      </c>
      <c r="S2151" s="10">
        <f t="shared" ca="1" si="312"/>
        <v>-7.8571428571429891</v>
      </c>
      <c r="T2151" s="10">
        <f t="shared" ca="1" si="313"/>
        <v>173.68421052631592</v>
      </c>
      <c r="U2151" s="10" t="str">
        <f t="shared" ca="1" si="314"/>
        <v>OR</v>
      </c>
      <c r="V2151">
        <f t="shared" si="315"/>
        <v>5</v>
      </c>
    </row>
    <row r="2152" spans="1:22" x14ac:dyDescent="0.25">
      <c r="A2152">
        <v>239</v>
      </c>
      <c r="B2152">
        <v>9</v>
      </c>
      <c r="C2152">
        <v>20</v>
      </c>
      <c r="D2152">
        <v>1</v>
      </c>
      <c r="E2152">
        <v>0</v>
      </c>
      <c r="F2152">
        <v>0</v>
      </c>
      <c r="G2152">
        <v>1</v>
      </c>
      <c r="H2152">
        <v>650</v>
      </c>
      <c r="I2152">
        <f t="shared" si="316"/>
        <v>2142</v>
      </c>
      <c r="J2152" s="6">
        <f t="array" aca="1" ref="J2152:N2152" ca="1">TRANSPOSE(ols(OFFSET($C$2:$C$10,I2152,0),OFFSET($D$2:$H$10,I2152,0)))</f>
        <v>53.690476190477057</v>
      </c>
      <c r="K2152" s="6">
        <f ca="1"/>
        <v>-1.7857142857144481</v>
      </c>
      <c r="L2152" s="6">
        <f ca="1"/>
        <v>6.1904761904761472</v>
      </c>
      <c r="M2152" s="6">
        <f ca="1"/>
        <v>-3.0952380952379599</v>
      </c>
      <c r="N2152" s="6">
        <f ca="1"/>
        <v>-4.5238095238095966E-2</v>
      </c>
      <c r="O2152" s="6">
        <f t="shared" ca="1" si="308"/>
        <v>21.190476190476719</v>
      </c>
      <c r="P2152" t="str">
        <f t="shared" si="309"/>
        <v>NA</v>
      </c>
      <c r="Q2152" s="10">
        <f t="shared" ca="1" si="310"/>
        <v>40.95238095238166</v>
      </c>
      <c r="R2152" s="10">
        <f t="shared" ca="1" si="311"/>
        <v>50.595238095239097</v>
      </c>
      <c r="S2152" s="10">
        <f t="shared" ca="1" si="312"/>
        <v>-9.6428571428574372</v>
      </c>
      <c r="T2152" s="10">
        <f t="shared" ca="1" si="313"/>
        <v>213.15789473684518</v>
      </c>
      <c r="U2152" s="10" t="str">
        <f t="shared" ca="1" si="314"/>
        <v>OR</v>
      </c>
      <c r="V2152">
        <f t="shared" si="315"/>
        <v>4</v>
      </c>
    </row>
    <row r="2153" spans="1:22" x14ac:dyDescent="0.25">
      <c r="A2153">
        <v>240</v>
      </c>
      <c r="B2153">
        <v>1</v>
      </c>
      <c r="C2153">
        <v>100</v>
      </c>
      <c r="D2153">
        <v>1</v>
      </c>
      <c r="E2153">
        <v>0</v>
      </c>
      <c r="F2153">
        <v>1</v>
      </c>
      <c r="G2153">
        <v>0</v>
      </c>
      <c r="H2153">
        <v>250</v>
      </c>
      <c r="I2153">
        <f t="shared" si="316"/>
        <v>2151</v>
      </c>
      <c r="J2153" s="6">
        <f t="array" aca="1" ref="J2153:N2153" ca="1">TRANSPOSE(ols(OFFSET($C$2:$C$10,I2153,0),OFFSET($D$2:$H$10,I2153,0)))</f>
        <v>119.16666666666606</v>
      </c>
      <c r="K2153" s="6">
        <f ca="1"/>
        <v>0</v>
      </c>
      <c r="L2153" s="6">
        <f ca="1"/>
        <v>1.6666666666669698</v>
      </c>
      <c r="M2153" s="6">
        <f ca="1"/>
        <v>-13.33333333333303</v>
      </c>
      <c r="N2153" s="6">
        <f ca="1"/>
        <v>-8.3333333333335702E-2</v>
      </c>
      <c r="O2153" s="6">
        <f t="shared" ca="1" si="308"/>
        <v>99.999999999999105</v>
      </c>
      <c r="P2153" t="str">
        <f t="shared" si="309"/>
        <v>NA</v>
      </c>
      <c r="Q2153" s="10">
        <f t="shared" ca="1" si="310"/>
        <v>78.333333333332504</v>
      </c>
      <c r="R2153" s="10">
        <f t="shared" ca="1" si="311"/>
        <v>120.83333333333303</v>
      </c>
      <c r="S2153" s="10">
        <f t="shared" ca="1" si="312"/>
        <v>-42.500000000000526</v>
      </c>
      <c r="T2153" s="10">
        <f t="shared" ca="1" si="313"/>
        <v>509.99999999999181</v>
      </c>
      <c r="U2153" s="10">
        <f t="shared" ca="1" si="314"/>
        <v>509.99999999999181</v>
      </c>
      <c r="V2153">
        <f t="shared" si="315"/>
        <v>3</v>
      </c>
    </row>
    <row r="2154" spans="1:22" x14ac:dyDescent="0.25">
      <c r="A2154">
        <v>240</v>
      </c>
      <c r="B2154">
        <v>2</v>
      </c>
      <c r="C2154">
        <v>90</v>
      </c>
      <c r="D2154">
        <v>1</v>
      </c>
      <c r="E2154">
        <v>1</v>
      </c>
      <c r="F2154">
        <v>0</v>
      </c>
      <c r="G2154">
        <v>0</v>
      </c>
      <c r="H2154">
        <v>350</v>
      </c>
      <c r="I2154">
        <f t="shared" si="316"/>
        <v>2151</v>
      </c>
      <c r="J2154" s="6">
        <f t="array" aca="1" ref="J2154:N2154" ca="1">TRANSPOSE(ols(OFFSET($C$2:$C$10,I2154,0),OFFSET($D$2:$H$10,I2154,0)))</f>
        <v>119.16666666666606</v>
      </c>
      <c r="K2154" s="6">
        <f ca="1"/>
        <v>0</v>
      </c>
      <c r="L2154" s="6">
        <f ca="1"/>
        <v>1.6666666666669698</v>
      </c>
      <c r="M2154" s="6">
        <f ca="1"/>
        <v>-13.33333333333303</v>
      </c>
      <c r="N2154" s="6">
        <f ca="1"/>
        <v>-8.3333333333335702E-2</v>
      </c>
      <c r="O2154" s="6">
        <f t="shared" ca="1" si="308"/>
        <v>89.999999999998565</v>
      </c>
      <c r="P2154" t="str">
        <f t="shared" si="309"/>
        <v>NA</v>
      </c>
      <c r="Q2154" s="10">
        <f t="shared" ca="1" si="310"/>
        <v>78.333333333332504</v>
      </c>
      <c r="R2154" s="10">
        <f t="shared" ca="1" si="311"/>
        <v>119.16666666666606</v>
      </c>
      <c r="S2154" s="10">
        <f t="shared" ca="1" si="312"/>
        <v>-40.833333333333556</v>
      </c>
      <c r="T2154" s="10">
        <f t="shared" ca="1" si="313"/>
        <v>489.99999999998875</v>
      </c>
      <c r="U2154" s="10">
        <f t="shared" ca="1" si="314"/>
        <v>489.99999999998875</v>
      </c>
      <c r="V2154">
        <f t="shared" si="315"/>
        <v>2</v>
      </c>
    </row>
    <row r="2155" spans="1:22" x14ac:dyDescent="0.25">
      <c r="A2155">
        <v>240</v>
      </c>
      <c r="B2155">
        <v>3</v>
      </c>
      <c r="C2155">
        <v>80</v>
      </c>
      <c r="D2155">
        <v>1</v>
      </c>
      <c r="E2155">
        <v>1</v>
      </c>
      <c r="F2155">
        <v>0</v>
      </c>
      <c r="G2155">
        <v>0</v>
      </c>
      <c r="H2155">
        <v>450</v>
      </c>
      <c r="I2155">
        <f t="shared" si="316"/>
        <v>2151</v>
      </c>
      <c r="J2155" s="6">
        <f t="array" aca="1" ref="J2155:N2155" ca="1">TRANSPOSE(ols(OFFSET($C$2:$C$10,I2155,0),OFFSET($D$2:$H$10,I2155,0)))</f>
        <v>119.16666666666606</v>
      </c>
      <c r="K2155" s="6">
        <f ca="1"/>
        <v>0</v>
      </c>
      <c r="L2155" s="6">
        <f ca="1"/>
        <v>1.6666666666669698</v>
      </c>
      <c r="M2155" s="6">
        <f ca="1"/>
        <v>-13.33333333333303</v>
      </c>
      <c r="N2155" s="6">
        <f ca="1"/>
        <v>-8.3333333333335702E-2</v>
      </c>
      <c r="O2155" s="6">
        <f t="shared" ca="1" si="308"/>
        <v>81.666666666664995</v>
      </c>
      <c r="P2155" t="str">
        <f t="shared" si="309"/>
        <v>NA</v>
      </c>
      <c r="Q2155" s="10">
        <f t="shared" ca="1" si="310"/>
        <v>78.333333333332504</v>
      </c>
      <c r="R2155" s="10">
        <f t="shared" ca="1" si="311"/>
        <v>119.16666666666606</v>
      </c>
      <c r="S2155" s="10">
        <f t="shared" ca="1" si="312"/>
        <v>-40.833333333333556</v>
      </c>
      <c r="T2155" s="10">
        <f t="shared" ca="1" si="313"/>
        <v>489.99999999998875</v>
      </c>
      <c r="U2155" s="10">
        <f t="shared" ca="1" si="314"/>
        <v>489.99999999998875</v>
      </c>
      <c r="V2155">
        <f t="shared" si="315"/>
        <v>2</v>
      </c>
    </row>
    <row r="2156" spans="1:22" x14ac:dyDescent="0.25">
      <c r="A2156">
        <v>240</v>
      </c>
      <c r="B2156">
        <v>4</v>
      </c>
      <c r="C2156">
        <v>75</v>
      </c>
      <c r="D2156">
        <v>1</v>
      </c>
      <c r="E2156">
        <v>0</v>
      </c>
      <c r="F2156">
        <v>0</v>
      </c>
      <c r="G2156">
        <v>0</v>
      </c>
      <c r="H2156">
        <v>550</v>
      </c>
      <c r="I2156">
        <f t="shared" si="316"/>
        <v>2151</v>
      </c>
      <c r="J2156" s="6">
        <f t="array" aca="1" ref="J2156:N2156" ca="1">TRANSPOSE(ols(OFFSET($C$2:$C$10,I2156,0),OFFSET($D$2:$H$10,I2156,0)))</f>
        <v>119.16666666666606</v>
      </c>
      <c r="K2156" s="6">
        <f ca="1"/>
        <v>0</v>
      </c>
      <c r="L2156" s="6">
        <f ca="1"/>
        <v>1.6666666666669698</v>
      </c>
      <c r="M2156" s="6">
        <f ca="1"/>
        <v>-13.33333333333303</v>
      </c>
      <c r="N2156" s="6">
        <f ca="1"/>
        <v>-8.3333333333335702E-2</v>
      </c>
      <c r="O2156" s="6">
        <f t="shared" ca="1" si="308"/>
        <v>73.333333333331424</v>
      </c>
      <c r="P2156" t="str">
        <f t="shared" si="309"/>
        <v>NA</v>
      </c>
      <c r="Q2156" s="10">
        <f t="shared" ca="1" si="310"/>
        <v>78.333333333332504</v>
      </c>
      <c r="R2156" s="10">
        <f t="shared" ca="1" si="311"/>
        <v>119.16666666666606</v>
      </c>
      <c r="S2156" s="10">
        <f t="shared" ca="1" si="312"/>
        <v>-40.833333333333556</v>
      </c>
      <c r="T2156" s="10">
        <f t="shared" ca="1" si="313"/>
        <v>489.99999999998875</v>
      </c>
      <c r="U2156" s="10">
        <f t="shared" ca="1" si="314"/>
        <v>489.99999999998875</v>
      </c>
      <c r="V2156">
        <f t="shared" si="315"/>
        <v>1</v>
      </c>
    </row>
    <row r="2157" spans="1:22" x14ac:dyDescent="0.25">
      <c r="A2157">
        <v>240</v>
      </c>
      <c r="B2157">
        <v>5</v>
      </c>
      <c r="C2157">
        <v>85</v>
      </c>
      <c r="D2157">
        <v>1</v>
      </c>
      <c r="E2157">
        <v>0</v>
      </c>
      <c r="F2157">
        <v>1</v>
      </c>
      <c r="G2157">
        <v>1</v>
      </c>
      <c r="H2157">
        <v>250</v>
      </c>
      <c r="I2157">
        <f t="shared" si="316"/>
        <v>2151</v>
      </c>
      <c r="J2157" s="6">
        <f t="array" aca="1" ref="J2157:N2157" ca="1">TRANSPOSE(ols(OFFSET($C$2:$C$10,I2157,0),OFFSET($D$2:$H$10,I2157,0)))</f>
        <v>119.16666666666606</v>
      </c>
      <c r="K2157" s="6">
        <f ca="1"/>
        <v>0</v>
      </c>
      <c r="L2157" s="6">
        <f ca="1"/>
        <v>1.6666666666669698</v>
      </c>
      <c r="M2157" s="6">
        <f ca="1"/>
        <v>-13.33333333333303</v>
      </c>
      <c r="N2157" s="6">
        <f ca="1"/>
        <v>-8.3333333333335702E-2</v>
      </c>
      <c r="O2157" s="6">
        <f t="shared" ca="1" si="308"/>
        <v>86.666666666666075</v>
      </c>
      <c r="P2157" t="str">
        <f t="shared" si="309"/>
        <v>NA</v>
      </c>
      <c r="Q2157" s="10">
        <f t="shared" ca="1" si="310"/>
        <v>78.333333333332504</v>
      </c>
      <c r="R2157" s="10">
        <f t="shared" ca="1" si="311"/>
        <v>107.5</v>
      </c>
      <c r="S2157" s="10">
        <f t="shared" ca="1" si="312"/>
        <v>-29.166666666667496</v>
      </c>
      <c r="T2157" s="10">
        <f t="shared" ca="1" si="313"/>
        <v>350</v>
      </c>
      <c r="U2157" s="10">
        <f t="shared" ca="1" si="314"/>
        <v>350</v>
      </c>
      <c r="V2157">
        <f t="shared" si="315"/>
        <v>6</v>
      </c>
    </row>
    <row r="2158" spans="1:22" x14ac:dyDescent="0.25">
      <c r="A2158">
        <v>240</v>
      </c>
      <c r="B2158">
        <v>6</v>
      </c>
      <c r="C2158">
        <v>80</v>
      </c>
      <c r="D2158">
        <v>1</v>
      </c>
      <c r="E2158">
        <v>0</v>
      </c>
      <c r="F2158">
        <v>1</v>
      </c>
      <c r="G2158">
        <v>1</v>
      </c>
      <c r="H2158">
        <v>350</v>
      </c>
      <c r="I2158">
        <f t="shared" si="316"/>
        <v>2151</v>
      </c>
      <c r="J2158" s="6">
        <f t="array" aca="1" ref="J2158:N2158" ca="1">TRANSPOSE(ols(OFFSET($C$2:$C$10,I2158,0),OFFSET($D$2:$H$10,I2158,0)))</f>
        <v>119.16666666666606</v>
      </c>
      <c r="K2158" s="6">
        <f ca="1"/>
        <v>0</v>
      </c>
      <c r="L2158" s="6">
        <f ca="1"/>
        <v>1.6666666666669698</v>
      </c>
      <c r="M2158" s="6">
        <f ca="1"/>
        <v>-13.33333333333303</v>
      </c>
      <c r="N2158" s="6">
        <f ca="1"/>
        <v>-8.3333333333335702E-2</v>
      </c>
      <c r="O2158" s="6">
        <f t="shared" ca="1" si="308"/>
        <v>78.333333333332504</v>
      </c>
      <c r="P2158">
        <f t="shared" ca="1" si="309"/>
        <v>78.333333333332504</v>
      </c>
      <c r="Q2158" s="10">
        <f t="shared" ca="1" si="310"/>
        <v>78.333333333332504</v>
      </c>
      <c r="R2158" s="10">
        <f t="shared" ca="1" si="311"/>
        <v>107.5</v>
      </c>
      <c r="S2158" s="10">
        <f t="shared" ca="1" si="312"/>
        <v>-29.166666666667496</v>
      </c>
      <c r="T2158" s="10">
        <f t="shared" ca="1" si="313"/>
        <v>350</v>
      </c>
      <c r="U2158" s="10">
        <f t="shared" ca="1" si="314"/>
        <v>350</v>
      </c>
      <c r="V2158">
        <f t="shared" si="315"/>
        <v>6</v>
      </c>
    </row>
    <row r="2159" spans="1:22" x14ac:dyDescent="0.25">
      <c r="A2159">
        <v>240</v>
      </c>
      <c r="B2159">
        <v>7</v>
      </c>
      <c r="C2159">
        <v>70</v>
      </c>
      <c r="D2159">
        <v>1</v>
      </c>
      <c r="E2159">
        <v>1</v>
      </c>
      <c r="F2159">
        <v>0</v>
      </c>
      <c r="G2159">
        <v>1</v>
      </c>
      <c r="H2159">
        <v>450</v>
      </c>
      <c r="I2159">
        <f t="shared" si="316"/>
        <v>2151</v>
      </c>
      <c r="J2159" s="6">
        <f t="array" aca="1" ref="J2159:N2159" ca="1">TRANSPOSE(ols(OFFSET($C$2:$C$10,I2159,0),OFFSET($D$2:$H$10,I2159,0)))</f>
        <v>119.16666666666606</v>
      </c>
      <c r="K2159" s="6">
        <f ca="1"/>
        <v>0</v>
      </c>
      <c r="L2159" s="6">
        <f ca="1"/>
        <v>1.6666666666669698</v>
      </c>
      <c r="M2159" s="6">
        <f ca="1"/>
        <v>-13.33333333333303</v>
      </c>
      <c r="N2159" s="6">
        <f ca="1"/>
        <v>-8.3333333333335702E-2</v>
      </c>
      <c r="O2159" s="6">
        <f t="shared" ca="1" si="308"/>
        <v>68.333333333331964</v>
      </c>
      <c r="P2159" t="str">
        <f t="shared" si="309"/>
        <v>NA</v>
      </c>
      <c r="Q2159" s="10">
        <f t="shared" ca="1" si="310"/>
        <v>78.333333333332504</v>
      </c>
      <c r="R2159" s="10">
        <f t="shared" ca="1" si="311"/>
        <v>105.83333333333303</v>
      </c>
      <c r="S2159" s="10">
        <f t="shared" ca="1" si="312"/>
        <v>-27.500000000000526</v>
      </c>
      <c r="T2159" s="10">
        <f t="shared" ca="1" si="313"/>
        <v>329.99999999999693</v>
      </c>
      <c r="U2159" s="10">
        <f t="shared" ca="1" si="314"/>
        <v>329.99999999999693</v>
      </c>
      <c r="V2159">
        <f t="shared" si="315"/>
        <v>5</v>
      </c>
    </row>
    <row r="2160" spans="1:22" x14ac:dyDescent="0.25">
      <c r="A2160">
        <v>240</v>
      </c>
      <c r="B2160">
        <v>8</v>
      </c>
      <c r="C2160">
        <v>60</v>
      </c>
      <c r="D2160">
        <v>1</v>
      </c>
      <c r="E2160">
        <v>1</v>
      </c>
      <c r="F2160">
        <v>0</v>
      </c>
      <c r="G2160">
        <v>1</v>
      </c>
      <c r="H2160">
        <v>550</v>
      </c>
      <c r="I2160">
        <f t="shared" si="316"/>
        <v>2151</v>
      </c>
      <c r="J2160" s="6">
        <f t="array" aca="1" ref="J2160:N2160" ca="1">TRANSPOSE(ols(OFFSET($C$2:$C$10,I2160,0),OFFSET($D$2:$H$10,I2160,0)))</f>
        <v>119.16666666666606</v>
      </c>
      <c r="K2160" s="6">
        <f ca="1"/>
        <v>0</v>
      </c>
      <c r="L2160" s="6">
        <f ca="1"/>
        <v>1.6666666666669698</v>
      </c>
      <c r="M2160" s="6">
        <f ca="1"/>
        <v>-13.33333333333303</v>
      </c>
      <c r="N2160" s="6">
        <f ca="1"/>
        <v>-8.3333333333335702E-2</v>
      </c>
      <c r="O2160" s="6">
        <f t="shared" ca="1" si="308"/>
        <v>59.999999999998394</v>
      </c>
      <c r="P2160" t="str">
        <f t="shared" si="309"/>
        <v>NA</v>
      </c>
      <c r="Q2160" s="10">
        <f t="shared" ca="1" si="310"/>
        <v>78.333333333332504</v>
      </c>
      <c r="R2160" s="10">
        <f t="shared" ca="1" si="311"/>
        <v>105.83333333333303</v>
      </c>
      <c r="S2160" s="10">
        <f t="shared" ca="1" si="312"/>
        <v>-27.500000000000526</v>
      </c>
      <c r="T2160" s="10">
        <f t="shared" ca="1" si="313"/>
        <v>329.99999999999693</v>
      </c>
      <c r="U2160" s="10">
        <f t="shared" ca="1" si="314"/>
        <v>329.99999999999693</v>
      </c>
      <c r="V2160">
        <f t="shared" si="315"/>
        <v>5</v>
      </c>
    </row>
    <row r="2161" spans="1:22" x14ac:dyDescent="0.25">
      <c r="A2161">
        <v>240</v>
      </c>
      <c r="B2161">
        <v>9</v>
      </c>
      <c r="C2161">
        <v>50</v>
      </c>
      <c r="D2161">
        <v>1</v>
      </c>
      <c r="E2161">
        <v>0</v>
      </c>
      <c r="F2161">
        <v>0</v>
      </c>
      <c r="G2161">
        <v>1</v>
      </c>
      <c r="H2161">
        <v>650</v>
      </c>
      <c r="I2161">
        <f t="shared" si="316"/>
        <v>2151</v>
      </c>
      <c r="J2161" s="6">
        <f t="array" aca="1" ref="J2161:N2161" ca="1">TRANSPOSE(ols(OFFSET($C$2:$C$10,I2161,0),OFFSET($D$2:$H$10,I2161,0)))</f>
        <v>119.16666666666606</v>
      </c>
      <c r="K2161" s="6">
        <f ca="1"/>
        <v>0</v>
      </c>
      <c r="L2161" s="6">
        <f ca="1"/>
        <v>1.6666666666669698</v>
      </c>
      <c r="M2161" s="6">
        <f ca="1"/>
        <v>-13.33333333333303</v>
      </c>
      <c r="N2161" s="6">
        <f ca="1"/>
        <v>-8.3333333333335702E-2</v>
      </c>
      <c r="O2161" s="6">
        <f t="shared" ca="1" si="308"/>
        <v>51.666666666664824</v>
      </c>
      <c r="P2161" t="str">
        <f t="shared" si="309"/>
        <v>NA</v>
      </c>
      <c r="Q2161" s="10">
        <f t="shared" ca="1" si="310"/>
        <v>78.333333333332504</v>
      </c>
      <c r="R2161" s="10">
        <f t="shared" ca="1" si="311"/>
        <v>105.83333333333303</v>
      </c>
      <c r="S2161" s="10">
        <f t="shared" ca="1" si="312"/>
        <v>-27.500000000000526</v>
      </c>
      <c r="T2161" s="10">
        <f t="shared" ca="1" si="313"/>
        <v>329.99999999999693</v>
      </c>
      <c r="U2161" s="10">
        <f t="shared" ca="1" si="314"/>
        <v>329.99999999999693</v>
      </c>
      <c r="V2161">
        <f t="shared" si="315"/>
        <v>4</v>
      </c>
    </row>
    <row r="2162" spans="1:22" x14ac:dyDescent="0.25">
      <c r="A2162">
        <v>241</v>
      </c>
      <c r="B2162">
        <v>1</v>
      </c>
      <c r="C2162">
        <v>90</v>
      </c>
      <c r="D2162">
        <v>1</v>
      </c>
      <c r="E2162">
        <v>0</v>
      </c>
      <c r="F2162">
        <v>1</v>
      </c>
      <c r="G2162">
        <v>0</v>
      </c>
      <c r="H2162">
        <v>250</v>
      </c>
      <c r="I2162">
        <f t="shared" si="316"/>
        <v>2160</v>
      </c>
      <c r="J2162" s="6">
        <f t="array" aca="1" ref="J2162:N2162" ca="1">TRANSPOSE(ols(OFFSET($C$2:$C$10,I2162,0),OFFSET($D$2:$H$10,I2162,0)))</f>
        <v>122.38095238095048</v>
      </c>
      <c r="K2162" s="6">
        <f ca="1"/>
        <v>-1.0714285714284415</v>
      </c>
      <c r="L2162" s="6">
        <f ca="1"/>
        <v>-2.6190476190486152</v>
      </c>
      <c r="M2162" s="6">
        <f ca="1"/>
        <v>-21.190476190475465</v>
      </c>
      <c r="N2162" s="6">
        <f ca="1"/>
        <v>-9.0476190476191931E-2</v>
      </c>
      <c r="O2162" s="6">
        <f t="shared" ca="1" si="308"/>
        <v>97.14285714285387</v>
      </c>
      <c r="P2162" t="str">
        <f t="shared" si="309"/>
        <v>NA</v>
      </c>
      <c r="Q2162" s="10">
        <f t="shared" ca="1" si="310"/>
        <v>66.904761904759226</v>
      </c>
      <c r="R2162" s="10">
        <f t="shared" ca="1" si="311"/>
        <v>119.76190476190186</v>
      </c>
      <c r="S2162" s="10">
        <f t="shared" ca="1" si="312"/>
        <v>-52.857142857142634</v>
      </c>
      <c r="T2162" s="10">
        <f t="shared" ca="1" si="313"/>
        <v>584.21052631577766</v>
      </c>
      <c r="U2162" s="10">
        <f t="shared" ca="1" si="314"/>
        <v>584.21052631577766</v>
      </c>
      <c r="V2162">
        <f t="shared" si="315"/>
        <v>3</v>
      </c>
    </row>
    <row r="2163" spans="1:22" x14ac:dyDescent="0.25">
      <c r="A2163">
        <v>241</v>
      </c>
      <c r="B2163">
        <v>2</v>
      </c>
      <c r="C2163">
        <v>90</v>
      </c>
      <c r="D2163">
        <v>1</v>
      </c>
      <c r="E2163">
        <v>1</v>
      </c>
      <c r="F2163">
        <v>0</v>
      </c>
      <c r="G2163">
        <v>0</v>
      </c>
      <c r="H2163">
        <v>350</v>
      </c>
      <c r="I2163">
        <f t="shared" si="316"/>
        <v>2160</v>
      </c>
      <c r="J2163" s="6">
        <f t="array" aca="1" ref="J2163:N2163" ca="1">TRANSPOSE(ols(OFFSET($C$2:$C$10,I2163,0),OFFSET($D$2:$H$10,I2163,0)))</f>
        <v>122.38095238095048</v>
      </c>
      <c r="K2163" s="6">
        <f ca="1"/>
        <v>-1.0714285714284415</v>
      </c>
      <c r="L2163" s="6">
        <f ca="1"/>
        <v>-2.6190476190486152</v>
      </c>
      <c r="M2163" s="6">
        <f ca="1"/>
        <v>-21.190476190475465</v>
      </c>
      <c r="N2163" s="6">
        <f ca="1"/>
        <v>-9.0476190476191931E-2</v>
      </c>
      <c r="O2163" s="6">
        <f t="shared" ca="1" si="308"/>
        <v>89.642857142854865</v>
      </c>
      <c r="P2163" t="str">
        <f t="shared" si="309"/>
        <v>NA</v>
      </c>
      <c r="Q2163" s="10">
        <f t="shared" ca="1" si="310"/>
        <v>66.904761904759226</v>
      </c>
      <c r="R2163" s="10">
        <f t="shared" ca="1" si="311"/>
        <v>121.30952380952203</v>
      </c>
      <c r="S2163" s="10">
        <f t="shared" ca="1" si="312"/>
        <v>-54.404761904762807</v>
      </c>
      <c r="T2163" s="10">
        <f t="shared" ca="1" si="313"/>
        <v>601.3157894736845</v>
      </c>
      <c r="U2163" s="10">
        <f t="shared" ca="1" si="314"/>
        <v>601.3157894736845</v>
      </c>
      <c r="V2163">
        <f t="shared" si="315"/>
        <v>2</v>
      </c>
    </row>
    <row r="2164" spans="1:22" x14ac:dyDescent="0.25">
      <c r="A2164">
        <v>241</v>
      </c>
      <c r="B2164">
        <v>3</v>
      </c>
      <c r="C2164">
        <v>85</v>
      </c>
      <c r="D2164">
        <v>1</v>
      </c>
      <c r="E2164">
        <v>1</v>
      </c>
      <c r="F2164">
        <v>0</v>
      </c>
      <c r="G2164">
        <v>0</v>
      </c>
      <c r="H2164">
        <v>450</v>
      </c>
      <c r="I2164">
        <f t="shared" si="316"/>
        <v>2160</v>
      </c>
      <c r="J2164" s="6">
        <f t="array" aca="1" ref="J2164:N2164" ca="1">TRANSPOSE(ols(OFFSET($C$2:$C$10,I2164,0),OFFSET($D$2:$H$10,I2164,0)))</f>
        <v>122.38095238095048</v>
      </c>
      <c r="K2164" s="6">
        <f ca="1"/>
        <v>-1.0714285714284415</v>
      </c>
      <c r="L2164" s="6">
        <f ca="1"/>
        <v>-2.6190476190486152</v>
      </c>
      <c r="M2164" s="6">
        <f ca="1"/>
        <v>-21.190476190475465</v>
      </c>
      <c r="N2164" s="6">
        <f ca="1"/>
        <v>-9.0476190476191931E-2</v>
      </c>
      <c r="O2164" s="6">
        <f t="shared" ca="1" si="308"/>
        <v>80.595238095235658</v>
      </c>
      <c r="P2164" t="str">
        <f t="shared" si="309"/>
        <v>NA</v>
      </c>
      <c r="Q2164" s="10">
        <f t="shared" ca="1" si="310"/>
        <v>66.904761904759226</v>
      </c>
      <c r="R2164" s="10">
        <f t="shared" ca="1" si="311"/>
        <v>121.30952380952203</v>
      </c>
      <c r="S2164" s="10">
        <f t="shared" ca="1" si="312"/>
        <v>-54.404761904762807</v>
      </c>
      <c r="T2164" s="10">
        <f t="shared" ca="1" si="313"/>
        <v>601.3157894736845</v>
      </c>
      <c r="U2164" s="10">
        <f t="shared" ca="1" si="314"/>
        <v>601.3157894736845</v>
      </c>
      <c r="V2164">
        <f t="shared" si="315"/>
        <v>2</v>
      </c>
    </row>
    <row r="2165" spans="1:22" x14ac:dyDescent="0.25">
      <c r="A2165">
        <v>241</v>
      </c>
      <c r="B2165">
        <v>4</v>
      </c>
      <c r="C2165">
        <v>75</v>
      </c>
      <c r="D2165">
        <v>1</v>
      </c>
      <c r="E2165">
        <v>0</v>
      </c>
      <c r="F2165">
        <v>0</v>
      </c>
      <c r="G2165">
        <v>0</v>
      </c>
      <c r="H2165">
        <v>550</v>
      </c>
      <c r="I2165">
        <f t="shared" si="316"/>
        <v>2160</v>
      </c>
      <c r="J2165" s="6">
        <f t="array" aca="1" ref="J2165:N2165" ca="1">TRANSPOSE(ols(OFFSET($C$2:$C$10,I2165,0),OFFSET($D$2:$H$10,I2165,0)))</f>
        <v>122.38095238095048</v>
      </c>
      <c r="K2165" s="6">
        <f ca="1"/>
        <v>-1.0714285714284415</v>
      </c>
      <c r="L2165" s="6">
        <f ca="1"/>
        <v>-2.6190476190486152</v>
      </c>
      <c r="M2165" s="6">
        <f ca="1"/>
        <v>-21.190476190475465</v>
      </c>
      <c r="N2165" s="6">
        <f ca="1"/>
        <v>-9.0476190476191931E-2</v>
      </c>
      <c r="O2165" s="6">
        <f t="shared" ca="1" si="308"/>
        <v>72.61904761904492</v>
      </c>
      <c r="P2165" t="str">
        <f t="shared" si="309"/>
        <v>NA</v>
      </c>
      <c r="Q2165" s="10">
        <f t="shared" ca="1" si="310"/>
        <v>66.904761904759226</v>
      </c>
      <c r="R2165" s="10">
        <f t="shared" ca="1" si="311"/>
        <v>122.38095238095048</v>
      </c>
      <c r="S2165" s="10">
        <f t="shared" ca="1" si="312"/>
        <v>-55.476190476191249</v>
      </c>
      <c r="T2165" s="10">
        <f t="shared" ca="1" si="313"/>
        <v>613.15789473684083</v>
      </c>
      <c r="U2165" s="10">
        <f t="shared" ca="1" si="314"/>
        <v>613.15789473684083</v>
      </c>
      <c r="V2165">
        <f t="shared" si="315"/>
        <v>1</v>
      </c>
    </row>
    <row r="2166" spans="1:22" x14ac:dyDescent="0.25">
      <c r="A2166">
        <v>241</v>
      </c>
      <c r="B2166">
        <v>5</v>
      </c>
      <c r="C2166">
        <v>80</v>
      </c>
      <c r="D2166">
        <v>1</v>
      </c>
      <c r="E2166">
        <v>0</v>
      </c>
      <c r="F2166">
        <v>1</v>
      </c>
      <c r="G2166">
        <v>1</v>
      </c>
      <c r="H2166">
        <v>250</v>
      </c>
      <c r="I2166">
        <f t="shared" si="316"/>
        <v>2160</v>
      </c>
      <c r="J2166" s="6">
        <f t="array" aca="1" ref="J2166:N2166" ca="1">TRANSPOSE(ols(OFFSET($C$2:$C$10,I2166,0),OFFSET($D$2:$H$10,I2166,0)))</f>
        <v>122.38095238095048</v>
      </c>
      <c r="K2166" s="6">
        <f ca="1"/>
        <v>-1.0714285714284415</v>
      </c>
      <c r="L2166" s="6">
        <f ca="1"/>
        <v>-2.6190476190486152</v>
      </c>
      <c r="M2166" s="6">
        <f ca="1"/>
        <v>-21.190476190475465</v>
      </c>
      <c r="N2166" s="6">
        <f ca="1"/>
        <v>-9.0476190476191931E-2</v>
      </c>
      <c r="O2166" s="6">
        <f t="shared" ca="1" si="308"/>
        <v>75.952380952378405</v>
      </c>
      <c r="P2166" t="str">
        <f t="shared" si="309"/>
        <v>NA</v>
      </c>
      <c r="Q2166" s="10">
        <f t="shared" ca="1" si="310"/>
        <v>66.904761904759226</v>
      </c>
      <c r="R2166" s="10">
        <f t="shared" ca="1" si="311"/>
        <v>98.571428571426395</v>
      </c>
      <c r="S2166" s="10">
        <f t="shared" ca="1" si="312"/>
        <v>-31.666666666667169</v>
      </c>
      <c r="T2166" s="10">
        <f t="shared" ca="1" si="313"/>
        <v>349.99999999999994</v>
      </c>
      <c r="U2166" s="10">
        <f t="shared" ca="1" si="314"/>
        <v>349.99999999999994</v>
      </c>
      <c r="V2166">
        <f t="shared" si="315"/>
        <v>6</v>
      </c>
    </row>
    <row r="2167" spans="1:22" x14ac:dyDescent="0.25">
      <c r="A2167">
        <v>241</v>
      </c>
      <c r="B2167">
        <v>6</v>
      </c>
      <c r="C2167">
        <v>70</v>
      </c>
      <c r="D2167">
        <v>1</v>
      </c>
      <c r="E2167">
        <v>0</v>
      </c>
      <c r="F2167">
        <v>1</v>
      </c>
      <c r="G2167">
        <v>1</v>
      </c>
      <c r="H2167">
        <v>350</v>
      </c>
      <c r="I2167">
        <f t="shared" si="316"/>
        <v>2160</v>
      </c>
      <c r="J2167" s="6">
        <f t="array" aca="1" ref="J2167:N2167" ca="1">TRANSPOSE(ols(OFFSET($C$2:$C$10,I2167,0),OFFSET($D$2:$H$10,I2167,0)))</f>
        <v>122.38095238095048</v>
      </c>
      <c r="K2167" s="6">
        <f ca="1"/>
        <v>-1.0714285714284415</v>
      </c>
      <c r="L2167" s="6">
        <f ca="1"/>
        <v>-2.6190476190486152</v>
      </c>
      <c r="M2167" s="6">
        <f ca="1"/>
        <v>-21.190476190475465</v>
      </c>
      <c r="N2167" s="6">
        <f ca="1"/>
        <v>-9.0476190476191931E-2</v>
      </c>
      <c r="O2167" s="6">
        <f t="shared" ca="1" si="308"/>
        <v>66.904761904759226</v>
      </c>
      <c r="P2167">
        <f t="shared" ca="1" si="309"/>
        <v>66.904761904759226</v>
      </c>
      <c r="Q2167" s="10">
        <f t="shared" ca="1" si="310"/>
        <v>66.904761904759226</v>
      </c>
      <c r="R2167" s="10">
        <f t="shared" ca="1" si="311"/>
        <v>98.571428571426395</v>
      </c>
      <c r="S2167" s="10">
        <f t="shared" ca="1" si="312"/>
        <v>-31.666666666667169</v>
      </c>
      <c r="T2167" s="10">
        <f t="shared" ca="1" si="313"/>
        <v>349.99999999999994</v>
      </c>
      <c r="U2167" s="10">
        <f t="shared" ca="1" si="314"/>
        <v>349.99999999999994</v>
      </c>
      <c r="V2167">
        <f t="shared" si="315"/>
        <v>6</v>
      </c>
    </row>
    <row r="2168" spans="1:22" x14ac:dyDescent="0.25">
      <c r="A2168">
        <v>241</v>
      </c>
      <c r="B2168">
        <v>7</v>
      </c>
      <c r="C2168">
        <v>55</v>
      </c>
      <c r="D2168">
        <v>1</v>
      </c>
      <c r="E2168">
        <v>1</v>
      </c>
      <c r="F2168">
        <v>0</v>
      </c>
      <c r="G2168">
        <v>1</v>
      </c>
      <c r="H2168">
        <v>450</v>
      </c>
      <c r="I2168">
        <f t="shared" si="316"/>
        <v>2160</v>
      </c>
      <c r="J2168" s="6">
        <f t="array" aca="1" ref="J2168:N2168" ca="1">TRANSPOSE(ols(OFFSET($C$2:$C$10,I2168,0),OFFSET($D$2:$H$10,I2168,0)))</f>
        <v>122.38095238095048</v>
      </c>
      <c r="K2168" s="6">
        <f ca="1"/>
        <v>-1.0714285714284415</v>
      </c>
      <c r="L2168" s="6">
        <f ca="1"/>
        <v>-2.6190476190486152</v>
      </c>
      <c r="M2168" s="6">
        <f ca="1"/>
        <v>-21.190476190475465</v>
      </c>
      <c r="N2168" s="6">
        <f ca="1"/>
        <v>-9.0476190476191931E-2</v>
      </c>
      <c r="O2168" s="6">
        <f t="shared" ca="1" si="308"/>
        <v>59.4047619047602</v>
      </c>
      <c r="P2168" t="str">
        <f t="shared" si="309"/>
        <v>NA</v>
      </c>
      <c r="Q2168" s="10">
        <f t="shared" ca="1" si="310"/>
        <v>66.904761904759226</v>
      </c>
      <c r="R2168" s="10">
        <f t="shared" ca="1" si="311"/>
        <v>100.11904761904657</v>
      </c>
      <c r="S2168" s="10">
        <f t="shared" ca="1" si="312"/>
        <v>-33.214285714287342</v>
      </c>
      <c r="T2168" s="10">
        <f t="shared" ca="1" si="313"/>
        <v>367.10526315790685</v>
      </c>
      <c r="U2168" s="10">
        <f t="shared" ca="1" si="314"/>
        <v>367.10526315790685</v>
      </c>
      <c r="V2168">
        <f t="shared" si="315"/>
        <v>5</v>
      </c>
    </row>
    <row r="2169" spans="1:22" x14ac:dyDescent="0.25">
      <c r="A2169">
        <v>241</v>
      </c>
      <c r="B2169">
        <v>8</v>
      </c>
      <c r="C2169">
        <v>50</v>
      </c>
      <c r="D2169">
        <v>1</v>
      </c>
      <c r="E2169">
        <v>1</v>
      </c>
      <c r="F2169">
        <v>0</v>
      </c>
      <c r="G2169">
        <v>1</v>
      </c>
      <c r="H2169">
        <v>550</v>
      </c>
      <c r="I2169">
        <f t="shared" si="316"/>
        <v>2160</v>
      </c>
      <c r="J2169" s="6">
        <f t="array" aca="1" ref="J2169:N2169" ca="1">TRANSPOSE(ols(OFFSET($C$2:$C$10,I2169,0),OFFSET($D$2:$H$10,I2169,0)))</f>
        <v>122.38095238095048</v>
      </c>
      <c r="K2169" s="6">
        <f ca="1"/>
        <v>-1.0714285714284415</v>
      </c>
      <c r="L2169" s="6">
        <f ca="1"/>
        <v>-2.6190476190486152</v>
      </c>
      <c r="M2169" s="6">
        <f ca="1"/>
        <v>-21.190476190475465</v>
      </c>
      <c r="N2169" s="6">
        <f ca="1"/>
        <v>-9.0476190476191931E-2</v>
      </c>
      <c r="O2169" s="6">
        <f t="shared" ca="1" si="308"/>
        <v>50.357142857141007</v>
      </c>
      <c r="P2169" t="str">
        <f t="shared" si="309"/>
        <v>NA</v>
      </c>
      <c r="Q2169" s="10">
        <f t="shared" ca="1" si="310"/>
        <v>66.904761904759226</v>
      </c>
      <c r="R2169" s="10">
        <f t="shared" ca="1" si="311"/>
        <v>100.11904761904657</v>
      </c>
      <c r="S2169" s="10">
        <f t="shared" ca="1" si="312"/>
        <v>-33.214285714287342</v>
      </c>
      <c r="T2169" s="10">
        <f t="shared" ca="1" si="313"/>
        <v>367.10526315790685</v>
      </c>
      <c r="U2169" s="10">
        <f t="shared" ca="1" si="314"/>
        <v>367.10526315790685</v>
      </c>
      <c r="V2169">
        <f t="shared" si="315"/>
        <v>5</v>
      </c>
    </row>
    <row r="2170" spans="1:22" x14ac:dyDescent="0.25">
      <c r="A2170">
        <v>241</v>
      </c>
      <c r="B2170">
        <v>9</v>
      </c>
      <c r="C2170">
        <v>40</v>
      </c>
      <c r="D2170">
        <v>1</v>
      </c>
      <c r="E2170">
        <v>0</v>
      </c>
      <c r="F2170">
        <v>0</v>
      </c>
      <c r="G2170">
        <v>1</v>
      </c>
      <c r="H2170">
        <v>650</v>
      </c>
      <c r="I2170">
        <f t="shared" si="316"/>
        <v>2160</v>
      </c>
      <c r="J2170" s="6">
        <f t="array" aca="1" ref="J2170:N2170" ca="1">TRANSPOSE(ols(OFFSET($C$2:$C$10,I2170,0),OFFSET($D$2:$H$10,I2170,0)))</f>
        <v>122.38095238095048</v>
      </c>
      <c r="K2170" s="6">
        <f ca="1"/>
        <v>-1.0714285714284415</v>
      </c>
      <c r="L2170" s="6">
        <f ca="1"/>
        <v>-2.6190476190486152</v>
      </c>
      <c r="M2170" s="6">
        <f ca="1"/>
        <v>-21.190476190475465</v>
      </c>
      <c r="N2170" s="6">
        <f ca="1"/>
        <v>-9.0476190476191931E-2</v>
      </c>
      <c r="O2170" s="6">
        <f t="shared" ca="1" si="308"/>
        <v>42.380952380950255</v>
      </c>
      <c r="P2170" t="str">
        <f t="shared" si="309"/>
        <v>NA</v>
      </c>
      <c r="Q2170" s="10">
        <f t="shared" ca="1" si="310"/>
        <v>66.904761904759226</v>
      </c>
      <c r="R2170" s="10">
        <f t="shared" ca="1" si="311"/>
        <v>101.19047619047501</v>
      </c>
      <c r="S2170" s="10">
        <f t="shared" ca="1" si="312"/>
        <v>-34.285714285715784</v>
      </c>
      <c r="T2170" s="10">
        <f t="shared" ca="1" si="313"/>
        <v>378.94736842106312</v>
      </c>
      <c r="U2170" s="10">
        <f t="shared" ca="1" si="314"/>
        <v>378.94736842106312</v>
      </c>
      <c r="V2170">
        <f t="shared" si="315"/>
        <v>4</v>
      </c>
    </row>
    <row r="2171" spans="1:22" x14ac:dyDescent="0.25">
      <c r="A2171">
        <v>242</v>
      </c>
      <c r="B2171">
        <v>1</v>
      </c>
      <c r="C2171">
        <v>63</v>
      </c>
      <c r="D2171">
        <v>1</v>
      </c>
      <c r="E2171">
        <v>0</v>
      </c>
      <c r="F2171">
        <v>1</v>
      </c>
      <c r="G2171">
        <v>0</v>
      </c>
      <c r="H2171">
        <v>250</v>
      </c>
      <c r="I2171">
        <f t="shared" si="316"/>
        <v>2169</v>
      </c>
      <c r="J2171" s="6">
        <f t="array" aca="1" ref="J2171:N2171" ca="1">TRANSPOSE(ols(OFFSET($C$2:$C$10,I2171,0),OFFSET($D$2:$H$10,I2171,0)))</f>
        <v>153.76190476190277</v>
      </c>
      <c r="K2171" s="6">
        <f ca="1"/>
        <v>-3.6428571428562009</v>
      </c>
      <c r="L2171" s="6">
        <f ca="1"/>
        <v>-12.738095238093592</v>
      </c>
      <c r="M2171" s="6">
        <f ca="1"/>
        <v>20.119047619047706</v>
      </c>
      <c r="N2171" s="6">
        <f ca="1"/>
        <v>-0.27095238095237839</v>
      </c>
      <c r="O2171" s="6">
        <f t="shared" ca="1" si="308"/>
        <v>73.285714285714576</v>
      </c>
      <c r="P2171" t="str">
        <f t="shared" si="309"/>
        <v>NA</v>
      </c>
      <c r="Q2171" s="10">
        <f t="shared" ca="1" si="310"/>
        <v>66.30952380952445</v>
      </c>
      <c r="R2171" s="10">
        <f t="shared" ca="1" si="311"/>
        <v>141.02380952380918</v>
      </c>
      <c r="S2171" s="10">
        <f t="shared" ca="1" si="312"/>
        <v>-74.714285714284728</v>
      </c>
      <c r="T2171" s="10">
        <f t="shared" ca="1" si="313"/>
        <v>275.74692442882144</v>
      </c>
      <c r="U2171" s="10">
        <f t="shared" ca="1" si="314"/>
        <v>275.74692442882144</v>
      </c>
      <c r="V2171">
        <f t="shared" si="315"/>
        <v>3</v>
      </c>
    </row>
    <row r="2172" spans="1:22" x14ac:dyDescent="0.25">
      <c r="A2172">
        <v>242</v>
      </c>
      <c r="B2172">
        <v>2</v>
      </c>
      <c r="C2172">
        <v>63.5</v>
      </c>
      <c r="D2172">
        <v>1</v>
      </c>
      <c r="E2172">
        <v>1</v>
      </c>
      <c r="F2172">
        <v>0</v>
      </c>
      <c r="G2172">
        <v>0</v>
      </c>
      <c r="H2172">
        <v>350</v>
      </c>
      <c r="I2172">
        <f t="shared" si="316"/>
        <v>2169</v>
      </c>
      <c r="J2172" s="6">
        <f t="array" aca="1" ref="J2172:N2172" ca="1">TRANSPOSE(ols(OFFSET($C$2:$C$10,I2172,0),OFFSET($D$2:$H$10,I2172,0)))</f>
        <v>153.76190476190277</v>
      </c>
      <c r="K2172" s="6">
        <f ca="1"/>
        <v>-3.6428571428562009</v>
      </c>
      <c r="L2172" s="6">
        <f ca="1"/>
        <v>-12.738095238093592</v>
      </c>
      <c r="M2172" s="6">
        <f ca="1"/>
        <v>20.119047619047706</v>
      </c>
      <c r="N2172" s="6">
        <f ca="1"/>
        <v>-0.27095238095237839</v>
      </c>
      <c r="O2172" s="6">
        <f t="shared" ca="1" si="308"/>
        <v>55.285714285714135</v>
      </c>
      <c r="P2172" t="str">
        <f t="shared" si="309"/>
        <v>NA</v>
      </c>
      <c r="Q2172" s="10">
        <f t="shared" ca="1" si="310"/>
        <v>66.30952380952445</v>
      </c>
      <c r="R2172" s="10">
        <f t="shared" ca="1" si="311"/>
        <v>150.11904761904657</v>
      </c>
      <c r="S2172" s="10">
        <f t="shared" ca="1" si="312"/>
        <v>-83.809523809522119</v>
      </c>
      <c r="T2172" s="10">
        <f t="shared" ca="1" si="313"/>
        <v>309.31458699472427</v>
      </c>
      <c r="U2172" s="10">
        <f t="shared" ca="1" si="314"/>
        <v>309.31458699472427</v>
      </c>
      <c r="V2172">
        <f t="shared" si="315"/>
        <v>2</v>
      </c>
    </row>
    <row r="2173" spans="1:22" x14ac:dyDescent="0.25">
      <c r="A2173">
        <v>242</v>
      </c>
      <c r="B2173">
        <v>3</v>
      </c>
      <c r="C2173">
        <v>32.5</v>
      </c>
      <c r="D2173">
        <v>1</v>
      </c>
      <c r="E2173">
        <v>1</v>
      </c>
      <c r="F2173">
        <v>0</v>
      </c>
      <c r="G2173">
        <v>0</v>
      </c>
      <c r="H2173">
        <v>450</v>
      </c>
      <c r="I2173">
        <f t="shared" si="316"/>
        <v>2169</v>
      </c>
      <c r="J2173" s="6">
        <f t="array" aca="1" ref="J2173:N2173" ca="1">TRANSPOSE(ols(OFFSET($C$2:$C$10,I2173,0),OFFSET($D$2:$H$10,I2173,0)))</f>
        <v>153.76190476190277</v>
      </c>
      <c r="K2173" s="6">
        <f ca="1"/>
        <v>-3.6428571428562009</v>
      </c>
      <c r="L2173" s="6">
        <f ca="1"/>
        <v>-12.738095238093592</v>
      </c>
      <c r="M2173" s="6">
        <f ca="1"/>
        <v>20.119047619047706</v>
      </c>
      <c r="N2173" s="6">
        <f ca="1"/>
        <v>-0.27095238095237839</v>
      </c>
      <c r="O2173" s="6">
        <f t="shared" ca="1" si="308"/>
        <v>28.190476190476289</v>
      </c>
      <c r="P2173" t="str">
        <f t="shared" si="309"/>
        <v>NA</v>
      </c>
      <c r="Q2173" s="10">
        <f t="shared" ca="1" si="310"/>
        <v>66.30952380952445</v>
      </c>
      <c r="R2173" s="10">
        <f t="shared" ca="1" si="311"/>
        <v>150.11904761904657</v>
      </c>
      <c r="S2173" s="10">
        <f t="shared" ca="1" si="312"/>
        <v>-83.809523809522119</v>
      </c>
      <c r="T2173" s="10">
        <f t="shared" ca="1" si="313"/>
        <v>309.31458699472427</v>
      </c>
      <c r="U2173" s="10">
        <f t="shared" ca="1" si="314"/>
        <v>309.31458699472427</v>
      </c>
      <c r="V2173">
        <f t="shared" si="315"/>
        <v>2</v>
      </c>
    </row>
    <row r="2174" spans="1:22" x14ac:dyDescent="0.25">
      <c r="A2174">
        <v>242</v>
      </c>
      <c r="B2174">
        <v>4</v>
      </c>
      <c r="C2174">
        <v>2.5</v>
      </c>
      <c r="D2174">
        <v>1</v>
      </c>
      <c r="E2174">
        <v>0</v>
      </c>
      <c r="F2174">
        <v>0</v>
      </c>
      <c r="G2174">
        <v>0</v>
      </c>
      <c r="H2174">
        <v>550</v>
      </c>
      <c r="I2174">
        <f t="shared" si="316"/>
        <v>2169</v>
      </c>
      <c r="J2174" s="6">
        <f t="array" aca="1" ref="J2174:N2174" ca="1">TRANSPOSE(ols(OFFSET($C$2:$C$10,I2174,0),OFFSET($D$2:$H$10,I2174,0)))</f>
        <v>153.76190476190277</v>
      </c>
      <c r="K2174" s="6">
        <f ca="1"/>
        <v>-3.6428571428562009</v>
      </c>
      <c r="L2174" s="6">
        <f ca="1"/>
        <v>-12.738095238093592</v>
      </c>
      <c r="M2174" s="6">
        <f ca="1"/>
        <v>20.119047619047706</v>
      </c>
      <c r="N2174" s="6">
        <f ca="1"/>
        <v>-0.27095238095237839</v>
      </c>
      <c r="O2174" s="6">
        <f t="shared" ca="1" si="308"/>
        <v>4.7380952380946439</v>
      </c>
      <c r="P2174" t="str">
        <f t="shared" si="309"/>
        <v>NA</v>
      </c>
      <c r="Q2174" s="10">
        <f t="shared" ca="1" si="310"/>
        <v>66.30952380952445</v>
      </c>
      <c r="R2174" s="10">
        <f t="shared" ca="1" si="311"/>
        <v>153.76190476190277</v>
      </c>
      <c r="S2174" s="10">
        <f t="shared" ca="1" si="312"/>
        <v>-87.45238095237832</v>
      </c>
      <c r="T2174" s="10">
        <f t="shared" ca="1" si="313"/>
        <v>322.75922671352583</v>
      </c>
      <c r="U2174" s="10">
        <f t="shared" ca="1" si="314"/>
        <v>322.75922671352583</v>
      </c>
      <c r="V2174">
        <f t="shared" si="315"/>
        <v>1</v>
      </c>
    </row>
    <row r="2175" spans="1:22" x14ac:dyDescent="0.25">
      <c r="A2175">
        <v>242</v>
      </c>
      <c r="B2175">
        <v>5</v>
      </c>
      <c r="C2175">
        <v>85</v>
      </c>
      <c r="D2175">
        <v>1</v>
      </c>
      <c r="E2175">
        <v>0</v>
      </c>
      <c r="F2175">
        <v>1</v>
      </c>
      <c r="G2175">
        <v>1</v>
      </c>
      <c r="H2175">
        <v>250</v>
      </c>
      <c r="I2175">
        <f t="shared" si="316"/>
        <v>2169</v>
      </c>
      <c r="J2175" s="6">
        <f t="array" aca="1" ref="J2175:N2175" ca="1">TRANSPOSE(ols(OFFSET($C$2:$C$10,I2175,0),OFFSET($D$2:$H$10,I2175,0)))</f>
        <v>153.76190476190277</v>
      </c>
      <c r="K2175" s="6">
        <f ca="1"/>
        <v>-3.6428571428562009</v>
      </c>
      <c r="L2175" s="6">
        <f ca="1"/>
        <v>-12.738095238093592</v>
      </c>
      <c r="M2175" s="6">
        <f ca="1"/>
        <v>20.119047619047706</v>
      </c>
      <c r="N2175" s="6">
        <f ca="1"/>
        <v>-0.27095238095237839</v>
      </c>
      <c r="O2175" s="6">
        <f t="shared" ca="1" si="308"/>
        <v>93.404761904762282</v>
      </c>
      <c r="P2175" t="str">
        <f t="shared" si="309"/>
        <v>NA</v>
      </c>
      <c r="Q2175" s="10">
        <f t="shared" ca="1" si="310"/>
        <v>66.30952380952445</v>
      </c>
      <c r="R2175" s="10">
        <f t="shared" ca="1" si="311"/>
        <v>161.14285714285688</v>
      </c>
      <c r="S2175" s="10">
        <f t="shared" ca="1" si="312"/>
        <v>-94.833333333332433</v>
      </c>
      <c r="T2175" s="10">
        <f t="shared" ca="1" si="313"/>
        <v>350</v>
      </c>
      <c r="U2175" s="10">
        <f t="shared" ca="1" si="314"/>
        <v>350</v>
      </c>
      <c r="V2175">
        <f t="shared" si="315"/>
        <v>6</v>
      </c>
    </row>
    <row r="2176" spans="1:22" x14ac:dyDescent="0.25">
      <c r="A2176">
        <v>242</v>
      </c>
      <c r="B2176">
        <v>6</v>
      </c>
      <c r="C2176">
        <v>85</v>
      </c>
      <c r="D2176">
        <v>1</v>
      </c>
      <c r="E2176">
        <v>0</v>
      </c>
      <c r="F2176">
        <v>1</v>
      </c>
      <c r="G2176">
        <v>1</v>
      </c>
      <c r="H2176">
        <v>350</v>
      </c>
      <c r="I2176">
        <f t="shared" si="316"/>
        <v>2169</v>
      </c>
      <c r="J2176" s="6">
        <f t="array" aca="1" ref="J2176:N2176" ca="1">TRANSPOSE(ols(OFFSET($C$2:$C$10,I2176,0),OFFSET($D$2:$H$10,I2176,0)))</f>
        <v>153.76190476190277</v>
      </c>
      <c r="K2176" s="6">
        <f ca="1"/>
        <v>-3.6428571428562009</v>
      </c>
      <c r="L2176" s="6">
        <f ca="1"/>
        <v>-12.738095238093592</v>
      </c>
      <c r="M2176" s="6">
        <f ca="1"/>
        <v>20.119047619047706</v>
      </c>
      <c r="N2176" s="6">
        <f ca="1"/>
        <v>-0.27095238095237839</v>
      </c>
      <c r="O2176" s="6">
        <f t="shared" ca="1" si="308"/>
        <v>66.30952380952445</v>
      </c>
      <c r="P2176">
        <f t="shared" ca="1" si="309"/>
        <v>66.30952380952445</v>
      </c>
      <c r="Q2176" s="10">
        <f t="shared" ca="1" si="310"/>
        <v>66.30952380952445</v>
      </c>
      <c r="R2176" s="10">
        <f t="shared" ca="1" si="311"/>
        <v>161.14285714285688</v>
      </c>
      <c r="S2176" s="10">
        <f t="shared" ca="1" si="312"/>
        <v>-94.833333333332433</v>
      </c>
      <c r="T2176" s="10">
        <f t="shared" ca="1" si="313"/>
        <v>350</v>
      </c>
      <c r="U2176" s="10">
        <f t="shared" ca="1" si="314"/>
        <v>350</v>
      </c>
      <c r="V2176">
        <f t="shared" si="315"/>
        <v>6</v>
      </c>
    </row>
    <row r="2177" spans="1:22" x14ac:dyDescent="0.25">
      <c r="A2177">
        <v>242</v>
      </c>
      <c r="B2177">
        <v>7</v>
      </c>
      <c r="C2177">
        <v>48.5</v>
      </c>
      <c r="D2177">
        <v>1</v>
      </c>
      <c r="E2177">
        <v>1</v>
      </c>
      <c r="F2177">
        <v>0</v>
      </c>
      <c r="G2177">
        <v>1</v>
      </c>
      <c r="H2177">
        <v>450</v>
      </c>
      <c r="I2177">
        <f t="shared" si="316"/>
        <v>2169</v>
      </c>
      <c r="J2177" s="6">
        <f t="array" aca="1" ref="J2177:N2177" ca="1">TRANSPOSE(ols(OFFSET($C$2:$C$10,I2177,0),OFFSET($D$2:$H$10,I2177,0)))</f>
        <v>153.76190476190277</v>
      </c>
      <c r="K2177" s="6">
        <f ca="1"/>
        <v>-3.6428571428562009</v>
      </c>
      <c r="L2177" s="6">
        <f ca="1"/>
        <v>-12.738095238093592</v>
      </c>
      <c r="M2177" s="6">
        <f ca="1"/>
        <v>20.119047619047706</v>
      </c>
      <c r="N2177" s="6">
        <f ca="1"/>
        <v>-0.27095238095237839</v>
      </c>
      <c r="O2177" s="6">
        <f t="shared" ca="1" si="308"/>
        <v>48.309523809523995</v>
      </c>
      <c r="P2177" t="str">
        <f t="shared" si="309"/>
        <v>NA</v>
      </c>
      <c r="Q2177" s="10">
        <f t="shared" ca="1" si="310"/>
        <v>66.30952380952445</v>
      </c>
      <c r="R2177" s="10">
        <f t="shared" ca="1" si="311"/>
        <v>170.23809523809427</v>
      </c>
      <c r="S2177" s="10">
        <f t="shared" ca="1" si="312"/>
        <v>-103.92857142856982</v>
      </c>
      <c r="T2177" s="10">
        <f t="shared" ca="1" si="313"/>
        <v>383.56766256590282</v>
      </c>
      <c r="U2177" s="10">
        <f t="shared" ca="1" si="314"/>
        <v>383.56766256590282</v>
      </c>
      <c r="V2177">
        <f t="shared" si="315"/>
        <v>5</v>
      </c>
    </row>
    <row r="2178" spans="1:22" x14ac:dyDescent="0.25">
      <c r="A2178">
        <v>242</v>
      </c>
      <c r="B2178">
        <v>8</v>
      </c>
      <c r="C2178">
        <v>8.5</v>
      </c>
      <c r="D2178">
        <v>1</v>
      </c>
      <c r="E2178">
        <v>1</v>
      </c>
      <c r="F2178">
        <v>0</v>
      </c>
      <c r="G2178">
        <v>1</v>
      </c>
      <c r="H2178">
        <v>550</v>
      </c>
      <c r="I2178">
        <f t="shared" si="316"/>
        <v>2169</v>
      </c>
      <c r="J2178" s="6">
        <f t="array" aca="1" ref="J2178:N2178" ca="1">TRANSPOSE(ols(OFFSET($C$2:$C$10,I2178,0),OFFSET($D$2:$H$10,I2178,0)))</f>
        <v>153.76190476190277</v>
      </c>
      <c r="K2178" s="6">
        <f ca="1"/>
        <v>-3.6428571428562009</v>
      </c>
      <c r="L2178" s="6">
        <f ca="1"/>
        <v>-12.738095238093592</v>
      </c>
      <c r="M2178" s="6">
        <f ca="1"/>
        <v>20.119047619047706</v>
      </c>
      <c r="N2178" s="6">
        <f ca="1"/>
        <v>-0.27095238095237839</v>
      </c>
      <c r="O2178" s="6">
        <f t="shared" ca="1" si="308"/>
        <v>21.214285714286149</v>
      </c>
      <c r="P2178" t="str">
        <f t="shared" si="309"/>
        <v>NA</v>
      </c>
      <c r="Q2178" s="10">
        <f t="shared" ca="1" si="310"/>
        <v>66.30952380952445</v>
      </c>
      <c r="R2178" s="10">
        <f t="shared" ca="1" si="311"/>
        <v>170.23809523809427</v>
      </c>
      <c r="S2178" s="10">
        <f t="shared" ca="1" si="312"/>
        <v>-103.92857142856982</v>
      </c>
      <c r="T2178" s="10">
        <f t="shared" ca="1" si="313"/>
        <v>383.56766256590282</v>
      </c>
      <c r="U2178" s="10">
        <f t="shared" ca="1" si="314"/>
        <v>383.56766256590282</v>
      </c>
      <c r="V2178">
        <f t="shared" si="315"/>
        <v>5</v>
      </c>
    </row>
    <row r="2179" spans="1:22" x14ac:dyDescent="0.25">
      <c r="A2179">
        <v>242</v>
      </c>
      <c r="B2179">
        <v>9</v>
      </c>
      <c r="C2179">
        <v>0</v>
      </c>
      <c r="D2179">
        <v>1</v>
      </c>
      <c r="E2179">
        <v>0</v>
      </c>
      <c r="F2179">
        <v>0</v>
      </c>
      <c r="G2179">
        <v>1</v>
      </c>
      <c r="H2179">
        <v>650</v>
      </c>
      <c r="I2179">
        <f t="shared" si="316"/>
        <v>2169</v>
      </c>
      <c r="J2179" s="6">
        <f t="array" aca="1" ref="J2179:N2179" ca="1">TRANSPOSE(ols(OFFSET($C$2:$C$10,I2179,0),OFFSET($D$2:$H$10,I2179,0)))</f>
        <v>153.76190476190277</v>
      </c>
      <c r="K2179" s="6">
        <f ca="1"/>
        <v>-3.6428571428562009</v>
      </c>
      <c r="L2179" s="6">
        <f ca="1"/>
        <v>-12.738095238093592</v>
      </c>
      <c r="M2179" s="6">
        <f ca="1"/>
        <v>20.119047619047706</v>
      </c>
      <c r="N2179" s="6">
        <f ca="1"/>
        <v>-0.27095238095237839</v>
      </c>
      <c r="O2179" s="6">
        <f t="shared" ref="O2179:O2242" ca="1" si="317">SUMPRODUCT(J2179:N2179,D2179:H2179)</f>
        <v>-2.2380952380954682</v>
      </c>
      <c r="P2179" t="str">
        <f t="shared" ref="P2179:P2242" si="318">IF(AND(F2179=1,G2179=1,H2179=350),O2179,"NA")</f>
        <v>NA</v>
      </c>
      <c r="Q2179" s="10">
        <f t="shared" ref="Q2179:Q2242" ca="1" si="319">AVERAGEIF($A$2:$A$5383,A2179,$P$2:$P$5383)</f>
        <v>66.30952380952445</v>
      </c>
      <c r="R2179" s="10">
        <f t="shared" ref="R2179:R2242" ca="1" si="320">O2179-N2179*H2179</f>
        <v>173.88095238095048</v>
      </c>
      <c r="S2179" s="10">
        <f t="shared" ref="S2179:S2242" ca="1" si="321">Q2179-R2179</f>
        <v>-107.57142857142603</v>
      </c>
      <c r="T2179" s="10">
        <f t="shared" ref="T2179:T2242" ca="1" si="322">S2179/N2179</f>
        <v>397.01230228470439</v>
      </c>
      <c r="U2179" s="10">
        <f t="shared" ref="U2179:U2242" ca="1" si="323">IF(OR(T2179&lt;250,T2179&gt;650),"OR",T2179)</f>
        <v>397.01230228470439</v>
      </c>
      <c r="V2179">
        <f t="shared" ref="V2179:V2242" si="324">IF(AND(E2179=1,G2179=0),2,IF(AND(F2179=1,G2179=0),3,IF(AND(E2179=1,G2179=1),5,IF(AND(F2179=1,G2179=1),6,IF(G2179=0,1,IF(G2179=1,4))))))</f>
        <v>4</v>
      </c>
    </row>
    <row r="2180" spans="1:22" x14ac:dyDescent="0.25">
      <c r="A2180">
        <v>243</v>
      </c>
      <c r="B2180">
        <v>1</v>
      </c>
      <c r="C2180">
        <v>35</v>
      </c>
      <c r="D2180">
        <v>1</v>
      </c>
      <c r="E2180">
        <v>0</v>
      </c>
      <c r="F2180">
        <v>1</v>
      </c>
      <c r="G2180">
        <v>0</v>
      </c>
      <c r="H2180">
        <v>250</v>
      </c>
      <c r="I2180">
        <f t="shared" si="316"/>
        <v>2178</v>
      </c>
      <c r="J2180" s="6">
        <f t="array" aca="1" ref="J2180:N2180" ca="1">TRANSPOSE(ols(OFFSET($C$2:$C$10,I2180,0),OFFSET($D$2:$H$10,I2180,0)))</f>
        <v>68.511904761904134</v>
      </c>
      <c r="K2180" s="6">
        <f ca="1"/>
        <v>-3.3928571428572241</v>
      </c>
      <c r="L2180" s="6">
        <f ca="1"/>
        <v>-2.738095238095184</v>
      </c>
      <c r="M2180" s="6">
        <f ca="1"/>
        <v>2.619047619047592</v>
      </c>
      <c r="N2180" s="6">
        <f ca="1"/>
        <v>-0.10595238095238102</v>
      </c>
      <c r="O2180" s="6">
        <f t="shared" ca="1" si="317"/>
        <v>39.285714285713695</v>
      </c>
      <c r="P2180" t="str">
        <f t="shared" si="318"/>
        <v>NA</v>
      </c>
      <c r="Q2180" s="10">
        <f t="shared" ca="1" si="319"/>
        <v>31.309523809523185</v>
      </c>
      <c r="R2180" s="10">
        <f t="shared" ca="1" si="320"/>
        <v>65.77380952380895</v>
      </c>
      <c r="S2180" s="10">
        <f t="shared" ca="1" si="321"/>
        <v>-34.464285714285765</v>
      </c>
      <c r="T2180" s="10">
        <f t="shared" ca="1" si="322"/>
        <v>325.28089887640476</v>
      </c>
      <c r="U2180" s="10">
        <f t="shared" ca="1" si="323"/>
        <v>325.28089887640476</v>
      </c>
      <c r="V2180">
        <f t="shared" si="324"/>
        <v>3</v>
      </c>
    </row>
    <row r="2181" spans="1:22" x14ac:dyDescent="0.25">
      <c r="A2181">
        <v>243</v>
      </c>
      <c r="B2181">
        <v>2</v>
      </c>
      <c r="C2181">
        <v>32.5</v>
      </c>
      <c r="D2181">
        <v>1</v>
      </c>
      <c r="E2181">
        <v>1</v>
      </c>
      <c r="F2181">
        <v>0</v>
      </c>
      <c r="G2181">
        <v>0</v>
      </c>
      <c r="H2181">
        <v>350</v>
      </c>
      <c r="I2181">
        <f t="shared" si="316"/>
        <v>2178</v>
      </c>
      <c r="J2181" s="6">
        <f t="array" aca="1" ref="J2181:N2181" ca="1">TRANSPOSE(ols(OFFSET($C$2:$C$10,I2181,0),OFFSET($D$2:$H$10,I2181,0)))</f>
        <v>68.511904761904134</v>
      </c>
      <c r="K2181" s="6">
        <f ca="1"/>
        <v>-3.3928571428572241</v>
      </c>
      <c r="L2181" s="6">
        <f ca="1"/>
        <v>-2.738095238095184</v>
      </c>
      <c r="M2181" s="6">
        <f ca="1"/>
        <v>2.619047619047592</v>
      </c>
      <c r="N2181" s="6">
        <f ca="1"/>
        <v>-0.10595238095238102</v>
      </c>
      <c r="O2181" s="6">
        <f t="shared" ca="1" si="317"/>
        <v>28.035714285713553</v>
      </c>
      <c r="P2181" t="str">
        <f t="shared" si="318"/>
        <v>NA</v>
      </c>
      <c r="Q2181" s="10">
        <f t="shared" ca="1" si="319"/>
        <v>31.309523809523185</v>
      </c>
      <c r="R2181" s="10">
        <f t="shared" ca="1" si="320"/>
        <v>65.11904761904691</v>
      </c>
      <c r="S2181" s="10">
        <f t="shared" ca="1" si="321"/>
        <v>-33.809523809523725</v>
      </c>
      <c r="T2181" s="10">
        <f t="shared" ca="1" si="322"/>
        <v>319.10112359550459</v>
      </c>
      <c r="U2181" s="10">
        <f t="shared" ca="1" si="323"/>
        <v>319.10112359550459</v>
      </c>
      <c r="V2181">
        <f t="shared" si="324"/>
        <v>2</v>
      </c>
    </row>
    <row r="2182" spans="1:22" x14ac:dyDescent="0.25">
      <c r="A2182">
        <v>243</v>
      </c>
      <c r="B2182">
        <v>3</v>
      </c>
      <c r="C2182">
        <v>17.5</v>
      </c>
      <c r="D2182">
        <v>1</v>
      </c>
      <c r="E2182">
        <v>1</v>
      </c>
      <c r="F2182">
        <v>0</v>
      </c>
      <c r="G2182">
        <v>0</v>
      </c>
      <c r="H2182">
        <v>450</v>
      </c>
      <c r="I2182">
        <f t="shared" si="316"/>
        <v>2178</v>
      </c>
      <c r="J2182" s="6">
        <f t="array" aca="1" ref="J2182:N2182" ca="1">TRANSPOSE(ols(OFFSET($C$2:$C$10,I2182,0),OFFSET($D$2:$H$10,I2182,0)))</f>
        <v>68.511904761904134</v>
      </c>
      <c r="K2182" s="6">
        <f ca="1"/>
        <v>-3.3928571428572241</v>
      </c>
      <c r="L2182" s="6">
        <f ca="1"/>
        <v>-2.738095238095184</v>
      </c>
      <c r="M2182" s="6">
        <f ca="1"/>
        <v>2.619047619047592</v>
      </c>
      <c r="N2182" s="6">
        <f ca="1"/>
        <v>-0.10595238095238102</v>
      </c>
      <c r="O2182" s="6">
        <f t="shared" ca="1" si="317"/>
        <v>17.440476190475451</v>
      </c>
      <c r="P2182" t="str">
        <f t="shared" si="318"/>
        <v>NA</v>
      </c>
      <c r="Q2182" s="10">
        <f t="shared" ca="1" si="319"/>
        <v>31.309523809523185</v>
      </c>
      <c r="R2182" s="10">
        <f t="shared" ca="1" si="320"/>
        <v>65.11904761904691</v>
      </c>
      <c r="S2182" s="10">
        <f t="shared" ca="1" si="321"/>
        <v>-33.809523809523725</v>
      </c>
      <c r="T2182" s="10">
        <f t="shared" ca="1" si="322"/>
        <v>319.10112359550459</v>
      </c>
      <c r="U2182" s="10">
        <f t="shared" ca="1" si="323"/>
        <v>319.10112359550459</v>
      </c>
      <c r="V2182">
        <f t="shared" si="324"/>
        <v>2</v>
      </c>
    </row>
    <row r="2183" spans="1:22" x14ac:dyDescent="0.25">
      <c r="A2183">
        <v>243</v>
      </c>
      <c r="B2183">
        <v>4</v>
      </c>
      <c r="C2183">
        <v>10</v>
      </c>
      <c r="D2183">
        <v>1</v>
      </c>
      <c r="E2183">
        <v>0</v>
      </c>
      <c r="F2183">
        <v>0</v>
      </c>
      <c r="G2183">
        <v>0</v>
      </c>
      <c r="H2183">
        <v>550</v>
      </c>
      <c r="I2183">
        <f t="shared" si="316"/>
        <v>2178</v>
      </c>
      <c r="J2183" s="6">
        <f t="array" aca="1" ref="J2183:N2183" ca="1">TRANSPOSE(ols(OFFSET($C$2:$C$10,I2183,0),OFFSET($D$2:$H$10,I2183,0)))</f>
        <v>68.511904761904134</v>
      </c>
      <c r="K2183" s="6">
        <f ca="1"/>
        <v>-3.3928571428572241</v>
      </c>
      <c r="L2183" s="6">
        <f ca="1"/>
        <v>-2.738095238095184</v>
      </c>
      <c r="M2183" s="6">
        <f ca="1"/>
        <v>2.619047619047592</v>
      </c>
      <c r="N2183" s="6">
        <f ca="1"/>
        <v>-0.10595238095238102</v>
      </c>
      <c r="O2183" s="6">
        <f t="shared" ca="1" si="317"/>
        <v>10.238095238094573</v>
      </c>
      <c r="P2183" t="str">
        <f t="shared" si="318"/>
        <v>NA</v>
      </c>
      <c r="Q2183" s="10">
        <f t="shared" ca="1" si="319"/>
        <v>31.309523809523185</v>
      </c>
      <c r="R2183" s="10">
        <f t="shared" ca="1" si="320"/>
        <v>68.511904761904134</v>
      </c>
      <c r="S2183" s="10">
        <f t="shared" ca="1" si="321"/>
        <v>-37.202380952380949</v>
      </c>
      <c r="T2183" s="10">
        <f t="shared" ca="1" si="322"/>
        <v>351.12359550561774</v>
      </c>
      <c r="U2183" s="10">
        <f t="shared" ca="1" si="323"/>
        <v>351.12359550561774</v>
      </c>
      <c r="V2183">
        <f t="shared" si="324"/>
        <v>1</v>
      </c>
    </row>
    <row r="2184" spans="1:22" x14ac:dyDescent="0.25">
      <c r="A2184">
        <v>243</v>
      </c>
      <c r="B2184">
        <v>5</v>
      </c>
      <c r="C2184">
        <v>40</v>
      </c>
      <c r="D2184">
        <v>1</v>
      </c>
      <c r="E2184">
        <v>0</v>
      </c>
      <c r="F2184">
        <v>1</v>
      </c>
      <c r="G2184">
        <v>1</v>
      </c>
      <c r="H2184">
        <v>250</v>
      </c>
      <c r="I2184">
        <f t="shared" si="316"/>
        <v>2178</v>
      </c>
      <c r="J2184" s="6">
        <f t="array" aca="1" ref="J2184:N2184" ca="1">TRANSPOSE(ols(OFFSET($C$2:$C$10,I2184,0),OFFSET($D$2:$H$10,I2184,0)))</f>
        <v>68.511904761904134</v>
      </c>
      <c r="K2184" s="6">
        <f ca="1"/>
        <v>-3.3928571428572241</v>
      </c>
      <c r="L2184" s="6">
        <f ca="1"/>
        <v>-2.738095238095184</v>
      </c>
      <c r="M2184" s="6">
        <f ca="1"/>
        <v>2.619047619047592</v>
      </c>
      <c r="N2184" s="6">
        <f ca="1"/>
        <v>-0.10595238095238102</v>
      </c>
      <c r="O2184" s="6">
        <f t="shared" ca="1" si="317"/>
        <v>41.904761904761287</v>
      </c>
      <c r="P2184" t="str">
        <f t="shared" si="318"/>
        <v>NA</v>
      </c>
      <c r="Q2184" s="10">
        <f t="shared" ca="1" si="319"/>
        <v>31.309523809523185</v>
      </c>
      <c r="R2184" s="10">
        <f t="shared" ca="1" si="320"/>
        <v>68.392857142856542</v>
      </c>
      <c r="S2184" s="10">
        <f t="shared" ca="1" si="321"/>
        <v>-37.083333333333357</v>
      </c>
      <c r="T2184" s="10">
        <f t="shared" ca="1" si="322"/>
        <v>350</v>
      </c>
      <c r="U2184" s="10">
        <f t="shared" ca="1" si="323"/>
        <v>350</v>
      </c>
      <c r="V2184">
        <f t="shared" si="324"/>
        <v>6</v>
      </c>
    </row>
    <row r="2185" spans="1:22" x14ac:dyDescent="0.25">
      <c r="A2185">
        <v>243</v>
      </c>
      <c r="B2185">
        <v>6</v>
      </c>
      <c r="C2185">
        <v>37.5</v>
      </c>
      <c r="D2185">
        <v>1</v>
      </c>
      <c r="E2185">
        <v>0</v>
      </c>
      <c r="F2185">
        <v>1</v>
      </c>
      <c r="G2185">
        <v>1</v>
      </c>
      <c r="H2185">
        <v>350</v>
      </c>
      <c r="I2185">
        <f t="shared" si="316"/>
        <v>2178</v>
      </c>
      <c r="J2185" s="6">
        <f t="array" aca="1" ref="J2185:N2185" ca="1">TRANSPOSE(ols(OFFSET($C$2:$C$10,I2185,0),OFFSET($D$2:$H$10,I2185,0)))</f>
        <v>68.511904761904134</v>
      </c>
      <c r="K2185" s="6">
        <f ca="1"/>
        <v>-3.3928571428572241</v>
      </c>
      <c r="L2185" s="6">
        <f ca="1"/>
        <v>-2.738095238095184</v>
      </c>
      <c r="M2185" s="6">
        <f ca="1"/>
        <v>2.619047619047592</v>
      </c>
      <c r="N2185" s="6">
        <f ca="1"/>
        <v>-0.10595238095238102</v>
      </c>
      <c r="O2185" s="6">
        <f t="shared" ca="1" si="317"/>
        <v>31.309523809523185</v>
      </c>
      <c r="P2185">
        <f t="shared" ca="1" si="318"/>
        <v>31.309523809523185</v>
      </c>
      <c r="Q2185" s="10">
        <f t="shared" ca="1" si="319"/>
        <v>31.309523809523185</v>
      </c>
      <c r="R2185" s="10">
        <f t="shared" ca="1" si="320"/>
        <v>68.392857142856542</v>
      </c>
      <c r="S2185" s="10">
        <f t="shared" ca="1" si="321"/>
        <v>-37.083333333333357</v>
      </c>
      <c r="T2185" s="10">
        <f t="shared" ca="1" si="322"/>
        <v>350</v>
      </c>
      <c r="U2185" s="10">
        <f t="shared" ca="1" si="323"/>
        <v>350</v>
      </c>
      <c r="V2185">
        <f t="shared" si="324"/>
        <v>6</v>
      </c>
    </row>
    <row r="2186" spans="1:22" x14ac:dyDescent="0.25">
      <c r="A2186">
        <v>243</v>
      </c>
      <c r="B2186">
        <v>7</v>
      </c>
      <c r="C2186">
        <v>17.5</v>
      </c>
      <c r="D2186">
        <v>1</v>
      </c>
      <c r="E2186">
        <v>1</v>
      </c>
      <c r="F2186">
        <v>0</v>
      </c>
      <c r="G2186">
        <v>1</v>
      </c>
      <c r="H2186">
        <v>450</v>
      </c>
      <c r="I2186">
        <f t="shared" si="316"/>
        <v>2178</v>
      </c>
      <c r="J2186" s="6">
        <f t="array" aca="1" ref="J2186:N2186" ca="1">TRANSPOSE(ols(OFFSET($C$2:$C$10,I2186,0),OFFSET($D$2:$H$10,I2186,0)))</f>
        <v>68.511904761904134</v>
      </c>
      <c r="K2186" s="6">
        <f ca="1"/>
        <v>-3.3928571428572241</v>
      </c>
      <c r="L2186" s="6">
        <f ca="1"/>
        <v>-2.738095238095184</v>
      </c>
      <c r="M2186" s="6">
        <f ca="1"/>
        <v>2.619047619047592</v>
      </c>
      <c r="N2186" s="6">
        <f ca="1"/>
        <v>-0.10595238095238102</v>
      </c>
      <c r="O2186" s="6">
        <f t="shared" ca="1" si="317"/>
        <v>20.059523809523043</v>
      </c>
      <c r="P2186" t="str">
        <f t="shared" si="318"/>
        <v>NA</v>
      </c>
      <c r="Q2186" s="10">
        <f t="shared" ca="1" si="319"/>
        <v>31.309523809523185</v>
      </c>
      <c r="R2186" s="10">
        <f t="shared" ca="1" si="320"/>
        <v>67.738095238094502</v>
      </c>
      <c r="S2186" s="10">
        <f t="shared" ca="1" si="321"/>
        <v>-36.428571428571317</v>
      </c>
      <c r="T2186" s="10">
        <f t="shared" ca="1" si="322"/>
        <v>343.82022471909983</v>
      </c>
      <c r="U2186" s="10">
        <f t="shared" ca="1" si="323"/>
        <v>343.82022471909983</v>
      </c>
      <c r="V2186">
        <f t="shared" si="324"/>
        <v>5</v>
      </c>
    </row>
    <row r="2187" spans="1:22" x14ac:dyDescent="0.25">
      <c r="A2187">
        <v>243</v>
      </c>
      <c r="B2187">
        <v>8</v>
      </c>
      <c r="C2187">
        <v>7.5</v>
      </c>
      <c r="D2187">
        <v>1</v>
      </c>
      <c r="E2187">
        <v>1</v>
      </c>
      <c r="F2187">
        <v>0</v>
      </c>
      <c r="G2187">
        <v>1</v>
      </c>
      <c r="H2187">
        <v>550</v>
      </c>
      <c r="I2187">
        <f t="shared" si="316"/>
        <v>2178</v>
      </c>
      <c r="J2187" s="6">
        <f t="array" aca="1" ref="J2187:N2187" ca="1">TRANSPOSE(ols(OFFSET($C$2:$C$10,I2187,0),OFFSET($D$2:$H$10,I2187,0)))</f>
        <v>68.511904761904134</v>
      </c>
      <c r="K2187" s="6">
        <f ca="1"/>
        <v>-3.3928571428572241</v>
      </c>
      <c r="L2187" s="6">
        <f ca="1"/>
        <v>-2.738095238095184</v>
      </c>
      <c r="M2187" s="6">
        <f ca="1"/>
        <v>2.619047619047592</v>
      </c>
      <c r="N2187" s="6">
        <f ca="1"/>
        <v>-0.10595238095238102</v>
      </c>
      <c r="O2187" s="6">
        <f t="shared" ca="1" si="317"/>
        <v>9.4642857142849408</v>
      </c>
      <c r="P2187" t="str">
        <f t="shared" si="318"/>
        <v>NA</v>
      </c>
      <c r="Q2187" s="10">
        <f t="shared" ca="1" si="319"/>
        <v>31.309523809523185</v>
      </c>
      <c r="R2187" s="10">
        <f t="shared" ca="1" si="320"/>
        <v>67.738095238094502</v>
      </c>
      <c r="S2187" s="10">
        <f t="shared" ca="1" si="321"/>
        <v>-36.428571428571317</v>
      </c>
      <c r="T2187" s="10">
        <f t="shared" ca="1" si="322"/>
        <v>343.82022471909983</v>
      </c>
      <c r="U2187" s="10">
        <f t="shared" ca="1" si="323"/>
        <v>343.82022471909983</v>
      </c>
      <c r="V2187">
        <f t="shared" si="324"/>
        <v>5</v>
      </c>
    </row>
    <row r="2188" spans="1:22" x14ac:dyDescent="0.25">
      <c r="A2188">
        <v>243</v>
      </c>
      <c r="B2188">
        <v>9</v>
      </c>
      <c r="C2188">
        <v>2.5</v>
      </c>
      <c r="D2188">
        <v>1</v>
      </c>
      <c r="E2188">
        <v>0</v>
      </c>
      <c r="F2188">
        <v>0</v>
      </c>
      <c r="G2188">
        <v>1</v>
      </c>
      <c r="H2188">
        <v>650</v>
      </c>
      <c r="I2188">
        <f t="shared" ref="I2188:I2251" si="325">IF(A2188&gt;A2187,I2187+9,I2187)</f>
        <v>2178</v>
      </c>
      <c r="J2188" s="6">
        <f t="array" aca="1" ref="J2188:N2188" ca="1">TRANSPOSE(ols(OFFSET($C$2:$C$10,I2188,0),OFFSET($D$2:$H$10,I2188,0)))</f>
        <v>68.511904761904134</v>
      </c>
      <c r="K2188" s="6">
        <f ca="1"/>
        <v>-3.3928571428572241</v>
      </c>
      <c r="L2188" s="6">
        <f ca="1"/>
        <v>-2.738095238095184</v>
      </c>
      <c r="M2188" s="6">
        <f ca="1"/>
        <v>2.619047619047592</v>
      </c>
      <c r="N2188" s="6">
        <f ca="1"/>
        <v>-0.10595238095238102</v>
      </c>
      <c r="O2188" s="6">
        <f t="shared" ca="1" si="317"/>
        <v>2.2619047619040629</v>
      </c>
      <c r="P2188" t="str">
        <f t="shared" si="318"/>
        <v>NA</v>
      </c>
      <c r="Q2188" s="10">
        <f t="shared" ca="1" si="319"/>
        <v>31.309523809523185</v>
      </c>
      <c r="R2188" s="10">
        <f t="shared" ca="1" si="320"/>
        <v>71.130952380951726</v>
      </c>
      <c r="S2188" s="10">
        <f t="shared" ca="1" si="321"/>
        <v>-39.821428571428541</v>
      </c>
      <c r="T2188" s="10">
        <f t="shared" ca="1" si="322"/>
        <v>375.84269662921298</v>
      </c>
      <c r="U2188" s="10">
        <f t="shared" ca="1" si="323"/>
        <v>375.84269662921298</v>
      </c>
      <c r="V2188">
        <f t="shared" si="324"/>
        <v>4</v>
      </c>
    </row>
    <row r="2189" spans="1:22" x14ac:dyDescent="0.25">
      <c r="A2189">
        <v>244</v>
      </c>
      <c r="B2189">
        <v>1</v>
      </c>
      <c r="C2189">
        <v>40</v>
      </c>
      <c r="D2189">
        <v>1</v>
      </c>
      <c r="E2189">
        <v>0</v>
      </c>
      <c r="F2189">
        <v>1</v>
      </c>
      <c r="G2189">
        <v>0</v>
      </c>
      <c r="H2189">
        <v>250</v>
      </c>
      <c r="I2189">
        <f t="shared" si="325"/>
        <v>2187</v>
      </c>
      <c r="J2189" s="6">
        <f t="array" aca="1" ref="J2189:N2189" ca="1">TRANSPOSE(ols(OFFSET($C$2:$C$10,I2189,0),OFFSET($D$2:$H$10,I2189,0)))</f>
        <v>57.803571428571558</v>
      </c>
      <c r="K2189" s="6">
        <f ca="1"/>
        <v>1.3571428571426623</v>
      </c>
      <c r="L2189" s="6">
        <f ca="1"/>
        <v>-2.0714285714288962</v>
      </c>
      <c r="M2189" s="6">
        <f ca="1"/>
        <v>-4.9642857142853245</v>
      </c>
      <c r="N2189" s="6">
        <f ca="1"/>
        <v>-4.6785714285713986E-2</v>
      </c>
      <c r="O2189" s="6">
        <f t="shared" ca="1" si="317"/>
        <v>44.035714285714164</v>
      </c>
      <c r="P2189" t="str">
        <f t="shared" si="318"/>
        <v>NA</v>
      </c>
      <c r="Q2189" s="10">
        <f t="shared" ca="1" si="319"/>
        <v>34.392857142857444</v>
      </c>
      <c r="R2189" s="10">
        <f t="shared" ca="1" si="320"/>
        <v>55.732142857142662</v>
      </c>
      <c r="S2189" s="10">
        <f t="shared" ca="1" si="321"/>
        <v>-21.339285714285218</v>
      </c>
      <c r="T2189" s="10">
        <f t="shared" ca="1" si="322"/>
        <v>456.10687022899992</v>
      </c>
      <c r="U2189" s="10">
        <f t="shared" ca="1" si="323"/>
        <v>456.10687022899992</v>
      </c>
      <c r="V2189">
        <f t="shared" si="324"/>
        <v>3</v>
      </c>
    </row>
    <row r="2190" spans="1:22" x14ac:dyDescent="0.25">
      <c r="A2190">
        <v>244</v>
      </c>
      <c r="B2190">
        <v>2</v>
      </c>
      <c r="C2190">
        <v>40</v>
      </c>
      <c r="D2190">
        <v>1</v>
      </c>
      <c r="E2190">
        <v>1</v>
      </c>
      <c r="F2190">
        <v>0</v>
      </c>
      <c r="G2190">
        <v>0</v>
      </c>
      <c r="H2190">
        <v>350</v>
      </c>
      <c r="I2190">
        <f t="shared" si="325"/>
        <v>2187</v>
      </c>
      <c r="J2190" s="6">
        <f t="array" aca="1" ref="J2190:N2190" ca="1">TRANSPOSE(ols(OFFSET($C$2:$C$10,I2190,0),OFFSET($D$2:$H$10,I2190,0)))</f>
        <v>57.803571428571558</v>
      </c>
      <c r="K2190" s="6">
        <f ca="1"/>
        <v>1.3571428571426623</v>
      </c>
      <c r="L2190" s="6">
        <f ca="1"/>
        <v>-2.0714285714288962</v>
      </c>
      <c r="M2190" s="6">
        <f ca="1"/>
        <v>-4.9642857142853245</v>
      </c>
      <c r="N2190" s="6">
        <f ca="1"/>
        <v>-4.6785714285713986E-2</v>
      </c>
      <c r="O2190" s="6">
        <f t="shared" ca="1" si="317"/>
        <v>42.785714285714327</v>
      </c>
      <c r="P2190" t="str">
        <f t="shared" si="318"/>
        <v>NA</v>
      </c>
      <c r="Q2190" s="10">
        <f t="shared" ca="1" si="319"/>
        <v>34.392857142857444</v>
      </c>
      <c r="R2190" s="10">
        <f t="shared" ca="1" si="320"/>
        <v>59.160714285714221</v>
      </c>
      <c r="S2190" s="10">
        <f t="shared" ca="1" si="321"/>
        <v>-24.767857142856776</v>
      </c>
      <c r="T2190" s="10">
        <f t="shared" ca="1" si="322"/>
        <v>529.38931297709485</v>
      </c>
      <c r="U2190" s="10">
        <f t="shared" ca="1" si="323"/>
        <v>529.38931297709485</v>
      </c>
      <c r="V2190">
        <f t="shared" si="324"/>
        <v>2</v>
      </c>
    </row>
    <row r="2191" spans="1:22" x14ac:dyDescent="0.25">
      <c r="A2191">
        <v>244</v>
      </c>
      <c r="B2191">
        <v>3</v>
      </c>
      <c r="C2191">
        <v>37.5</v>
      </c>
      <c r="D2191">
        <v>1</v>
      </c>
      <c r="E2191">
        <v>1</v>
      </c>
      <c r="F2191">
        <v>0</v>
      </c>
      <c r="G2191">
        <v>0</v>
      </c>
      <c r="H2191">
        <v>450</v>
      </c>
      <c r="I2191">
        <f t="shared" si="325"/>
        <v>2187</v>
      </c>
      <c r="J2191" s="6">
        <f t="array" aca="1" ref="J2191:N2191" ca="1">TRANSPOSE(ols(OFFSET($C$2:$C$10,I2191,0),OFFSET($D$2:$H$10,I2191,0)))</f>
        <v>57.803571428571558</v>
      </c>
      <c r="K2191" s="6">
        <f ca="1"/>
        <v>1.3571428571426623</v>
      </c>
      <c r="L2191" s="6">
        <f ca="1"/>
        <v>-2.0714285714288962</v>
      </c>
      <c r="M2191" s="6">
        <f ca="1"/>
        <v>-4.9642857142853245</v>
      </c>
      <c r="N2191" s="6">
        <f ca="1"/>
        <v>-4.6785714285713986E-2</v>
      </c>
      <c r="O2191" s="6">
        <f t="shared" ca="1" si="317"/>
        <v>38.107142857142925</v>
      </c>
      <c r="P2191" t="str">
        <f t="shared" si="318"/>
        <v>NA</v>
      </c>
      <c r="Q2191" s="10">
        <f t="shared" ca="1" si="319"/>
        <v>34.392857142857444</v>
      </c>
      <c r="R2191" s="10">
        <f t="shared" ca="1" si="320"/>
        <v>59.160714285714221</v>
      </c>
      <c r="S2191" s="10">
        <f t="shared" ca="1" si="321"/>
        <v>-24.767857142856776</v>
      </c>
      <c r="T2191" s="10">
        <f t="shared" ca="1" si="322"/>
        <v>529.38931297709485</v>
      </c>
      <c r="U2191" s="10">
        <f t="shared" ca="1" si="323"/>
        <v>529.38931297709485</v>
      </c>
      <c r="V2191">
        <f t="shared" si="324"/>
        <v>2</v>
      </c>
    </row>
    <row r="2192" spans="1:22" x14ac:dyDescent="0.25">
      <c r="A2192">
        <v>244</v>
      </c>
      <c r="B2192">
        <v>4</v>
      </c>
      <c r="C2192">
        <v>39.5</v>
      </c>
      <c r="D2192">
        <v>1</v>
      </c>
      <c r="E2192">
        <v>0</v>
      </c>
      <c r="F2192">
        <v>0</v>
      </c>
      <c r="G2192">
        <v>0</v>
      </c>
      <c r="H2192">
        <v>550</v>
      </c>
      <c r="I2192">
        <f t="shared" si="325"/>
        <v>2187</v>
      </c>
      <c r="J2192" s="6">
        <f t="array" aca="1" ref="J2192:N2192" ca="1">TRANSPOSE(ols(OFFSET($C$2:$C$10,I2192,0),OFFSET($D$2:$H$10,I2192,0)))</f>
        <v>57.803571428571558</v>
      </c>
      <c r="K2192" s="6">
        <f ca="1"/>
        <v>1.3571428571426623</v>
      </c>
      <c r="L2192" s="6">
        <f ca="1"/>
        <v>-2.0714285714288962</v>
      </c>
      <c r="M2192" s="6">
        <f ca="1"/>
        <v>-4.9642857142853245</v>
      </c>
      <c r="N2192" s="6">
        <f ca="1"/>
        <v>-4.6785714285713986E-2</v>
      </c>
      <c r="O2192" s="6">
        <f t="shared" ca="1" si="317"/>
        <v>32.071428571428868</v>
      </c>
      <c r="P2192" t="str">
        <f t="shared" si="318"/>
        <v>NA</v>
      </c>
      <c r="Q2192" s="10">
        <f t="shared" ca="1" si="319"/>
        <v>34.392857142857444</v>
      </c>
      <c r="R2192" s="10">
        <f t="shared" ca="1" si="320"/>
        <v>57.803571428571558</v>
      </c>
      <c r="S2192" s="10">
        <f t="shared" ca="1" si="321"/>
        <v>-23.410714285714114</v>
      </c>
      <c r="T2192" s="10">
        <f t="shared" ca="1" si="322"/>
        <v>500.38167938931252</v>
      </c>
      <c r="U2192" s="10">
        <f t="shared" ca="1" si="323"/>
        <v>500.38167938931252</v>
      </c>
      <c r="V2192">
        <f t="shared" si="324"/>
        <v>1</v>
      </c>
    </row>
    <row r="2193" spans="1:22" x14ac:dyDescent="0.25">
      <c r="A2193">
        <v>244</v>
      </c>
      <c r="B2193">
        <v>5</v>
      </c>
      <c r="C2193">
        <v>40</v>
      </c>
      <c r="D2193">
        <v>1</v>
      </c>
      <c r="E2193">
        <v>0</v>
      </c>
      <c r="F2193">
        <v>1</v>
      </c>
      <c r="G2193">
        <v>1</v>
      </c>
      <c r="H2193">
        <v>250</v>
      </c>
      <c r="I2193">
        <f t="shared" si="325"/>
        <v>2187</v>
      </c>
      <c r="J2193" s="6">
        <f t="array" aca="1" ref="J2193:N2193" ca="1">TRANSPOSE(ols(OFFSET($C$2:$C$10,I2193,0),OFFSET($D$2:$H$10,I2193,0)))</f>
        <v>57.803571428571558</v>
      </c>
      <c r="K2193" s="6">
        <f ca="1"/>
        <v>1.3571428571426623</v>
      </c>
      <c r="L2193" s="6">
        <f ca="1"/>
        <v>-2.0714285714288962</v>
      </c>
      <c r="M2193" s="6">
        <f ca="1"/>
        <v>-4.9642857142853245</v>
      </c>
      <c r="N2193" s="6">
        <f ca="1"/>
        <v>-4.6785714285713986E-2</v>
      </c>
      <c r="O2193" s="6">
        <f t="shared" ca="1" si="317"/>
        <v>39.071428571428839</v>
      </c>
      <c r="P2193" t="str">
        <f t="shared" si="318"/>
        <v>NA</v>
      </c>
      <c r="Q2193" s="10">
        <f t="shared" ca="1" si="319"/>
        <v>34.392857142857444</v>
      </c>
      <c r="R2193" s="10">
        <f t="shared" ca="1" si="320"/>
        <v>50.767857142857338</v>
      </c>
      <c r="S2193" s="10">
        <f t="shared" ca="1" si="321"/>
        <v>-16.374999999999893</v>
      </c>
      <c r="T2193" s="10">
        <f t="shared" ca="1" si="322"/>
        <v>349.99999999999994</v>
      </c>
      <c r="U2193" s="10">
        <f t="shared" ca="1" si="323"/>
        <v>349.99999999999994</v>
      </c>
      <c r="V2193">
        <f t="shared" si="324"/>
        <v>6</v>
      </c>
    </row>
    <row r="2194" spans="1:22" x14ac:dyDescent="0.25">
      <c r="A2194">
        <v>244</v>
      </c>
      <c r="B2194">
        <v>6</v>
      </c>
      <c r="C2194">
        <v>37.5</v>
      </c>
      <c r="D2194">
        <v>1</v>
      </c>
      <c r="E2194">
        <v>0</v>
      </c>
      <c r="F2194">
        <v>1</v>
      </c>
      <c r="G2194">
        <v>1</v>
      </c>
      <c r="H2194">
        <v>350</v>
      </c>
      <c r="I2194">
        <f t="shared" si="325"/>
        <v>2187</v>
      </c>
      <c r="J2194" s="6">
        <f t="array" aca="1" ref="J2194:N2194" ca="1">TRANSPOSE(ols(OFFSET($C$2:$C$10,I2194,0),OFFSET($D$2:$H$10,I2194,0)))</f>
        <v>57.803571428571558</v>
      </c>
      <c r="K2194" s="6">
        <f ca="1"/>
        <v>1.3571428571426623</v>
      </c>
      <c r="L2194" s="6">
        <f ca="1"/>
        <v>-2.0714285714288962</v>
      </c>
      <c r="M2194" s="6">
        <f ca="1"/>
        <v>-4.9642857142853245</v>
      </c>
      <c r="N2194" s="6">
        <f ca="1"/>
        <v>-4.6785714285713986E-2</v>
      </c>
      <c r="O2194" s="6">
        <f t="shared" ca="1" si="317"/>
        <v>34.392857142857444</v>
      </c>
      <c r="P2194">
        <f t="shared" ca="1" si="318"/>
        <v>34.392857142857444</v>
      </c>
      <c r="Q2194" s="10">
        <f t="shared" ca="1" si="319"/>
        <v>34.392857142857444</v>
      </c>
      <c r="R2194" s="10">
        <f t="shared" ca="1" si="320"/>
        <v>50.767857142857338</v>
      </c>
      <c r="S2194" s="10">
        <f t="shared" ca="1" si="321"/>
        <v>-16.374999999999893</v>
      </c>
      <c r="T2194" s="10">
        <f t="shared" ca="1" si="322"/>
        <v>349.99999999999994</v>
      </c>
      <c r="U2194" s="10">
        <f t="shared" ca="1" si="323"/>
        <v>349.99999999999994</v>
      </c>
      <c r="V2194">
        <f t="shared" si="324"/>
        <v>6</v>
      </c>
    </row>
    <row r="2195" spans="1:22" x14ac:dyDescent="0.25">
      <c r="A2195">
        <v>244</v>
      </c>
      <c r="B2195">
        <v>7</v>
      </c>
      <c r="C2195">
        <v>35</v>
      </c>
      <c r="D2195">
        <v>1</v>
      </c>
      <c r="E2195">
        <v>1</v>
      </c>
      <c r="F2195">
        <v>0</v>
      </c>
      <c r="G2195">
        <v>1</v>
      </c>
      <c r="H2195">
        <v>450</v>
      </c>
      <c r="I2195">
        <f t="shared" si="325"/>
        <v>2187</v>
      </c>
      <c r="J2195" s="6">
        <f t="array" aca="1" ref="J2195:N2195" ca="1">TRANSPOSE(ols(OFFSET($C$2:$C$10,I2195,0),OFFSET($D$2:$H$10,I2195,0)))</f>
        <v>57.803571428571558</v>
      </c>
      <c r="K2195" s="6">
        <f ca="1"/>
        <v>1.3571428571426623</v>
      </c>
      <c r="L2195" s="6">
        <f ca="1"/>
        <v>-2.0714285714288962</v>
      </c>
      <c r="M2195" s="6">
        <f ca="1"/>
        <v>-4.9642857142853245</v>
      </c>
      <c r="N2195" s="6">
        <f ca="1"/>
        <v>-4.6785714285713986E-2</v>
      </c>
      <c r="O2195" s="6">
        <f t="shared" ca="1" si="317"/>
        <v>33.142857142857601</v>
      </c>
      <c r="P2195" t="str">
        <f t="shared" si="318"/>
        <v>NA</v>
      </c>
      <c r="Q2195" s="10">
        <f t="shared" ca="1" si="319"/>
        <v>34.392857142857444</v>
      </c>
      <c r="R2195" s="10">
        <f t="shared" ca="1" si="320"/>
        <v>54.196428571428896</v>
      </c>
      <c r="S2195" s="10">
        <f t="shared" ca="1" si="321"/>
        <v>-19.803571428571452</v>
      </c>
      <c r="T2195" s="10">
        <f t="shared" ca="1" si="322"/>
        <v>423.28244274809481</v>
      </c>
      <c r="U2195" s="10">
        <f t="shared" ca="1" si="323"/>
        <v>423.28244274809481</v>
      </c>
      <c r="V2195">
        <f t="shared" si="324"/>
        <v>5</v>
      </c>
    </row>
    <row r="2196" spans="1:22" x14ac:dyDescent="0.25">
      <c r="A2196">
        <v>244</v>
      </c>
      <c r="B2196">
        <v>8</v>
      </c>
      <c r="C2196">
        <v>30</v>
      </c>
      <c r="D2196">
        <v>1</v>
      </c>
      <c r="E2196">
        <v>1</v>
      </c>
      <c r="F2196">
        <v>0</v>
      </c>
      <c r="G2196">
        <v>1</v>
      </c>
      <c r="H2196">
        <v>550</v>
      </c>
      <c r="I2196">
        <f t="shared" si="325"/>
        <v>2187</v>
      </c>
      <c r="J2196" s="6">
        <f t="array" aca="1" ref="J2196:N2196" ca="1">TRANSPOSE(ols(OFFSET($C$2:$C$10,I2196,0),OFFSET($D$2:$H$10,I2196,0)))</f>
        <v>57.803571428571558</v>
      </c>
      <c r="K2196" s="6">
        <f ca="1"/>
        <v>1.3571428571426623</v>
      </c>
      <c r="L2196" s="6">
        <f ca="1"/>
        <v>-2.0714285714288962</v>
      </c>
      <c r="M2196" s="6">
        <f ca="1"/>
        <v>-4.9642857142853245</v>
      </c>
      <c r="N2196" s="6">
        <f ca="1"/>
        <v>-4.6785714285713986E-2</v>
      </c>
      <c r="O2196" s="6">
        <f t="shared" ca="1" si="317"/>
        <v>28.464285714286206</v>
      </c>
      <c r="P2196" t="str">
        <f t="shared" si="318"/>
        <v>NA</v>
      </c>
      <c r="Q2196" s="10">
        <f t="shared" ca="1" si="319"/>
        <v>34.392857142857444</v>
      </c>
      <c r="R2196" s="10">
        <f t="shared" ca="1" si="320"/>
        <v>54.196428571428896</v>
      </c>
      <c r="S2196" s="10">
        <f t="shared" ca="1" si="321"/>
        <v>-19.803571428571452</v>
      </c>
      <c r="T2196" s="10">
        <f t="shared" ca="1" si="322"/>
        <v>423.28244274809481</v>
      </c>
      <c r="U2196" s="10">
        <f t="shared" ca="1" si="323"/>
        <v>423.28244274809481</v>
      </c>
      <c r="V2196">
        <f t="shared" si="324"/>
        <v>5</v>
      </c>
    </row>
    <row r="2197" spans="1:22" x14ac:dyDescent="0.25">
      <c r="A2197">
        <v>244</v>
      </c>
      <c r="B2197">
        <v>9</v>
      </c>
      <c r="C2197">
        <v>15</v>
      </c>
      <c r="D2197">
        <v>1</v>
      </c>
      <c r="E2197">
        <v>0</v>
      </c>
      <c r="F2197">
        <v>0</v>
      </c>
      <c r="G2197">
        <v>1</v>
      </c>
      <c r="H2197">
        <v>650</v>
      </c>
      <c r="I2197">
        <f t="shared" si="325"/>
        <v>2187</v>
      </c>
      <c r="J2197" s="6">
        <f t="array" aca="1" ref="J2197:N2197" ca="1">TRANSPOSE(ols(OFFSET($C$2:$C$10,I2197,0),OFFSET($D$2:$H$10,I2197,0)))</f>
        <v>57.803571428571558</v>
      </c>
      <c r="K2197" s="6">
        <f ca="1"/>
        <v>1.3571428571426623</v>
      </c>
      <c r="L2197" s="6">
        <f ca="1"/>
        <v>-2.0714285714288962</v>
      </c>
      <c r="M2197" s="6">
        <f ca="1"/>
        <v>-4.9642857142853245</v>
      </c>
      <c r="N2197" s="6">
        <f ca="1"/>
        <v>-4.6785714285713986E-2</v>
      </c>
      <c r="O2197" s="6">
        <f t="shared" ca="1" si="317"/>
        <v>22.428571428572141</v>
      </c>
      <c r="P2197" t="str">
        <f t="shared" si="318"/>
        <v>NA</v>
      </c>
      <c r="Q2197" s="10">
        <f t="shared" ca="1" si="319"/>
        <v>34.392857142857444</v>
      </c>
      <c r="R2197" s="10">
        <f t="shared" ca="1" si="320"/>
        <v>52.839285714286234</v>
      </c>
      <c r="S2197" s="10">
        <f t="shared" ca="1" si="321"/>
        <v>-18.44642857142879</v>
      </c>
      <c r="T2197" s="10">
        <f t="shared" ca="1" si="322"/>
        <v>394.27480916031254</v>
      </c>
      <c r="U2197" s="10">
        <f t="shared" ca="1" si="323"/>
        <v>394.27480916031254</v>
      </c>
      <c r="V2197">
        <f t="shared" si="324"/>
        <v>4</v>
      </c>
    </row>
    <row r="2198" spans="1:22" x14ac:dyDescent="0.25">
      <c r="A2198">
        <v>245</v>
      </c>
      <c r="B2198">
        <v>1</v>
      </c>
      <c r="C2198">
        <v>20</v>
      </c>
      <c r="D2198">
        <v>1</v>
      </c>
      <c r="E2198">
        <v>0</v>
      </c>
      <c r="F2198">
        <v>1</v>
      </c>
      <c r="G2198">
        <v>0</v>
      </c>
      <c r="H2198">
        <v>250</v>
      </c>
      <c r="I2198">
        <f t="shared" si="325"/>
        <v>2196</v>
      </c>
      <c r="J2198" s="6">
        <f t="array" aca="1" ref="J2198:N2198" ca="1">TRANSPOSE(ols(OFFSET($C$2:$C$10,I2198,0),OFFSET($D$2:$H$10,I2198,0)))</f>
        <v>96.309523809522489</v>
      </c>
      <c r="K2198" s="6">
        <f ca="1"/>
        <v>4.2857142857146755</v>
      </c>
      <c r="L2198" s="6">
        <f ca="1"/>
        <v>-31.190476190475692</v>
      </c>
      <c r="M2198" s="6">
        <f ca="1"/>
        <v>13.095238095238187</v>
      </c>
      <c r="N2198" s="6">
        <f ca="1"/>
        <v>-0.15476190476190421</v>
      </c>
      <c r="O2198" s="6">
        <f t="shared" ca="1" si="317"/>
        <v>26.428571428570741</v>
      </c>
      <c r="P2198" t="str">
        <f t="shared" si="318"/>
        <v>NA</v>
      </c>
      <c r="Q2198" s="10">
        <f t="shared" ca="1" si="319"/>
        <v>24.047619047618511</v>
      </c>
      <c r="R2198" s="10">
        <f t="shared" ca="1" si="320"/>
        <v>65.119047619046796</v>
      </c>
      <c r="S2198" s="10">
        <f t="shared" ca="1" si="321"/>
        <v>-41.071428571428285</v>
      </c>
      <c r="T2198" s="10">
        <f t="shared" ca="1" si="322"/>
        <v>265.38461538461451</v>
      </c>
      <c r="U2198" s="10">
        <f t="shared" ca="1" si="323"/>
        <v>265.38461538461451</v>
      </c>
      <c r="V2198">
        <f t="shared" si="324"/>
        <v>3</v>
      </c>
    </row>
    <row r="2199" spans="1:22" x14ac:dyDescent="0.25">
      <c r="A2199">
        <v>245</v>
      </c>
      <c r="B2199">
        <v>2</v>
      </c>
      <c r="C2199">
        <v>40</v>
      </c>
      <c r="D2199">
        <v>1</v>
      </c>
      <c r="E2199">
        <v>1</v>
      </c>
      <c r="F2199">
        <v>0</v>
      </c>
      <c r="G2199">
        <v>0</v>
      </c>
      <c r="H2199">
        <v>350</v>
      </c>
      <c r="I2199">
        <f t="shared" si="325"/>
        <v>2196</v>
      </c>
      <c r="J2199" s="6">
        <f t="array" aca="1" ref="J2199:N2199" ca="1">TRANSPOSE(ols(OFFSET($C$2:$C$10,I2199,0),OFFSET($D$2:$H$10,I2199,0)))</f>
        <v>96.309523809522489</v>
      </c>
      <c r="K2199" s="6">
        <f ca="1"/>
        <v>4.2857142857146755</v>
      </c>
      <c r="L2199" s="6">
        <f ca="1"/>
        <v>-31.190476190475692</v>
      </c>
      <c r="M2199" s="6">
        <f ca="1"/>
        <v>13.095238095238187</v>
      </c>
      <c r="N2199" s="6">
        <f ca="1"/>
        <v>-0.15476190476190421</v>
      </c>
      <c r="O2199" s="6">
        <f t="shared" ca="1" si="317"/>
        <v>46.428571428570692</v>
      </c>
      <c r="P2199" t="str">
        <f t="shared" si="318"/>
        <v>NA</v>
      </c>
      <c r="Q2199" s="10">
        <f t="shared" ca="1" si="319"/>
        <v>24.047619047618511</v>
      </c>
      <c r="R2199" s="10">
        <f t="shared" ca="1" si="320"/>
        <v>100.59523809523716</v>
      </c>
      <c r="S2199" s="10">
        <f t="shared" ca="1" si="321"/>
        <v>-76.547619047618653</v>
      </c>
      <c r="T2199" s="10">
        <f t="shared" ca="1" si="322"/>
        <v>494.61538461538385</v>
      </c>
      <c r="U2199" s="10">
        <f t="shared" ca="1" si="323"/>
        <v>494.61538461538385</v>
      </c>
      <c r="V2199">
        <f t="shared" si="324"/>
        <v>2</v>
      </c>
    </row>
    <row r="2200" spans="1:22" x14ac:dyDescent="0.25">
      <c r="A2200">
        <v>245</v>
      </c>
      <c r="B2200">
        <v>3</v>
      </c>
      <c r="C2200">
        <v>35</v>
      </c>
      <c r="D2200">
        <v>1</v>
      </c>
      <c r="E2200">
        <v>1</v>
      </c>
      <c r="F2200">
        <v>0</v>
      </c>
      <c r="G2200">
        <v>0</v>
      </c>
      <c r="H2200">
        <v>450</v>
      </c>
      <c r="I2200">
        <f t="shared" si="325"/>
        <v>2196</v>
      </c>
      <c r="J2200" s="6">
        <f t="array" aca="1" ref="J2200:N2200" ca="1">TRANSPOSE(ols(OFFSET($C$2:$C$10,I2200,0),OFFSET($D$2:$H$10,I2200,0)))</f>
        <v>96.309523809522489</v>
      </c>
      <c r="K2200" s="6">
        <f ca="1"/>
        <v>4.2857142857146755</v>
      </c>
      <c r="L2200" s="6">
        <f ca="1"/>
        <v>-31.190476190475692</v>
      </c>
      <c r="M2200" s="6">
        <f ca="1"/>
        <v>13.095238095238187</v>
      </c>
      <c r="N2200" s="6">
        <f ca="1"/>
        <v>-0.15476190476190421</v>
      </c>
      <c r="O2200" s="6">
        <f t="shared" ca="1" si="317"/>
        <v>30.952380952380267</v>
      </c>
      <c r="P2200" t="str">
        <f t="shared" si="318"/>
        <v>NA</v>
      </c>
      <c r="Q2200" s="10">
        <f t="shared" ca="1" si="319"/>
        <v>24.047619047618511</v>
      </c>
      <c r="R2200" s="10">
        <f t="shared" ca="1" si="320"/>
        <v>100.59523809523716</v>
      </c>
      <c r="S2200" s="10">
        <f t="shared" ca="1" si="321"/>
        <v>-76.547619047618653</v>
      </c>
      <c r="T2200" s="10">
        <f t="shared" ca="1" si="322"/>
        <v>494.61538461538385</v>
      </c>
      <c r="U2200" s="10">
        <f t="shared" ca="1" si="323"/>
        <v>494.61538461538385</v>
      </c>
      <c r="V2200">
        <f t="shared" si="324"/>
        <v>2</v>
      </c>
    </row>
    <row r="2201" spans="1:22" x14ac:dyDescent="0.25">
      <c r="A2201">
        <v>245</v>
      </c>
      <c r="B2201">
        <v>4</v>
      </c>
      <c r="C2201">
        <v>20</v>
      </c>
      <c r="D2201">
        <v>1</v>
      </c>
      <c r="E2201">
        <v>0</v>
      </c>
      <c r="F2201">
        <v>0</v>
      </c>
      <c r="G2201">
        <v>0</v>
      </c>
      <c r="H2201">
        <v>550</v>
      </c>
      <c r="I2201">
        <f t="shared" si="325"/>
        <v>2196</v>
      </c>
      <c r="J2201" s="6">
        <f t="array" aca="1" ref="J2201:N2201" ca="1">TRANSPOSE(ols(OFFSET($C$2:$C$10,I2201,0),OFFSET($D$2:$H$10,I2201,0)))</f>
        <v>96.309523809522489</v>
      </c>
      <c r="K2201" s="6">
        <f ca="1"/>
        <v>4.2857142857146755</v>
      </c>
      <c r="L2201" s="6">
        <f ca="1"/>
        <v>-31.190476190475692</v>
      </c>
      <c r="M2201" s="6">
        <f ca="1"/>
        <v>13.095238095238187</v>
      </c>
      <c r="N2201" s="6">
        <f ca="1"/>
        <v>-0.15476190476190421</v>
      </c>
      <c r="O2201" s="6">
        <f t="shared" ca="1" si="317"/>
        <v>11.190476190475167</v>
      </c>
      <c r="P2201" t="str">
        <f t="shared" si="318"/>
        <v>NA</v>
      </c>
      <c r="Q2201" s="10">
        <f t="shared" ca="1" si="319"/>
        <v>24.047619047618511</v>
      </c>
      <c r="R2201" s="10">
        <f t="shared" ca="1" si="320"/>
        <v>96.309523809522489</v>
      </c>
      <c r="S2201" s="10">
        <f t="shared" ca="1" si="321"/>
        <v>-72.261904761903978</v>
      </c>
      <c r="T2201" s="10">
        <f t="shared" ca="1" si="322"/>
        <v>466.92307692307349</v>
      </c>
      <c r="U2201" s="10">
        <f t="shared" ca="1" si="323"/>
        <v>466.92307692307349</v>
      </c>
      <c r="V2201">
        <f t="shared" si="324"/>
        <v>1</v>
      </c>
    </row>
    <row r="2202" spans="1:22" x14ac:dyDescent="0.25">
      <c r="A2202">
        <v>245</v>
      </c>
      <c r="B2202">
        <v>5</v>
      </c>
      <c r="C2202">
        <v>30</v>
      </c>
      <c r="D2202">
        <v>1</v>
      </c>
      <c r="E2202">
        <v>0</v>
      </c>
      <c r="F2202">
        <v>1</v>
      </c>
      <c r="G2202">
        <v>1</v>
      </c>
      <c r="H2202">
        <v>250</v>
      </c>
      <c r="I2202">
        <f t="shared" si="325"/>
        <v>2196</v>
      </c>
      <c r="J2202" s="6">
        <f t="array" aca="1" ref="J2202:N2202" ca="1">TRANSPOSE(ols(OFFSET($C$2:$C$10,I2202,0),OFFSET($D$2:$H$10,I2202,0)))</f>
        <v>96.309523809522489</v>
      </c>
      <c r="K2202" s="6">
        <f ca="1"/>
        <v>4.2857142857146755</v>
      </c>
      <c r="L2202" s="6">
        <f ca="1"/>
        <v>-31.190476190475692</v>
      </c>
      <c r="M2202" s="6">
        <f ca="1"/>
        <v>13.095238095238187</v>
      </c>
      <c r="N2202" s="6">
        <f ca="1"/>
        <v>-0.15476190476190421</v>
      </c>
      <c r="O2202" s="6">
        <f t="shared" ca="1" si="317"/>
        <v>39.523809523808929</v>
      </c>
      <c r="P2202" t="str">
        <f t="shared" si="318"/>
        <v>NA</v>
      </c>
      <c r="Q2202" s="10">
        <f t="shared" ca="1" si="319"/>
        <v>24.047619047618511</v>
      </c>
      <c r="R2202" s="10">
        <f t="shared" ca="1" si="320"/>
        <v>78.214285714284983</v>
      </c>
      <c r="S2202" s="10">
        <f t="shared" ca="1" si="321"/>
        <v>-54.166666666666472</v>
      </c>
      <c r="T2202" s="10">
        <f t="shared" ca="1" si="322"/>
        <v>350</v>
      </c>
      <c r="U2202" s="10">
        <f t="shared" ca="1" si="323"/>
        <v>350</v>
      </c>
      <c r="V2202">
        <f t="shared" si="324"/>
        <v>6</v>
      </c>
    </row>
    <row r="2203" spans="1:22" x14ac:dyDescent="0.25">
      <c r="A2203">
        <v>245</v>
      </c>
      <c r="B2203">
        <v>6</v>
      </c>
      <c r="C2203">
        <v>40</v>
      </c>
      <c r="D2203">
        <v>1</v>
      </c>
      <c r="E2203">
        <v>0</v>
      </c>
      <c r="F2203">
        <v>1</v>
      </c>
      <c r="G2203">
        <v>1</v>
      </c>
      <c r="H2203">
        <v>350</v>
      </c>
      <c r="I2203">
        <f t="shared" si="325"/>
        <v>2196</v>
      </c>
      <c r="J2203" s="6">
        <f t="array" aca="1" ref="J2203:N2203" ca="1">TRANSPOSE(ols(OFFSET($C$2:$C$10,I2203,0),OFFSET($D$2:$H$10,I2203,0)))</f>
        <v>96.309523809522489</v>
      </c>
      <c r="K2203" s="6">
        <f ca="1"/>
        <v>4.2857142857146755</v>
      </c>
      <c r="L2203" s="6">
        <f ca="1"/>
        <v>-31.190476190475692</v>
      </c>
      <c r="M2203" s="6">
        <f ca="1"/>
        <v>13.095238095238187</v>
      </c>
      <c r="N2203" s="6">
        <f ca="1"/>
        <v>-0.15476190476190421</v>
      </c>
      <c r="O2203" s="6">
        <f t="shared" ca="1" si="317"/>
        <v>24.047619047618511</v>
      </c>
      <c r="P2203">
        <f t="shared" ca="1" si="318"/>
        <v>24.047619047618511</v>
      </c>
      <c r="Q2203" s="10">
        <f t="shared" ca="1" si="319"/>
        <v>24.047619047618511</v>
      </c>
      <c r="R2203" s="10">
        <f t="shared" ca="1" si="320"/>
        <v>78.214285714284983</v>
      </c>
      <c r="S2203" s="10">
        <f t="shared" ca="1" si="321"/>
        <v>-54.166666666666472</v>
      </c>
      <c r="T2203" s="10">
        <f t="shared" ca="1" si="322"/>
        <v>350</v>
      </c>
      <c r="U2203" s="10">
        <f t="shared" ca="1" si="323"/>
        <v>350</v>
      </c>
      <c r="V2203">
        <f t="shared" si="324"/>
        <v>6</v>
      </c>
    </row>
    <row r="2204" spans="1:22" x14ac:dyDescent="0.25">
      <c r="A2204">
        <v>245</v>
      </c>
      <c r="B2204">
        <v>7</v>
      </c>
      <c r="C2204">
        <v>60</v>
      </c>
      <c r="D2204">
        <v>1</v>
      </c>
      <c r="E2204">
        <v>1</v>
      </c>
      <c r="F2204">
        <v>0</v>
      </c>
      <c r="G2204">
        <v>1</v>
      </c>
      <c r="H2204">
        <v>450</v>
      </c>
      <c r="I2204">
        <f t="shared" si="325"/>
        <v>2196</v>
      </c>
      <c r="J2204" s="6">
        <f t="array" aca="1" ref="J2204:N2204" ca="1">TRANSPOSE(ols(OFFSET($C$2:$C$10,I2204,0),OFFSET($D$2:$H$10,I2204,0)))</f>
        <v>96.309523809522489</v>
      </c>
      <c r="K2204" s="6">
        <f ca="1"/>
        <v>4.2857142857146755</v>
      </c>
      <c r="L2204" s="6">
        <f ca="1"/>
        <v>-31.190476190475692</v>
      </c>
      <c r="M2204" s="6">
        <f ca="1"/>
        <v>13.095238095238187</v>
      </c>
      <c r="N2204" s="6">
        <f ca="1"/>
        <v>-0.15476190476190421</v>
      </c>
      <c r="O2204" s="6">
        <f t="shared" ca="1" si="317"/>
        <v>44.047619047618454</v>
      </c>
      <c r="P2204" t="str">
        <f t="shared" si="318"/>
        <v>NA</v>
      </c>
      <c r="Q2204" s="10">
        <f t="shared" ca="1" si="319"/>
        <v>24.047619047618511</v>
      </c>
      <c r="R2204" s="10">
        <f t="shared" ca="1" si="320"/>
        <v>113.69047619047535</v>
      </c>
      <c r="S2204" s="10">
        <f t="shared" ca="1" si="321"/>
        <v>-89.64285714285684</v>
      </c>
      <c r="T2204" s="10">
        <f t="shared" ca="1" si="322"/>
        <v>579.23076923076928</v>
      </c>
      <c r="U2204" s="10">
        <f t="shared" ca="1" si="323"/>
        <v>579.23076923076928</v>
      </c>
      <c r="V2204">
        <f t="shared" si="324"/>
        <v>5</v>
      </c>
    </row>
    <row r="2205" spans="1:22" x14ac:dyDescent="0.25">
      <c r="A2205">
        <v>245</v>
      </c>
      <c r="B2205">
        <v>8</v>
      </c>
      <c r="C2205">
        <v>15</v>
      </c>
      <c r="D2205">
        <v>1</v>
      </c>
      <c r="E2205">
        <v>1</v>
      </c>
      <c r="F2205">
        <v>0</v>
      </c>
      <c r="G2205">
        <v>1</v>
      </c>
      <c r="H2205">
        <v>550</v>
      </c>
      <c r="I2205">
        <f t="shared" si="325"/>
        <v>2196</v>
      </c>
      <c r="J2205" s="6">
        <f t="array" aca="1" ref="J2205:N2205" ca="1">TRANSPOSE(ols(OFFSET($C$2:$C$10,I2205,0),OFFSET($D$2:$H$10,I2205,0)))</f>
        <v>96.309523809522489</v>
      </c>
      <c r="K2205" s="6">
        <f ca="1"/>
        <v>4.2857142857146755</v>
      </c>
      <c r="L2205" s="6">
        <f ca="1"/>
        <v>-31.190476190475692</v>
      </c>
      <c r="M2205" s="6">
        <f ca="1"/>
        <v>13.095238095238187</v>
      </c>
      <c r="N2205" s="6">
        <f ca="1"/>
        <v>-0.15476190476190421</v>
      </c>
      <c r="O2205" s="6">
        <f t="shared" ca="1" si="317"/>
        <v>28.571428571428029</v>
      </c>
      <c r="P2205" t="str">
        <f t="shared" si="318"/>
        <v>NA</v>
      </c>
      <c r="Q2205" s="10">
        <f t="shared" ca="1" si="319"/>
        <v>24.047619047618511</v>
      </c>
      <c r="R2205" s="10">
        <f t="shared" ca="1" si="320"/>
        <v>113.69047619047535</v>
      </c>
      <c r="S2205" s="10">
        <f t="shared" ca="1" si="321"/>
        <v>-89.64285714285684</v>
      </c>
      <c r="T2205" s="10">
        <f t="shared" ca="1" si="322"/>
        <v>579.23076923076928</v>
      </c>
      <c r="U2205" s="10">
        <f t="shared" ca="1" si="323"/>
        <v>579.23076923076928</v>
      </c>
      <c r="V2205">
        <f t="shared" si="324"/>
        <v>5</v>
      </c>
    </row>
    <row r="2206" spans="1:22" x14ac:dyDescent="0.25">
      <c r="A2206">
        <v>245</v>
      </c>
      <c r="B2206">
        <v>9</v>
      </c>
      <c r="C2206">
        <v>0</v>
      </c>
      <c r="D2206">
        <v>1</v>
      </c>
      <c r="E2206">
        <v>0</v>
      </c>
      <c r="F2206">
        <v>0</v>
      </c>
      <c r="G2206">
        <v>1</v>
      </c>
      <c r="H2206">
        <v>650</v>
      </c>
      <c r="I2206">
        <f t="shared" si="325"/>
        <v>2196</v>
      </c>
      <c r="J2206" s="6">
        <f t="array" aca="1" ref="J2206:N2206" ca="1">TRANSPOSE(ols(OFFSET($C$2:$C$10,I2206,0),OFFSET($D$2:$H$10,I2206,0)))</f>
        <v>96.309523809522489</v>
      </c>
      <c r="K2206" s="6">
        <f ca="1"/>
        <v>4.2857142857146755</v>
      </c>
      <c r="L2206" s="6">
        <f ca="1"/>
        <v>-31.190476190475692</v>
      </c>
      <c r="M2206" s="6">
        <f ca="1"/>
        <v>13.095238095238187</v>
      </c>
      <c r="N2206" s="6">
        <f ca="1"/>
        <v>-0.15476190476190421</v>
      </c>
      <c r="O2206" s="6">
        <f t="shared" ca="1" si="317"/>
        <v>8.8095238095229433</v>
      </c>
      <c r="P2206" t="str">
        <f t="shared" si="318"/>
        <v>NA</v>
      </c>
      <c r="Q2206" s="10">
        <f t="shared" ca="1" si="319"/>
        <v>24.047619047618511</v>
      </c>
      <c r="R2206" s="10">
        <f t="shared" ca="1" si="320"/>
        <v>109.40476190476068</v>
      </c>
      <c r="S2206" s="10">
        <f t="shared" ca="1" si="321"/>
        <v>-85.357142857142165</v>
      </c>
      <c r="T2206" s="10">
        <f t="shared" ca="1" si="322"/>
        <v>551.53846153845905</v>
      </c>
      <c r="U2206" s="10">
        <f t="shared" ca="1" si="323"/>
        <v>551.53846153845905</v>
      </c>
      <c r="V2206">
        <f t="shared" si="324"/>
        <v>4</v>
      </c>
    </row>
    <row r="2207" spans="1:22" x14ac:dyDescent="0.25">
      <c r="A2207">
        <v>246</v>
      </c>
      <c r="B2207">
        <v>1</v>
      </c>
      <c r="C2207">
        <v>25</v>
      </c>
      <c r="D2207">
        <v>1</v>
      </c>
      <c r="E2207">
        <v>0</v>
      </c>
      <c r="F2207">
        <v>1</v>
      </c>
      <c r="G2207">
        <v>0</v>
      </c>
      <c r="H2207">
        <v>250</v>
      </c>
      <c r="I2207">
        <f t="shared" si="325"/>
        <v>2205</v>
      </c>
      <c r="J2207" s="6">
        <f t="array" aca="1" ref="J2207:N2207" ca="1">TRANSPOSE(ols(OFFSET($C$2:$C$10,I2207,0),OFFSET($D$2:$H$10,I2207,0)))</f>
        <v>169.10714285714016</v>
      </c>
      <c r="K2207" s="6">
        <f ca="1"/>
        <v>-39.285714285713539</v>
      </c>
      <c r="L2207" s="6">
        <f ca="1"/>
        <v>-62.142857142855746</v>
      </c>
      <c r="M2207" s="6">
        <f ca="1"/>
        <v>26.071428571428299</v>
      </c>
      <c r="N2207" s="6">
        <f ca="1"/>
        <v>-0.30357142857142483</v>
      </c>
      <c r="O2207" s="6">
        <f t="shared" ca="1" si="317"/>
        <v>31.071428571428214</v>
      </c>
      <c r="P2207" t="str">
        <f t="shared" si="318"/>
        <v>NA</v>
      </c>
      <c r="Q2207" s="10">
        <f t="shared" ca="1" si="319"/>
        <v>26.785714285714022</v>
      </c>
      <c r="R2207" s="10">
        <f t="shared" ca="1" si="320"/>
        <v>106.96428571428442</v>
      </c>
      <c r="S2207" s="10">
        <f t="shared" ca="1" si="321"/>
        <v>-80.178571428570393</v>
      </c>
      <c r="T2207" s="10">
        <f t="shared" ca="1" si="322"/>
        <v>264.11764705882337</v>
      </c>
      <c r="U2207" s="10">
        <f t="shared" ca="1" si="323"/>
        <v>264.11764705882337</v>
      </c>
      <c r="V2207">
        <f t="shared" si="324"/>
        <v>3</v>
      </c>
    </row>
    <row r="2208" spans="1:22" x14ac:dyDescent="0.25">
      <c r="A2208">
        <v>246</v>
      </c>
      <c r="B2208">
        <v>2</v>
      </c>
      <c r="C2208">
        <v>25</v>
      </c>
      <c r="D2208">
        <v>1</v>
      </c>
      <c r="E2208">
        <v>1</v>
      </c>
      <c r="F2208">
        <v>0</v>
      </c>
      <c r="G2208">
        <v>0</v>
      </c>
      <c r="H2208">
        <v>350</v>
      </c>
      <c r="I2208">
        <f t="shared" si="325"/>
        <v>2205</v>
      </c>
      <c r="J2208" s="6">
        <f t="array" aca="1" ref="J2208:N2208" ca="1">TRANSPOSE(ols(OFFSET($C$2:$C$10,I2208,0),OFFSET($D$2:$H$10,I2208,0)))</f>
        <v>169.10714285714016</v>
      </c>
      <c r="K2208" s="6">
        <f ca="1"/>
        <v>-39.285714285713539</v>
      </c>
      <c r="L2208" s="6">
        <f ca="1"/>
        <v>-62.142857142855746</v>
      </c>
      <c r="M2208" s="6">
        <f ca="1"/>
        <v>26.071428571428299</v>
      </c>
      <c r="N2208" s="6">
        <f ca="1"/>
        <v>-0.30357142857142483</v>
      </c>
      <c r="O2208" s="6">
        <f t="shared" ca="1" si="317"/>
        <v>23.57142857142793</v>
      </c>
      <c r="P2208" t="str">
        <f t="shared" si="318"/>
        <v>NA</v>
      </c>
      <c r="Q2208" s="10">
        <f t="shared" ca="1" si="319"/>
        <v>26.785714285714022</v>
      </c>
      <c r="R2208" s="10">
        <f t="shared" ca="1" si="320"/>
        <v>129.82142857142662</v>
      </c>
      <c r="S2208" s="10">
        <f t="shared" ca="1" si="321"/>
        <v>-103.0357142857126</v>
      </c>
      <c r="T2208" s="10">
        <f t="shared" ca="1" si="322"/>
        <v>339.41176470588101</v>
      </c>
      <c r="U2208" s="10">
        <f t="shared" ca="1" si="323"/>
        <v>339.41176470588101</v>
      </c>
      <c r="V2208">
        <f t="shared" si="324"/>
        <v>2</v>
      </c>
    </row>
    <row r="2209" spans="1:22" x14ac:dyDescent="0.25">
      <c r="A2209">
        <v>246</v>
      </c>
      <c r="B2209">
        <v>3</v>
      </c>
      <c r="C2209">
        <v>0</v>
      </c>
      <c r="D2209">
        <v>1</v>
      </c>
      <c r="E2209">
        <v>1</v>
      </c>
      <c r="F2209">
        <v>0</v>
      </c>
      <c r="G2209">
        <v>0</v>
      </c>
      <c r="H2209">
        <v>450</v>
      </c>
      <c r="I2209">
        <f t="shared" si="325"/>
        <v>2205</v>
      </c>
      <c r="J2209" s="6">
        <f t="array" aca="1" ref="J2209:N2209" ca="1">TRANSPOSE(ols(OFFSET($C$2:$C$10,I2209,0),OFFSET($D$2:$H$10,I2209,0)))</f>
        <v>169.10714285714016</v>
      </c>
      <c r="K2209" s="6">
        <f ca="1"/>
        <v>-39.285714285713539</v>
      </c>
      <c r="L2209" s="6">
        <f ca="1"/>
        <v>-62.142857142855746</v>
      </c>
      <c r="M2209" s="6">
        <f ca="1"/>
        <v>26.071428571428299</v>
      </c>
      <c r="N2209" s="6">
        <f ca="1"/>
        <v>-0.30357142857142483</v>
      </c>
      <c r="O2209" s="6">
        <f t="shared" ca="1" si="317"/>
        <v>-6.7857142857145618</v>
      </c>
      <c r="P2209" t="str">
        <f t="shared" si="318"/>
        <v>NA</v>
      </c>
      <c r="Q2209" s="10">
        <f t="shared" ca="1" si="319"/>
        <v>26.785714285714022</v>
      </c>
      <c r="R2209" s="10">
        <f t="shared" ca="1" si="320"/>
        <v>129.82142857142662</v>
      </c>
      <c r="S2209" s="10">
        <f t="shared" ca="1" si="321"/>
        <v>-103.0357142857126</v>
      </c>
      <c r="T2209" s="10">
        <f t="shared" ca="1" si="322"/>
        <v>339.41176470588101</v>
      </c>
      <c r="U2209" s="10">
        <f t="shared" ca="1" si="323"/>
        <v>339.41176470588101</v>
      </c>
      <c r="V2209">
        <f t="shared" si="324"/>
        <v>2</v>
      </c>
    </row>
    <row r="2210" spans="1:22" x14ac:dyDescent="0.25">
      <c r="A2210">
        <v>246</v>
      </c>
      <c r="B2210">
        <v>4</v>
      </c>
      <c r="C2210">
        <v>0</v>
      </c>
      <c r="D2210">
        <v>1</v>
      </c>
      <c r="E2210">
        <v>0</v>
      </c>
      <c r="F2210">
        <v>0</v>
      </c>
      <c r="G2210">
        <v>0</v>
      </c>
      <c r="H2210">
        <v>550</v>
      </c>
      <c r="I2210">
        <f t="shared" si="325"/>
        <v>2205</v>
      </c>
      <c r="J2210" s="6">
        <f t="array" aca="1" ref="J2210:N2210" ca="1">TRANSPOSE(ols(OFFSET($C$2:$C$10,I2210,0),OFFSET($D$2:$H$10,I2210,0)))</f>
        <v>169.10714285714016</v>
      </c>
      <c r="K2210" s="6">
        <f ca="1"/>
        <v>-39.285714285713539</v>
      </c>
      <c r="L2210" s="6">
        <f ca="1"/>
        <v>-62.142857142855746</v>
      </c>
      <c r="M2210" s="6">
        <f ca="1"/>
        <v>26.071428571428299</v>
      </c>
      <c r="N2210" s="6">
        <f ca="1"/>
        <v>-0.30357142857142483</v>
      </c>
      <c r="O2210" s="6">
        <f t="shared" ca="1" si="317"/>
        <v>2.1428571428565135</v>
      </c>
      <c r="P2210" t="str">
        <f t="shared" si="318"/>
        <v>NA</v>
      </c>
      <c r="Q2210" s="10">
        <f t="shared" ca="1" si="319"/>
        <v>26.785714285714022</v>
      </c>
      <c r="R2210" s="10">
        <f t="shared" ca="1" si="320"/>
        <v>169.10714285714016</v>
      </c>
      <c r="S2210" s="10">
        <f t="shared" ca="1" si="321"/>
        <v>-142.32142857142614</v>
      </c>
      <c r="T2210" s="10">
        <f t="shared" ca="1" si="322"/>
        <v>468.82352941176248</v>
      </c>
      <c r="U2210" s="10">
        <f t="shared" ca="1" si="323"/>
        <v>468.82352941176248</v>
      </c>
      <c r="V2210">
        <f t="shared" si="324"/>
        <v>1</v>
      </c>
    </row>
    <row r="2211" spans="1:22" x14ac:dyDescent="0.25">
      <c r="A2211">
        <v>246</v>
      </c>
      <c r="B2211">
        <v>5</v>
      </c>
      <c r="C2211">
        <v>75</v>
      </c>
      <c r="D2211">
        <v>1</v>
      </c>
      <c r="E2211">
        <v>0</v>
      </c>
      <c r="F2211">
        <v>1</v>
      </c>
      <c r="G2211">
        <v>1</v>
      </c>
      <c r="H2211">
        <v>250</v>
      </c>
      <c r="I2211">
        <f t="shared" si="325"/>
        <v>2205</v>
      </c>
      <c r="J2211" s="6">
        <f t="array" aca="1" ref="J2211:N2211" ca="1">TRANSPOSE(ols(OFFSET($C$2:$C$10,I2211,0),OFFSET($D$2:$H$10,I2211,0)))</f>
        <v>169.10714285714016</v>
      </c>
      <c r="K2211" s="6">
        <f ca="1"/>
        <v>-39.285714285713539</v>
      </c>
      <c r="L2211" s="6">
        <f ca="1"/>
        <v>-62.142857142855746</v>
      </c>
      <c r="M2211" s="6">
        <f ca="1"/>
        <v>26.071428571428299</v>
      </c>
      <c r="N2211" s="6">
        <f ca="1"/>
        <v>-0.30357142857142483</v>
      </c>
      <c r="O2211" s="6">
        <f t="shared" ca="1" si="317"/>
        <v>57.142857142856514</v>
      </c>
      <c r="P2211" t="str">
        <f t="shared" si="318"/>
        <v>NA</v>
      </c>
      <c r="Q2211" s="10">
        <f t="shared" ca="1" si="319"/>
        <v>26.785714285714022</v>
      </c>
      <c r="R2211" s="10">
        <f t="shared" ca="1" si="320"/>
        <v>133.03571428571271</v>
      </c>
      <c r="S2211" s="10">
        <f t="shared" ca="1" si="321"/>
        <v>-106.24999999999869</v>
      </c>
      <c r="T2211" s="10">
        <f t="shared" ca="1" si="322"/>
        <v>350</v>
      </c>
      <c r="U2211" s="10">
        <f t="shared" ca="1" si="323"/>
        <v>350</v>
      </c>
      <c r="V2211">
        <f t="shared" si="324"/>
        <v>6</v>
      </c>
    </row>
    <row r="2212" spans="1:22" x14ac:dyDescent="0.25">
      <c r="A2212">
        <v>246</v>
      </c>
      <c r="B2212">
        <v>6</v>
      </c>
      <c r="C2212">
        <v>15</v>
      </c>
      <c r="D2212">
        <v>1</v>
      </c>
      <c r="E2212">
        <v>0</v>
      </c>
      <c r="F2212">
        <v>1</v>
      </c>
      <c r="G2212">
        <v>1</v>
      </c>
      <c r="H2212">
        <v>350</v>
      </c>
      <c r="I2212">
        <f t="shared" si="325"/>
        <v>2205</v>
      </c>
      <c r="J2212" s="6">
        <f t="array" aca="1" ref="J2212:N2212" ca="1">TRANSPOSE(ols(OFFSET($C$2:$C$10,I2212,0),OFFSET($D$2:$H$10,I2212,0)))</f>
        <v>169.10714285714016</v>
      </c>
      <c r="K2212" s="6">
        <f ca="1"/>
        <v>-39.285714285713539</v>
      </c>
      <c r="L2212" s="6">
        <f ca="1"/>
        <v>-62.142857142855746</v>
      </c>
      <c r="M2212" s="6">
        <f ca="1"/>
        <v>26.071428571428299</v>
      </c>
      <c r="N2212" s="6">
        <f ca="1"/>
        <v>-0.30357142857142483</v>
      </c>
      <c r="O2212" s="6">
        <f t="shared" ca="1" si="317"/>
        <v>26.785714285714022</v>
      </c>
      <c r="P2212">
        <f t="shared" ca="1" si="318"/>
        <v>26.785714285714022</v>
      </c>
      <c r="Q2212" s="10">
        <f t="shared" ca="1" si="319"/>
        <v>26.785714285714022</v>
      </c>
      <c r="R2212" s="10">
        <f t="shared" ca="1" si="320"/>
        <v>133.03571428571271</v>
      </c>
      <c r="S2212" s="10">
        <f t="shared" ca="1" si="321"/>
        <v>-106.24999999999869</v>
      </c>
      <c r="T2212" s="10">
        <f t="shared" ca="1" si="322"/>
        <v>350</v>
      </c>
      <c r="U2212" s="10">
        <f t="shared" ca="1" si="323"/>
        <v>350</v>
      </c>
      <c r="V2212">
        <f t="shared" si="324"/>
        <v>6</v>
      </c>
    </row>
    <row r="2213" spans="1:22" x14ac:dyDescent="0.25">
      <c r="A2213">
        <v>246</v>
      </c>
      <c r="B2213">
        <v>7</v>
      </c>
      <c r="C2213">
        <v>0</v>
      </c>
      <c r="D2213">
        <v>1</v>
      </c>
      <c r="E2213">
        <v>1</v>
      </c>
      <c r="F2213">
        <v>0</v>
      </c>
      <c r="G2213">
        <v>1</v>
      </c>
      <c r="H2213">
        <v>450</v>
      </c>
      <c r="I2213">
        <f t="shared" si="325"/>
        <v>2205</v>
      </c>
      <c r="J2213" s="6">
        <f t="array" aca="1" ref="J2213:N2213" ca="1">TRANSPOSE(ols(OFFSET($C$2:$C$10,I2213,0),OFFSET($D$2:$H$10,I2213,0)))</f>
        <v>169.10714285714016</v>
      </c>
      <c r="K2213" s="6">
        <f ca="1"/>
        <v>-39.285714285713539</v>
      </c>
      <c r="L2213" s="6">
        <f ca="1"/>
        <v>-62.142857142855746</v>
      </c>
      <c r="M2213" s="6">
        <f ca="1"/>
        <v>26.071428571428299</v>
      </c>
      <c r="N2213" s="6">
        <f ca="1"/>
        <v>-0.30357142857142483</v>
      </c>
      <c r="O2213" s="6">
        <f t="shared" ca="1" si="317"/>
        <v>19.285714285713738</v>
      </c>
      <c r="P2213" t="str">
        <f t="shared" si="318"/>
        <v>NA</v>
      </c>
      <c r="Q2213" s="10">
        <f t="shared" ca="1" si="319"/>
        <v>26.785714285714022</v>
      </c>
      <c r="R2213" s="10">
        <f t="shared" ca="1" si="320"/>
        <v>155.89285714285492</v>
      </c>
      <c r="S2213" s="10">
        <f t="shared" ca="1" si="321"/>
        <v>-129.1071428571409</v>
      </c>
      <c r="T2213" s="10">
        <f t="shared" ca="1" si="322"/>
        <v>425.29411764705765</v>
      </c>
      <c r="U2213" s="10">
        <f t="shared" ca="1" si="323"/>
        <v>425.29411764705765</v>
      </c>
      <c r="V2213">
        <f t="shared" si="324"/>
        <v>5</v>
      </c>
    </row>
    <row r="2214" spans="1:22" x14ac:dyDescent="0.25">
      <c r="A2214">
        <v>246</v>
      </c>
      <c r="B2214">
        <v>8</v>
      </c>
      <c r="C2214">
        <v>0</v>
      </c>
      <c r="D2214">
        <v>1</v>
      </c>
      <c r="E2214">
        <v>1</v>
      </c>
      <c r="F2214">
        <v>0</v>
      </c>
      <c r="G2214">
        <v>1</v>
      </c>
      <c r="H2214">
        <v>550</v>
      </c>
      <c r="I2214">
        <f t="shared" si="325"/>
        <v>2205</v>
      </c>
      <c r="J2214" s="6">
        <f t="array" aca="1" ref="J2214:N2214" ca="1">TRANSPOSE(ols(OFFSET($C$2:$C$10,I2214,0),OFFSET($D$2:$H$10,I2214,0)))</f>
        <v>169.10714285714016</v>
      </c>
      <c r="K2214" s="6">
        <f ca="1"/>
        <v>-39.285714285713539</v>
      </c>
      <c r="L2214" s="6">
        <f ca="1"/>
        <v>-62.142857142855746</v>
      </c>
      <c r="M2214" s="6">
        <f ca="1"/>
        <v>26.071428571428299</v>
      </c>
      <c r="N2214" s="6">
        <f ca="1"/>
        <v>-0.30357142857142483</v>
      </c>
      <c r="O2214" s="6">
        <f t="shared" ca="1" si="317"/>
        <v>-11.071428571428726</v>
      </c>
      <c r="P2214" t="str">
        <f t="shared" si="318"/>
        <v>NA</v>
      </c>
      <c r="Q2214" s="10">
        <f t="shared" ca="1" si="319"/>
        <v>26.785714285714022</v>
      </c>
      <c r="R2214" s="10">
        <f t="shared" ca="1" si="320"/>
        <v>155.89285714285492</v>
      </c>
      <c r="S2214" s="10">
        <f t="shared" ca="1" si="321"/>
        <v>-129.1071428571409</v>
      </c>
      <c r="T2214" s="10">
        <f t="shared" ca="1" si="322"/>
        <v>425.29411764705765</v>
      </c>
      <c r="U2214" s="10">
        <f t="shared" ca="1" si="323"/>
        <v>425.29411764705765</v>
      </c>
      <c r="V2214">
        <f t="shared" si="324"/>
        <v>5</v>
      </c>
    </row>
    <row r="2215" spans="1:22" x14ac:dyDescent="0.25">
      <c r="A2215">
        <v>246</v>
      </c>
      <c r="B2215">
        <v>9</v>
      </c>
      <c r="C2215">
        <v>0</v>
      </c>
      <c r="D2215">
        <v>1</v>
      </c>
      <c r="E2215">
        <v>0</v>
      </c>
      <c r="F2215">
        <v>0</v>
      </c>
      <c r="G2215">
        <v>1</v>
      </c>
      <c r="H2215">
        <v>650</v>
      </c>
      <c r="I2215">
        <f t="shared" si="325"/>
        <v>2205</v>
      </c>
      <c r="J2215" s="6">
        <f t="array" aca="1" ref="J2215:N2215" ca="1">TRANSPOSE(ols(OFFSET($C$2:$C$10,I2215,0),OFFSET($D$2:$H$10,I2215,0)))</f>
        <v>169.10714285714016</v>
      </c>
      <c r="K2215" s="6">
        <f ca="1"/>
        <v>-39.285714285713539</v>
      </c>
      <c r="L2215" s="6">
        <f ca="1"/>
        <v>-62.142857142855746</v>
      </c>
      <c r="M2215" s="6">
        <f ca="1"/>
        <v>26.071428571428299</v>
      </c>
      <c r="N2215" s="6">
        <f ca="1"/>
        <v>-0.30357142857142483</v>
      </c>
      <c r="O2215" s="6">
        <f t="shared" ca="1" si="317"/>
        <v>-2.1428571428576788</v>
      </c>
      <c r="P2215" t="str">
        <f t="shared" si="318"/>
        <v>NA</v>
      </c>
      <c r="Q2215" s="10">
        <f t="shared" ca="1" si="319"/>
        <v>26.785714285714022</v>
      </c>
      <c r="R2215" s="10">
        <f t="shared" ca="1" si="320"/>
        <v>195.17857142856846</v>
      </c>
      <c r="S2215" s="10">
        <f t="shared" ca="1" si="321"/>
        <v>-168.39285714285444</v>
      </c>
      <c r="T2215" s="10">
        <f t="shared" ca="1" si="322"/>
        <v>554.70588235293906</v>
      </c>
      <c r="U2215" s="10">
        <f t="shared" ca="1" si="323"/>
        <v>554.70588235293906</v>
      </c>
      <c r="V2215">
        <f t="shared" si="324"/>
        <v>4</v>
      </c>
    </row>
    <row r="2216" spans="1:22" x14ac:dyDescent="0.25">
      <c r="A2216">
        <v>247</v>
      </c>
      <c r="B2216">
        <v>1</v>
      </c>
      <c r="C2216">
        <v>70</v>
      </c>
      <c r="D2216">
        <v>1</v>
      </c>
      <c r="E2216">
        <v>0</v>
      </c>
      <c r="F2216">
        <v>1</v>
      </c>
      <c r="G2216">
        <v>0</v>
      </c>
      <c r="H2216">
        <v>250</v>
      </c>
      <c r="I2216">
        <f t="shared" si="325"/>
        <v>2214</v>
      </c>
      <c r="J2216" s="6">
        <f t="array" aca="1" ref="J2216:N2216" ca="1">TRANSPOSE(ols(OFFSET($C$2:$C$10,I2216,0),OFFSET($D$2:$H$10,I2216,0)))</f>
        <v>112.29166666666424</v>
      </c>
      <c r="K2216" s="6">
        <f ca="1"/>
        <v>1.25</v>
      </c>
      <c r="L2216" s="6">
        <f ca="1"/>
        <v>-8.3333333333339397</v>
      </c>
      <c r="M2216" s="6">
        <f ca="1"/>
        <v>30.41666666666697</v>
      </c>
      <c r="N2216" s="6">
        <f ca="1"/>
        <v>-0.12083333333333357</v>
      </c>
      <c r="O2216" s="6">
        <f t="shared" ca="1" si="317"/>
        <v>73.749999999996902</v>
      </c>
      <c r="P2216" t="str">
        <f t="shared" si="318"/>
        <v>NA</v>
      </c>
      <c r="Q2216" s="10">
        <f t="shared" ca="1" si="319"/>
        <v>92.083333333330529</v>
      </c>
      <c r="R2216" s="10">
        <f t="shared" ca="1" si="320"/>
        <v>103.9583333333303</v>
      </c>
      <c r="S2216" s="10">
        <f t="shared" ca="1" si="321"/>
        <v>-11.874999999999773</v>
      </c>
      <c r="T2216" s="10">
        <f t="shared" ca="1" si="322"/>
        <v>98.275862068963448</v>
      </c>
      <c r="U2216" s="10" t="str">
        <f t="shared" ca="1" si="323"/>
        <v>OR</v>
      </c>
      <c r="V2216">
        <f t="shared" si="324"/>
        <v>3</v>
      </c>
    </row>
    <row r="2217" spans="1:22" x14ac:dyDescent="0.25">
      <c r="A2217">
        <v>247</v>
      </c>
      <c r="B2217">
        <v>2</v>
      </c>
      <c r="C2217">
        <v>70</v>
      </c>
      <c r="D2217">
        <v>1</v>
      </c>
      <c r="E2217">
        <v>1</v>
      </c>
      <c r="F2217">
        <v>0</v>
      </c>
      <c r="G2217">
        <v>0</v>
      </c>
      <c r="H2217">
        <v>350</v>
      </c>
      <c r="I2217">
        <f t="shared" si="325"/>
        <v>2214</v>
      </c>
      <c r="J2217" s="6">
        <f t="array" aca="1" ref="J2217:N2217" ca="1">TRANSPOSE(ols(OFFSET($C$2:$C$10,I2217,0),OFFSET($D$2:$H$10,I2217,0)))</f>
        <v>112.29166666666424</v>
      </c>
      <c r="K2217" s="6">
        <f ca="1"/>
        <v>1.25</v>
      </c>
      <c r="L2217" s="6">
        <f ca="1"/>
        <v>-8.3333333333339397</v>
      </c>
      <c r="M2217" s="6">
        <f ca="1"/>
        <v>30.41666666666697</v>
      </c>
      <c r="N2217" s="6">
        <f ca="1"/>
        <v>-0.12083333333333357</v>
      </c>
      <c r="O2217" s="6">
        <f t="shared" ca="1" si="317"/>
        <v>71.249999999997499</v>
      </c>
      <c r="P2217" t="str">
        <f t="shared" si="318"/>
        <v>NA</v>
      </c>
      <c r="Q2217" s="10">
        <f t="shared" ca="1" si="319"/>
        <v>92.083333333330529</v>
      </c>
      <c r="R2217" s="10">
        <f t="shared" ca="1" si="320"/>
        <v>113.54166666666424</v>
      </c>
      <c r="S2217" s="10">
        <f t="shared" ca="1" si="321"/>
        <v>-21.458333333333712</v>
      </c>
      <c r="T2217" s="10">
        <f t="shared" ca="1" si="322"/>
        <v>177.5862068965545</v>
      </c>
      <c r="U2217" s="10" t="str">
        <f t="shared" ca="1" si="323"/>
        <v>OR</v>
      </c>
      <c r="V2217">
        <f t="shared" si="324"/>
        <v>2</v>
      </c>
    </row>
    <row r="2218" spans="1:22" x14ac:dyDescent="0.25">
      <c r="A2218">
        <v>247</v>
      </c>
      <c r="B2218">
        <v>3</v>
      </c>
      <c r="C2218">
        <v>60</v>
      </c>
      <c r="D2218">
        <v>1</v>
      </c>
      <c r="E2218">
        <v>1</v>
      </c>
      <c r="F2218">
        <v>0</v>
      </c>
      <c r="G2218">
        <v>0</v>
      </c>
      <c r="H2218">
        <v>450</v>
      </c>
      <c r="I2218">
        <f t="shared" si="325"/>
        <v>2214</v>
      </c>
      <c r="J2218" s="6">
        <f t="array" aca="1" ref="J2218:N2218" ca="1">TRANSPOSE(ols(OFFSET($C$2:$C$10,I2218,0),OFFSET($D$2:$H$10,I2218,0)))</f>
        <v>112.29166666666424</v>
      </c>
      <c r="K2218" s="6">
        <f ca="1"/>
        <v>1.25</v>
      </c>
      <c r="L2218" s="6">
        <f ca="1"/>
        <v>-8.3333333333339397</v>
      </c>
      <c r="M2218" s="6">
        <f ca="1"/>
        <v>30.41666666666697</v>
      </c>
      <c r="N2218" s="6">
        <f ca="1"/>
        <v>-0.12083333333333357</v>
      </c>
      <c r="O2218" s="6">
        <f t="shared" ca="1" si="317"/>
        <v>59.166666666664135</v>
      </c>
      <c r="P2218" t="str">
        <f t="shared" si="318"/>
        <v>NA</v>
      </c>
      <c r="Q2218" s="10">
        <f t="shared" ca="1" si="319"/>
        <v>92.083333333330529</v>
      </c>
      <c r="R2218" s="10">
        <f t="shared" ca="1" si="320"/>
        <v>113.54166666666424</v>
      </c>
      <c r="S2218" s="10">
        <f t="shared" ca="1" si="321"/>
        <v>-21.458333333333712</v>
      </c>
      <c r="T2218" s="10">
        <f t="shared" ca="1" si="322"/>
        <v>177.5862068965545</v>
      </c>
      <c r="U2218" s="10" t="str">
        <f t="shared" ca="1" si="323"/>
        <v>OR</v>
      </c>
      <c r="V2218">
        <f t="shared" si="324"/>
        <v>2</v>
      </c>
    </row>
    <row r="2219" spans="1:22" x14ac:dyDescent="0.25">
      <c r="A2219">
        <v>247</v>
      </c>
      <c r="B2219">
        <v>4</v>
      </c>
      <c r="C2219">
        <v>50</v>
      </c>
      <c r="D2219">
        <v>1</v>
      </c>
      <c r="E2219">
        <v>0</v>
      </c>
      <c r="F2219">
        <v>0</v>
      </c>
      <c r="G2219">
        <v>0</v>
      </c>
      <c r="H2219">
        <v>550</v>
      </c>
      <c r="I2219">
        <f t="shared" si="325"/>
        <v>2214</v>
      </c>
      <c r="J2219" s="6">
        <f t="array" aca="1" ref="J2219:N2219" ca="1">TRANSPOSE(ols(OFFSET($C$2:$C$10,I2219,0),OFFSET($D$2:$H$10,I2219,0)))</f>
        <v>112.29166666666424</v>
      </c>
      <c r="K2219" s="6">
        <f ca="1"/>
        <v>1.25</v>
      </c>
      <c r="L2219" s="6">
        <f ca="1"/>
        <v>-8.3333333333339397</v>
      </c>
      <c r="M2219" s="6">
        <f ca="1"/>
        <v>30.41666666666697</v>
      </c>
      <c r="N2219" s="6">
        <f ca="1"/>
        <v>-0.12083333333333357</v>
      </c>
      <c r="O2219" s="6">
        <f t="shared" ca="1" si="317"/>
        <v>45.833333333330785</v>
      </c>
      <c r="P2219" t="str">
        <f t="shared" si="318"/>
        <v>NA</v>
      </c>
      <c r="Q2219" s="10">
        <f t="shared" ca="1" si="319"/>
        <v>92.083333333330529</v>
      </c>
      <c r="R2219" s="10">
        <f t="shared" ca="1" si="320"/>
        <v>112.29166666666424</v>
      </c>
      <c r="S2219" s="10">
        <f t="shared" ca="1" si="321"/>
        <v>-20.208333333333712</v>
      </c>
      <c r="T2219" s="10">
        <f t="shared" ca="1" si="322"/>
        <v>167.24137931034764</v>
      </c>
      <c r="U2219" s="10" t="str">
        <f t="shared" ca="1" si="323"/>
        <v>OR</v>
      </c>
      <c r="V2219">
        <f t="shared" si="324"/>
        <v>1</v>
      </c>
    </row>
    <row r="2220" spans="1:22" x14ac:dyDescent="0.25">
      <c r="A2220">
        <v>247</v>
      </c>
      <c r="B2220">
        <v>5</v>
      </c>
      <c r="C2220">
        <v>100</v>
      </c>
      <c r="D2220">
        <v>1</v>
      </c>
      <c r="E2220">
        <v>0</v>
      </c>
      <c r="F2220">
        <v>1</v>
      </c>
      <c r="G2220">
        <v>1</v>
      </c>
      <c r="H2220">
        <v>250</v>
      </c>
      <c r="I2220">
        <f t="shared" si="325"/>
        <v>2214</v>
      </c>
      <c r="J2220" s="6">
        <f t="array" aca="1" ref="J2220:N2220" ca="1">TRANSPOSE(ols(OFFSET($C$2:$C$10,I2220,0),OFFSET($D$2:$H$10,I2220,0)))</f>
        <v>112.29166666666424</v>
      </c>
      <c r="K2220" s="6">
        <f ca="1"/>
        <v>1.25</v>
      </c>
      <c r="L2220" s="6">
        <f ca="1"/>
        <v>-8.3333333333339397</v>
      </c>
      <c r="M2220" s="6">
        <f ca="1"/>
        <v>30.41666666666697</v>
      </c>
      <c r="N2220" s="6">
        <f ca="1"/>
        <v>-0.12083333333333357</v>
      </c>
      <c r="O2220" s="6">
        <f t="shared" ca="1" si="317"/>
        <v>104.16666666666387</v>
      </c>
      <c r="P2220" t="str">
        <f t="shared" si="318"/>
        <v>NA</v>
      </c>
      <c r="Q2220" s="10">
        <f t="shared" ca="1" si="319"/>
        <v>92.083333333330529</v>
      </c>
      <c r="R2220" s="10">
        <f t="shared" ca="1" si="320"/>
        <v>134.37499999999727</v>
      </c>
      <c r="S2220" s="10">
        <f t="shared" ca="1" si="321"/>
        <v>-42.291666666666742</v>
      </c>
      <c r="T2220" s="10">
        <f t="shared" ca="1" si="322"/>
        <v>349.99999999999994</v>
      </c>
      <c r="U2220" s="10">
        <f t="shared" ca="1" si="323"/>
        <v>349.99999999999994</v>
      </c>
      <c r="V2220">
        <f t="shared" si="324"/>
        <v>6</v>
      </c>
    </row>
    <row r="2221" spans="1:22" x14ac:dyDescent="0.25">
      <c r="A2221">
        <v>247</v>
      </c>
      <c r="B2221">
        <v>6</v>
      </c>
      <c r="C2221">
        <v>100</v>
      </c>
      <c r="D2221">
        <v>1</v>
      </c>
      <c r="E2221">
        <v>0</v>
      </c>
      <c r="F2221">
        <v>1</v>
      </c>
      <c r="G2221">
        <v>1</v>
      </c>
      <c r="H2221">
        <v>350</v>
      </c>
      <c r="I2221">
        <f t="shared" si="325"/>
        <v>2214</v>
      </c>
      <c r="J2221" s="6">
        <f t="array" aca="1" ref="J2221:N2221" ca="1">TRANSPOSE(ols(OFFSET($C$2:$C$10,I2221,0),OFFSET($D$2:$H$10,I2221,0)))</f>
        <v>112.29166666666424</v>
      </c>
      <c r="K2221" s="6">
        <f ca="1"/>
        <v>1.25</v>
      </c>
      <c r="L2221" s="6">
        <f ca="1"/>
        <v>-8.3333333333339397</v>
      </c>
      <c r="M2221" s="6">
        <f ca="1"/>
        <v>30.41666666666697</v>
      </c>
      <c r="N2221" s="6">
        <f ca="1"/>
        <v>-0.12083333333333357</v>
      </c>
      <c r="O2221" s="6">
        <f t="shared" ca="1" si="317"/>
        <v>92.083333333330529</v>
      </c>
      <c r="P2221">
        <f t="shared" ca="1" si="318"/>
        <v>92.083333333330529</v>
      </c>
      <c r="Q2221" s="10">
        <f t="shared" ca="1" si="319"/>
        <v>92.083333333330529</v>
      </c>
      <c r="R2221" s="10">
        <f t="shared" ca="1" si="320"/>
        <v>134.37499999999727</v>
      </c>
      <c r="S2221" s="10">
        <f t="shared" ca="1" si="321"/>
        <v>-42.291666666666742</v>
      </c>
      <c r="T2221" s="10">
        <f t="shared" ca="1" si="322"/>
        <v>349.99999999999994</v>
      </c>
      <c r="U2221" s="10">
        <f t="shared" ca="1" si="323"/>
        <v>349.99999999999994</v>
      </c>
      <c r="V2221">
        <f t="shared" si="324"/>
        <v>6</v>
      </c>
    </row>
    <row r="2222" spans="1:22" x14ac:dyDescent="0.25">
      <c r="A2222">
        <v>247</v>
      </c>
      <c r="B2222">
        <v>7</v>
      </c>
      <c r="C2222">
        <v>95</v>
      </c>
      <c r="D2222">
        <v>1</v>
      </c>
      <c r="E2222">
        <v>1</v>
      </c>
      <c r="F2222">
        <v>0</v>
      </c>
      <c r="G2222">
        <v>1</v>
      </c>
      <c r="H2222">
        <v>450</v>
      </c>
      <c r="I2222">
        <f t="shared" si="325"/>
        <v>2214</v>
      </c>
      <c r="J2222" s="6">
        <f t="array" aca="1" ref="J2222:N2222" ca="1">TRANSPOSE(ols(OFFSET($C$2:$C$10,I2222,0),OFFSET($D$2:$H$10,I2222,0)))</f>
        <v>112.29166666666424</v>
      </c>
      <c r="K2222" s="6">
        <f ca="1"/>
        <v>1.25</v>
      </c>
      <c r="L2222" s="6">
        <f ca="1"/>
        <v>-8.3333333333339397</v>
      </c>
      <c r="M2222" s="6">
        <f ca="1"/>
        <v>30.41666666666697</v>
      </c>
      <c r="N2222" s="6">
        <f ca="1"/>
        <v>-0.12083333333333357</v>
      </c>
      <c r="O2222" s="6">
        <f t="shared" ca="1" si="317"/>
        <v>89.583333333331097</v>
      </c>
      <c r="P2222" t="str">
        <f t="shared" si="318"/>
        <v>NA</v>
      </c>
      <c r="Q2222" s="10">
        <f t="shared" ca="1" si="319"/>
        <v>92.083333333330529</v>
      </c>
      <c r="R2222" s="10">
        <f t="shared" ca="1" si="320"/>
        <v>143.95833333333121</v>
      </c>
      <c r="S2222" s="10">
        <f t="shared" ca="1" si="321"/>
        <v>-51.875000000000682</v>
      </c>
      <c r="T2222" s="10">
        <f t="shared" ca="1" si="322"/>
        <v>429.310344827591</v>
      </c>
      <c r="U2222" s="10">
        <f t="shared" ca="1" si="323"/>
        <v>429.310344827591</v>
      </c>
      <c r="V2222">
        <f t="shared" si="324"/>
        <v>5</v>
      </c>
    </row>
    <row r="2223" spans="1:22" x14ac:dyDescent="0.25">
      <c r="A2223">
        <v>247</v>
      </c>
      <c r="B2223">
        <v>8</v>
      </c>
      <c r="C2223">
        <v>72.5</v>
      </c>
      <c r="D2223">
        <v>1</v>
      </c>
      <c r="E2223">
        <v>1</v>
      </c>
      <c r="F2223">
        <v>0</v>
      </c>
      <c r="G2223">
        <v>1</v>
      </c>
      <c r="H2223">
        <v>550</v>
      </c>
      <c r="I2223">
        <f t="shared" si="325"/>
        <v>2214</v>
      </c>
      <c r="J2223" s="6">
        <f t="array" aca="1" ref="J2223:N2223" ca="1">TRANSPOSE(ols(OFFSET($C$2:$C$10,I2223,0),OFFSET($D$2:$H$10,I2223,0)))</f>
        <v>112.29166666666424</v>
      </c>
      <c r="K2223" s="6">
        <f ca="1"/>
        <v>1.25</v>
      </c>
      <c r="L2223" s="6">
        <f ca="1"/>
        <v>-8.3333333333339397</v>
      </c>
      <c r="M2223" s="6">
        <f ca="1"/>
        <v>30.41666666666697</v>
      </c>
      <c r="N2223" s="6">
        <f ca="1"/>
        <v>-0.12083333333333357</v>
      </c>
      <c r="O2223" s="6">
        <f t="shared" ca="1" si="317"/>
        <v>77.499999999997755</v>
      </c>
      <c r="P2223" t="str">
        <f t="shared" si="318"/>
        <v>NA</v>
      </c>
      <c r="Q2223" s="10">
        <f t="shared" ca="1" si="319"/>
        <v>92.083333333330529</v>
      </c>
      <c r="R2223" s="10">
        <f t="shared" ca="1" si="320"/>
        <v>143.95833333333121</v>
      </c>
      <c r="S2223" s="10">
        <f t="shared" ca="1" si="321"/>
        <v>-51.875000000000682</v>
      </c>
      <c r="T2223" s="10">
        <f t="shared" ca="1" si="322"/>
        <v>429.310344827591</v>
      </c>
      <c r="U2223" s="10">
        <f t="shared" ca="1" si="323"/>
        <v>429.310344827591</v>
      </c>
      <c r="V2223">
        <f t="shared" si="324"/>
        <v>5</v>
      </c>
    </row>
    <row r="2224" spans="1:22" x14ac:dyDescent="0.25">
      <c r="A2224">
        <v>247</v>
      </c>
      <c r="B2224">
        <v>9</v>
      </c>
      <c r="C2224">
        <v>60</v>
      </c>
      <c r="D2224">
        <v>1</v>
      </c>
      <c r="E2224">
        <v>0</v>
      </c>
      <c r="F2224">
        <v>0</v>
      </c>
      <c r="G2224">
        <v>1</v>
      </c>
      <c r="H2224">
        <v>650</v>
      </c>
      <c r="I2224">
        <f t="shared" si="325"/>
        <v>2214</v>
      </c>
      <c r="J2224" s="6">
        <f t="array" aca="1" ref="J2224:N2224" ca="1">TRANSPOSE(ols(OFFSET($C$2:$C$10,I2224,0),OFFSET($D$2:$H$10,I2224,0)))</f>
        <v>112.29166666666424</v>
      </c>
      <c r="K2224" s="6">
        <f ca="1"/>
        <v>1.25</v>
      </c>
      <c r="L2224" s="6">
        <f ca="1"/>
        <v>-8.3333333333339397</v>
      </c>
      <c r="M2224" s="6">
        <f ca="1"/>
        <v>30.41666666666697</v>
      </c>
      <c r="N2224" s="6">
        <f ca="1"/>
        <v>-0.12083333333333357</v>
      </c>
      <c r="O2224" s="6">
        <f t="shared" ca="1" si="317"/>
        <v>64.166666666664383</v>
      </c>
      <c r="P2224" t="str">
        <f t="shared" si="318"/>
        <v>NA</v>
      </c>
      <c r="Q2224" s="10">
        <f t="shared" ca="1" si="319"/>
        <v>92.083333333330529</v>
      </c>
      <c r="R2224" s="10">
        <f t="shared" ca="1" si="320"/>
        <v>142.70833333333121</v>
      </c>
      <c r="S2224" s="10">
        <f t="shared" ca="1" si="321"/>
        <v>-50.625000000000682</v>
      </c>
      <c r="T2224" s="10">
        <f t="shared" ca="1" si="322"/>
        <v>418.96551724138413</v>
      </c>
      <c r="U2224" s="10">
        <f t="shared" ca="1" si="323"/>
        <v>418.96551724138413</v>
      </c>
      <c r="V2224">
        <f t="shared" si="324"/>
        <v>4</v>
      </c>
    </row>
    <row r="2225" spans="1:22" x14ac:dyDescent="0.25">
      <c r="A2225">
        <v>248</v>
      </c>
      <c r="B2225">
        <v>1</v>
      </c>
      <c r="C2225">
        <v>100</v>
      </c>
      <c r="D2225">
        <v>1</v>
      </c>
      <c r="E2225">
        <v>0</v>
      </c>
      <c r="F2225">
        <v>1</v>
      </c>
      <c r="G2225">
        <v>0</v>
      </c>
      <c r="H2225">
        <v>250</v>
      </c>
      <c r="I2225">
        <f t="shared" si="325"/>
        <v>2223</v>
      </c>
      <c r="J2225" s="6">
        <f t="array" aca="1" ref="J2225:N2225" ca="1">TRANSPOSE(ols(OFFSET($C$2:$C$10,I2225,0),OFFSET($D$2:$H$10,I2225,0)))</f>
        <v>175.5952380952358</v>
      </c>
      <c r="K2225" s="6">
        <f ca="1"/>
        <v>-32.142857142856656</v>
      </c>
      <c r="L2225" s="6">
        <f ca="1"/>
        <v>-11.904761904760562</v>
      </c>
      <c r="M2225" s="6">
        <f ca="1"/>
        <v>5.9523809523808495</v>
      </c>
      <c r="N2225" s="6">
        <f ca="1"/>
        <v>-0.29761904761904479</v>
      </c>
      <c r="O2225" s="6">
        <f t="shared" ca="1" si="317"/>
        <v>89.285714285714036</v>
      </c>
      <c r="P2225" t="str">
        <f t="shared" si="318"/>
        <v>NA</v>
      </c>
      <c r="Q2225" s="10">
        <f t="shared" ca="1" si="319"/>
        <v>65.476190476190411</v>
      </c>
      <c r="R2225" s="10">
        <f t="shared" ca="1" si="320"/>
        <v>163.69047619047524</v>
      </c>
      <c r="S2225" s="10">
        <f t="shared" ca="1" si="321"/>
        <v>-98.214285714284827</v>
      </c>
      <c r="T2225" s="10">
        <f t="shared" ca="1" si="322"/>
        <v>330.00000000000017</v>
      </c>
      <c r="U2225" s="10">
        <f t="shared" ca="1" si="323"/>
        <v>330.00000000000017</v>
      </c>
      <c r="V2225">
        <f t="shared" si="324"/>
        <v>3</v>
      </c>
    </row>
    <row r="2226" spans="1:22" x14ac:dyDescent="0.25">
      <c r="A2226">
        <v>248</v>
      </c>
      <c r="B2226">
        <v>2</v>
      </c>
      <c r="C2226">
        <v>50</v>
      </c>
      <c r="D2226">
        <v>1</v>
      </c>
      <c r="E2226">
        <v>1</v>
      </c>
      <c r="F2226">
        <v>0</v>
      </c>
      <c r="G2226">
        <v>0</v>
      </c>
      <c r="H2226">
        <v>350</v>
      </c>
      <c r="I2226">
        <f t="shared" si="325"/>
        <v>2223</v>
      </c>
      <c r="J2226" s="6">
        <f t="array" aca="1" ref="J2226:N2226" ca="1">TRANSPOSE(ols(OFFSET($C$2:$C$10,I2226,0),OFFSET($D$2:$H$10,I2226,0)))</f>
        <v>175.5952380952358</v>
      </c>
      <c r="K2226" s="6">
        <f ca="1"/>
        <v>-32.142857142856656</v>
      </c>
      <c r="L2226" s="6">
        <f ca="1"/>
        <v>-11.904761904760562</v>
      </c>
      <c r="M2226" s="6">
        <f ca="1"/>
        <v>5.9523809523808495</v>
      </c>
      <c r="N2226" s="6">
        <f ca="1"/>
        <v>-0.29761904761904479</v>
      </c>
      <c r="O2226" s="6">
        <f t="shared" ca="1" si="317"/>
        <v>39.285714285713468</v>
      </c>
      <c r="P2226" t="str">
        <f t="shared" si="318"/>
        <v>NA</v>
      </c>
      <c r="Q2226" s="10">
        <f t="shared" ca="1" si="319"/>
        <v>65.476190476190411</v>
      </c>
      <c r="R2226" s="10">
        <f t="shared" ca="1" si="320"/>
        <v>143.45238095237914</v>
      </c>
      <c r="S2226" s="10">
        <f t="shared" ca="1" si="321"/>
        <v>-77.976190476188734</v>
      </c>
      <c r="T2226" s="10">
        <f t="shared" ca="1" si="322"/>
        <v>261.99999999999665</v>
      </c>
      <c r="U2226" s="10">
        <f t="shared" ca="1" si="323"/>
        <v>261.99999999999665</v>
      </c>
      <c r="V2226">
        <f t="shared" si="324"/>
        <v>2</v>
      </c>
    </row>
    <row r="2227" spans="1:22" x14ac:dyDescent="0.25">
      <c r="A2227">
        <v>248</v>
      </c>
      <c r="B2227">
        <v>3</v>
      </c>
      <c r="C2227">
        <v>0</v>
      </c>
      <c r="D2227">
        <v>1</v>
      </c>
      <c r="E2227">
        <v>1</v>
      </c>
      <c r="F2227">
        <v>0</v>
      </c>
      <c r="G2227">
        <v>0</v>
      </c>
      <c r="H2227">
        <v>450</v>
      </c>
      <c r="I2227">
        <f t="shared" si="325"/>
        <v>2223</v>
      </c>
      <c r="J2227" s="6">
        <f t="array" aca="1" ref="J2227:N2227" ca="1">TRANSPOSE(ols(OFFSET($C$2:$C$10,I2227,0),OFFSET($D$2:$H$10,I2227,0)))</f>
        <v>175.5952380952358</v>
      </c>
      <c r="K2227" s="6">
        <f ca="1"/>
        <v>-32.142857142856656</v>
      </c>
      <c r="L2227" s="6">
        <f ca="1"/>
        <v>-11.904761904760562</v>
      </c>
      <c r="M2227" s="6">
        <f ca="1"/>
        <v>5.9523809523808495</v>
      </c>
      <c r="N2227" s="6">
        <f ca="1"/>
        <v>-0.29761904761904479</v>
      </c>
      <c r="O2227" s="6">
        <f t="shared" ca="1" si="317"/>
        <v>9.5238095238089784</v>
      </c>
      <c r="P2227" t="str">
        <f t="shared" si="318"/>
        <v>NA</v>
      </c>
      <c r="Q2227" s="10">
        <f t="shared" ca="1" si="319"/>
        <v>65.476190476190411</v>
      </c>
      <c r="R2227" s="10">
        <f t="shared" ca="1" si="320"/>
        <v>143.45238095237914</v>
      </c>
      <c r="S2227" s="10">
        <f t="shared" ca="1" si="321"/>
        <v>-77.976190476188734</v>
      </c>
      <c r="T2227" s="10">
        <f t="shared" ca="1" si="322"/>
        <v>261.99999999999665</v>
      </c>
      <c r="U2227" s="10">
        <f t="shared" ca="1" si="323"/>
        <v>261.99999999999665</v>
      </c>
      <c r="V2227">
        <f t="shared" si="324"/>
        <v>2</v>
      </c>
    </row>
    <row r="2228" spans="1:22" x14ac:dyDescent="0.25">
      <c r="A2228">
        <v>248</v>
      </c>
      <c r="B2228">
        <v>4</v>
      </c>
      <c r="C2228">
        <v>0</v>
      </c>
      <c r="D2228">
        <v>1</v>
      </c>
      <c r="E2228">
        <v>0</v>
      </c>
      <c r="F2228">
        <v>0</v>
      </c>
      <c r="G2228">
        <v>0</v>
      </c>
      <c r="H2228">
        <v>550</v>
      </c>
      <c r="I2228">
        <f t="shared" si="325"/>
        <v>2223</v>
      </c>
      <c r="J2228" s="6">
        <f t="array" aca="1" ref="J2228:N2228" ca="1">TRANSPOSE(ols(OFFSET($C$2:$C$10,I2228,0),OFFSET($D$2:$H$10,I2228,0)))</f>
        <v>175.5952380952358</v>
      </c>
      <c r="K2228" s="6">
        <f ca="1"/>
        <v>-32.142857142856656</v>
      </c>
      <c r="L2228" s="6">
        <f ca="1"/>
        <v>-11.904761904760562</v>
      </c>
      <c r="M2228" s="6">
        <f ca="1"/>
        <v>5.9523809523808495</v>
      </c>
      <c r="N2228" s="6">
        <f ca="1"/>
        <v>-0.29761904761904479</v>
      </c>
      <c r="O2228" s="6">
        <f t="shared" ca="1" si="317"/>
        <v>11.904761904761159</v>
      </c>
      <c r="P2228" t="str">
        <f t="shared" si="318"/>
        <v>NA</v>
      </c>
      <c r="Q2228" s="10">
        <f t="shared" ca="1" si="319"/>
        <v>65.476190476190411</v>
      </c>
      <c r="R2228" s="10">
        <f t="shared" ca="1" si="320"/>
        <v>175.5952380952358</v>
      </c>
      <c r="S2228" s="10">
        <f t="shared" ca="1" si="321"/>
        <v>-110.11904761904539</v>
      </c>
      <c r="T2228" s="10">
        <f t="shared" ca="1" si="322"/>
        <v>369.99999999999602</v>
      </c>
      <c r="U2228" s="10">
        <f t="shared" ca="1" si="323"/>
        <v>369.99999999999602</v>
      </c>
      <c r="V2228">
        <f t="shared" si="324"/>
        <v>1</v>
      </c>
    </row>
    <row r="2229" spans="1:22" x14ac:dyDescent="0.25">
      <c r="A2229">
        <v>248</v>
      </c>
      <c r="B2229">
        <v>5</v>
      </c>
      <c r="C2229">
        <v>100</v>
      </c>
      <c r="D2229">
        <v>1</v>
      </c>
      <c r="E2229">
        <v>0</v>
      </c>
      <c r="F2229">
        <v>1</v>
      </c>
      <c r="G2229">
        <v>1</v>
      </c>
      <c r="H2229">
        <v>250</v>
      </c>
      <c r="I2229">
        <f t="shared" si="325"/>
        <v>2223</v>
      </c>
      <c r="J2229" s="6">
        <f t="array" aca="1" ref="J2229:N2229" ca="1">TRANSPOSE(ols(OFFSET($C$2:$C$10,I2229,0),OFFSET($D$2:$H$10,I2229,0)))</f>
        <v>175.5952380952358</v>
      </c>
      <c r="K2229" s="6">
        <f ca="1"/>
        <v>-32.142857142856656</v>
      </c>
      <c r="L2229" s="6">
        <f ca="1"/>
        <v>-11.904761904760562</v>
      </c>
      <c r="M2229" s="6">
        <f ca="1"/>
        <v>5.9523809523808495</v>
      </c>
      <c r="N2229" s="6">
        <f ca="1"/>
        <v>-0.29761904761904479</v>
      </c>
      <c r="O2229" s="6">
        <f t="shared" ca="1" si="317"/>
        <v>95.238095238094886</v>
      </c>
      <c r="P2229" t="str">
        <f t="shared" si="318"/>
        <v>NA</v>
      </c>
      <c r="Q2229" s="10">
        <f t="shared" ca="1" si="319"/>
        <v>65.476190476190411</v>
      </c>
      <c r="R2229" s="10">
        <f t="shared" ca="1" si="320"/>
        <v>169.64285714285609</v>
      </c>
      <c r="S2229" s="10">
        <f t="shared" ca="1" si="321"/>
        <v>-104.16666666666568</v>
      </c>
      <c r="T2229" s="10">
        <f t="shared" ca="1" si="322"/>
        <v>350</v>
      </c>
      <c r="U2229" s="10">
        <f t="shared" ca="1" si="323"/>
        <v>350</v>
      </c>
      <c r="V2229">
        <f t="shared" si="324"/>
        <v>6</v>
      </c>
    </row>
    <row r="2230" spans="1:22" x14ac:dyDescent="0.25">
      <c r="A2230">
        <v>248</v>
      </c>
      <c r="B2230">
        <v>6</v>
      </c>
      <c r="C2230">
        <v>50</v>
      </c>
      <c r="D2230">
        <v>1</v>
      </c>
      <c r="E2230">
        <v>0</v>
      </c>
      <c r="F2230">
        <v>1</v>
      </c>
      <c r="G2230">
        <v>1</v>
      </c>
      <c r="H2230">
        <v>350</v>
      </c>
      <c r="I2230">
        <f t="shared" si="325"/>
        <v>2223</v>
      </c>
      <c r="J2230" s="6">
        <f t="array" aca="1" ref="J2230:N2230" ca="1">TRANSPOSE(ols(OFFSET($C$2:$C$10,I2230,0),OFFSET($D$2:$H$10,I2230,0)))</f>
        <v>175.5952380952358</v>
      </c>
      <c r="K2230" s="6">
        <f ca="1"/>
        <v>-32.142857142856656</v>
      </c>
      <c r="L2230" s="6">
        <f ca="1"/>
        <v>-11.904761904760562</v>
      </c>
      <c r="M2230" s="6">
        <f ca="1"/>
        <v>5.9523809523808495</v>
      </c>
      <c r="N2230" s="6">
        <f ca="1"/>
        <v>-0.29761904761904479</v>
      </c>
      <c r="O2230" s="6">
        <f t="shared" ca="1" si="317"/>
        <v>65.476190476190411</v>
      </c>
      <c r="P2230">
        <f t="shared" ca="1" si="318"/>
        <v>65.476190476190411</v>
      </c>
      <c r="Q2230" s="10">
        <f t="shared" ca="1" si="319"/>
        <v>65.476190476190411</v>
      </c>
      <c r="R2230" s="10">
        <f t="shared" ca="1" si="320"/>
        <v>169.64285714285609</v>
      </c>
      <c r="S2230" s="10">
        <f t="shared" ca="1" si="321"/>
        <v>-104.16666666666568</v>
      </c>
      <c r="T2230" s="10">
        <f t="shared" ca="1" si="322"/>
        <v>350</v>
      </c>
      <c r="U2230" s="10">
        <f t="shared" ca="1" si="323"/>
        <v>350</v>
      </c>
      <c r="V2230">
        <f t="shared" si="324"/>
        <v>6</v>
      </c>
    </row>
    <row r="2231" spans="1:22" x14ac:dyDescent="0.25">
      <c r="A2231">
        <v>248</v>
      </c>
      <c r="B2231">
        <v>7</v>
      </c>
      <c r="C2231">
        <v>0</v>
      </c>
      <c r="D2231">
        <v>1</v>
      </c>
      <c r="E2231">
        <v>1</v>
      </c>
      <c r="F2231">
        <v>0</v>
      </c>
      <c r="G2231">
        <v>1</v>
      </c>
      <c r="H2231">
        <v>450</v>
      </c>
      <c r="I2231">
        <f t="shared" si="325"/>
        <v>2223</v>
      </c>
      <c r="J2231" s="6">
        <f t="array" aca="1" ref="J2231:N2231" ca="1">TRANSPOSE(ols(OFFSET($C$2:$C$10,I2231,0),OFFSET($D$2:$H$10,I2231,0)))</f>
        <v>175.5952380952358</v>
      </c>
      <c r="K2231" s="6">
        <f ca="1"/>
        <v>-32.142857142856656</v>
      </c>
      <c r="L2231" s="6">
        <f ca="1"/>
        <v>-11.904761904760562</v>
      </c>
      <c r="M2231" s="6">
        <f ca="1"/>
        <v>5.9523809523808495</v>
      </c>
      <c r="N2231" s="6">
        <f ca="1"/>
        <v>-0.29761904761904479</v>
      </c>
      <c r="O2231" s="6">
        <f t="shared" ca="1" si="317"/>
        <v>15.476190476189828</v>
      </c>
      <c r="P2231" t="str">
        <f t="shared" si="318"/>
        <v>NA</v>
      </c>
      <c r="Q2231" s="10">
        <f t="shared" ca="1" si="319"/>
        <v>65.476190476190411</v>
      </c>
      <c r="R2231" s="10">
        <f t="shared" ca="1" si="320"/>
        <v>149.40476190475999</v>
      </c>
      <c r="S2231" s="10">
        <f t="shared" ca="1" si="321"/>
        <v>-83.928571428569583</v>
      </c>
      <c r="T2231" s="10">
        <f t="shared" ca="1" si="322"/>
        <v>281.99999999999648</v>
      </c>
      <c r="U2231" s="10">
        <f t="shared" ca="1" si="323"/>
        <v>281.99999999999648</v>
      </c>
      <c r="V2231">
        <f t="shared" si="324"/>
        <v>5</v>
      </c>
    </row>
    <row r="2232" spans="1:22" x14ac:dyDescent="0.25">
      <c r="A2232">
        <v>248</v>
      </c>
      <c r="B2232">
        <v>8</v>
      </c>
      <c r="C2232">
        <v>0</v>
      </c>
      <c r="D2232">
        <v>1</v>
      </c>
      <c r="E2232">
        <v>1</v>
      </c>
      <c r="F2232">
        <v>0</v>
      </c>
      <c r="G2232">
        <v>1</v>
      </c>
      <c r="H2232">
        <v>550</v>
      </c>
      <c r="I2232">
        <f t="shared" si="325"/>
        <v>2223</v>
      </c>
      <c r="J2232" s="6">
        <f t="array" aca="1" ref="J2232:N2232" ca="1">TRANSPOSE(ols(OFFSET($C$2:$C$10,I2232,0),OFFSET($D$2:$H$10,I2232,0)))</f>
        <v>175.5952380952358</v>
      </c>
      <c r="K2232" s="6">
        <f ca="1"/>
        <v>-32.142857142856656</v>
      </c>
      <c r="L2232" s="6">
        <f ca="1"/>
        <v>-11.904761904760562</v>
      </c>
      <c r="M2232" s="6">
        <f ca="1"/>
        <v>5.9523809523808495</v>
      </c>
      <c r="N2232" s="6">
        <f ca="1"/>
        <v>-0.29761904761904479</v>
      </c>
      <c r="O2232" s="6">
        <f t="shared" ca="1" si="317"/>
        <v>-14.285714285714647</v>
      </c>
      <c r="P2232" t="str">
        <f t="shared" si="318"/>
        <v>NA</v>
      </c>
      <c r="Q2232" s="10">
        <f t="shared" ca="1" si="319"/>
        <v>65.476190476190411</v>
      </c>
      <c r="R2232" s="10">
        <f t="shared" ca="1" si="320"/>
        <v>149.40476190475999</v>
      </c>
      <c r="S2232" s="10">
        <f t="shared" ca="1" si="321"/>
        <v>-83.928571428569583</v>
      </c>
      <c r="T2232" s="10">
        <f t="shared" ca="1" si="322"/>
        <v>281.99999999999648</v>
      </c>
      <c r="U2232" s="10">
        <f t="shared" ca="1" si="323"/>
        <v>281.99999999999648</v>
      </c>
      <c r="V2232">
        <f t="shared" si="324"/>
        <v>5</v>
      </c>
    </row>
    <row r="2233" spans="1:22" x14ac:dyDescent="0.25">
      <c r="A2233">
        <v>248</v>
      </c>
      <c r="B2233">
        <v>9</v>
      </c>
      <c r="C2233">
        <v>0</v>
      </c>
      <c r="D2233">
        <v>1</v>
      </c>
      <c r="E2233">
        <v>0</v>
      </c>
      <c r="F2233">
        <v>0</v>
      </c>
      <c r="G2233">
        <v>1</v>
      </c>
      <c r="H2233">
        <v>650</v>
      </c>
      <c r="I2233">
        <f t="shared" si="325"/>
        <v>2223</v>
      </c>
      <c r="J2233" s="6">
        <f t="array" aca="1" ref="J2233:N2233" ca="1">TRANSPOSE(ols(OFFSET($C$2:$C$10,I2233,0),OFFSET($D$2:$H$10,I2233,0)))</f>
        <v>175.5952380952358</v>
      </c>
      <c r="K2233" s="6">
        <f ca="1"/>
        <v>-32.142857142856656</v>
      </c>
      <c r="L2233" s="6">
        <f ca="1"/>
        <v>-11.904761904760562</v>
      </c>
      <c r="M2233" s="6">
        <f ca="1"/>
        <v>5.9523809523808495</v>
      </c>
      <c r="N2233" s="6">
        <f ca="1"/>
        <v>-0.29761904761904479</v>
      </c>
      <c r="O2233" s="6">
        <f t="shared" ca="1" si="317"/>
        <v>-11.904761904762466</v>
      </c>
      <c r="P2233" t="str">
        <f t="shared" si="318"/>
        <v>NA</v>
      </c>
      <c r="Q2233" s="10">
        <f t="shared" ca="1" si="319"/>
        <v>65.476190476190411</v>
      </c>
      <c r="R2233" s="10">
        <f t="shared" ca="1" si="320"/>
        <v>181.54761904761665</v>
      </c>
      <c r="S2233" s="10">
        <f t="shared" ca="1" si="321"/>
        <v>-116.07142857142624</v>
      </c>
      <c r="T2233" s="10">
        <f t="shared" ca="1" si="322"/>
        <v>389.99999999999585</v>
      </c>
      <c r="U2233" s="10">
        <f t="shared" ca="1" si="323"/>
        <v>389.99999999999585</v>
      </c>
      <c r="V2233">
        <f t="shared" si="324"/>
        <v>4</v>
      </c>
    </row>
    <row r="2234" spans="1:22" x14ac:dyDescent="0.25">
      <c r="A2234">
        <v>249</v>
      </c>
      <c r="B2234">
        <v>1</v>
      </c>
      <c r="C2234">
        <v>40</v>
      </c>
      <c r="D2234">
        <v>1</v>
      </c>
      <c r="E2234">
        <v>0</v>
      </c>
      <c r="F2234">
        <v>1</v>
      </c>
      <c r="G2234">
        <v>0</v>
      </c>
      <c r="H2234">
        <v>250</v>
      </c>
      <c r="I2234">
        <f t="shared" si="325"/>
        <v>2232</v>
      </c>
      <c r="J2234" s="6">
        <f t="array" aca="1" ref="J2234:N2234" ca="1">TRANSPOSE(ols(OFFSET($C$2:$C$10,I2234,0),OFFSET($D$2:$H$10,I2234,0)))</f>
        <v>62.142857142855974</v>
      </c>
      <c r="K2234" s="6">
        <f ca="1"/>
        <v>-3.2142857142856656</v>
      </c>
      <c r="L2234" s="6">
        <f ca="1"/>
        <v>-2.8571428571426623</v>
      </c>
      <c r="M2234" s="6">
        <f ca="1"/>
        <v>1.4285714285714448</v>
      </c>
      <c r="N2234" s="6">
        <f ca="1"/>
        <v>-7.1428571428571175E-2</v>
      </c>
      <c r="O2234" s="6">
        <f t="shared" ca="1" si="317"/>
        <v>41.428571428570521</v>
      </c>
      <c r="P2234" t="str">
        <f t="shared" si="318"/>
        <v>NA</v>
      </c>
      <c r="Q2234" s="10">
        <f t="shared" ca="1" si="319"/>
        <v>35.714285714284841</v>
      </c>
      <c r="R2234" s="10">
        <f t="shared" ca="1" si="320"/>
        <v>59.285714285713311</v>
      </c>
      <c r="S2234" s="10">
        <f t="shared" ca="1" si="321"/>
        <v>-23.57142857142847</v>
      </c>
      <c r="T2234" s="10">
        <f t="shared" ca="1" si="322"/>
        <v>329.99999999999977</v>
      </c>
      <c r="U2234" s="10">
        <f t="shared" ca="1" si="323"/>
        <v>329.99999999999977</v>
      </c>
      <c r="V2234">
        <f t="shared" si="324"/>
        <v>3</v>
      </c>
    </row>
    <row r="2235" spans="1:22" x14ac:dyDescent="0.25">
      <c r="A2235">
        <v>249</v>
      </c>
      <c r="B2235">
        <v>2</v>
      </c>
      <c r="C2235">
        <v>40</v>
      </c>
      <c r="D2235">
        <v>1</v>
      </c>
      <c r="E2235">
        <v>1</v>
      </c>
      <c r="F2235">
        <v>0</v>
      </c>
      <c r="G2235">
        <v>0</v>
      </c>
      <c r="H2235">
        <v>350</v>
      </c>
      <c r="I2235">
        <f t="shared" si="325"/>
        <v>2232</v>
      </c>
      <c r="J2235" s="6">
        <f t="array" aca="1" ref="J2235:N2235" ca="1">TRANSPOSE(ols(OFFSET($C$2:$C$10,I2235,0),OFFSET($D$2:$H$10,I2235,0)))</f>
        <v>62.142857142855974</v>
      </c>
      <c r="K2235" s="6">
        <f ca="1"/>
        <v>-3.2142857142856656</v>
      </c>
      <c r="L2235" s="6">
        <f ca="1"/>
        <v>-2.8571428571426623</v>
      </c>
      <c r="M2235" s="6">
        <f ca="1"/>
        <v>1.4285714285714448</v>
      </c>
      <c r="N2235" s="6">
        <f ca="1"/>
        <v>-7.1428571428571175E-2</v>
      </c>
      <c r="O2235" s="6">
        <f t="shared" ca="1" si="317"/>
        <v>33.928571428570393</v>
      </c>
      <c r="P2235" t="str">
        <f t="shared" si="318"/>
        <v>NA</v>
      </c>
      <c r="Q2235" s="10">
        <f t="shared" ca="1" si="319"/>
        <v>35.714285714284841</v>
      </c>
      <c r="R2235" s="10">
        <f t="shared" ca="1" si="320"/>
        <v>58.928571428570308</v>
      </c>
      <c r="S2235" s="10">
        <f t="shared" ca="1" si="321"/>
        <v>-23.214285714285467</v>
      </c>
      <c r="T2235" s="10">
        <f t="shared" ca="1" si="322"/>
        <v>324.99999999999767</v>
      </c>
      <c r="U2235" s="10">
        <f t="shared" ca="1" si="323"/>
        <v>324.99999999999767</v>
      </c>
      <c r="V2235">
        <f t="shared" si="324"/>
        <v>2</v>
      </c>
    </row>
    <row r="2236" spans="1:22" x14ac:dyDescent="0.25">
      <c r="A2236">
        <v>249</v>
      </c>
      <c r="B2236">
        <v>3</v>
      </c>
      <c r="C2236">
        <v>25</v>
      </c>
      <c r="D2236">
        <v>1</v>
      </c>
      <c r="E2236">
        <v>1</v>
      </c>
      <c r="F2236">
        <v>0</v>
      </c>
      <c r="G2236">
        <v>0</v>
      </c>
      <c r="H2236">
        <v>450</v>
      </c>
      <c r="I2236">
        <f t="shared" si="325"/>
        <v>2232</v>
      </c>
      <c r="J2236" s="6">
        <f t="array" aca="1" ref="J2236:N2236" ca="1">TRANSPOSE(ols(OFFSET($C$2:$C$10,I2236,0),OFFSET($D$2:$H$10,I2236,0)))</f>
        <v>62.142857142855974</v>
      </c>
      <c r="K2236" s="6">
        <f ca="1"/>
        <v>-3.2142857142856656</v>
      </c>
      <c r="L2236" s="6">
        <f ca="1"/>
        <v>-2.8571428571426623</v>
      </c>
      <c r="M2236" s="6">
        <f ca="1"/>
        <v>1.4285714285714448</v>
      </c>
      <c r="N2236" s="6">
        <f ca="1"/>
        <v>-7.1428571428571175E-2</v>
      </c>
      <c r="O2236" s="6">
        <f t="shared" ca="1" si="317"/>
        <v>26.785714285713283</v>
      </c>
      <c r="P2236" t="str">
        <f t="shared" si="318"/>
        <v>NA</v>
      </c>
      <c r="Q2236" s="10">
        <f t="shared" ca="1" si="319"/>
        <v>35.714285714284841</v>
      </c>
      <c r="R2236" s="10">
        <f t="shared" ca="1" si="320"/>
        <v>58.928571428570308</v>
      </c>
      <c r="S2236" s="10">
        <f t="shared" ca="1" si="321"/>
        <v>-23.214285714285467</v>
      </c>
      <c r="T2236" s="10">
        <f t="shared" ca="1" si="322"/>
        <v>324.99999999999767</v>
      </c>
      <c r="U2236" s="10">
        <f t="shared" ca="1" si="323"/>
        <v>324.99999999999767</v>
      </c>
      <c r="V2236">
        <f t="shared" si="324"/>
        <v>2</v>
      </c>
    </row>
    <row r="2237" spans="1:22" x14ac:dyDescent="0.25">
      <c r="A2237">
        <v>249</v>
      </c>
      <c r="B2237">
        <v>4</v>
      </c>
      <c r="C2237">
        <v>20</v>
      </c>
      <c r="D2237">
        <v>1</v>
      </c>
      <c r="E2237">
        <v>0</v>
      </c>
      <c r="F2237">
        <v>0</v>
      </c>
      <c r="G2237">
        <v>0</v>
      </c>
      <c r="H2237">
        <v>550</v>
      </c>
      <c r="I2237">
        <f t="shared" si="325"/>
        <v>2232</v>
      </c>
      <c r="J2237" s="6">
        <f t="array" aca="1" ref="J2237:N2237" ca="1">TRANSPOSE(ols(OFFSET($C$2:$C$10,I2237,0),OFFSET($D$2:$H$10,I2237,0)))</f>
        <v>62.142857142855974</v>
      </c>
      <c r="K2237" s="6">
        <f ca="1"/>
        <v>-3.2142857142856656</v>
      </c>
      <c r="L2237" s="6">
        <f ca="1"/>
        <v>-2.8571428571426623</v>
      </c>
      <c r="M2237" s="6">
        <f ca="1"/>
        <v>1.4285714285714448</v>
      </c>
      <c r="N2237" s="6">
        <f ca="1"/>
        <v>-7.1428571428571175E-2</v>
      </c>
      <c r="O2237" s="6">
        <f t="shared" ca="1" si="317"/>
        <v>22.857142857141824</v>
      </c>
      <c r="P2237" t="str">
        <f t="shared" si="318"/>
        <v>NA</v>
      </c>
      <c r="Q2237" s="10">
        <f t="shared" ca="1" si="319"/>
        <v>35.714285714284841</v>
      </c>
      <c r="R2237" s="10">
        <f t="shared" ca="1" si="320"/>
        <v>62.142857142855974</v>
      </c>
      <c r="S2237" s="10">
        <f t="shared" ca="1" si="321"/>
        <v>-26.428571428571132</v>
      </c>
      <c r="T2237" s="10">
        <f t="shared" ca="1" si="322"/>
        <v>369.99999999999716</v>
      </c>
      <c r="U2237" s="10">
        <f t="shared" ca="1" si="323"/>
        <v>369.99999999999716</v>
      </c>
      <c r="V2237">
        <f t="shared" si="324"/>
        <v>1</v>
      </c>
    </row>
    <row r="2238" spans="1:22" x14ac:dyDescent="0.25">
      <c r="A2238">
        <v>249</v>
      </c>
      <c r="B2238">
        <v>5</v>
      </c>
      <c r="C2238">
        <v>40</v>
      </c>
      <c r="D2238">
        <v>1</v>
      </c>
      <c r="E2238">
        <v>0</v>
      </c>
      <c r="F2238">
        <v>1</v>
      </c>
      <c r="G2238">
        <v>1</v>
      </c>
      <c r="H2238">
        <v>250</v>
      </c>
      <c r="I2238">
        <f t="shared" si="325"/>
        <v>2232</v>
      </c>
      <c r="J2238" s="6">
        <f t="array" aca="1" ref="J2238:N2238" ca="1">TRANSPOSE(ols(OFFSET($C$2:$C$10,I2238,0),OFFSET($D$2:$H$10,I2238,0)))</f>
        <v>62.142857142855974</v>
      </c>
      <c r="K2238" s="6">
        <f ca="1"/>
        <v>-3.2142857142856656</v>
      </c>
      <c r="L2238" s="6">
        <f ca="1"/>
        <v>-2.8571428571426623</v>
      </c>
      <c r="M2238" s="6">
        <f ca="1"/>
        <v>1.4285714285714448</v>
      </c>
      <c r="N2238" s="6">
        <f ca="1"/>
        <v>-7.1428571428571175E-2</v>
      </c>
      <c r="O2238" s="6">
        <f t="shared" ca="1" si="317"/>
        <v>42.857142857141966</v>
      </c>
      <c r="P2238" t="str">
        <f t="shared" si="318"/>
        <v>NA</v>
      </c>
      <c r="Q2238" s="10">
        <f t="shared" ca="1" si="319"/>
        <v>35.714285714284841</v>
      </c>
      <c r="R2238" s="10">
        <f t="shared" ca="1" si="320"/>
        <v>60.714285714284756</v>
      </c>
      <c r="S2238" s="10">
        <f t="shared" ca="1" si="321"/>
        <v>-24.999999999999915</v>
      </c>
      <c r="T2238" s="10">
        <f t="shared" ca="1" si="322"/>
        <v>350.00000000000006</v>
      </c>
      <c r="U2238" s="10">
        <f t="shared" ca="1" si="323"/>
        <v>350.00000000000006</v>
      </c>
      <c r="V2238">
        <f t="shared" si="324"/>
        <v>6</v>
      </c>
    </row>
    <row r="2239" spans="1:22" x14ac:dyDescent="0.25">
      <c r="A2239">
        <v>249</v>
      </c>
      <c r="B2239">
        <v>6</v>
      </c>
      <c r="C2239">
        <v>40</v>
      </c>
      <c r="D2239">
        <v>1</v>
      </c>
      <c r="E2239">
        <v>0</v>
      </c>
      <c r="F2239">
        <v>1</v>
      </c>
      <c r="G2239">
        <v>1</v>
      </c>
      <c r="H2239">
        <v>350</v>
      </c>
      <c r="I2239">
        <f t="shared" si="325"/>
        <v>2232</v>
      </c>
      <c r="J2239" s="6">
        <f t="array" aca="1" ref="J2239:N2239" ca="1">TRANSPOSE(ols(OFFSET($C$2:$C$10,I2239,0),OFFSET($D$2:$H$10,I2239,0)))</f>
        <v>62.142857142855974</v>
      </c>
      <c r="K2239" s="6">
        <f ca="1"/>
        <v>-3.2142857142856656</v>
      </c>
      <c r="L2239" s="6">
        <f ca="1"/>
        <v>-2.8571428571426623</v>
      </c>
      <c r="M2239" s="6">
        <f ca="1"/>
        <v>1.4285714285714448</v>
      </c>
      <c r="N2239" s="6">
        <f ca="1"/>
        <v>-7.1428571428571175E-2</v>
      </c>
      <c r="O2239" s="6">
        <f t="shared" ca="1" si="317"/>
        <v>35.714285714284841</v>
      </c>
      <c r="P2239">
        <f t="shared" ca="1" si="318"/>
        <v>35.714285714284841</v>
      </c>
      <c r="Q2239" s="10">
        <f t="shared" ca="1" si="319"/>
        <v>35.714285714284841</v>
      </c>
      <c r="R2239" s="10">
        <f t="shared" ca="1" si="320"/>
        <v>60.714285714284756</v>
      </c>
      <c r="S2239" s="10">
        <f t="shared" ca="1" si="321"/>
        <v>-24.999999999999915</v>
      </c>
      <c r="T2239" s="10">
        <f t="shared" ca="1" si="322"/>
        <v>350.00000000000006</v>
      </c>
      <c r="U2239" s="10">
        <f t="shared" ca="1" si="323"/>
        <v>350.00000000000006</v>
      </c>
      <c r="V2239">
        <f t="shared" si="324"/>
        <v>6</v>
      </c>
    </row>
    <row r="2240" spans="1:22" x14ac:dyDescent="0.25">
      <c r="A2240">
        <v>249</v>
      </c>
      <c r="B2240">
        <v>7</v>
      </c>
      <c r="C2240">
        <v>25</v>
      </c>
      <c r="D2240">
        <v>1</v>
      </c>
      <c r="E2240">
        <v>1</v>
      </c>
      <c r="F2240">
        <v>0</v>
      </c>
      <c r="G2240">
        <v>1</v>
      </c>
      <c r="H2240">
        <v>450</v>
      </c>
      <c r="I2240">
        <f t="shared" si="325"/>
        <v>2232</v>
      </c>
      <c r="J2240" s="6">
        <f t="array" aca="1" ref="J2240:N2240" ca="1">TRANSPOSE(ols(OFFSET($C$2:$C$10,I2240,0),OFFSET($D$2:$H$10,I2240,0)))</f>
        <v>62.142857142855974</v>
      </c>
      <c r="K2240" s="6">
        <f ca="1"/>
        <v>-3.2142857142856656</v>
      </c>
      <c r="L2240" s="6">
        <f ca="1"/>
        <v>-2.8571428571426623</v>
      </c>
      <c r="M2240" s="6">
        <f ca="1"/>
        <v>1.4285714285714448</v>
      </c>
      <c r="N2240" s="6">
        <f ca="1"/>
        <v>-7.1428571428571175E-2</v>
      </c>
      <c r="O2240" s="6">
        <f t="shared" ca="1" si="317"/>
        <v>28.214285714284728</v>
      </c>
      <c r="P2240" t="str">
        <f t="shared" si="318"/>
        <v>NA</v>
      </c>
      <c r="Q2240" s="10">
        <f t="shared" ca="1" si="319"/>
        <v>35.714285714284841</v>
      </c>
      <c r="R2240" s="10">
        <f t="shared" ca="1" si="320"/>
        <v>60.357142857141753</v>
      </c>
      <c r="S2240" s="10">
        <f t="shared" ca="1" si="321"/>
        <v>-24.642857142856911</v>
      </c>
      <c r="T2240" s="10">
        <f t="shared" ca="1" si="322"/>
        <v>344.99999999999801</v>
      </c>
      <c r="U2240" s="10">
        <f t="shared" ca="1" si="323"/>
        <v>344.99999999999801</v>
      </c>
      <c r="V2240">
        <f t="shared" si="324"/>
        <v>5</v>
      </c>
    </row>
    <row r="2241" spans="1:22" x14ac:dyDescent="0.25">
      <c r="A2241">
        <v>249</v>
      </c>
      <c r="B2241">
        <v>8</v>
      </c>
      <c r="C2241">
        <v>20</v>
      </c>
      <c r="D2241">
        <v>1</v>
      </c>
      <c r="E2241">
        <v>1</v>
      </c>
      <c r="F2241">
        <v>0</v>
      </c>
      <c r="G2241">
        <v>1</v>
      </c>
      <c r="H2241">
        <v>550</v>
      </c>
      <c r="I2241">
        <f t="shared" si="325"/>
        <v>2232</v>
      </c>
      <c r="J2241" s="6">
        <f t="array" aca="1" ref="J2241:N2241" ca="1">TRANSPOSE(ols(OFFSET($C$2:$C$10,I2241,0),OFFSET($D$2:$H$10,I2241,0)))</f>
        <v>62.142857142855974</v>
      </c>
      <c r="K2241" s="6">
        <f ca="1"/>
        <v>-3.2142857142856656</v>
      </c>
      <c r="L2241" s="6">
        <f ca="1"/>
        <v>-2.8571428571426623</v>
      </c>
      <c r="M2241" s="6">
        <f ca="1"/>
        <v>1.4285714285714448</v>
      </c>
      <c r="N2241" s="6">
        <f ca="1"/>
        <v>-7.1428571428571175E-2</v>
      </c>
      <c r="O2241" s="6">
        <f t="shared" ca="1" si="317"/>
        <v>21.071428571427603</v>
      </c>
      <c r="P2241" t="str">
        <f t="shared" si="318"/>
        <v>NA</v>
      </c>
      <c r="Q2241" s="10">
        <f t="shared" ca="1" si="319"/>
        <v>35.714285714284841</v>
      </c>
      <c r="R2241" s="10">
        <f t="shared" ca="1" si="320"/>
        <v>60.357142857141753</v>
      </c>
      <c r="S2241" s="10">
        <f t="shared" ca="1" si="321"/>
        <v>-24.642857142856911</v>
      </c>
      <c r="T2241" s="10">
        <f t="shared" ca="1" si="322"/>
        <v>344.99999999999801</v>
      </c>
      <c r="U2241" s="10">
        <f t="shared" ca="1" si="323"/>
        <v>344.99999999999801</v>
      </c>
      <c r="V2241">
        <f t="shared" si="324"/>
        <v>5</v>
      </c>
    </row>
    <row r="2242" spans="1:22" x14ac:dyDescent="0.25">
      <c r="A2242">
        <v>249</v>
      </c>
      <c r="B2242">
        <v>9</v>
      </c>
      <c r="C2242">
        <v>20</v>
      </c>
      <c r="D2242">
        <v>1</v>
      </c>
      <c r="E2242">
        <v>0</v>
      </c>
      <c r="F2242">
        <v>0</v>
      </c>
      <c r="G2242">
        <v>1</v>
      </c>
      <c r="H2242">
        <v>650</v>
      </c>
      <c r="I2242">
        <f t="shared" si="325"/>
        <v>2232</v>
      </c>
      <c r="J2242" s="6">
        <f t="array" aca="1" ref="J2242:N2242" ca="1">TRANSPOSE(ols(OFFSET($C$2:$C$10,I2242,0),OFFSET($D$2:$H$10,I2242,0)))</f>
        <v>62.142857142855974</v>
      </c>
      <c r="K2242" s="6">
        <f ca="1"/>
        <v>-3.2142857142856656</v>
      </c>
      <c r="L2242" s="6">
        <f ca="1"/>
        <v>-2.8571428571426623</v>
      </c>
      <c r="M2242" s="6">
        <f ca="1"/>
        <v>1.4285714285714448</v>
      </c>
      <c r="N2242" s="6">
        <f ca="1"/>
        <v>-7.1428571428571175E-2</v>
      </c>
      <c r="O2242" s="6">
        <f t="shared" ca="1" si="317"/>
        <v>17.142857142856158</v>
      </c>
      <c r="P2242" t="str">
        <f t="shared" si="318"/>
        <v>NA</v>
      </c>
      <c r="Q2242" s="10">
        <f t="shared" ca="1" si="319"/>
        <v>35.714285714284841</v>
      </c>
      <c r="R2242" s="10">
        <f t="shared" ca="1" si="320"/>
        <v>63.571428571427418</v>
      </c>
      <c r="S2242" s="10">
        <f t="shared" ca="1" si="321"/>
        <v>-27.857142857142577</v>
      </c>
      <c r="T2242" s="10">
        <f t="shared" ca="1" si="322"/>
        <v>389.99999999999744</v>
      </c>
      <c r="U2242" s="10">
        <f t="shared" ca="1" si="323"/>
        <v>389.99999999999744</v>
      </c>
      <c r="V2242">
        <f t="shared" si="324"/>
        <v>4</v>
      </c>
    </row>
    <row r="2243" spans="1:22" x14ac:dyDescent="0.25">
      <c r="A2243">
        <v>250</v>
      </c>
      <c r="B2243">
        <v>1</v>
      </c>
      <c r="C2243">
        <v>50</v>
      </c>
      <c r="D2243">
        <v>1</v>
      </c>
      <c r="E2243">
        <v>0</v>
      </c>
      <c r="F2243">
        <v>1</v>
      </c>
      <c r="G2243">
        <v>0</v>
      </c>
      <c r="H2243">
        <v>250</v>
      </c>
      <c r="I2243">
        <f t="shared" si="325"/>
        <v>2241</v>
      </c>
      <c r="J2243" s="6">
        <f t="array" aca="1" ref="J2243:N2243" ca="1">TRANSPOSE(ols(OFFSET($C$2:$C$10,I2243,0),OFFSET($D$2:$H$10,I2243,0)))</f>
        <v>56.874999999999091</v>
      </c>
      <c r="K2243" s="6">
        <f ca="1"/>
        <v>13.75</v>
      </c>
      <c r="L2243" s="6">
        <f ca="1"/>
        <v>20</v>
      </c>
      <c r="M2243" s="6">
        <f ca="1"/>
        <v>-13.749999999999659</v>
      </c>
      <c r="N2243" s="6">
        <f ca="1"/>
        <v>-6.2500000000000888E-2</v>
      </c>
      <c r="O2243" s="6">
        <f t="shared" ref="O2243:O2306" ca="1" si="326">SUMPRODUCT(J2243:N2243,D2243:H2243)</f>
        <v>61.24999999999887</v>
      </c>
      <c r="P2243" t="str">
        <f t="shared" ref="P2243:P2268" si="327">IF(AND(F2243=1,G2243=1,H2243=350),O2243,"NA")</f>
        <v>NA</v>
      </c>
      <c r="Q2243" s="10">
        <f t="shared" ref="Q2243:Q2306" ca="1" si="328">AVERAGEIF($A$2:$A$5383,A2243,$P$2:$P$5383)</f>
        <v>41.249999999999119</v>
      </c>
      <c r="R2243" s="10">
        <f t="shared" ref="R2243:R2306" ca="1" si="329">O2243-N2243*H2243</f>
        <v>76.874999999999091</v>
      </c>
      <c r="S2243" s="10">
        <f t="shared" ref="S2243:S2306" ca="1" si="330">Q2243-R2243</f>
        <v>-35.624999999999972</v>
      </c>
      <c r="T2243" s="10">
        <f t="shared" ref="T2243:T2306" ca="1" si="331">S2243/N2243</f>
        <v>569.99999999999147</v>
      </c>
      <c r="U2243" s="10">
        <f t="shared" ref="U2243:U2306" ca="1" si="332">IF(OR(T2243&lt;250,T2243&gt;650),"OR",T2243)</f>
        <v>569.99999999999147</v>
      </c>
      <c r="V2243">
        <f t="shared" ref="V2243:V2306" si="333">IF(AND(E2243=1,G2243=0),2,IF(AND(F2243=1,G2243=0),3,IF(AND(E2243=1,G2243=1),5,IF(AND(F2243=1,G2243=1),6,IF(G2243=0,1,IF(G2243=1,4))))))</f>
        <v>3</v>
      </c>
    </row>
    <row r="2244" spans="1:22" x14ac:dyDescent="0.25">
      <c r="A2244">
        <v>250</v>
      </c>
      <c r="B2244">
        <v>2</v>
      </c>
      <c r="C2244">
        <v>50</v>
      </c>
      <c r="D2244">
        <v>1</v>
      </c>
      <c r="E2244">
        <v>1</v>
      </c>
      <c r="F2244">
        <v>0</v>
      </c>
      <c r="G2244">
        <v>0</v>
      </c>
      <c r="H2244">
        <v>350</v>
      </c>
      <c r="I2244">
        <f t="shared" si="325"/>
        <v>2241</v>
      </c>
      <c r="J2244" s="6">
        <f t="array" aca="1" ref="J2244:N2244" ca="1">TRANSPOSE(ols(OFFSET($C$2:$C$10,I2244,0),OFFSET($D$2:$H$10,I2244,0)))</f>
        <v>56.874999999999091</v>
      </c>
      <c r="K2244" s="6">
        <f ca="1"/>
        <v>13.75</v>
      </c>
      <c r="L2244" s="6">
        <f ca="1"/>
        <v>20</v>
      </c>
      <c r="M2244" s="6">
        <f ca="1"/>
        <v>-13.749999999999659</v>
      </c>
      <c r="N2244" s="6">
        <f ca="1"/>
        <v>-6.2500000000000888E-2</v>
      </c>
      <c r="O2244" s="6">
        <f t="shared" ca="1" si="326"/>
        <v>48.749999999998778</v>
      </c>
      <c r="P2244" t="str">
        <f t="shared" si="327"/>
        <v>NA</v>
      </c>
      <c r="Q2244" s="10">
        <f t="shared" ca="1" si="328"/>
        <v>41.249999999999119</v>
      </c>
      <c r="R2244" s="10">
        <f t="shared" ca="1" si="329"/>
        <v>70.624999999999091</v>
      </c>
      <c r="S2244" s="10">
        <f t="shared" ca="1" si="330"/>
        <v>-29.374999999999972</v>
      </c>
      <c r="T2244" s="10">
        <f t="shared" ca="1" si="331"/>
        <v>469.99999999999284</v>
      </c>
      <c r="U2244" s="10">
        <f t="shared" ca="1" si="332"/>
        <v>469.99999999999284</v>
      </c>
      <c r="V2244">
        <f t="shared" si="333"/>
        <v>2</v>
      </c>
    </row>
    <row r="2245" spans="1:22" x14ac:dyDescent="0.25">
      <c r="A2245">
        <v>250</v>
      </c>
      <c r="B2245">
        <v>3</v>
      </c>
      <c r="C2245">
        <v>50</v>
      </c>
      <c r="D2245">
        <v>1</v>
      </c>
      <c r="E2245">
        <v>1</v>
      </c>
      <c r="F2245">
        <v>0</v>
      </c>
      <c r="G2245">
        <v>0</v>
      </c>
      <c r="H2245">
        <v>450</v>
      </c>
      <c r="I2245">
        <f t="shared" si="325"/>
        <v>2241</v>
      </c>
      <c r="J2245" s="6">
        <f t="array" aca="1" ref="J2245:N2245" ca="1">TRANSPOSE(ols(OFFSET($C$2:$C$10,I2245,0),OFFSET($D$2:$H$10,I2245,0)))</f>
        <v>56.874999999999091</v>
      </c>
      <c r="K2245" s="6">
        <f ca="1"/>
        <v>13.75</v>
      </c>
      <c r="L2245" s="6">
        <f ca="1"/>
        <v>20</v>
      </c>
      <c r="M2245" s="6">
        <f ca="1"/>
        <v>-13.749999999999659</v>
      </c>
      <c r="N2245" s="6">
        <f ca="1"/>
        <v>-6.2500000000000888E-2</v>
      </c>
      <c r="O2245" s="6">
        <f t="shared" ca="1" si="326"/>
        <v>42.499999999998693</v>
      </c>
      <c r="P2245" t="str">
        <f t="shared" si="327"/>
        <v>NA</v>
      </c>
      <c r="Q2245" s="10">
        <f t="shared" ca="1" si="328"/>
        <v>41.249999999999119</v>
      </c>
      <c r="R2245" s="10">
        <f t="shared" ca="1" si="329"/>
        <v>70.624999999999091</v>
      </c>
      <c r="S2245" s="10">
        <f t="shared" ca="1" si="330"/>
        <v>-29.374999999999972</v>
      </c>
      <c r="T2245" s="10">
        <f t="shared" ca="1" si="331"/>
        <v>469.99999999999284</v>
      </c>
      <c r="U2245" s="10">
        <f t="shared" ca="1" si="332"/>
        <v>469.99999999999284</v>
      </c>
      <c r="V2245">
        <f t="shared" si="333"/>
        <v>2</v>
      </c>
    </row>
    <row r="2246" spans="1:22" x14ac:dyDescent="0.25">
      <c r="A2246">
        <v>250</v>
      </c>
      <c r="B2246">
        <v>4</v>
      </c>
      <c r="C2246">
        <v>25</v>
      </c>
      <c r="D2246">
        <v>1</v>
      </c>
      <c r="E2246">
        <v>0</v>
      </c>
      <c r="F2246">
        <v>0</v>
      </c>
      <c r="G2246">
        <v>0</v>
      </c>
      <c r="H2246">
        <v>550</v>
      </c>
      <c r="I2246">
        <f t="shared" si="325"/>
        <v>2241</v>
      </c>
      <c r="J2246" s="6">
        <f t="array" aca="1" ref="J2246:N2246" ca="1">TRANSPOSE(ols(OFFSET($C$2:$C$10,I2246,0),OFFSET($D$2:$H$10,I2246,0)))</f>
        <v>56.874999999999091</v>
      </c>
      <c r="K2246" s="6">
        <f ca="1"/>
        <v>13.75</v>
      </c>
      <c r="L2246" s="6">
        <f ca="1"/>
        <v>20</v>
      </c>
      <c r="M2246" s="6">
        <f ca="1"/>
        <v>-13.749999999999659</v>
      </c>
      <c r="N2246" s="6">
        <f ca="1"/>
        <v>-6.2500000000000888E-2</v>
      </c>
      <c r="O2246" s="6">
        <f t="shared" ca="1" si="326"/>
        <v>22.4999999999986</v>
      </c>
      <c r="P2246" t="str">
        <f t="shared" si="327"/>
        <v>NA</v>
      </c>
      <c r="Q2246" s="10">
        <f t="shared" ca="1" si="328"/>
        <v>41.249999999999119</v>
      </c>
      <c r="R2246" s="10">
        <f t="shared" ca="1" si="329"/>
        <v>56.874999999999091</v>
      </c>
      <c r="S2246" s="10">
        <f t="shared" ca="1" si="330"/>
        <v>-15.624999999999972</v>
      </c>
      <c r="T2246" s="10">
        <f t="shared" ca="1" si="331"/>
        <v>249.99999999999599</v>
      </c>
      <c r="U2246" s="10" t="str">
        <f t="shared" ca="1" si="332"/>
        <v>OR</v>
      </c>
      <c r="V2246">
        <f t="shared" si="333"/>
        <v>1</v>
      </c>
    </row>
    <row r="2247" spans="1:22" x14ac:dyDescent="0.25">
      <c r="A2247">
        <v>250</v>
      </c>
      <c r="B2247">
        <v>5</v>
      </c>
      <c r="C2247">
        <v>50</v>
      </c>
      <c r="D2247">
        <v>1</v>
      </c>
      <c r="E2247">
        <v>0</v>
      </c>
      <c r="F2247">
        <v>1</v>
      </c>
      <c r="G2247">
        <v>1</v>
      </c>
      <c r="H2247">
        <v>250</v>
      </c>
      <c r="I2247">
        <f t="shared" si="325"/>
        <v>2241</v>
      </c>
      <c r="J2247" s="6">
        <f t="array" aca="1" ref="J2247:N2247" ca="1">TRANSPOSE(ols(OFFSET($C$2:$C$10,I2247,0),OFFSET($D$2:$H$10,I2247,0)))</f>
        <v>56.874999999999091</v>
      </c>
      <c r="K2247" s="6">
        <f ca="1"/>
        <v>13.75</v>
      </c>
      <c r="L2247" s="6">
        <f ca="1"/>
        <v>20</v>
      </c>
      <c r="M2247" s="6">
        <f ca="1"/>
        <v>-13.749999999999659</v>
      </c>
      <c r="N2247" s="6">
        <f ca="1"/>
        <v>-6.2500000000000888E-2</v>
      </c>
      <c r="O2247" s="6">
        <f t="shared" ca="1" si="326"/>
        <v>47.499999999999211</v>
      </c>
      <c r="P2247" t="str">
        <f t="shared" si="327"/>
        <v>NA</v>
      </c>
      <c r="Q2247" s="10">
        <f t="shared" ca="1" si="328"/>
        <v>41.249999999999119</v>
      </c>
      <c r="R2247" s="10">
        <f t="shared" ca="1" si="329"/>
        <v>63.124999999999432</v>
      </c>
      <c r="S2247" s="10">
        <f t="shared" ca="1" si="330"/>
        <v>-21.875000000000313</v>
      </c>
      <c r="T2247" s="10">
        <f t="shared" ca="1" si="331"/>
        <v>350</v>
      </c>
      <c r="U2247" s="10">
        <f t="shared" ca="1" si="332"/>
        <v>350</v>
      </c>
      <c r="V2247">
        <f t="shared" si="333"/>
        <v>6</v>
      </c>
    </row>
    <row r="2248" spans="1:22" x14ac:dyDescent="0.25">
      <c r="A2248">
        <v>250</v>
      </c>
      <c r="B2248">
        <v>6</v>
      </c>
      <c r="C2248">
        <v>50</v>
      </c>
      <c r="D2248">
        <v>1</v>
      </c>
      <c r="E2248">
        <v>0</v>
      </c>
      <c r="F2248">
        <v>1</v>
      </c>
      <c r="G2248">
        <v>1</v>
      </c>
      <c r="H2248">
        <v>350</v>
      </c>
      <c r="I2248">
        <f t="shared" si="325"/>
        <v>2241</v>
      </c>
      <c r="J2248" s="6">
        <f t="array" aca="1" ref="J2248:N2248" ca="1">TRANSPOSE(ols(OFFSET($C$2:$C$10,I2248,0),OFFSET($D$2:$H$10,I2248,0)))</f>
        <v>56.874999999999091</v>
      </c>
      <c r="K2248" s="6">
        <f ca="1"/>
        <v>13.75</v>
      </c>
      <c r="L2248" s="6">
        <f ca="1"/>
        <v>20</v>
      </c>
      <c r="M2248" s="6">
        <f ca="1"/>
        <v>-13.749999999999659</v>
      </c>
      <c r="N2248" s="6">
        <f ca="1"/>
        <v>-6.2500000000000888E-2</v>
      </c>
      <c r="O2248" s="6">
        <f t="shared" ca="1" si="326"/>
        <v>41.249999999999119</v>
      </c>
      <c r="P2248">
        <f t="shared" ca="1" si="327"/>
        <v>41.249999999999119</v>
      </c>
      <c r="Q2248" s="10">
        <f t="shared" ca="1" si="328"/>
        <v>41.249999999999119</v>
      </c>
      <c r="R2248" s="10">
        <f t="shared" ca="1" si="329"/>
        <v>63.124999999999432</v>
      </c>
      <c r="S2248" s="10">
        <f t="shared" ca="1" si="330"/>
        <v>-21.875000000000313</v>
      </c>
      <c r="T2248" s="10">
        <f t="shared" ca="1" si="331"/>
        <v>350</v>
      </c>
      <c r="U2248" s="10">
        <f t="shared" ca="1" si="332"/>
        <v>350</v>
      </c>
      <c r="V2248">
        <f t="shared" si="333"/>
        <v>6</v>
      </c>
    </row>
    <row r="2249" spans="1:22" x14ac:dyDescent="0.25">
      <c r="A2249">
        <v>250</v>
      </c>
      <c r="B2249">
        <v>7</v>
      </c>
      <c r="C2249">
        <v>25</v>
      </c>
      <c r="D2249">
        <v>1</v>
      </c>
      <c r="E2249">
        <v>1</v>
      </c>
      <c r="F2249">
        <v>0</v>
      </c>
      <c r="G2249">
        <v>1</v>
      </c>
      <c r="H2249">
        <v>450</v>
      </c>
      <c r="I2249">
        <f t="shared" si="325"/>
        <v>2241</v>
      </c>
      <c r="J2249" s="6">
        <f t="array" aca="1" ref="J2249:N2249" ca="1">TRANSPOSE(ols(OFFSET($C$2:$C$10,I2249,0),OFFSET($D$2:$H$10,I2249,0)))</f>
        <v>56.874999999999091</v>
      </c>
      <c r="K2249" s="6">
        <f ca="1"/>
        <v>13.75</v>
      </c>
      <c r="L2249" s="6">
        <f ca="1"/>
        <v>20</v>
      </c>
      <c r="M2249" s="6">
        <f ca="1"/>
        <v>-13.749999999999659</v>
      </c>
      <c r="N2249" s="6">
        <f ca="1"/>
        <v>-6.2500000000000888E-2</v>
      </c>
      <c r="O2249" s="6">
        <f t="shared" ca="1" si="326"/>
        <v>28.749999999999034</v>
      </c>
      <c r="P2249" t="str">
        <f t="shared" si="327"/>
        <v>NA</v>
      </c>
      <c r="Q2249" s="10">
        <f t="shared" ca="1" si="328"/>
        <v>41.249999999999119</v>
      </c>
      <c r="R2249" s="10">
        <f t="shared" ca="1" si="329"/>
        <v>56.874999999999432</v>
      </c>
      <c r="S2249" s="10">
        <f t="shared" ca="1" si="330"/>
        <v>-15.625000000000313</v>
      </c>
      <c r="T2249" s="10">
        <f t="shared" ca="1" si="331"/>
        <v>250.00000000000145</v>
      </c>
      <c r="U2249" s="10">
        <f t="shared" ca="1" si="332"/>
        <v>250.00000000000145</v>
      </c>
      <c r="V2249">
        <f t="shared" si="333"/>
        <v>5</v>
      </c>
    </row>
    <row r="2250" spans="1:22" x14ac:dyDescent="0.25">
      <c r="A2250">
        <v>250</v>
      </c>
      <c r="B2250">
        <v>8</v>
      </c>
      <c r="C2250">
        <v>17.5</v>
      </c>
      <c r="D2250">
        <v>1</v>
      </c>
      <c r="E2250">
        <v>1</v>
      </c>
      <c r="F2250">
        <v>0</v>
      </c>
      <c r="G2250">
        <v>1</v>
      </c>
      <c r="H2250">
        <v>550</v>
      </c>
      <c r="I2250">
        <f t="shared" si="325"/>
        <v>2241</v>
      </c>
      <c r="J2250" s="6">
        <f t="array" aca="1" ref="J2250:N2250" ca="1">TRANSPOSE(ols(OFFSET($C$2:$C$10,I2250,0),OFFSET($D$2:$H$10,I2250,0)))</f>
        <v>56.874999999999091</v>
      </c>
      <c r="K2250" s="6">
        <f ca="1"/>
        <v>13.75</v>
      </c>
      <c r="L2250" s="6">
        <f ca="1"/>
        <v>20</v>
      </c>
      <c r="M2250" s="6">
        <f ca="1"/>
        <v>-13.749999999999659</v>
      </c>
      <c r="N2250" s="6">
        <f ca="1"/>
        <v>-6.2500000000000888E-2</v>
      </c>
      <c r="O2250" s="6">
        <f t="shared" ca="1" si="326"/>
        <v>22.499999999998941</v>
      </c>
      <c r="P2250" t="str">
        <f t="shared" si="327"/>
        <v>NA</v>
      </c>
      <c r="Q2250" s="10">
        <f t="shared" ca="1" si="328"/>
        <v>41.249999999999119</v>
      </c>
      <c r="R2250" s="10">
        <f t="shared" ca="1" si="329"/>
        <v>56.874999999999432</v>
      </c>
      <c r="S2250" s="10">
        <f t="shared" ca="1" si="330"/>
        <v>-15.625000000000313</v>
      </c>
      <c r="T2250" s="10">
        <f t="shared" ca="1" si="331"/>
        <v>250.00000000000145</v>
      </c>
      <c r="U2250" s="10">
        <f t="shared" ca="1" si="332"/>
        <v>250.00000000000145</v>
      </c>
      <c r="V2250">
        <f t="shared" si="333"/>
        <v>5</v>
      </c>
    </row>
    <row r="2251" spans="1:22" x14ac:dyDescent="0.25">
      <c r="A2251">
        <v>250</v>
      </c>
      <c r="B2251">
        <v>9</v>
      </c>
      <c r="C2251">
        <v>0</v>
      </c>
      <c r="D2251">
        <v>1</v>
      </c>
      <c r="E2251">
        <v>0</v>
      </c>
      <c r="F2251">
        <v>0</v>
      </c>
      <c r="G2251">
        <v>1</v>
      </c>
      <c r="H2251">
        <v>650</v>
      </c>
      <c r="I2251">
        <f t="shared" si="325"/>
        <v>2241</v>
      </c>
      <c r="J2251" s="6">
        <f t="array" aca="1" ref="J2251:N2251" ca="1">TRANSPOSE(ols(OFFSET($C$2:$C$10,I2251,0),OFFSET($D$2:$H$10,I2251,0)))</f>
        <v>56.874999999999091</v>
      </c>
      <c r="K2251" s="6">
        <f ca="1"/>
        <v>13.75</v>
      </c>
      <c r="L2251" s="6">
        <f ca="1"/>
        <v>20</v>
      </c>
      <c r="M2251" s="6">
        <f ca="1"/>
        <v>-13.749999999999659</v>
      </c>
      <c r="N2251" s="6">
        <f ca="1"/>
        <v>-6.2500000000000888E-2</v>
      </c>
      <c r="O2251" s="6">
        <f t="shared" ca="1" si="326"/>
        <v>2.499999999998856</v>
      </c>
      <c r="P2251" t="str">
        <f t="shared" si="327"/>
        <v>NA</v>
      </c>
      <c r="Q2251" s="10">
        <f t="shared" ca="1" si="328"/>
        <v>41.249999999999119</v>
      </c>
      <c r="R2251" s="10">
        <f t="shared" ca="1" si="329"/>
        <v>43.124999999999432</v>
      </c>
      <c r="S2251" s="10">
        <f t="shared" ca="1" si="330"/>
        <v>-1.8750000000003126</v>
      </c>
      <c r="T2251" s="10">
        <f t="shared" ca="1" si="331"/>
        <v>30.000000000004576</v>
      </c>
      <c r="U2251" s="10" t="str">
        <f t="shared" ca="1" si="332"/>
        <v>OR</v>
      </c>
      <c r="V2251">
        <f t="shared" si="333"/>
        <v>4</v>
      </c>
    </row>
    <row r="2252" spans="1:22" x14ac:dyDescent="0.25">
      <c r="A2252">
        <v>251</v>
      </c>
      <c r="B2252">
        <v>1</v>
      </c>
      <c r="C2252">
        <v>17.5</v>
      </c>
      <c r="D2252">
        <v>1</v>
      </c>
      <c r="E2252">
        <v>0</v>
      </c>
      <c r="F2252">
        <v>1</v>
      </c>
      <c r="G2252">
        <v>0</v>
      </c>
      <c r="H2252">
        <v>250</v>
      </c>
      <c r="I2252">
        <f t="shared" ref="I2252:I2315" si="334">IF(A2252&gt;A2251,I2251+9,I2251)</f>
        <v>2250</v>
      </c>
      <c r="J2252" s="6">
        <f t="array" aca="1" ref="J2252:N2252" ca="1">TRANSPOSE(ols(OFFSET($C$2:$C$10,I2252,0),OFFSET($D$2:$H$10,I2252,0)))</f>
        <v>40.684523809523284</v>
      </c>
      <c r="K2252" s="6">
        <f ca="1"/>
        <v>-4.4642857142855803</v>
      </c>
      <c r="L2252" s="6">
        <f ca="1"/>
        <v>-6.1904761904759198</v>
      </c>
      <c r="M2252" s="6">
        <f ca="1"/>
        <v>-0.65476190476194063</v>
      </c>
      <c r="N2252" s="6">
        <f ca="1"/>
        <v>-6.7261904761904079E-2</v>
      </c>
      <c r="O2252" s="6">
        <f t="shared" ca="1" si="326"/>
        <v>17.678571428571345</v>
      </c>
      <c r="P2252" t="str">
        <f t="shared" si="327"/>
        <v>NA</v>
      </c>
      <c r="Q2252" s="10">
        <f t="shared" ca="1" si="328"/>
        <v>10.297619047618998</v>
      </c>
      <c r="R2252" s="10">
        <f t="shared" ca="1" si="329"/>
        <v>34.494047619047365</v>
      </c>
      <c r="S2252" s="10">
        <f t="shared" ca="1" si="330"/>
        <v>-24.196428571428367</v>
      </c>
      <c r="T2252" s="10">
        <f t="shared" ca="1" si="331"/>
        <v>359.7345132743369</v>
      </c>
      <c r="U2252" s="10">
        <f t="shared" ca="1" si="332"/>
        <v>359.7345132743369</v>
      </c>
      <c r="V2252">
        <f t="shared" si="333"/>
        <v>3</v>
      </c>
    </row>
    <row r="2253" spans="1:22" x14ac:dyDescent="0.25">
      <c r="A2253">
        <v>251</v>
      </c>
      <c r="B2253">
        <v>2</v>
      </c>
      <c r="C2253">
        <v>22.5</v>
      </c>
      <c r="D2253">
        <v>1</v>
      </c>
      <c r="E2253">
        <v>1</v>
      </c>
      <c r="F2253">
        <v>0</v>
      </c>
      <c r="G2253">
        <v>0</v>
      </c>
      <c r="H2253">
        <v>350</v>
      </c>
      <c r="I2253">
        <f t="shared" si="334"/>
        <v>2250</v>
      </c>
      <c r="J2253" s="6">
        <f t="array" aca="1" ref="J2253:N2253" ca="1">TRANSPOSE(ols(OFFSET($C$2:$C$10,I2253,0),OFFSET($D$2:$H$10,I2253,0)))</f>
        <v>40.684523809523284</v>
      </c>
      <c r="K2253" s="6">
        <f ca="1"/>
        <v>-4.4642857142855803</v>
      </c>
      <c r="L2253" s="6">
        <f ca="1"/>
        <v>-6.1904761904759198</v>
      </c>
      <c r="M2253" s="6">
        <f ca="1"/>
        <v>-0.65476190476194063</v>
      </c>
      <c r="N2253" s="6">
        <f ca="1"/>
        <v>-6.7261904761904079E-2</v>
      </c>
      <c r="O2253" s="6">
        <f t="shared" ca="1" si="326"/>
        <v>12.678571428571278</v>
      </c>
      <c r="P2253" t="str">
        <f t="shared" si="327"/>
        <v>NA</v>
      </c>
      <c r="Q2253" s="10">
        <f t="shared" ca="1" si="328"/>
        <v>10.297619047618998</v>
      </c>
      <c r="R2253" s="10">
        <f t="shared" ca="1" si="329"/>
        <v>36.220238095237704</v>
      </c>
      <c r="S2253" s="10">
        <f t="shared" ca="1" si="330"/>
        <v>-25.922619047618706</v>
      </c>
      <c r="T2253" s="10">
        <f t="shared" ca="1" si="331"/>
        <v>385.39823008849442</v>
      </c>
      <c r="U2253" s="10">
        <f t="shared" ca="1" si="332"/>
        <v>385.39823008849442</v>
      </c>
      <c r="V2253">
        <f t="shared" si="333"/>
        <v>2</v>
      </c>
    </row>
    <row r="2254" spans="1:22" x14ac:dyDescent="0.25">
      <c r="A2254">
        <v>251</v>
      </c>
      <c r="B2254">
        <v>3</v>
      </c>
      <c r="C2254">
        <v>0</v>
      </c>
      <c r="D2254">
        <v>1</v>
      </c>
      <c r="E2254">
        <v>1</v>
      </c>
      <c r="F2254">
        <v>0</v>
      </c>
      <c r="G2254">
        <v>0</v>
      </c>
      <c r="H2254">
        <v>450</v>
      </c>
      <c r="I2254">
        <f t="shared" si="334"/>
        <v>2250</v>
      </c>
      <c r="J2254" s="6">
        <f t="array" aca="1" ref="J2254:N2254" ca="1">TRANSPOSE(ols(OFFSET($C$2:$C$10,I2254,0),OFFSET($D$2:$H$10,I2254,0)))</f>
        <v>40.684523809523284</v>
      </c>
      <c r="K2254" s="6">
        <f ca="1"/>
        <v>-4.4642857142855803</v>
      </c>
      <c r="L2254" s="6">
        <f ca="1"/>
        <v>-6.1904761904759198</v>
      </c>
      <c r="M2254" s="6">
        <f ca="1"/>
        <v>-0.65476190476194063</v>
      </c>
      <c r="N2254" s="6">
        <f ca="1"/>
        <v>-6.7261904761904079E-2</v>
      </c>
      <c r="O2254" s="6">
        <f t="shared" ca="1" si="326"/>
        <v>5.9523809523808673</v>
      </c>
      <c r="P2254" t="str">
        <f t="shared" si="327"/>
        <v>NA</v>
      </c>
      <c r="Q2254" s="10">
        <f t="shared" ca="1" si="328"/>
        <v>10.297619047618998</v>
      </c>
      <c r="R2254" s="10">
        <f t="shared" ca="1" si="329"/>
        <v>36.220238095237704</v>
      </c>
      <c r="S2254" s="10">
        <f t="shared" ca="1" si="330"/>
        <v>-25.922619047618706</v>
      </c>
      <c r="T2254" s="10">
        <f t="shared" ca="1" si="331"/>
        <v>385.39823008849442</v>
      </c>
      <c r="U2254" s="10">
        <f t="shared" ca="1" si="332"/>
        <v>385.39823008849442</v>
      </c>
      <c r="V2254">
        <f t="shared" si="333"/>
        <v>2</v>
      </c>
    </row>
    <row r="2255" spans="1:22" x14ac:dyDescent="0.25">
      <c r="A2255">
        <v>251</v>
      </c>
      <c r="B2255">
        <v>4</v>
      </c>
      <c r="C2255">
        <v>0</v>
      </c>
      <c r="D2255">
        <v>1</v>
      </c>
      <c r="E2255">
        <v>0</v>
      </c>
      <c r="F2255">
        <v>0</v>
      </c>
      <c r="G2255">
        <v>0</v>
      </c>
      <c r="H2255">
        <v>550</v>
      </c>
      <c r="I2255">
        <f t="shared" si="334"/>
        <v>2250</v>
      </c>
      <c r="J2255" s="6">
        <f t="array" aca="1" ref="J2255:N2255" ca="1">TRANSPOSE(ols(OFFSET($C$2:$C$10,I2255,0),OFFSET($D$2:$H$10,I2255,0)))</f>
        <v>40.684523809523284</v>
      </c>
      <c r="K2255" s="6">
        <f ca="1"/>
        <v>-4.4642857142855803</v>
      </c>
      <c r="L2255" s="6">
        <f ca="1"/>
        <v>-6.1904761904759198</v>
      </c>
      <c r="M2255" s="6">
        <f ca="1"/>
        <v>-0.65476190476194063</v>
      </c>
      <c r="N2255" s="6">
        <f ca="1"/>
        <v>-6.7261904761904079E-2</v>
      </c>
      <c r="O2255" s="6">
        <f t="shared" ca="1" si="326"/>
        <v>3.6904761904760406</v>
      </c>
      <c r="P2255" t="str">
        <f t="shared" si="327"/>
        <v>NA</v>
      </c>
      <c r="Q2255" s="10">
        <f t="shared" ca="1" si="328"/>
        <v>10.297619047618998</v>
      </c>
      <c r="R2255" s="10">
        <f t="shared" ca="1" si="329"/>
        <v>40.684523809523284</v>
      </c>
      <c r="S2255" s="10">
        <f t="shared" ca="1" si="330"/>
        <v>-30.386904761904287</v>
      </c>
      <c r="T2255" s="10">
        <f t="shared" ca="1" si="331"/>
        <v>451.76991150442228</v>
      </c>
      <c r="U2255" s="10">
        <f t="shared" ca="1" si="332"/>
        <v>451.76991150442228</v>
      </c>
      <c r="V2255">
        <f t="shared" si="333"/>
        <v>1</v>
      </c>
    </row>
    <row r="2256" spans="1:22" x14ac:dyDescent="0.25">
      <c r="A2256">
        <v>251</v>
      </c>
      <c r="B2256">
        <v>5</v>
      </c>
      <c r="C2256">
        <v>12.5</v>
      </c>
      <c r="D2256">
        <v>1</v>
      </c>
      <c r="E2256">
        <v>0</v>
      </c>
      <c r="F2256">
        <v>1</v>
      </c>
      <c r="G2256">
        <v>1</v>
      </c>
      <c r="H2256">
        <v>250</v>
      </c>
      <c r="I2256">
        <f t="shared" si="334"/>
        <v>2250</v>
      </c>
      <c r="J2256" s="6">
        <f t="array" aca="1" ref="J2256:N2256" ca="1">TRANSPOSE(ols(OFFSET($C$2:$C$10,I2256,0),OFFSET($D$2:$H$10,I2256,0)))</f>
        <v>40.684523809523284</v>
      </c>
      <c r="K2256" s="6">
        <f ca="1"/>
        <v>-4.4642857142855803</v>
      </c>
      <c r="L2256" s="6">
        <f ca="1"/>
        <v>-6.1904761904759198</v>
      </c>
      <c r="M2256" s="6">
        <f ca="1"/>
        <v>-0.65476190476194063</v>
      </c>
      <c r="N2256" s="6">
        <f ca="1"/>
        <v>-6.7261904761904079E-2</v>
      </c>
      <c r="O2256" s="6">
        <f t="shared" ca="1" si="326"/>
        <v>17.023809523809405</v>
      </c>
      <c r="P2256" t="str">
        <f t="shared" si="327"/>
        <v>NA</v>
      </c>
      <c r="Q2256" s="10">
        <f t="shared" ca="1" si="328"/>
        <v>10.297619047618998</v>
      </c>
      <c r="R2256" s="10">
        <f t="shared" ca="1" si="329"/>
        <v>33.839285714285424</v>
      </c>
      <c r="S2256" s="10">
        <f t="shared" ca="1" si="330"/>
        <v>-23.541666666666426</v>
      </c>
      <c r="T2256" s="10">
        <f t="shared" ca="1" si="331"/>
        <v>350</v>
      </c>
      <c r="U2256" s="10">
        <f t="shared" ca="1" si="332"/>
        <v>350</v>
      </c>
      <c r="V2256">
        <f t="shared" si="333"/>
        <v>6</v>
      </c>
    </row>
    <row r="2257" spans="1:22" x14ac:dyDescent="0.25">
      <c r="A2257">
        <v>251</v>
      </c>
      <c r="B2257">
        <v>6</v>
      </c>
      <c r="C2257">
        <v>15</v>
      </c>
      <c r="D2257">
        <v>1</v>
      </c>
      <c r="E2257">
        <v>0</v>
      </c>
      <c r="F2257">
        <v>1</v>
      </c>
      <c r="G2257">
        <v>1</v>
      </c>
      <c r="H2257">
        <v>350</v>
      </c>
      <c r="I2257">
        <f t="shared" si="334"/>
        <v>2250</v>
      </c>
      <c r="J2257" s="6">
        <f t="array" aca="1" ref="J2257:N2257" ca="1">TRANSPOSE(ols(OFFSET($C$2:$C$10,I2257,0),OFFSET($D$2:$H$10,I2257,0)))</f>
        <v>40.684523809523284</v>
      </c>
      <c r="K2257" s="6">
        <f ca="1"/>
        <v>-4.4642857142855803</v>
      </c>
      <c r="L2257" s="6">
        <f ca="1"/>
        <v>-6.1904761904759198</v>
      </c>
      <c r="M2257" s="6">
        <f ca="1"/>
        <v>-0.65476190476194063</v>
      </c>
      <c r="N2257" s="6">
        <f ca="1"/>
        <v>-6.7261904761904079E-2</v>
      </c>
      <c r="O2257" s="6">
        <f t="shared" ca="1" si="326"/>
        <v>10.297619047618998</v>
      </c>
      <c r="P2257">
        <f t="shared" ca="1" si="327"/>
        <v>10.297619047618998</v>
      </c>
      <c r="Q2257" s="10">
        <f t="shared" ca="1" si="328"/>
        <v>10.297619047618998</v>
      </c>
      <c r="R2257" s="10">
        <f t="shared" ca="1" si="329"/>
        <v>33.839285714285424</v>
      </c>
      <c r="S2257" s="10">
        <f t="shared" ca="1" si="330"/>
        <v>-23.541666666666426</v>
      </c>
      <c r="T2257" s="10">
        <f t="shared" ca="1" si="331"/>
        <v>350</v>
      </c>
      <c r="U2257" s="10">
        <f t="shared" ca="1" si="332"/>
        <v>350</v>
      </c>
      <c r="V2257">
        <f t="shared" si="333"/>
        <v>6</v>
      </c>
    </row>
    <row r="2258" spans="1:22" x14ac:dyDescent="0.25">
      <c r="A2258">
        <v>251</v>
      </c>
      <c r="B2258">
        <v>7</v>
      </c>
      <c r="C2258">
        <v>0</v>
      </c>
      <c r="D2258">
        <v>1</v>
      </c>
      <c r="E2258">
        <v>1</v>
      </c>
      <c r="F2258">
        <v>0</v>
      </c>
      <c r="G2258">
        <v>1</v>
      </c>
      <c r="H2258">
        <v>450</v>
      </c>
      <c r="I2258">
        <f t="shared" si="334"/>
        <v>2250</v>
      </c>
      <c r="J2258" s="6">
        <f t="array" aca="1" ref="J2258:N2258" ca="1">TRANSPOSE(ols(OFFSET($C$2:$C$10,I2258,0),OFFSET($D$2:$H$10,I2258,0)))</f>
        <v>40.684523809523284</v>
      </c>
      <c r="K2258" s="6">
        <f ca="1"/>
        <v>-4.4642857142855803</v>
      </c>
      <c r="L2258" s="6">
        <f ca="1"/>
        <v>-6.1904761904759198</v>
      </c>
      <c r="M2258" s="6">
        <f ca="1"/>
        <v>-0.65476190476194063</v>
      </c>
      <c r="N2258" s="6">
        <f ca="1"/>
        <v>-6.7261904761904079E-2</v>
      </c>
      <c r="O2258" s="6">
        <f t="shared" ca="1" si="326"/>
        <v>5.2976190476189267</v>
      </c>
      <c r="P2258" t="str">
        <f t="shared" si="327"/>
        <v>NA</v>
      </c>
      <c r="Q2258" s="10">
        <f t="shared" ca="1" si="328"/>
        <v>10.297619047618998</v>
      </c>
      <c r="R2258" s="10">
        <f t="shared" ca="1" si="329"/>
        <v>35.565476190475763</v>
      </c>
      <c r="S2258" s="10">
        <f t="shared" ca="1" si="330"/>
        <v>-25.267857142856766</v>
      </c>
      <c r="T2258" s="10">
        <f t="shared" ca="1" si="331"/>
        <v>375.66371681415751</v>
      </c>
      <c r="U2258" s="10">
        <f t="shared" ca="1" si="332"/>
        <v>375.66371681415751</v>
      </c>
      <c r="V2258">
        <f t="shared" si="333"/>
        <v>5</v>
      </c>
    </row>
    <row r="2259" spans="1:22" x14ac:dyDescent="0.25">
      <c r="A2259">
        <v>251</v>
      </c>
      <c r="B2259">
        <v>8</v>
      </c>
      <c r="C2259">
        <v>0</v>
      </c>
      <c r="D2259">
        <v>1</v>
      </c>
      <c r="E2259">
        <v>1</v>
      </c>
      <c r="F2259">
        <v>0</v>
      </c>
      <c r="G2259">
        <v>1</v>
      </c>
      <c r="H2259">
        <v>550</v>
      </c>
      <c r="I2259">
        <f t="shared" si="334"/>
        <v>2250</v>
      </c>
      <c r="J2259" s="6">
        <f t="array" aca="1" ref="J2259:N2259" ca="1">TRANSPOSE(ols(OFFSET($C$2:$C$10,I2259,0),OFFSET($D$2:$H$10,I2259,0)))</f>
        <v>40.684523809523284</v>
      </c>
      <c r="K2259" s="6">
        <f ca="1"/>
        <v>-4.4642857142855803</v>
      </c>
      <c r="L2259" s="6">
        <f ca="1"/>
        <v>-6.1904761904759198</v>
      </c>
      <c r="M2259" s="6">
        <f ca="1"/>
        <v>-0.65476190476194063</v>
      </c>
      <c r="N2259" s="6">
        <f ca="1"/>
        <v>-6.7261904761904079E-2</v>
      </c>
      <c r="O2259" s="6">
        <f t="shared" ca="1" si="326"/>
        <v>-1.4285714285714803</v>
      </c>
      <c r="P2259" t="str">
        <f t="shared" si="327"/>
        <v>NA</v>
      </c>
      <c r="Q2259" s="10">
        <f t="shared" ca="1" si="328"/>
        <v>10.297619047618998</v>
      </c>
      <c r="R2259" s="10">
        <f t="shared" ca="1" si="329"/>
        <v>35.565476190475763</v>
      </c>
      <c r="S2259" s="10">
        <f t="shared" ca="1" si="330"/>
        <v>-25.267857142856766</v>
      </c>
      <c r="T2259" s="10">
        <f t="shared" ca="1" si="331"/>
        <v>375.66371681415751</v>
      </c>
      <c r="U2259" s="10">
        <f t="shared" ca="1" si="332"/>
        <v>375.66371681415751</v>
      </c>
      <c r="V2259">
        <f t="shared" si="333"/>
        <v>5</v>
      </c>
    </row>
    <row r="2260" spans="1:22" x14ac:dyDescent="0.25">
      <c r="A2260">
        <v>251</v>
      </c>
      <c r="B2260">
        <v>9</v>
      </c>
      <c r="C2260">
        <v>0</v>
      </c>
      <c r="D2260">
        <v>1</v>
      </c>
      <c r="E2260">
        <v>0</v>
      </c>
      <c r="F2260">
        <v>0</v>
      </c>
      <c r="G2260">
        <v>1</v>
      </c>
      <c r="H2260">
        <v>650</v>
      </c>
      <c r="I2260">
        <f t="shared" si="334"/>
        <v>2250</v>
      </c>
      <c r="J2260" s="6">
        <f t="array" aca="1" ref="J2260:N2260" ca="1">TRANSPOSE(ols(OFFSET($C$2:$C$10,I2260,0),OFFSET($D$2:$H$10,I2260,0)))</f>
        <v>40.684523809523284</v>
      </c>
      <c r="K2260" s="6">
        <f ca="1"/>
        <v>-4.4642857142855803</v>
      </c>
      <c r="L2260" s="6">
        <f ca="1"/>
        <v>-6.1904761904759198</v>
      </c>
      <c r="M2260" s="6">
        <f ca="1"/>
        <v>-0.65476190476194063</v>
      </c>
      <c r="N2260" s="6">
        <f ca="1"/>
        <v>-6.7261904761904079E-2</v>
      </c>
      <c r="O2260" s="6">
        <f t="shared" ca="1" si="326"/>
        <v>-3.6904761904763106</v>
      </c>
      <c r="P2260" t="str">
        <f t="shared" si="327"/>
        <v>NA</v>
      </c>
      <c r="Q2260" s="10">
        <f t="shared" ca="1" si="328"/>
        <v>10.297619047618998</v>
      </c>
      <c r="R2260" s="10">
        <f t="shared" ca="1" si="329"/>
        <v>40.029761904761344</v>
      </c>
      <c r="S2260" s="10">
        <f t="shared" ca="1" si="330"/>
        <v>-29.732142857142346</v>
      </c>
      <c r="T2260" s="10">
        <f t="shared" ca="1" si="331"/>
        <v>442.03539823008538</v>
      </c>
      <c r="U2260" s="10">
        <f t="shared" ca="1" si="332"/>
        <v>442.03539823008538</v>
      </c>
      <c r="V2260">
        <f t="shared" si="333"/>
        <v>4</v>
      </c>
    </row>
    <row r="2261" spans="1:22" x14ac:dyDescent="0.25">
      <c r="A2261">
        <v>252</v>
      </c>
      <c r="B2261">
        <v>1</v>
      </c>
      <c r="C2261">
        <v>15</v>
      </c>
      <c r="D2261">
        <v>1</v>
      </c>
      <c r="E2261">
        <v>0</v>
      </c>
      <c r="F2261">
        <v>1</v>
      </c>
      <c r="G2261">
        <v>0</v>
      </c>
      <c r="H2261">
        <v>250</v>
      </c>
      <c r="I2261">
        <f t="shared" si="334"/>
        <v>2259</v>
      </c>
      <c r="J2261" s="6">
        <f t="array" aca="1" ref="J2261:N2261" ca="1">TRANSPOSE(ols(OFFSET($C$2:$C$10,I2261,0),OFFSET($D$2:$H$10,I2261,0)))</f>
        <v>31.607142857142549</v>
      </c>
      <c r="K2261" s="6">
        <f ca="1"/>
        <v>-4.2857142857141355</v>
      </c>
      <c r="L2261" s="6">
        <f ca="1"/>
        <v>-2.142857142856883</v>
      </c>
      <c r="M2261" s="6">
        <f ca="1"/>
        <v>1.0714285714285694</v>
      </c>
      <c r="N2261" s="6">
        <f ca="1"/>
        <v>-5.3571428571428159E-2</v>
      </c>
      <c r="O2261" s="6">
        <f t="shared" ca="1" si="326"/>
        <v>16.071428571428626</v>
      </c>
      <c r="P2261" t="str">
        <f t="shared" si="327"/>
        <v>NA</v>
      </c>
      <c r="Q2261" s="10">
        <f t="shared" ca="1" si="328"/>
        <v>11.785714285714381</v>
      </c>
      <c r="R2261" s="10">
        <f t="shared" ca="1" si="329"/>
        <v>29.464285714285666</v>
      </c>
      <c r="S2261" s="10">
        <f t="shared" ca="1" si="330"/>
        <v>-17.678571428571285</v>
      </c>
      <c r="T2261" s="10">
        <f t="shared" ca="1" si="331"/>
        <v>329.99999999999989</v>
      </c>
      <c r="U2261" s="10">
        <f t="shared" ca="1" si="332"/>
        <v>329.99999999999989</v>
      </c>
      <c r="V2261">
        <f t="shared" si="333"/>
        <v>3</v>
      </c>
    </row>
    <row r="2262" spans="1:22" x14ac:dyDescent="0.25">
      <c r="A2262">
        <v>252</v>
      </c>
      <c r="B2262">
        <v>2</v>
      </c>
      <c r="C2262">
        <v>15</v>
      </c>
      <c r="D2262">
        <v>1</v>
      </c>
      <c r="E2262">
        <v>1</v>
      </c>
      <c r="F2262">
        <v>0</v>
      </c>
      <c r="G2262">
        <v>0</v>
      </c>
      <c r="H2262">
        <v>350</v>
      </c>
      <c r="I2262">
        <f t="shared" si="334"/>
        <v>2259</v>
      </c>
      <c r="J2262" s="6">
        <f t="array" aca="1" ref="J2262:N2262" ca="1">TRANSPOSE(ols(OFFSET($C$2:$C$10,I2262,0),OFFSET($D$2:$H$10,I2262,0)))</f>
        <v>31.607142857142549</v>
      </c>
      <c r="K2262" s="6">
        <f ca="1"/>
        <v>-4.2857142857141355</v>
      </c>
      <c r="L2262" s="6">
        <f ca="1"/>
        <v>-2.142857142856883</v>
      </c>
      <c r="M2262" s="6">
        <f ca="1"/>
        <v>1.0714285714285694</v>
      </c>
      <c r="N2262" s="6">
        <f ca="1"/>
        <v>-5.3571428571428159E-2</v>
      </c>
      <c r="O2262" s="6">
        <f t="shared" ca="1" si="326"/>
        <v>8.5714285714285587</v>
      </c>
      <c r="P2262" t="str">
        <f t="shared" si="327"/>
        <v>NA</v>
      </c>
      <c r="Q2262" s="10">
        <f t="shared" ca="1" si="328"/>
        <v>11.785714285714381</v>
      </c>
      <c r="R2262" s="10">
        <f t="shared" ca="1" si="329"/>
        <v>27.321428571428413</v>
      </c>
      <c r="S2262" s="10">
        <f t="shared" ca="1" si="330"/>
        <v>-15.535714285714032</v>
      </c>
      <c r="T2262" s="10">
        <f t="shared" ca="1" si="331"/>
        <v>289.9999999999975</v>
      </c>
      <c r="U2262" s="10">
        <f t="shared" ca="1" si="332"/>
        <v>289.9999999999975</v>
      </c>
      <c r="V2262">
        <f t="shared" si="333"/>
        <v>2</v>
      </c>
    </row>
    <row r="2263" spans="1:22" x14ac:dyDescent="0.25">
      <c r="A2263">
        <v>252</v>
      </c>
      <c r="B2263">
        <v>3</v>
      </c>
      <c r="C2263">
        <v>0</v>
      </c>
      <c r="D2263">
        <v>1</v>
      </c>
      <c r="E2263">
        <v>1</v>
      </c>
      <c r="F2263">
        <v>0</v>
      </c>
      <c r="G2263">
        <v>0</v>
      </c>
      <c r="H2263">
        <v>450</v>
      </c>
      <c r="I2263">
        <f t="shared" si="334"/>
        <v>2259</v>
      </c>
      <c r="J2263" s="6">
        <f t="array" aca="1" ref="J2263:N2263" ca="1">TRANSPOSE(ols(OFFSET($C$2:$C$10,I2263,0),OFFSET($D$2:$H$10,I2263,0)))</f>
        <v>31.607142857142549</v>
      </c>
      <c r="K2263" s="6">
        <f ca="1"/>
        <v>-4.2857142857141355</v>
      </c>
      <c r="L2263" s="6">
        <f ca="1"/>
        <v>-2.142857142856883</v>
      </c>
      <c r="M2263" s="6">
        <f ca="1"/>
        <v>1.0714285714285694</v>
      </c>
      <c r="N2263" s="6">
        <f ca="1"/>
        <v>-5.3571428571428159E-2</v>
      </c>
      <c r="O2263" s="6">
        <f t="shared" ca="1" si="326"/>
        <v>3.2142857142857402</v>
      </c>
      <c r="P2263" t="str">
        <f t="shared" si="327"/>
        <v>NA</v>
      </c>
      <c r="Q2263" s="10">
        <f t="shared" ca="1" si="328"/>
        <v>11.785714285714381</v>
      </c>
      <c r="R2263" s="10">
        <f t="shared" ca="1" si="329"/>
        <v>27.321428571428413</v>
      </c>
      <c r="S2263" s="10">
        <f t="shared" ca="1" si="330"/>
        <v>-15.535714285714032</v>
      </c>
      <c r="T2263" s="10">
        <f t="shared" ca="1" si="331"/>
        <v>289.9999999999975</v>
      </c>
      <c r="U2263" s="10">
        <f t="shared" ca="1" si="332"/>
        <v>289.9999999999975</v>
      </c>
      <c r="V2263">
        <f t="shared" si="333"/>
        <v>2</v>
      </c>
    </row>
    <row r="2264" spans="1:22" x14ac:dyDescent="0.25">
      <c r="A2264">
        <v>252</v>
      </c>
      <c r="B2264">
        <v>4</v>
      </c>
      <c r="C2264">
        <v>0</v>
      </c>
      <c r="D2264">
        <v>1</v>
      </c>
      <c r="E2264">
        <v>0</v>
      </c>
      <c r="F2264">
        <v>0</v>
      </c>
      <c r="G2264">
        <v>0</v>
      </c>
      <c r="H2264">
        <v>550</v>
      </c>
      <c r="I2264">
        <f t="shared" si="334"/>
        <v>2259</v>
      </c>
      <c r="J2264" s="6">
        <f t="array" aca="1" ref="J2264:N2264" ca="1">TRANSPOSE(ols(OFFSET($C$2:$C$10,I2264,0),OFFSET($D$2:$H$10,I2264,0)))</f>
        <v>31.607142857142549</v>
      </c>
      <c r="K2264" s="6">
        <f ca="1"/>
        <v>-4.2857142857141355</v>
      </c>
      <c r="L2264" s="6">
        <f ca="1"/>
        <v>-2.142857142856883</v>
      </c>
      <c r="M2264" s="6">
        <f ca="1"/>
        <v>1.0714285714285694</v>
      </c>
      <c r="N2264" s="6">
        <f ca="1"/>
        <v>-5.3571428571428159E-2</v>
      </c>
      <c r="O2264" s="6">
        <f t="shared" ca="1" si="326"/>
        <v>2.1428571428570606</v>
      </c>
      <c r="P2264" t="str">
        <f t="shared" si="327"/>
        <v>NA</v>
      </c>
      <c r="Q2264" s="10">
        <f t="shared" ca="1" si="328"/>
        <v>11.785714285714381</v>
      </c>
      <c r="R2264" s="10">
        <f t="shared" ca="1" si="329"/>
        <v>31.607142857142549</v>
      </c>
      <c r="S2264" s="10">
        <f t="shared" ca="1" si="330"/>
        <v>-19.821428571428168</v>
      </c>
      <c r="T2264" s="10">
        <f t="shared" ca="1" si="331"/>
        <v>369.99999999999534</v>
      </c>
      <c r="U2264" s="10">
        <f t="shared" ca="1" si="332"/>
        <v>369.99999999999534</v>
      </c>
      <c r="V2264">
        <f t="shared" si="333"/>
        <v>1</v>
      </c>
    </row>
    <row r="2265" spans="1:22" x14ac:dyDescent="0.25">
      <c r="A2265">
        <v>252</v>
      </c>
      <c r="B2265">
        <v>5</v>
      </c>
      <c r="C2265">
        <v>15</v>
      </c>
      <c r="D2265">
        <v>1</v>
      </c>
      <c r="E2265">
        <v>0</v>
      </c>
      <c r="F2265">
        <v>1</v>
      </c>
      <c r="G2265">
        <v>1</v>
      </c>
      <c r="H2265">
        <v>250</v>
      </c>
      <c r="I2265">
        <f t="shared" si="334"/>
        <v>2259</v>
      </c>
      <c r="J2265" s="6">
        <f t="array" aca="1" ref="J2265:N2265" ca="1">TRANSPOSE(ols(OFFSET($C$2:$C$10,I2265,0),OFFSET($D$2:$H$10,I2265,0)))</f>
        <v>31.607142857142549</v>
      </c>
      <c r="K2265" s="6">
        <f ca="1"/>
        <v>-4.2857142857141355</v>
      </c>
      <c r="L2265" s="6">
        <f ca="1"/>
        <v>-2.142857142856883</v>
      </c>
      <c r="M2265" s="6">
        <f ca="1"/>
        <v>1.0714285714285694</v>
      </c>
      <c r="N2265" s="6">
        <f ca="1"/>
        <v>-5.3571428571428159E-2</v>
      </c>
      <c r="O2265" s="6">
        <f t="shared" ca="1" si="326"/>
        <v>17.142857142857196</v>
      </c>
      <c r="P2265" t="str">
        <f t="shared" si="327"/>
        <v>NA</v>
      </c>
      <c r="Q2265" s="10">
        <f t="shared" ca="1" si="328"/>
        <v>11.785714285714381</v>
      </c>
      <c r="R2265" s="10">
        <f t="shared" ca="1" si="329"/>
        <v>30.535714285714235</v>
      </c>
      <c r="S2265" s="10">
        <f t="shared" ca="1" si="330"/>
        <v>-18.749999999999854</v>
      </c>
      <c r="T2265" s="10">
        <f t="shared" ca="1" si="331"/>
        <v>350</v>
      </c>
      <c r="U2265" s="10">
        <f t="shared" ca="1" si="332"/>
        <v>350</v>
      </c>
      <c r="V2265">
        <f t="shared" si="333"/>
        <v>6</v>
      </c>
    </row>
    <row r="2266" spans="1:22" x14ac:dyDescent="0.25">
      <c r="A2266">
        <v>252</v>
      </c>
      <c r="B2266">
        <v>6</v>
      </c>
      <c r="C2266">
        <v>15</v>
      </c>
      <c r="D2266">
        <v>1</v>
      </c>
      <c r="E2266">
        <v>0</v>
      </c>
      <c r="F2266">
        <v>1</v>
      </c>
      <c r="G2266">
        <v>1</v>
      </c>
      <c r="H2266">
        <v>350</v>
      </c>
      <c r="I2266">
        <f t="shared" si="334"/>
        <v>2259</v>
      </c>
      <c r="J2266" s="6">
        <f t="array" aca="1" ref="J2266:N2266" ca="1">TRANSPOSE(ols(OFFSET($C$2:$C$10,I2266,0),OFFSET($D$2:$H$10,I2266,0)))</f>
        <v>31.607142857142549</v>
      </c>
      <c r="K2266" s="6">
        <f ca="1"/>
        <v>-4.2857142857141355</v>
      </c>
      <c r="L2266" s="6">
        <f ca="1"/>
        <v>-2.142857142856883</v>
      </c>
      <c r="M2266" s="6">
        <f ca="1"/>
        <v>1.0714285714285694</v>
      </c>
      <c r="N2266" s="6">
        <f ca="1"/>
        <v>-5.3571428571428159E-2</v>
      </c>
      <c r="O2266" s="6">
        <f t="shared" ca="1" si="326"/>
        <v>11.785714285714381</v>
      </c>
      <c r="P2266">
        <f t="shared" ca="1" si="327"/>
        <v>11.785714285714381</v>
      </c>
      <c r="Q2266" s="10">
        <f t="shared" ca="1" si="328"/>
        <v>11.785714285714381</v>
      </c>
      <c r="R2266" s="10">
        <f t="shared" ca="1" si="329"/>
        <v>30.535714285714235</v>
      </c>
      <c r="S2266" s="10">
        <f t="shared" ca="1" si="330"/>
        <v>-18.749999999999854</v>
      </c>
      <c r="T2266" s="10">
        <f t="shared" ca="1" si="331"/>
        <v>350</v>
      </c>
      <c r="U2266" s="10">
        <f t="shared" ca="1" si="332"/>
        <v>350</v>
      </c>
      <c r="V2266">
        <f t="shared" si="333"/>
        <v>6</v>
      </c>
    </row>
    <row r="2267" spans="1:22" x14ac:dyDescent="0.25">
      <c r="A2267">
        <v>252</v>
      </c>
      <c r="B2267">
        <v>7</v>
      </c>
      <c r="C2267">
        <v>0</v>
      </c>
      <c r="D2267">
        <v>1</v>
      </c>
      <c r="E2267">
        <v>1</v>
      </c>
      <c r="F2267">
        <v>0</v>
      </c>
      <c r="G2267">
        <v>1</v>
      </c>
      <c r="H2267">
        <v>450</v>
      </c>
      <c r="I2267">
        <f t="shared" si="334"/>
        <v>2259</v>
      </c>
      <c r="J2267" s="6">
        <f t="array" aca="1" ref="J2267:N2267" ca="1">TRANSPOSE(ols(OFFSET($C$2:$C$10,I2267,0),OFFSET($D$2:$H$10,I2267,0)))</f>
        <v>31.607142857142549</v>
      </c>
      <c r="K2267" s="6">
        <f ca="1"/>
        <v>-4.2857142857141355</v>
      </c>
      <c r="L2267" s="6">
        <f ca="1"/>
        <v>-2.142857142856883</v>
      </c>
      <c r="M2267" s="6">
        <f ca="1"/>
        <v>1.0714285714285694</v>
      </c>
      <c r="N2267" s="6">
        <f ca="1"/>
        <v>-5.3571428571428159E-2</v>
      </c>
      <c r="O2267" s="6">
        <f t="shared" ca="1" si="326"/>
        <v>4.2857142857143096</v>
      </c>
      <c r="P2267" t="str">
        <f t="shared" si="327"/>
        <v>NA</v>
      </c>
      <c r="Q2267" s="10">
        <f t="shared" ca="1" si="328"/>
        <v>11.785714285714381</v>
      </c>
      <c r="R2267" s="10">
        <f t="shared" ca="1" si="329"/>
        <v>28.392857142856982</v>
      </c>
      <c r="S2267" s="10">
        <f t="shared" ca="1" si="330"/>
        <v>-16.607142857142602</v>
      </c>
      <c r="T2267" s="10">
        <f t="shared" ca="1" si="331"/>
        <v>309.99999999999761</v>
      </c>
      <c r="U2267" s="10">
        <f t="shared" ca="1" si="332"/>
        <v>309.99999999999761</v>
      </c>
      <c r="V2267">
        <f t="shared" si="333"/>
        <v>5</v>
      </c>
    </row>
    <row r="2268" spans="1:22" x14ac:dyDescent="0.25">
      <c r="A2268">
        <v>252</v>
      </c>
      <c r="B2268">
        <v>8</v>
      </c>
      <c r="C2268">
        <v>0</v>
      </c>
      <c r="D2268">
        <v>1</v>
      </c>
      <c r="E2268">
        <v>1</v>
      </c>
      <c r="F2268">
        <v>0</v>
      </c>
      <c r="G2268">
        <v>1</v>
      </c>
      <c r="H2268">
        <v>550</v>
      </c>
      <c r="I2268">
        <f t="shared" si="334"/>
        <v>2259</v>
      </c>
      <c r="J2268" s="6">
        <f t="array" aca="1" ref="J2268:N2268" ca="1">TRANSPOSE(ols(OFFSET($C$2:$C$10,I2268,0),OFFSET($D$2:$H$10,I2268,0)))</f>
        <v>31.607142857142549</v>
      </c>
      <c r="K2268" s="6">
        <f ca="1"/>
        <v>-4.2857142857141355</v>
      </c>
      <c r="L2268" s="6">
        <f ca="1"/>
        <v>-2.142857142856883</v>
      </c>
      <c r="M2268" s="6">
        <f ca="1"/>
        <v>1.0714285714285694</v>
      </c>
      <c r="N2268" s="6">
        <f ca="1"/>
        <v>-5.3571428571428159E-2</v>
      </c>
      <c r="O2268" s="6">
        <f t="shared" ca="1" si="326"/>
        <v>-1.0714285714285054</v>
      </c>
      <c r="P2268" t="str">
        <f t="shared" si="327"/>
        <v>NA</v>
      </c>
      <c r="Q2268" s="10">
        <f t="shared" ca="1" si="328"/>
        <v>11.785714285714381</v>
      </c>
      <c r="R2268" s="10">
        <f t="shared" ca="1" si="329"/>
        <v>28.392857142856982</v>
      </c>
      <c r="S2268" s="10">
        <f t="shared" ca="1" si="330"/>
        <v>-16.607142857142602</v>
      </c>
      <c r="T2268" s="10">
        <f t="shared" ca="1" si="331"/>
        <v>309.99999999999761</v>
      </c>
      <c r="U2268" s="10">
        <f t="shared" ca="1" si="332"/>
        <v>309.99999999999761</v>
      </c>
      <c r="V2268">
        <f t="shared" si="333"/>
        <v>5</v>
      </c>
    </row>
    <row r="2269" spans="1:22" x14ac:dyDescent="0.25">
      <c r="A2269">
        <v>252</v>
      </c>
      <c r="B2269">
        <v>9</v>
      </c>
      <c r="C2269">
        <v>0</v>
      </c>
      <c r="D2269">
        <v>1</v>
      </c>
      <c r="E2269">
        <v>0</v>
      </c>
      <c r="F2269">
        <v>0</v>
      </c>
      <c r="G2269">
        <v>1</v>
      </c>
      <c r="H2269">
        <v>650</v>
      </c>
      <c r="I2269">
        <f t="shared" si="334"/>
        <v>2259</v>
      </c>
      <c r="J2269" s="6">
        <f t="array" aca="1" ref="J2269:N2269" ca="1">TRANSPOSE(ols(OFFSET($C$2:$C$10,I2269,0),OFFSET($D$2:$H$10,I2269,0)))</f>
        <v>31.607142857142549</v>
      </c>
      <c r="K2269" s="6">
        <f ca="1"/>
        <v>-4.2857142857141355</v>
      </c>
      <c r="L2269" s="6">
        <f ca="1"/>
        <v>-2.142857142856883</v>
      </c>
      <c r="M2269" s="6">
        <f ca="1"/>
        <v>1.0714285714285694</v>
      </c>
      <c r="N2269" s="6">
        <f ca="1"/>
        <v>-5.3571428571428159E-2</v>
      </c>
      <c r="O2269" s="6">
        <f t="shared" ca="1" si="326"/>
        <v>-2.1428571428571885</v>
      </c>
      <c r="P2269" t="str">
        <f>IF(AND(F2269=1,G2269=1,H2269=350),O2269,"NA")</f>
        <v>NA</v>
      </c>
      <c r="Q2269" s="10">
        <f t="shared" ca="1" si="328"/>
        <v>11.785714285714381</v>
      </c>
      <c r="R2269" s="10">
        <f t="shared" ca="1" si="329"/>
        <v>32.678571428571118</v>
      </c>
      <c r="S2269" s="10">
        <f t="shared" ca="1" si="330"/>
        <v>-20.892857142856737</v>
      </c>
      <c r="T2269" s="10">
        <f t="shared" ca="1" si="331"/>
        <v>389.99999999999545</v>
      </c>
      <c r="U2269" s="10">
        <f t="shared" ca="1" si="332"/>
        <v>389.99999999999545</v>
      </c>
      <c r="V2269">
        <f t="shared" si="333"/>
        <v>4</v>
      </c>
    </row>
    <row r="2270" spans="1:22" x14ac:dyDescent="0.25">
      <c r="A2270">
        <v>253</v>
      </c>
      <c r="B2270">
        <v>1</v>
      </c>
      <c r="C2270">
        <v>80</v>
      </c>
      <c r="D2270">
        <v>1</v>
      </c>
      <c r="E2270">
        <v>0</v>
      </c>
      <c r="F2270">
        <v>1</v>
      </c>
      <c r="G2270">
        <v>0</v>
      </c>
      <c r="H2270">
        <v>250</v>
      </c>
      <c r="I2270">
        <f t="shared" si="334"/>
        <v>2268</v>
      </c>
      <c r="J2270" s="6">
        <f t="array" aca="1" ref="J2270:N2270" ca="1">TRANSPOSE(ols(OFFSET($C$2:$C$10,I2270,0),OFFSET($D$2:$H$10,I2270,0)))</f>
        <v>249.88095238094911</v>
      </c>
      <c r="K2270" s="6">
        <f ca="1"/>
        <v>-33.571428571427759</v>
      </c>
      <c r="L2270" s="6">
        <f ca="1"/>
        <v>-67.619047619045887</v>
      </c>
      <c r="M2270" s="6">
        <f ca="1"/>
        <v>28.809523809523625</v>
      </c>
      <c r="N2270" s="6">
        <f ca="1"/>
        <v>-0.44047619047618713</v>
      </c>
      <c r="O2270" s="6">
        <f t="shared" ca="1" si="326"/>
        <v>72.142857142856442</v>
      </c>
      <c r="P2270" t="str">
        <f t="shared" ref="P2270:P2333" si="335">IF(AND(F2270=1,G2270=1,H2270=350),O2270,"NA")</f>
        <v>NA</v>
      </c>
      <c r="Q2270" s="10">
        <f t="shared" ca="1" si="328"/>
        <v>56.904761904761358</v>
      </c>
      <c r="R2270" s="10">
        <f t="shared" ca="1" si="329"/>
        <v>182.26190476190322</v>
      </c>
      <c r="S2270" s="10">
        <f t="shared" ca="1" si="330"/>
        <v>-125.35714285714187</v>
      </c>
      <c r="T2270" s="10">
        <f t="shared" ca="1" si="331"/>
        <v>284.59459459459453</v>
      </c>
      <c r="U2270" s="10">
        <f t="shared" ca="1" si="332"/>
        <v>284.59459459459453</v>
      </c>
      <c r="V2270">
        <f t="shared" si="333"/>
        <v>3</v>
      </c>
    </row>
    <row r="2271" spans="1:22" x14ac:dyDescent="0.25">
      <c r="A2271">
        <v>253</v>
      </c>
      <c r="B2271">
        <v>2</v>
      </c>
      <c r="C2271">
        <v>80</v>
      </c>
      <c r="D2271">
        <v>1</v>
      </c>
      <c r="E2271">
        <v>1</v>
      </c>
      <c r="F2271">
        <v>0</v>
      </c>
      <c r="G2271">
        <v>0</v>
      </c>
      <c r="H2271">
        <v>350</v>
      </c>
      <c r="I2271">
        <f t="shared" si="334"/>
        <v>2268</v>
      </c>
      <c r="J2271" s="6">
        <f t="array" aca="1" ref="J2271:N2271" ca="1">TRANSPOSE(ols(OFFSET($C$2:$C$10,I2271,0),OFFSET($D$2:$H$10,I2271,0)))</f>
        <v>249.88095238094911</v>
      </c>
      <c r="K2271" s="6">
        <f ca="1"/>
        <v>-33.571428571427759</v>
      </c>
      <c r="L2271" s="6">
        <f ca="1"/>
        <v>-67.619047619045887</v>
      </c>
      <c r="M2271" s="6">
        <f ca="1"/>
        <v>28.809523809523625</v>
      </c>
      <c r="N2271" s="6">
        <f ca="1"/>
        <v>-0.44047619047618713</v>
      </c>
      <c r="O2271" s="6">
        <f t="shared" ca="1" si="326"/>
        <v>62.14285714285586</v>
      </c>
      <c r="P2271" t="str">
        <f t="shared" si="335"/>
        <v>NA</v>
      </c>
      <c r="Q2271" s="10">
        <f t="shared" ca="1" si="328"/>
        <v>56.904761904761358</v>
      </c>
      <c r="R2271" s="10">
        <f t="shared" ca="1" si="329"/>
        <v>216.30952380952135</v>
      </c>
      <c r="S2271" s="10">
        <f t="shared" ca="1" si="330"/>
        <v>-159.40476190475999</v>
      </c>
      <c r="T2271" s="10">
        <f t="shared" ca="1" si="331"/>
        <v>361.89189189189028</v>
      </c>
      <c r="U2271" s="10">
        <f t="shared" ca="1" si="332"/>
        <v>361.89189189189028</v>
      </c>
      <c r="V2271">
        <f t="shared" si="333"/>
        <v>2</v>
      </c>
    </row>
    <row r="2272" spans="1:22" x14ac:dyDescent="0.25">
      <c r="A2272">
        <v>253</v>
      </c>
      <c r="B2272">
        <v>3</v>
      </c>
      <c r="C2272">
        <v>0</v>
      </c>
      <c r="D2272">
        <v>1</v>
      </c>
      <c r="E2272">
        <v>1</v>
      </c>
      <c r="F2272">
        <v>0</v>
      </c>
      <c r="G2272">
        <v>0</v>
      </c>
      <c r="H2272">
        <v>450</v>
      </c>
      <c r="I2272">
        <f t="shared" si="334"/>
        <v>2268</v>
      </c>
      <c r="J2272" s="6">
        <f t="array" aca="1" ref="J2272:N2272" ca="1">TRANSPOSE(ols(OFFSET($C$2:$C$10,I2272,0),OFFSET($D$2:$H$10,I2272,0)))</f>
        <v>249.88095238094911</v>
      </c>
      <c r="K2272" s="6">
        <f ca="1"/>
        <v>-33.571428571427759</v>
      </c>
      <c r="L2272" s="6">
        <f ca="1"/>
        <v>-67.619047619045887</v>
      </c>
      <c r="M2272" s="6">
        <f ca="1"/>
        <v>28.809523809523625</v>
      </c>
      <c r="N2272" s="6">
        <f ca="1"/>
        <v>-0.44047619047618713</v>
      </c>
      <c r="O2272" s="6">
        <f t="shared" ca="1" si="326"/>
        <v>18.095238095237136</v>
      </c>
      <c r="P2272" t="str">
        <f t="shared" si="335"/>
        <v>NA</v>
      </c>
      <c r="Q2272" s="10">
        <f t="shared" ca="1" si="328"/>
        <v>56.904761904761358</v>
      </c>
      <c r="R2272" s="10">
        <f t="shared" ca="1" si="329"/>
        <v>216.30952380952135</v>
      </c>
      <c r="S2272" s="10">
        <f t="shared" ca="1" si="330"/>
        <v>-159.40476190475999</v>
      </c>
      <c r="T2272" s="10">
        <f t="shared" ca="1" si="331"/>
        <v>361.89189189189028</v>
      </c>
      <c r="U2272" s="10">
        <f t="shared" ca="1" si="332"/>
        <v>361.89189189189028</v>
      </c>
      <c r="V2272">
        <f t="shared" si="333"/>
        <v>2</v>
      </c>
    </row>
    <row r="2273" spans="1:22" x14ac:dyDescent="0.25">
      <c r="A2273">
        <v>253</v>
      </c>
      <c r="B2273">
        <v>4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550</v>
      </c>
      <c r="I2273">
        <f t="shared" si="334"/>
        <v>2268</v>
      </c>
      <c r="J2273" s="6">
        <f t="array" aca="1" ref="J2273:N2273" ca="1">TRANSPOSE(ols(OFFSET($C$2:$C$10,I2273,0),OFFSET($D$2:$H$10,I2273,0)))</f>
        <v>249.88095238094911</v>
      </c>
      <c r="K2273" s="6">
        <f ca="1"/>
        <v>-33.571428571427759</v>
      </c>
      <c r="L2273" s="6">
        <f ca="1"/>
        <v>-67.619047619045887</v>
      </c>
      <c r="M2273" s="6">
        <f ca="1"/>
        <v>28.809523809523625</v>
      </c>
      <c r="N2273" s="6">
        <f ca="1"/>
        <v>-0.44047619047618713</v>
      </c>
      <c r="O2273" s="6">
        <f t="shared" ca="1" si="326"/>
        <v>7.6190476190461993</v>
      </c>
      <c r="P2273" t="str">
        <f t="shared" si="335"/>
        <v>NA</v>
      </c>
      <c r="Q2273" s="10">
        <f t="shared" ca="1" si="328"/>
        <v>56.904761904761358</v>
      </c>
      <c r="R2273" s="10">
        <f t="shared" ca="1" si="329"/>
        <v>249.88095238094911</v>
      </c>
      <c r="S2273" s="10">
        <f t="shared" ca="1" si="330"/>
        <v>-192.97619047618775</v>
      </c>
      <c r="T2273" s="10">
        <f t="shared" ca="1" si="331"/>
        <v>438.10810810810523</v>
      </c>
      <c r="U2273" s="10">
        <f t="shared" ca="1" si="332"/>
        <v>438.10810810810523</v>
      </c>
      <c r="V2273">
        <f t="shared" si="333"/>
        <v>1</v>
      </c>
    </row>
    <row r="2274" spans="1:22" x14ac:dyDescent="0.25">
      <c r="A2274">
        <v>253</v>
      </c>
      <c r="B2274">
        <v>5</v>
      </c>
      <c r="C2274">
        <v>80</v>
      </c>
      <c r="D2274">
        <v>1</v>
      </c>
      <c r="E2274">
        <v>0</v>
      </c>
      <c r="F2274">
        <v>1</v>
      </c>
      <c r="G2274">
        <v>1</v>
      </c>
      <c r="H2274">
        <v>250</v>
      </c>
      <c r="I2274">
        <f t="shared" si="334"/>
        <v>2268</v>
      </c>
      <c r="J2274" s="6">
        <f t="array" aca="1" ref="J2274:N2274" ca="1">TRANSPOSE(ols(OFFSET($C$2:$C$10,I2274,0),OFFSET($D$2:$H$10,I2274,0)))</f>
        <v>249.88095238094911</v>
      </c>
      <c r="K2274" s="6">
        <f ca="1"/>
        <v>-33.571428571427759</v>
      </c>
      <c r="L2274" s="6">
        <f ca="1"/>
        <v>-67.619047619045887</v>
      </c>
      <c r="M2274" s="6">
        <f ca="1"/>
        <v>28.809523809523625</v>
      </c>
      <c r="N2274" s="6">
        <f ca="1"/>
        <v>-0.44047619047618713</v>
      </c>
      <c r="O2274" s="6">
        <f t="shared" ca="1" si="326"/>
        <v>100.95238095238007</v>
      </c>
      <c r="P2274" t="str">
        <f t="shared" si="335"/>
        <v>NA</v>
      </c>
      <c r="Q2274" s="10">
        <f t="shared" ca="1" si="328"/>
        <v>56.904761904761358</v>
      </c>
      <c r="R2274" s="10">
        <f t="shared" ca="1" si="329"/>
        <v>211.07142857142685</v>
      </c>
      <c r="S2274" s="10">
        <f t="shared" ca="1" si="330"/>
        <v>-154.16666666666549</v>
      </c>
      <c r="T2274" s="10">
        <f t="shared" ca="1" si="331"/>
        <v>350</v>
      </c>
      <c r="U2274" s="10">
        <f t="shared" ca="1" si="332"/>
        <v>350</v>
      </c>
      <c r="V2274">
        <f t="shared" si="333"/>
        <v>6</v>
      </c>
    </row>
    <row r="2275" spans="1:22" x14ac:dyDescent="0.25">
      <c r="A2275">
        <v>253</v>
      </c>
      <c r="B2275">
        <v>6</v>
      </c>
      <c r="C2275">
        <v>70</v>
      </c>
      <c r="D2275">
        <v>1</v>
      </c>
      <c r="E2275">
        <v>0</v>
      </c>
      <c r="F2275">
        <v>1</v>
      </c>
      <c r="G2275">
        <v>1</v>
      </c>
      <c r="H2275">
        <v>350</v>
      </c>
      <c r="I2275">
        <f t="shared" si="334"/>
        <v>2268</v>
      </c>
      <c r="J2275" s="6">
        <f t="array" aca="1" ref="J2275:N2275" ca="1">TRANSPOSE(ols(OFFSET($C$2:$C$10,I2275,0),OFFSET($D$2:$H$10,I2275,0)))</f>
        <v>249.88095238094911</v>
      </c>
      <c r="K2275" s="6">
        <f ca="1"/>
        <v>-33.571428571427759</v>
      </c>
      <c r="L2275" s="6">
        <f ca="1"/>
        <v>-67.619047619045887</v>
      </c>
      <c r="M2275" s="6">
        <f ca="1"/>
        <v>28.809523809523625</v>
      </c>
      <c r="N2275" s="6">
        <f ca="1"/>
        <v>-0.44047619047618713</v>
      </c>
      <c r="O2275" s="6">
        <f t="shared" ca="1" si="326"/>
        <v>56.904761904761358</v>
      </c>
      <c r="P2275">
        <f t="shared" ca="1" si="335"/>
        <v>56.904761904761358</v>
      </c>
      <c r="Q2275" s="10">
        <f t="shared" ca="1" si="328"/>
        <v>56.904761904761358</v>
      </c>
      <c r="R2275" s="10">
        <f t="shared" ca="1" si="329"/>
        <v>211.07142857142685</v>
      </c>
      <c r="S2275" s="10">
        <f t="shared" ca="1" si="330"/>
        <v>-154.16666666666549</v>
      </c>
      <c r="T2275" s="10">
        <f t="shared" ca="1" si="331"/>
        <v>350</v>
      </c>
      <c r="U2275" s="10">
        <f t="shared" ca="1" si="332"/>
        <v>350</v>
      </c>
      <c r="V2275">
        <f t="shared" si="333"/>
        <v>6</v>
      </c>
    </row>
    <row r="2276" spans="1:22" x14ac:dyDescent="0.25">
      <c r="A2276">
        <v>253</v>
      </c>
      <c r="B2276">
        <v>7</v>
      </c>
      <c r="C2276">
        <v>50</v>
      </c>
      <c r="D2276">
        <v>1</v>
      </c>
      <c r="E2276">
        <v>1</v>
      </c>
      <c r="F2276">
        <v>0</v>
      </c>
      <c r="G2276">
        <v>1</v>
      </c>
      <c r="H2276">
        <v>450</v>
      </c>
      <c r="I2276">
        <f t="shared" si="334"/>
        <v>2268</v>
      </c>
      <c r="J2276" s="6">
        <f t="array" aca="1" ref="J2276:N2276" ca="1">TRANSPOSE(ols(OFFSET($C$2:$C$10,I2276,0),OFFSET($D$2:$H$10,I2276,0)))</f>
        <v>249.88095238094911</v>
      </c>
      <c r="K2276" s="6">
        <f ca="1"/>
        <v>-33.571428571427759</v>
      </c>
      <c r="L2276" s="6">
        <f ca="1"/>
        <v>-67.619047619045887</v>
      </c>
      <c r="M2276" s="6">
        <f ca="1"/>
        <v>28.809523809523625</v>
      </c>
      <c r="N2276" s="6">
        <f ca="1"/>
        <v>-0.44047619047618713</v>
      </c>
      <c r="O2276" s="6">
        <f t="shared" ca="1" si="326"/>
        <v>46.904761904760761</v>
      </c>
      <c r="P2276" t="str">
        <f t="shared" si="335"/>
        <v>NA</v>
      </c>
      <c r="Q2276" s="10">
        <f t="shared" ca="1" si="328"/>
        <v>56.904761904761358</v>
      </c>
      <c r="R2276" s="10">
        <f t="shared" ca="1" si="329"/>
        <v>245.11904761904498</v>
      </c>
      <c r="S2276" s="10">
        <f t="shared" ca="1" si="330"/>
        <v>-188.21428571428362</v>
      </c>
      <c r="T2276" s="10">
        <f t="shared" ca="1" si="331"/>
        <v>427.29729729729576</v>
      </c>
      <c r="U2276" s="10">
        <f t="shared" ca="1" si="332"/>
        <v>427.29729729729576</v>
      </c>
      <c r="V2276">
        <f t="shared" si="333"/>
        <v>5</v>
      </c>
    </row>
    <row r="2277" spans="1:22" x14ac:dyDescent="0.25">
      <c r="A2277">
        <v>253</v>
      </c>
      <c r="B2277">
        <v>8</v>
      </c>
      <c r="C2277">
        <v>0</v>
      </c>
      <c r="D2277">
        <v>1</v>
      </c>
      <c r="E2277">
        <v>1</v>
      </c>
      <c r="F2277">
        <v>0</v>
      </c>
      <c r="G2277">
        <v>1</v>
      </c>
      <c r="H2277">
        <v>550</v>
      </c>
      <c r="I2277">
        <f t="shared" si="334"/>
        <v>2268</v>
      </c>
      <c r="J2277" s="6">
        <f t="array" aca="1" ref="J2277:N2277" ca="1">TRANSPOSE(ols(OFFSET($C$2:$C$10,I2277,0),OFFSET($D$2:$H$10,I2277,0)))</f>
        <v>249.88095238094911</v>
      </c>
      <c r="K2277" s="6">
        <f ca="1"/>
        <v>-33.571428571427759</v>
      </c>
      <c r="L2277" s="6">
        <f ca="1"/>
        <v>-67.619047619045887</v>
      </c>
      <c r="M2277" s="6">
        <f ca="1"/>
        <v>28.809523809523625</v>
      </c>
      <c r="N2277" s="6">
        <f ca="1"/>
        <v>-0.44047619047618713</v>
      </c>
      <c r="O2277" s="6">
        <f t="shared" ca="1" si="326"/>
        <v>2.8571428571420654</v>
      </c>
      <c r="P2277" t="str">
        <f t="shared" si="335"/>
        <v>NA</v>
      </c>
      <c r="Q2277" s="10">
        <f t="shared" ca="1" si="328"/>
        <v>56.904761904761358</v>
      </c>
      <c r="R2277" s="10">
        <f t="shared" ca="1" si="329"/>
        <v>245.11904761904498</v>
      </c>
      <c r="S2277" s="10">
        <f t="shared" ca="1" si="330"/>
        <v>-188.21428571428362</v>
      </c>
      <c r="T2277" s="10">
        <f t="shared" ca="1" si="331"/>
        <v>427.29729729729576</v>
      </c>
      <c r="U2277" s="10">
        <f t="shared" ca="1" si="332"/>
        <v>427.29729729729576</v>
      </c>
      <c r="V2277">
        <f t="shared" si="333"/>
        <v>5</v>
      </c>
    </row>
    <row r="2278" spans="1:22" x14ac:dyDescent="0.25">
      <c r="A2278">
        <v>253</v>
      </c>
      <c r="B2278">
        <v>9</v>
      </c>
      <c r="C2278">
        <v>0</v>
      </c>
      <c r="D2278">
        <v>1</v>
      </c>
      <c r="E2278">
        <v>0</v>
      </c>
      <c r="F2278">
        <v>0</v>
      </c>
      <c r="G2278">
        <v>1</v>
      </c>
      <c r="H2278">
        <v>650</v>
      </c>
      <c r="I2278">
        <f t="shared" si="334"/>
        <v>2268</v>
      </c>
      <c r="J2278" s="6">
        <f t="array" aca="1" ref="J2278:N2278" ca="1">TRANSPOSE(ols(OFFSET($C$2:$C$10,I2278,0),OFFSET($D$2:$H$10,I2278,0)))</f>
        <v>249.88095238094911</v>
      </c>
      <c r="K2278" s="6">
        <f ca="1"/>
        <v>-33.571428571427759</v>
      </c>
      <c r="L2278" s="6">
        <f ca="1"/>
        <v>-67.619047619045887</v>
      </c>
      <c r="M2278" s="6">
        <f ca="1"/>
        <v>28.809523809523625</v>
      </c>
      <c r="N2278" s="6">
        <f ca="1"/>
        <v>-0.44047619047618713</v>
      </c>
      <c r="O2278" s="6">
        <f t="shared" ca="1" si="326"/>
        <v>-7.6190476190488994</v>
      </c>
      <c r="P2278" t="str">
        <f t="shared" si="335"/>
        <v>NA</v>
      </c>
      <c r="Q2278" s="10">
        <f t="shared" ca="1" si="328"/>
        <v>56.904761904761358</v>
      </c>
      <c r="R2278" s="10">
        <f t="shared" ca="1" si="329"/>
        <v>278.69047619047274</v>
      </c>
      <c r="S2278" s="10">
        <f t="shared" ca="1" si="330"/>
        <v>-221.78571428571138</v>
      </c>
      <c r="T2278" s="10">
        <f t="shared" ca="1" si="331"/>
        <v>503.51351351351076</v>
      </c>
      <c r="U2278" s="10">
        <f t="shared" ca="1" si="332"/>
        <v>503.51351351351076</v>
      </c>
      <c r="V2278">
        <f t="shared" si="333"/>
        <v>4</v>
      </c>
    </row>
    <row r="2279" spans="1:22" x14ac:dyDescent="0.25">
      <c r="A2279">
        <v>254</v>
      </c>
      <c r="B2279">
        <v>1</v>
      </c>
      <c r="C2279">
        <v>100</v>
      </c>
      <c r="D2279">
        <v>1</v>
      </c>
      <c r="E2279">
        <v>0</v>
      </c>
      <c r="F2279">
        <v>1</v>
      </c>
      <c r="G2279">
        <v>0</v>
      </c>
      <c r="H2279">
        <v>250</v>
      </c>
      <c r="I2279">
        <f t="shared" si="334"/>
        <v>2277</v>
      </c>
      <c r="J2279" s="6">
        <f t="array" aca="1" ref="J2279:N2279" ca="1">TRANSPOSE(ols(OFFSET($C$2:$C$10,I2279,0),OFFSET($D$2:$H$10,I2279,0)))</f>
        <v>136.96428571428532</v>
      </c>
      <c r="K2279" s="6">
        <f ca="1"/>
        <v>27.678571428571104</v>
      </c>
      <c r="L2279" s="6">
        <f ca="1"/>
        <v>20.714285714286234</v>
      </c>
      <c r="M2279" s="6">
        <f ca="1"/>
        <v>-15.357142857142435</v>
      </c>
      <c r="N2279" s="6">
        <f ca="1"/>
        <v>-0.18214285714285694</v>
      </c>
      <c r="O2279" s="6">
        <f t="shared" ca="1" si="326"/>
        <v>112.14285714285732</v>
      </c>
      <c r="P2279" t="str">
        <f t="shared" si="335"/>
        <v>NA</v>
      </c>
      <c r="Q2279" s="10">
        <f t="shared" ca="1" si="328"/>
        <v>78.571428571429195</v>
      </c>
      <c r="R2279" s="10">
        <f t="shared" ca="1" si="329"/>
        <v>157.67857142857156</v>
      </c>
      <c r="S2279" s="10">
        <f t="shared" ca="1" si="330"/>
        <v>-79.107142857142364</v>
      </c>
      <c r="T2279" s="10">
        <f t="shared" ca="1" si="331"/>
        <v>434.31372549019386</v>
      </c>
      <c r="U2279" s="10">
        <f t="shared" ca="1" si="332"/>
        <v>434.31372549019386</v>
      </c>
      <c r="V2279">
        <f t="shared" si="333"/>
        <v>3</v>
      </c>
    </row>
    <row r="2280" spans="1:22" x14ac:dyDescent="0.25">
      <c r="A2280">
        <v>254</v>
      </c>
      <c r="B2280">
        <v>2</v>
      </c>
      <c r="C2280">
        <v>97.5</v>
      </c>
      <c r="D2280">
        <v>1</v>
      </c>
      <c r="E2280">
        <v>1</v>
      </c>
      <c r="F2280">
        <v>0</v>
      </c>
      <c r="G2280">
        <v>0</v>
      </c>
      <c r="H2280">
        <v>350</v>
      </c>
      <c r="I2280">
        <f t="shared" si="334"/>
        <v>2277</v>
      </c>
      <c r="J2280" s="6">
        <f t="array" aca="1" ref="J2280:N2280" ca="1">TRANSPOSE(ols(OFFSET($C$2:$C$10,I2280,0),OFFSET($D$2:$H$10,I2280,0)))</f>
        <v>136.96428571428532</v>
      </c>
      <c r="K2280" s="6">
        <f ca="1"/>
        <v>27.678571428571104</v>
      </c>
      <c r="L2280" s="6">
        <f ca="1"/>
        <v>20.714285714286234</v>
      </c>
      <c r="M2280" s="6">
        <f ca="1"/>
        <v>-15.357142857142435</v>
      </c>
      <c r="N2280" s="6">
        <f ca="1"/>
        <v>-0.18214285714285694</v>
      </c>
      <c r="O2280" s="6">
        <f t="shared" ca="1" si="326"/>
        <v>100.8928571428565</v>
      </c>
      <c r="P2280" t="str">
        <f t="shared" si="335"/>
        <v>NA</v>
      </c>
      <c r="Q2280" s="10">
        <f t="shared" ca="1" si="328"/>
        <v>78.571428571429195</v>
      </c>
      <c r="R2280" s="10">
        <f t="shared" ca="1" si="329"/>
        <v>164.64285714285643</v>
      </c>
      <c r="S2280" s="10">
        <f t="shared" ca="1" si="330"/>
        <v>-86.071428571427234</v>
      </c>
      <c r="T2280" s="10">
        <f t="shared" ca="1" si="331"/>
        <v>472.54901960783633</v>
      </c>
      <c r="U2280" s="10">
        <f t="shared" ca="1" si="332"/>
        <v>472.54901960783633</v>
      </c>
      <c r="V2280">
        <f t="shared" si="333"/>
        <v>2</v>
      </c>
    </row>
    <row r="2281" spans="1:22" x14ac:dyDescent="0.25">
      <c r="A2281">
        <v>254</v>
      </c>
      <c r="B2281">
        <v>3</v>
      </c>
      <c r="C2281">
        <v>95</v>
      </c>
      <c r="D2281">
        <v>1</v>
      </c>
      <c r="E2281">
        <v>1</v>
      </c>
      <c r="F2281">
        <v>0</v>
      </c>
      <c r="G2281">
        <v>0</v>
      </c>
      <c r="H2281">
        <v>450</v>
      </c>
      <c r="I2281">
        <f t="shared" si="334"/>
        <v>2277</v>
      </c>
      <c r="J2281" s="6">
        <f t="array" aca="1" ref="J2281:N2281" ca="1">TRANSPOSE(ols(OFFSET($C$2:$C$10,I2281,0),OFFSET($D$2:$H$10,I2281,0)))</f>
        <v>136.96428571428532</v>
      </c>
      <c r="K2281" s="6">
        <f ca="1"/>
        <v>27.678571428571104</v>
      </c>
      <c r="L2281" s="6">
        <f ca="1"/>
        <v>20.714285714286234</v>
      </c>
      <c r="M2281" s="6">
        <f ca="1"/>
        <v>-15.357142857142435</v>
      </c>
      <c r="N2281" s="6">
        <f ca="1"/>
        <v>-0.18214285714285694</v>
      </c>
      <c r="O2281" s="6">
        <f t="shared" ca="1" si="326"/>
        <v>82.678571428570805</v>
      </c>
      <c r="P2281" t="str">
        <f t="shared" si="335"/>
        <v>NA</v>
      </c>
      <c r="Q2281" s="10">
        <f t="shared" ca="1" si="328"/>
        <v>78.571428571429195</v>
      </c>
      <c r="R2281" s="10">
        <f t="shared" ca="1" si="329"/>
        <v>164.64285714285643</v>
      </c>
      <c r="S2281" s="10">
        <f t="shared" ca="1" si="330"/>
        <v>-86.071428571427234</v>
      </c>
      <c r="T2281" s="10">
        <f t="shared" ca="1" si="331"/>
        <v>472.54901960783633</v>
      </c>
      <c r="U2281" s="10">
        <f t="shared" ca="1" si="332"/>
        <v>472.54901960783633</v>
      </c>
      <c r="V2281">
        <f t="shared" si="333"/>
        <v>2</v>
      </c>
    </row>
    <row r="2282" spans="1:22" x14ac:dyDescent="0.25">
      <c r="A2282">
        <v>254</v>
      </c>
      <c r="B2282">
        <v>4</v>
      </c>
      <c r="C2282">
        <v>40</v>
      </c>
      <c r="D2282">
        <v>1</v>
      </c>
      <c r="E2282">
        <v>0</v>
      </c>
      <c r="F2282">
        <v>0</v>
      </c>
      <c r="G2282">
        <v>0</v>
      </c>
      <c r="H2282">
        <v>550</v>
      </c>
      <c r="I2282">
        <f t="shared" si="334"/>
        <v>2277</v>
      </c>
      <c r="J2282" s="6">
        <f t="array" aca="1" ref="J2282:N2282" ca="1">TRANSPOSE(ols(OFFSET($C$2:$C$10,I2282,0),OFFSET($D$2:$H$10,I2282,0)))</f>
        <v>136.96428571428532</v>
      </c>
      <c r="K2282" s="6">
        <f ca="1"/>
        <v>27.678571428571104</v>
      </c>
      <c r="L2282" s="6">
        <f ca="1"/>
        <v>20.714285714286234</v>
      </c>
      <c r="M2282" s="6">
        <f ca="1"/>
        <v>-15.357142857142435</v>
      </c>
      <c r="N2282" s="6">
        <f ca="1"/>
        <v>-0.18214285714285694</v>
      </c>
      <c r="O2282" s="6">
        <f t="shared" ca="1" si="326"/>
        <v>36.785714285714008</v>
      </c>
      <c r="P2282" t="str">
        <f t="shared" si="335"/>
        <v>NA</v>
      </c>
      <c r="Q2282" s="10">
        <f t="shared" ca="1" si="328"/>
        <v>78.571428571429195</v>
      </c>
      <c r="R2282" s="10">
        <f t="shared" ca="1" si="329"/>
        <v>136.96428571428532</v>
      </c>
      <c r="S2282" s="10">
        <f t="shared" ca="1" si="330"/>
        <v>-58.39285714285613</v>
      </c>
      <c r="T2282" s="10">
        <f t="shared" ca="1" si="331"/>
        <v>320.58823529411245</v>
      </c>
      <c r="U2282" s="10">
        <f t="shared" ca="1" si="332"/>
        <v>320.58823529411245</v>
      </c>
      <c r="V2282">
        <f t="shared" si="333"/>
        <v>1</v>
      </c>
    </row>
    <row r="2283" spans="1:22" x14ac:dyDescent="0.25">
      <c r="A2283">
        <v>254</v>
      </c>
      <c r="B2283">
        <v>5</v>
      </c>
      <c r="C2283">
        <v>100</v>
      </c>
      <c r="D2283">
        <v>1</v>
      </c>
      <c r="E2283">
        <v>0</v>
      </c>
      <c r="F2283">
        <v>1</v>
      </c>
      <c r="G2283">
        <v>1</v>
      </c>
      <c r="H2283">
        <v>250</v>
      </c>
      <c r="I2283">
        <f t="shared" si="334"/>
        <v>2277</v>
      </c>
      <c r="J2283" s="6">
        <f t="array" aca="1" ref="J2283:N2283" ca="1">TRANSPOSE(ols(OFFSET($C$2:$C$10,I2283,0),OFFSET($D$2:$H$10,I2283,0)))</f>
        <v>136.96428571428532</v>
      </c>
      <c r="K2283" s="6">
        <f ca="1"/>
        <v>27.678571428571104</v>
      </c>
      <c r="L2283" s="6">
        <f ca="1"/>
        <v>20.714285714286234</v>
      </c>
      <c r="M2283" s="6">
        <f ca="1"/>
        <v>-15.357142857142435</v>
      </c>
      <c r="N2283" s="6">
        <f ca="1"/>
        <v>-0.18214285714285694</v>
      </c>
      <c r="O2283" s="6">
        <f t="shared" ca="1" si="326"/>
        <v>96.785714285714889</v>
      </c>
      <c r="P2283" t="str">
        <f t="shared" si="335"/>
        <v>NA</v>
      </c>
      <c r="Q2283" s="10">
        <f t="shared" ca="1" si="328"/>
        <v>78.571428571429195</v>
      </c>
      <c r="R2283" s="10">
        <f t="shared" ca="1" si="329"/>
        <v>142.32142857142912</v>
      </c>
      <c r="S2283" s="10">
        <f t="shared" ca="1" si="330"/>
        <v>-63.749999999999929</v>
      </c>
      <c r="T2283" s="10">
        <f t="shared" ca="1" si="331"/>
        <v>350</v>
      </c>
      <c r="U2283" s="10">
        <f t="shared" ca="1" si="332"/>
        <v>350</v>
      </c>
      <c r="V2283">
        <f t="shared" si="333"/>
        <v>6</v>
      </c>
    </row>
    <row r="2284" spans="1:22" x14ac:dyDescent="0.25">
      <c r="A2284">
        <v>254</v>
      </c>
      <c r="B2284">
        <v>6</v>
      </c>
      <c r="C2284">
        <v>87.5</v>
      </c>
      <c r="D2284">
        <v>1</v>
      </c>
      <c r="E2284">
        <v>0</v>
      </c>
      <c r="F2284">
        <v>1</v>
      </c>
      <c r="G2284">
        <v>1</v>
      </c>
      <c r="H2284">
        <v>350</v>
      </c>
      <c r="I2284">
        <f t="shared" si="334"/>
        <v>2277</v>
      </c>
      <c r="J2284" s="6">
        <f t="array" aca="1" ref="J2284:N2284" ca="1">TRANSPOSE(ols(OFFSET($C$2:$C$10,I2284,0),OFFSET($D$2:$H$10,I2284,0)))</f>
        <v>136.96428571428532</v>
      </c>
      <c r="K2284" s="6">
        <f ca="1"/>
        <v>27.678571428571104</v>
      </c>
      <c r="L2284" s="6">
        <f ca="1"/>
        <v>20.714285714286234</v>
      </c>
      <c r="M2284" s="6">
        <f ca="1"/>
        <v>-15.357142857142435</v>
      </c>
      <c r="N2284" s="6">
        <f ca="1"/>
        <v>-0.18214285714285694</v>
      </c>
      <c r="O2284" s="6">
        <f t="shared" ca="1" si="326"/>
        <v>78.571428571429195</v>
      </c>
      <c r="P2284">
        <f t="shared" ca="1" si="335"/>
        <v>78.571428571429195</v>
      </c>
      <c r="Q2284" s="10">
        <f t="shared" ca="1" si="328"/>
        <v>78.571428571429195</v>
      </c>
      <c r="R2284" s="10">
        <f t="shared" ca="1" si="329"/>
        <v>142.32142857142912</v>
      </c>
      <c r="S2284" s="10">
        <f t="shared" ca="1" si="330"/>
        <v>-63.749999999999929</v>
      </c>
      <c r="T2284" s="10">
        <f t="shared" ca="1" si="331"/>
        <v>350</v>
      </c>
      <c r="U2284" s="10">
        <f t="shared" ca="1" si="332"/>
        <v>350</v>
      </c>
      <c r="V2284">
        <f t="shared" si="333"/>
        <v>6</v>
      </c>
    </row>
    <row r="2285" spans="1:22" x14ac:dyDescent="0.25">
      <c r="A2285">
        <v>254</v>
      </c>
      <c r="B2285">
        <v>7</v>
      </c>
      <c r="C2285">
        <v>67.5</v>
      </c>
      <c r="D2285">
        <v>1</v>
      </c>
      <c r="E2285">
        <v>1</v>
      </c>
      <c r="F2285">
        <v>0</v>
      </c>
      <c r="G2285">
        <v>1</v>
      </c>
      <c r="H2285">
        <v>450</v>
      </c>
      <c r="I2285">
        <f t="shared" si="334"/>
        <v>2277</v>
      </c>
      <c r="J2285" s="6">
        <f t="array" aca="1" ref="J2285:N2285" ca="1">TRANSPOSE(ols(OFFSET($C$2:$C$10,I2285,0),OFFSET($D$2:$H$10,I2285,0)))</f>
        <v>136.96428571428532</v>
      </c>
      <c r="K2285" s="6">
        <f ca="1"/>
        <v>27.678571428571104</v>
      </c>
      <c r="L2285" s="6">
        <f ca="1"/>
        <v>20.714285714286234</v>
      </c>
      <c r="M2285" s="6">
        <f ca="1"/>
        <v>-15.357142857142435</v>
      </c>
      <c r="N2285" s="6">
        <f ca="1"/>
        <v>-0.18214285714285694</v>
      </c>
      <c r="O2285" s="6">
        <f t="shared" ca="1" si="326"/>
        <v>67.32142857142837</v>
      </c>
      <c r="P2285" t="str">
        <f t="shared" si="335"/>
        <v>NA</v>
      </c>
      <c r="Q2285" s="10">
        <f t="shared" ca="1" si="328"/>
        <v>78.571428571429195</v>
      </c>
      <c r="R2285" s="10">
        <f t="shared" ca="1" si="329"/>
        <v>149.28571428571399</v>
      </c>
      <c r="S2285" s="10">
        <f t="shared" ca="1" si="330"/>
        <v>-70.714285714284799</v>
      </c>
      <c r="T2285" s="10">
        <f t="shared" ca="1" si="331"/>
        <v>388.23529411764247</v>
      </c>
      <c r="U2285" s="10">
        <f t="shared" ca="1" si="332"/>
        <v>388.23529411764247</v>
      </c>
      <c r="V2285">
        <f t="shared" si="333"/>
        <v>5</v>
      </c>
    </row>
    <row r="2286" spans="1:22" x14ac:dyDescent="0.25">
      <c r="A2286">
        <v>254</v>
      </c>
      <c r="B2286">
        <v>8</v>
      </c>
      <c r="C2286">
        <v>40</v>
      </c>
      <c r="D2286">
        <v>1</v>
      </c>
      <c r="E2286">
        <v>1</v>
      </c>
      <c r="F2286">
        <v>0</v>
      </c>
      <c r="G2286">
        <v>1</v>
      </c>
      <c r="H2286">
        <v>550</v>
      </c>
      <c r="I2286">
        <f t="shared" si="334"/>
        <v>2277</v>
      </c>
      <c r="J2286" s="6">
        <f t="array" aca="1" ref="J2286:N2286" ca="1">TRANSPOSE(ols(OFFSET($C$2:$C$10,I2286,0),OFFSET($D$2:$H$10,I2286,0)))</f>
        <v>136.96428571428532</v>
      </c>
      <c r="K2286" s="6">
        <f ca="1"/>
        <v>27.678571428571104</v>
      </c>
      <c r="L2286" s="6">
        <f ca="1"/>
        <v>20.714285714286234</v>
      </c>
      <c r="M2286" s="6">
        <f ca="1"/>
        <v>-15.357142857142435</v>
      </c>
      <c r="N2286" s="6">
        <f ca="1"/>
        <v>-0.18214285714285694</v>
      </c>
      <c r="O2286" s="6">
        <f t="shared" ca="1" si="326"/>
        <v>49.107142857142676</v>
      </c>
      <c r="P2286" t="str">
        <f t="shared" si="335"/>
        <v>NA</v>
      </c>
      <c r="Q2286" s="10">
        <f t="shared" ca="1" si="328"/>
        <v>78.571428571429195</v>
      </c>
      <c r="R2286" s="10">
        <f t="shared" ca="1" si="329"/>
        <v>149.28571428571399</v>
      </c>
      <c r="S2286" s="10">
        <f t="shared" ca="1" si="330"/>
        <v>-70.714285714284799</v>
      </c>
      <c r="T2286" s="10">
        <f t="shared" ca="1" si="331"/>
        <v>388.23529411764247</v>
      </c>
      <c r="U2286" s="10">
        <f t="shared" ca="1" si="332"/>
        <v>388.23529411764247</v>
      </c>
      <c r="V2286">
        <f t="shared" si="333"/>
        <v>5</v>
      </c>
    </row>
    <row r="2287" spans="1:22" x14ac:dyDescent="0.25">
      <c r="A2287">
        <v>254</v>
      </c>
      <c r="B2287">
        <v>9</v>
      </c>
      <c r="C2287">
        <v>0</v>
      </c>
      <c r="D2287">
        <v>1</v>
      </c>
      <c r="E2287">
        <v>0</v>
      </c>
      <c r="F2287">
        <v>0</v>
      </c>
      <c r="G2287">
        <v>1</v>
      </c>
      <c r="H2287">
        <v>650</v>
      </c>
      <c r="I2287">
        <f t="shared" si="334"/>
        <v>2277</v>
      </c>
      <c r="J2287" s="6">
        <f t="array" aca="1" ref="J2287:N2287" ca="1">TRANSPOSE(ols(OFFSET($C$2:$C$10,I2287,0),OFFSET($D$2:$H$10,I2287,0)))</f>
        <v>136.96428571428532</v>
      </c>
      <c r="K2287" s="6">
        <f ca="1"/>
        <v>27.678571428571104</v>
      </c>
      <c r="L2287" s="6">
        <f ca="1"/>
        <v>20.714285714286234</v>
      </c>
      <c r="M2287" s="6">
        <f ca="1"/>
        <v>-15.357142857142435</v>
      </c>
      <c r="N2287" s="6">
        <f ca="1"/>
        <v>-0.18214285714285694</v>
      </c>
      <c r="O2287" s="6">
        <f t="shared" ca="1" si="326"/>
        <v>3.2142857142858787</v>
      </c>
      <c r="P2287" t="str">
        <f t="shared" si="335"/>
        <v>NA</v>
      </c>
      <c r="Q2287" s="10">
        <f t="shared" ca="1" si="328"/>
        <v>78.571428571429195</v>
      </c>
      <c r="R2287" s="10">
        <f t="shared" ca="1" si="329"/>
        <v>121.60714285714289</v>
      </c>
      <c r="S2287" s="10">
        <f t="shared" ca="1" si="330"/>
        <v>-43.035714285713695</v>
      </c>
      <c r="T2287" s="10">
        <f t="shared" ca="1" si="331"/>
        <v>236.27450980391859</v>
      </c>
      <c r="U2287" s="10" t="str">
        <f t="shared" ca="1" si="332"/>
        <v>OR</v>
      </c>
      <c r="V2287">
        <f t="shared" si="333"/>
        <v>4</v>
      </c>
    </row>
    <row r="2288" spans="1:22" x14ac:dyDescent="0.25">
      <c r="A2288">
        <v>255</v>
      </c>
      <c r="B2288">
        <v>1</v>
      </c>
      <c r="C2288">
        <v>15</v>
      </c>
      <c r="D2288">
        <v>1</v>
      </c>
      <c r="E2288">
        <v>0</v>
      </c>
      <c r="F2288">
        <v>1</v>
      </c>
      <c r="G2288">
        <v>0</v>
      </c>
      <c r="H2288">
        <v>250</v>
      </c>
      <c r="I2288">
        <f t="shared" si="334"/>
        <v>2286</v>
      </c>
      <c r="J2288" s="6">
        <f t="array" aca="1" ref="J2288:N2288" ca="1">TRANSPOSE(ols(OFFSET($C$2:$C$10,I2288,0),OFFSET($D$2:$H$10,I2288,0)))</f>
        <v>44.761904761904248</v>
      </c>
      <c r="K2288" s="6">
        <f ca="1"/>
        <v>-8.3928571428569967</v>
      </c>
      <c r="L2288" s="6">
        <f ca="1"/>
        <v>-2.7380952380949566</v>
      </c>
      <c r="M2288" s="6">
        <f ca="1"/>
        <v>7.6190476190476204</v>
      </c>
      <c r="N2288" s="6">
        <f ca="1"/>
        <v>-8.0952380952380221E-2</v>
      </c>
      <c r="O2288" s="6">
        <f t="shared" ca="1" si="326"/>
        <v>21.785714285714235</v>
      </c>
      <c r="P2288" t="str">
        <f t="shared" si="335"/>
        <v>NA</v>
      </c>
      <c r="Q2288" s="10">
        <f t="shared" ca="1" si="328"/>
        <v>21.309523809523835</v>
      </c>
      <c r="R2288" s="10">
        <f t="shared" ca="1" si="329"/>
        <v>42.023809523809291</v>
      </c>
      <c r="S2288" s="10">
        <f t="shared" ca="1" si="330"/>
        <v>-20.714285714285456</v>
      </c>
      <c r="T2288" s="10">
        <f t="shared" ca="1" si="331"/>
        <v>255.88235294117558</v>
      </c>
      <c r="U2288" s="10">
        <f t="shared" ca="1" si="332"/>
        <v>255.88235294117558</v>
      </c>
      <c r="V2288">
        <f t="shared" si="333"/>
        <v>3</v>
      </c>
    </row>
    <row r="2289" spans="1:22" x14ac:dyDescent="0.25">
      <c r="A2289">
        <v>255</v>
      </c>
      <c r="B2289">
        <v>2</v>
      </c>
      <c r="C2289">
        <v>15</v>
      </c>
      <c r="D2289">
        <v>1</v>
      </c>
      <c r="E2289">
        <v>1</v>
      </c>
      <c r="F2289">
        <v>0</v>
      </c>
      <c r="G2289">
        <v>0</v>
      </c>
      <c r="H2289">
        <v>350</v>
      </c>
      <c r="I2289">
        <f t="shared" si="334"/>
        <v>2286</v>
      </c>
      <c r="J2289" s="6">
        <f t="array" aca="1" ref="J2289:N2289" ca="1">TRANSPOSE(ols(OFFSET($C$2:$C$10,I2289,0),OFFSET($D$2:$H$10,I2289,0)))</f>
        <v>44.761904761904248</v>
      </c>
      <c r="K2289" s="6">
        <f ca="1"/>
        <v>-8.3928571428569967</v>
      </c>
      <c r="L2289" s="6">
        <f ca="1"/>
        <v>-2.7380952380949566</v>
      </c>
      <c r="M2289" s="6">
        <f ca="1"/>
        <v>7.6190476190476204</v>
      </c>
      <c r="N2289" s="6">
        <f ca="1"/>
        <v>-8.0952380952380221E-2</v>
      </c>
      <c r="O2289" s="6">
        <f t="shared" ca="1" si="326"/>
        <v>8.0357142857141746</v>
      </c>
      <c r="P2289" t="str">
        <f t="shared" si="335"/>
        <v>NA</v>
      </c>
      <c r="Q2289" s="10">
        <f t="shared" ca="1" si="328"/>
        <v>21.309523809523835</v>
      </c>
      <c r="R2289" s="10">
        <f t="shared" ca="1" si="329"/>
        <v>36.369047619047251</v>
      </c>
      <c r="S2289" s="10">
        <f t="shared" ca="1" si="330"/>
        <v>-15.059523809523416</v>
      </c>
      <c r="T2289" s="10">
        <f t="shared" ca="1" si="331"/>
        <v>186.0294117647027</v>
      </c>
      <c r="U2289" s="10" t="str">
        <f t="shared" ca="1" si="332"/>
        <v>OR</v>
      </c>
      <c r="V2289">
        <f t="shared" si="333"/>
        <v>2</v>
      </c>
    </row>
    <row r="2290" spans="1:22" x14ac:dyDescent="0.25">
      <c r="A2290">
        <v>255</v>
      </c>
      <c r="B2290">
        <v>3</v>
      </c>
      <c r="C2290">
        <v>0</v>
      </c>
      <c r="D2290">
        <v>1</v>
      </c>
      <c r="E2290">
        <v>1</v>
      </c>
      <c r="F2290">
        <v>0</v>
      </c>
      <c r="G2290">
        <v>0</v>
      </c>
      <c r="H2290">
        <v>450</v>
      </c>
      <c r="I2290">
        <f t="shared" si="334"/>
        <v>2286</v>
      </c>
      <c r="J2290" s="6">
        <f t="array" aca="1" ref="J2290:N2290" ca="1">TRANSPOSE(ols(OFFSET($C$2:$C$10,I2290,0),OFFSET($D$2:$H$10,I2290,0)))</f>
        <v>44.761904761904248</v>
      </c>
      <c r="K2290" s="6">
        <f ca="1"/>
        <v>-8.3928571428569967</v>
      </c>
      <c r="L2290" s="6">
        <f ca="1"/>
        <v>-2.7380952380949566</v>
      </c>
      <c r="M2290" s="6">
        <f ca="1"/>
        <v>7.6190476190476204</v>
      </c>
      <c r="N2290" s="6">
        <f ca="1"/>
        <v>-8.0952380952380221E-2</v>
      </c>
      <c r="O2290" s="6">
        <f t="shared" ca="1" si="326"/>
        <v>-5.9523809523845728E-2</v>
      </c>
      <c r="P2290" t="str">
        <f t="shared" si="335"/>
        <v>NA</v>
      </c>
      <c r="Q2290" s="10">
        <f t="shared" ca="1" si="328"/>
        <v>21.309523809523835</v>
      </c>
      <c r="R2290" s="10">
        <f t="shared" ca="1" si="329"/>
        <v>36.369047619047251</v>
      </c>
      <c r="S2290" s="10">
        <f t="shared" ca="1" si="330"/>
        <v>-15.059523809523416</v>
      </c>
      <c r="T2290" s="10">
        <f t="shared" ca="1" si="331"/>
        <v>186.0294117647027</v>
      </c>
      <c r="U2290" s="10" t="str">
        <f t="shared" ca="1" si="332"/>
        <v>OR</v>
      </c>
      <c r="V2290">
        <f t="shared" si="333"/>
        <v>2</v>
      </c>
    </row>
    <row r="2291" spans="1:22" x14ac:dyDescent="0.25">
      <c r="A2291">
        <v>255</v>
      </c>
      <c r="B2291">
        <v>4</v>
      </c>
      <c r="C2291">
        <v>0</v>
      </c>
      <c r="D2291">
        <v>1</v>
      </c>
      <c r="E2291">
        <v>0</v>
      </c>
      <c r="F2291">
        <v>0</v>
      </c>
      <c r="G2291">
        <v>0</v>
      </c>
      <c r="H2291">
        <v>550</v>
      </c>
      <c r="I2291">
        <f t="shared" si="334"/>
        <v>2286</v>
      </c>
      <c r="J2291" s="6">
        <f t="array" aca="1" ref="J2291:N2291" ca="1">TRANSPOSE(ols(OFFSET($C$2:$C$10,I2291,0),OFFSET($D$2:$H$10,I2291,0)))</f>
        <v>44.761904761904248</v>
      </c>
      <c r="K2291" s="6">
        <f ca="1"/>
        <v>-8.3928571428569967</v>
      </c>
      <c r="L2291" s="6">
        <f ca="1"/>
        <v>-2.7380952380949566</v>
      </c>
      <c r="M2291" s="6">
        <f ca="1"/>
        <v>7.6190476190476204</v>
      </c>
      <c r="N2291" s="6">
        <f ca="1"/>
        <v>-8.0952380952380221E-2</v>
      </c>
      <c r="O2291" s="6">
        <f t="shared" ca="1" si="326"/>
        <v>0.23809523809512712</v>
      </c>
      <c r="P2291" t="str">
        <f t="shared" si="335"/>
        <v>NA</v>
      </c>
      <c r="Q2291" s="10">
        <f t="shared" ca="1" si="328"/>
        <v>21.309523809523835</v>
      </c>
      <c r="R2291" s="10">
        <f t="shared" ca="1" si="329"/>
        <v>44.761904761904248</v>
      </c>
      <c r="S2291" s="10">
        <f t="shared" ca="1" si="330"/>
        <v>-23.452380952380413</v>
      </c>
      <c r="T2291" s="10">
        <f t="shared" ca="1" si="331"/>
        <v>289.70588235293712</v>
      </c>
      <c r="U2291" s="10">
        <f t="shared" ca="1" si="332"/>
        <v>289.70588235293712</v>
      </c>
      <c r="V2291">
        <f t="shared" si="333"/>
        <v>1</v>
      </c>
    </row>
    <row r="2292" spans="1:22" x14ac:dyDescent="0.25">
      <c r="A2292">
        <v>255</v>
      </c>
      <c r="B2292">
        <v>5</v>
      </c>
      <c r="C2292">
        <v>30</v>
      </c>
      <c r="D2292">
        <v>1</v>
      </c>
      <c r="E2292">
        <v>0</v>
      </c>
      <c r="F2292">
        <v>1</v>
      </c>
      <c r="G2292">
        <v>1</v>
      </c>
      <c r="H2292">
        <v>250</v>
      </c>
      <c r="I2292">
        <f t="shared" si="334"/>
        <v>2286</v>
      </c>
      <c r="J2292" s="6">
        <f t="array" aca="1" ref="J2292:N2292" ca="1">TRANSPOSE(ols(OFFSET($C$2:$C$10,I2292,0),OFFSET($D$2:$H$10,I2292,0)))</f>
        <v>44.761904761904248</v>
      </c>
      <c r="K2292" s="6">
        <f ca="1"/>
        <v>-8.3928571428569967</v>
      </c>
      <c r="L2292" s="6">
        <f ca="1"/>
        <v>-2.7380952380949566</v>
      </c>
      <c r="M2292" s="6">
        <f ca="1"/>
        <v>7.6190476190476204</v>
      </c>
      <c r="N2292" s="6">
        <f ca="1"/>
        <v>-8.0952380952380221E-2</v>
      </c>
      <c r="O2292" s="6">
        <f t="shared" ca="1" si="326"/>
        <v>29.404761904761855</v>
      </c>
      <c r="P2292" t="str">
        <f t="shared" si="335"/>
        <v>NA</v>
      </c>
      <c r="Q2292" s="10">
        <f t="shared" ca="1" si="328"/>
        <v>21.309523809523835</v>
      </c>
      <c r="R2292" s="10">
        <f t="shared" ca="1" si="329"/>
        <v>49.642857142856911</v>
      </c>
      <c r="S2292" s="10">
        <f t="shared" ca="1" si="330"/>
        <v>-28.333333333333076</v>
      </c>
      <c r="T2292" s="10">
        <f t="shared" ca="1" si="331"/>
        <v>350</v>
      </c>
      <c r="U2292" s="10">
        <f t="shared" ca="1" si="332"/>
        <v>350</v>
      </c>
      <c r="V2292">
        <f t="shared" si="333"/>
        <v>6</v>
      </c>
    </row>
    <row r="2293" spans="1:22" x14ac:dyDescent="0.25">
      <c r="A2293">
        <v>255</v>
      </c>
      <c r="B2293">
        <v>6</v>
      </c>
      <c r="C2293">
        <v>27.5</v>
      </c>
      <c r="D2293">
        <v>1</v>
      </c>
      <c r="E2293">
        <v>0</v>
      </c>
      <c r="F2293">
        <v>1</v>
      </c>
      <c r="G2293">
        <v>1</v>
      </c>
      <c r="H2293">
        <v>350</v>
      </c>
      <c r="I2293">
        <f t="shared" si="334"/>
        <v>2286</v>
      </c>
      <c r="J2293" s="6">
        <f t="array" aca="1" ref="J2293:N2293" ca="1">TRANSPOSE(ols(OFFSET($C$2:$C$10,I2293,0),OFFSET($D$2:$H$10,I2293,0)))</f>
        <v>44.761904761904248</v>
      </c>
      <c r="K2293" s="6">
        <f ca="1"/>
        <v>-8.3928571428569967</v>
      </c>
      <c r="L2293" s="6">
        <f ca="1"/>
        <v>-2.7380952380949566</v>
      </c>
      <c r="M2293" s="6">
        <f ca="1"/>
        <v>7.6190476190476204</v>
      </c>
      <c r="N2293" s="6">
        <f ca="1"/>
        <v>-8.0952380952380221E-2</v>
      </c>
      <c r="O2293" s="6">
        <f t="shared" ca="1" si="326"/>
        <v>21.309523809523835</v>
      </c>
      <c r="P2293">
        <f t="shared" ca="1" si="335"/>
        <v>21.309523809523835</v>
      </c>
      <c r="Q2293" s="10">
        <f t="shared" ca="1" si="328"/>
        <v>21.309523809523835</v>
      </c>
      <c r="R2293" s="10">
        <f t="shared" ca="1" si="329"/>
        <v>49.642857142856911</v>
      </c>
      <c r="S2293" s="10">
        <f t="shared" ca="1" si="330"/>
        <v>-28.333333333333076</v>
      </c>
      <c r="T2293" s="10">
        <f t="shared" ca="1" si="331"/>
        <v>350</v>
      </c>
      <c r="U2293" s="10">
        <f t="shared" ca="1" si="332"/>
        <v>350</v>
      </c>
      <c r="V2293">
        <f t="shared" si="333"/>
        <v>6</v>
      </c>
    </row>
    <row r="2294" spans="1:22" x14ac:dyDescent="0.25">
      <c r="A2294">
        <v>255</v>
      </c>
      <c r="B2294">
        <v>7</v>
      </c>
      <c r="C2294">
        <v>0</v>
      </c>
      <c r="D2294">
        <v>1</v>
      </c>
      <c r="E2294">
        <v>1</v>
      </c>
      <c r="F2294">
        <v>0</v>
      </c>
      <c r="G2294">
        <v>1</v>
      </c>
      <c r="H2294">
        <v>450</v>
      </c>
      <c r="I2294">
        <f t="shared" si="334"/>
        <v>2286</v>
      </c>
      <c r="J2294" s="6">
        <f t="array" aca="1" ref="J2294:N2294" ca="1">TRANSPOSE(ols(OFFSET($C$2:$C$10,I2294,0),OFFSET($D$2:$H$10,I2294,0)))</f>
        <v>44.761904761904248</v>
      </c>
      <c r="K2294" s="6">
        <f ca="1"/>
        <v>-8.3928571428569967</v>
      </c>
      <c r="L2294" s="6">
        <f ca="1"/>
        <v>-2.7380952380949566</v>
      </c>
      <c r="M2294" s="6">
        <f ca="1"/>
        <v>7.6190476190476204</v>
      </c>
      <c r="N2294" s="6">
        <f ca="1"/>
        <v>-8.0952380952380221E-2</v>
      </c>
      <c r="O2294" s="6">
        <f t="shared" ca="1" si="326"/>
        <v>7.5595238095237747</v>
      </c>
      <c r="P2294" t="str">
        <f t="shared" si="335"/>
        <v>NA</v>
      </c>
      <c r="Q2294" s="10">
        <f t="shared" ca="1" si="328"/>
        <v>21.309523809523835</v>
      </c>
      <c r="R2294" s="10">
        <f t="shared" ca="1" si="329"/>
        <v>43.988095238094871</v>
      </c>
      <c r="S2294" s="10">
        <f t="shared" ca="1" si="330"/>
        <v>-22.678571428571036</v>
      </c>
      <c r="T2294" s="10">
        <f t="shared" ca="1" si="331"/>
        <v>280.14705882352712</v>
      </c>
      <c r="U2294" s="10">
        <f t="shared" ca="1" si="332"/>
        <v>280.14705882352712</v>
      </c>
      <c r="V2294">
        <f t="shared" si="333"/>
        <v>5</v>
      </c>
    </row>
    <row r="2295" spans="1:22" x14ac:dyDescent="0.25">
      <c r="A2295">
        <v>255</v>
      </c>
      <c r="B2295">
        <v>8</v>
      </c>
      <c r="C2295">
        <v>0</v>
      </c>
      <c r="D2295">
        <v>1</v>
      </c>
      <c r="E2295">
        <v>1</v>
      </c>
      <c r="F2295">
        <v>0</v>
      </c>
      <c r="G2295">
        <v>1</v>
      </c>
      <c r="H2295">
        <v>550</v>
      </c>
      <c r="I2295">
        <f t="shared" si="334"/>
        <v>2286</v>
      </c>
      <c r="J2295" s="6">
        <f t="array" aca="1" ref="J2295:N2295" ca="1">TRANSPOSE(ols(OFFSET($C$2:$C$10,I2295,0),OFFSET($D$2:$H$10,I2295,0)))</f>
        <v>44.761904761904248</v>
      </c>
      <c r="K2295" s="6">
        <f ca="1"/>
        <v>-8.3928571428569967</v>
      </c>
      <c r="L2295" s="6">
        <f ca="1"/>
        <v>-2.7380952380949566</v>
      </c>
      <c r="M2295" s="6">
        <f ca="1"/>
        <v>7.6190476190476204</v>
      </c>
      <c r="N2295" s="6">
        <f ca="1"/>
        <v>-8.0952380952380221E-2</v>
      </c>
      <c r="O2295" s="6">
        <f t="shared" ca="1" si="326"/>
        <v>-0.53571428571424917</v>
      </c>
      <c r="P2295" t="str">
        <f t="shared" si="335"/>
        <v>NA</v>
      </c>
      <c r="Q2295" s="10">
        <f t="shared" ca="1" si="328"/>
        <v>21.309523809523835</v>
      </c>
      <c r="R2295" s="10">
        <f t="shared" ca="1" si="329"/>
        <v>43.988095238094871</v>
      </c>
      <c r="S2295" s="10">
        <f t="shared" ca="1" si="330"/>
        <v>-22.678571428571036</v>
      </c>
      <c r="T2295" s="10">
        <f t="shared" ca="1" si="331"/>
        <v>280.14705882352712</v>
      </c>
      <c r="U2295" s="10">
        <f t="shared" ca="1" si="332"/>
        <v>280.14705882352712</v>
      </c>
      <c r="V2295">
        <f t="shared" si="333"/>
        <v>5</v>
      </c>
    </row>
    <row r="2296" spans="1:22" x14ac:dyDescent="0.25">
      <c r="A2296">
        <v>255</v>
      </c>
      <c r="B2296">
        <v>9</v>
      </c>
      <c r="C2296">
        <v>0</v>
      </c>
      <c r="D2296">
        <v>1</v>
      </c>
      <c r="E2296">
        <v>0</v>
      </c>
      <c r="F2296">
        <v>0</v>
      </c>
      <c r="G2296">
        <v>1</v>
      </c>
      <c r="H2296">
        <v>650</v>
      </c>
      <c r="I2296">
        <f t="shared" si="334"/>
        <v>2286</v>
      </c>
      <c r="J2296" s="6">
        <f t="array" aca="1" ref="J2296:N2296" ca="1">TRANSPOSE(ols(OFFSET($C$2:$C$10,I2296,0),OFFSET($D$2:$H$10,I2296,0)))</f>
        <v>44.761904761904248</v>
      </c>
      <c r="K2296" s="6">
        <f ca="1"/>
        <v>-8.3928571428569967</v>
      </c>
      <c r="L2296" s="6">
        <f ca="1"/>
        <v>-2.7380952380949566</v>
      </c>
      <c r="M2296" s="6">
        <f ca="1"/>
        <v>7.6190476190476204</v>
      </c>
      <c r="N2296" s="6">
        <f ca="1"/>
        <v>-8.0952380952380221E-2</v>
      </c>
      <c r="O2296" s="6">
        <f t="shared" ca="1" si="326"/>
        <v>-0.23809523809527633</v>
      </c>
      <c r="P2296" t="str">
        <f t="shared" si="335"/>
        <v>NA</v>
      </c>
      <c r="Q2296" s="10">
        <f t="shared" ca="1" si="328"/>
        <v>21.309523809523835</v>
      </c>
      <c r="R2296" s="10">
        <f t="shared" ca="1" si="329"/>
        <v>52.380952380951868</v>
      </c>
      <c r="S2296" s="10">
        <f t="shared" ca="1" si="330"/>
        <v>-31.071428571428033</v>
      </c>
      <c r="T2296" s="10">
        <f t="shared" ca="1" si="331"/>
        <v>383.82352941176151</v>
      </c>
      <c r="U2296" s="10">
        <f t="shared" ca="1" si="332"/>
        <v>383.82352941176151</v>
      </c>
      <c r="V2296">
        <f t="shared" si="333"/>
        <v>4</v>
      </c>
    </row>
    <row r="2297" spans="1:22" x14ac:dyDescent="0.25">
      <c r="A2297">
        <v>256</v>
      </c>
      <c r="B2297">
        <v>1</v>
      </c>
      <c r="C2297">
        <v>50</v>
      </c>
      <c r="D2297">
        <v>1</v>
      </c>
      <c r="E2297">
        <v>0</v>
      </c>
      <c r="F2297">
        <v>1</v>
      </c>
      <c r="G2297">
        <v>0</v>
      </c>
      <c r="H2297">
        <v>250</v>
      </c>
      <c r="I2297">
        <f t="shared" si="334"/>
        <v>2295</v>
      </c>
      <c r="J2297" s="6">
        <f t="array" aca="1" ref="J2297:N2297" ca="1">TRANSPOSE(ols(OFFSET($C$2:$C$10,I2297,0),OFFSET($D$2:$H$10,I2297,0)))</f>
        <v>73.75</v>
      </c>
      <c r="K2297" s="6">
        <f ca="1"/>
        <v>20.000000000000114</v>
      </c>
      <c r="L2297" s="6">
        <f ca="1"/>
        <v>10.000000000000455</v>
      </c>
      <c r="M2297" s="6">
        <f ca="1"/>
        <v>2.5000000000001137</v>
      </c>
      <c r="N2297" s="6">
        <f ca="1"/>
        <v>-0.12499999999999911</v>
      </c>
      <c r="O2297" s="6">
        <f t="shared" ca="1" si="326"/>
        <v>52.500000000000675</v>
      </c>
      <c r="P2297" t="str">
        <f t="shared" si="335"/>
        <v>NA</v>
      </c>
      <c r="Q2297" s="10">
        <f t="shared" ca="1" si="328"/>
        <v>42.500000000000881</v>
      </c>
      <c r="R2297" s="10">
        <f t="shared" ca="1" si="329"/>
        <v>83.750000000000455</v>
      </c>
      <c r="S2297" s="10">
        <f t="shared" ca="1" si="330"/>
        <v>-41.249999999999574</v>
      </c>
      <c r="T2297" s="10">
        <f t="shared" ca="1" si="331"/>
        <v>329.99999999999892</v>
      </c>
      <c r="U2297" s="10">
        <f t="shared" ca="1" si="332"/>
        <v>329.99999999999892</v>
      </c>
      <c r="V2297">
        <f t="shared" si="333"/>
        <v>3</v>
      </c>
    </row>
    <row r="2298" spans="1:22" x14ac:dyDescent="0.25">
      <c r="A2298">
        <v>256</v>
      </c>
      <c r="B2298">
        <v>2</v>
      </c>
      <c r="C2298">
        <v>50</v>
      </c>
      <c r="D2298">
        <v>1</v>
      </c>
      <c r="E2298">
        <v>1</v>
      </c>
      <c r="F2298">
        <v>0</v>
      </c>
      <c r="G2298">
        <v>0</v>
      </c>
      <c r="H2298">
        <v>350</v>
      </c>
      <c r="I2298">
        <f t="shared" si="334"/>
        <v>2295</v>
      </c>
      <c r="J2298" s="6">
        <f t="array" aca="1" ref="J2298:N2298" ca="1">TRANSPOSE(ols(OFFSET($C$2:$C$10,I2298,0),OFFSET($D$2:$H$10,I2298,0)))</f>
        <v>73.75</v>
      </c>
      <c r="K2298" s="6">
        <f ca="1"/>
        <v>20.000000000000114</v>
      </c>
      <c r="L2298" s="6">
        <f ca="1"/>
        <v>10.000000000000455</v>
      </c>
      <c r="M2298" s="6">
        <f ca="1"/>
        <v>2.5000000000001137</v>
      </c>
      <c r="N2298" s="6">
        <f ca="1"/>
        <v>-0.12499999999999911</v>
      </c>
      <c r="O2298" s="6">
        <f t="shared" ca="1" si="326"/>
        <v>50.000000000000426</v>
      </c>
      <c r="P2298" t="str">
        <f t="shared" si="335"/>
        <v>NA</v>
      </c>
      <c r="Q2298" s="10">
        <f t="shared" ca="1" si="328"/>
        <v>42.500000000000881</v>
      </c>
      <c r="R2298" s="10">
        <f t="shared" ca="1" si="329"/>
        <v>93.750000000000114</v>
      </c>
      <c r="S2298" s="10">
        <f t="shared" ca="1" si="330"/>
        <v>-51.249999999999233</v>
      </c>
      <c r="T2298" s="10">
        <f t="shared" ca="1" si="331"/>
        <v>409.99999999999676</v>
      </c>
      <c r="U2298" s="10">
        <f t="shared" ca="1" si="332"/>
        <v>409.99999999999676</v>
      </c>
      <c r="V2298">
        <f t="shared" si="333"/>
        <v>2</v>
      </c>
    </row>
    <row r="2299" spans="1:22" x14ac:dyDescent="0.25">
      <c r="A2299">
        <v>256</v>
      </c>
      <c r="B2299">
        <v>3</v>
      </c>
      <c r="C2299">
        <v>45</v>
      </c>
      <c r="D2299">
        <v>1</v>
      </c>
      <c r="E2299">
        <v>1</v>
      </c>
      <c r="F2299">
        <v>0</v>
      </c>
      <c r="G2299">
        <v>0</v>
      </c>
      <c r="H2299">
        <v>450</v>
      </c>
      <c r="I2299">
        <f t="shared" si="334"/>
        <v>2295</v>
      </c>
      <c r="J2299" s="6">
        <f t="array" aca="1" ref="J2299:N2299" ca="1">TRANSPOSE(ols(OFFSET($C$2:$C$10,I2299,0),OFFSET($D$2:$H$10,I2299,0)))</f>
        <v>73.75</v>
      </c>
      <c r="K2299" s="6">
        <f ca="1"/>
        <v>20.000000000000114</v>
      </c>
      <c r="L2299" s="6">
        <f ca="1"/>
        <v>10.000000000000455</v>
      </c>
      <c r="M2299" s="6">
        <f ca="1"/>
        <v>2.5000000000001137</v>
      </c>
      <c r="N2299" s="6">
        <f ca="1"/>
        <v>-0.12499999999999911</v>
      </c>
      <c r="O2299" s="6">
        <f t="shared" ca="1" si="326"/>
        <v>37.500000000000512</v>
      </c>
      <c r="P2299" t="str">
        <f t="shared" si="335"/>
        <v>NA</v>
      </c>
      <c r="Q2299" s="10">
        <f t="shared" ca="1" si="328"/>
        <v>42.500000000000881</v>
      </c>
      <c r="R2299" s="10">
        <f t="shared" ca="1" si="329"/>
        <v>93.750000000000114</v>
      </c>
      <c r="S2299" s="10">
        <f t="shared" ca="1" si="330"/>
        <v>-51.249999999999233</v>
      </c>
      <c r="T2299" s="10">
        <f t="shared" ca="1" si="331"/>
        <v>409.99999999999676</v>
      </c>
      <c r="U2299" s="10">
        <f t="shared" ca="1" si="332"/>
        <v>409.99999999999676</v>
      </c>
      <c r="V2299">
        <f t="shared" si="333"/>
        <v>2</v>
      </c>
    </row>
    <row r="2300" spans="1:22" x14ac:dyDescent="0.25">
      <c r="A2300">
        <v>256</v>
      </c>
      <c r="B2300">
        <v>4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550</v>
      </c>
      <c r="I2300">
        <f t="shared" si="334"/>
        <v>2295</v>
      </c>
      <c r="J2300" s="6">
        <f t="array" aca="1" ref="J2300:N2300" ca="1">TRANSPOSE(ols(OFFSET($C$2:$C$10,I2300,0),OFFSET($D$2:$H$10,I2300,0)))</f>
        <v>73.75</v>
      </c>
      <c r="K2300" s="6">
        <f ca="1"/>
        <v>20.000000000000114</v>
      </c>
      <c r="L2300" s="6">
        <f ca="1"/>
        <v>10.000000000000455</v>
      </c>
      <c r="M2300" s="6">
        <f ca="1"/>
        <v>2.5000000000001137</v>
      </c>
      <c r="N2300" s="6">
        <f ca="1"/>
        <v>-0.12499999999999911</v>
      </c>
      <c r="O2300" s="6">
        <f t="shared" ca="1" si="326"/>
        <v>5.0000000000004832</v>
      </c>
      <c r="P2300" t="str">
        <f t="shared" si="335"/>
        <v>NA</v>
      </c>
      <c r="Q2300" s="10">
        <f t="shared" ca="1" si="328"/>
        <v>42.500000000000881</v>
      </c>
      <c r="R2300" s="10">
        <f t="shared" ca="1" si="329"/>
        <v>73.75</v>
      </c>
      <c r="S2300" s="10">
        <f t="shared" ca="1" si="330"/>
        <v>-31.249999999999119</v>
      </c>
      <c r="T2300" s="10">
        <f t="shared" ca="1" si="331"/>
        <v>249.99999999999471</v>
      </c>
      <c r="U2300" s="10" t="str">
        <f t="shared" ca="1" si="332"/>
        <v>OR</v>
      </c>
      <c r="V2300">
        <f t="shared" si="333"/>
        <v>1</v>
      </c>
    </row>
    <row r="2301" spans="1:22" x14ac:dyDescent="0.25">
      <c r="A2301">
        <v>256</v>
      </c>
      <c r="B2301">
        <v>5</v>
      </c>
      <c r="C2301">
        <v>50</v>
      </c>
      <c r="D2301">
        <v>1</v>
      </c>
      <c r="E2301">
        <v>0</v>
      </c>
      <c r="F2301">
        <v>1</v>
      </c>
      <c r="G2301">
        <v>1</v>
      </c>
      <c r="H2301">
        <v>250</v>
      </c>
      <c r="I2301">
        <f t="shared" si="334"/>
        <v>2295</v>
      </c>
      <c r="J2301" s="6">
        <f t="array" aca="1" ref="J2301:N2301" ca="1">TRANSPOSE(ols(OFFSET($C$2:$C$10,I2301,0),OFFSET($D$2:$H$10,I2301,0)))</f>
        <v>73.75</v>
      </c>
      <c r="K2301" s="6">
        <f ca="1"/>
        <v>20.000000000000114</v>
      </c>
      <c r="L2301" s="6">
        <f ca="1"/>
        <v>10.000000000000455</v>
      </c>
      <c r="M2301" s="6">
        <f ca="1"/>
        <v>2.5000000000001137</v>
      </c>
      <c r="N2301" s="6">
        <f ca="1"/>
        <v>-0.12499999999999911</v>
      </c>
      <c r="O2301" s="6">
        <f t="shared" ca="1" si="326"/>
        <v>55.000000000000789</v>
      </c>
      <c r="P2301" t="str">
        <f t="shared" si="335"/>
        <v>NA</v>
      </c>
      <c r="Q2301" s="10">
        <f t="shared" ca="1" si="328"/>
        <v>42.500000000000881</v>
      </c>
      <c r="R2301" s="10">
        <f t="shared" ca="1" si="329"/>
        <v>86.250000000000568</v>
      </c>
      <c r="S2301" s="10">
        <f t="shared" ca="1" si="330"/>
        <v>-43.749999999999687</v>
      </c>
      <c r="T2301" s="10">
        <f t="shared" ca="1" si="331"/>
        <v>350</v>
      </c>
      <c r="U2301" s="10">
        <f t="shared" ca="1" si="332"/>
        <v>350</v>
      </c>
      <c r="V2301">
        <f t="shared" si="333"/>
        <v>6</v>
      </c>
    </row>
    <row r="2302" spans="1:22" x14ac:dyDescent="0.25">
      <c r="A2302">
        <v>256</v>
      </c>
      <c r="B2302">
        <v>6</v>
      </c>
      <c r="C2302">
        <v>50</v>
      </c>
      <c r="D2302">
        <v>1</v>
      </c>
      <c r="E2302">
        <v>0</v>
      </c>
      <c r="F2302">
        <v>1</v>
      </c>
      <c r="G2302">
        <v>1</v>
      </c>
      <c r="H2302">
        <v>350</v>
      </c>
      <c r="I2302">
        <f t="shared" si="334"/>
        <v>2295</v>
      </c>
      <c r="J2302" s="6">
        <f t="array" aca="1" ref="J2302:N2302" ca="1">TRANSPOSE(ols(OFFSET($C$2:$C$10,I2302,0),OFFSET($D$2:$H$10,I2302,0)))</f>
        <v>73.75</v>
      </c>
      <c r="K2302" s="6">
        <f ca="1"/>
        <v>20.000000000000114</v>
      </c>
      <c r="L2302" s="6">
        <f ca="1"/>
        <v>10.000000000000455</v>
      </c>
      <c r="M2302" s="6">
        <f ca="1"/>
        <v>2.5000000000001137</v>
      </c>
      <c r="N2302" s="6">
        <f ca="1"/>
        <v>-0.12499999999999911</v>
      </c>
      <c r="O2302" s="6">
        <f t="shared" ca="1" si="326"/>
        <v>42.500000000000881</v>
      </c>
      <c r="P2302">
        <f t="shared" ca="1" si="335"/>
        <v>42.500000000000881</v>
      </c>
      <c r="Q2302" s="10">
        <f t="shared" ca="1" si="328"/>
        <v>42.500000000000881</v>
      </c>
      <c r="R2302" s="10">
        <f t="shared" ca="1" si="329"/>
        <v>86.250000000000568</v>
      </c>
      <c r="S2302" s="10">
        <f t="shared" ca="1" si="330"/>
        <v>-43.749999999999687</v>
      </c>
      <c r="T2302" s="10">
        <f t="shared" ca="1" si="331"/>
        <v>350</v>
      </c>
      <c r="U2302" s="10">
        <f t="shared" ca="1" si="332"/>
        <v>350</v>
      </c>
      <c r="V2302">
        <f t="shared" si="333"/>
        <v>6</v>
      </c>
    </row>
    <row r="2303" spans="1:22" x14ac:dyDescent="0.25">
      <c r="A2303">
        <v>256</v>
      </c>
      <c r="B2303">
        <v>7</v>
      </c>
      <c r="C2303">
        <v>45</v>
      </c>
      <c r="D2303">
        <v>1</v>
      </c>
      <c r="E2303">
        <v>1</v>
      </c>
      <c r="F2303">
        <v>0</v>
      </c>
      <c r="G2303">
        <v>1</v>
      </c>
      <c r="H2303">
        <v>450</v>
      </c>
      <c r="I2303">
        <f t="shared" si="334"/>
        <v>2295</v>
      </c>
      <c r="J2303" s="6">
        <f t="array" aca="1" ref="J2303:N2303" ca="1">TRANSPOSE(ols(OFFSET($C$2:$C$10,I2303,0),OFFSET($D$2:$H$10,I2303,0)))</f>
        <v>73.75</v>
      </c>
      <c r="K2303" s="6">
        <f ca="1"/>
        <v>20.000000000000114</v>
      </c>
      <c r="L2303" s="6">
        <f ca="1"/>
        <v>10.000000000000455</v>
      </c>
      <c r="M2303" s="6">
        <f ca="1"/>
        <v>2.5000000000001137</v>
      </c>
      <c r="N2303" s="6">
        <f ca="1"/>
        <v>-0.12499999999999911</v>
      </c>
      <c r="O2303" s="6">
        <f t="shared" ca="1" si="326"/>
        <v>40.000000000000625</v>
      </c>
      <c r="P2303" t="str">
        <f t="shared" si="335"/>
        <v>NA</v>
      </c>
      <c r="Q2303" s="10">
        <f t="shared" ca="1" si="328"/>
        <v>42.500000000000881</v>
      </c>
      <c r="R2303" s="10">
        <f t="shared" ca="1" si="329"/>
        <v>96.250000000000227</v>
      </c>
      <c r="S2303" s="10">
        <f t="shared" ca="1" si="330"/>
        <v>-53.749999999999346</v>
      </c>
      <c r="T2303" s="10">
        <f t="shared" ca="1" si="331"/>
        <v>429.99999999999784</v>
      </c>
      <c r="U2303" s="10">
        <f t="shared" ca="1" si="332"/>
        <v>429.99999999999784</v>
      </c>
      <c r="V2303">
        <f t="shared" si="333"/>
        <v>5</v>
      </c>
    </row>
    <row r="2304" spans="1:22" x14ac:dyDescent="0.25">
      <c r="A2304">
        <v>256</v>
      </c>
      <c r="B2304">
        <v>8</v>
      </c>
      <c r="C2304">
        <v>15</v>
      </c>
      <c r="D2304">
        <v>1</v>
      </c>
      <c r="E2304">
        <v>1</v>
      </c>
      <c r="F2304">
        <v>0</v>
      </c>
      <c r="G2304">
        <v>1</v>
      </c>
      <c r="H2304">
        <v>550</v>
      </c>
      <c r="I2304">
        <f t="shared" si="334"/>
        <v>2295</v>
      </c>
      <c r="J2304" s="6">
        <f t="array" aca="1" ref="J2304:N2304" ca="1">TRANSPOSE(ols(OFFSET($C$2:$C$10,I2304,0),OFFSET($D$2:$H$10,I2304,0)))</f>
        <v>73.75</v>
      </c>
      <c r="K2304" s="6">
        <f ca="1"/>
        <v>20.000000000000114</v>
      </c>
      <c r="L2304" s="6">
        <f ca="1"/>
        <v>10.000000000000455</v>
      </c>
      <c r="M2304" s="6">
        <f ca="1"/>
        <v>2.5000000000001137</v>
      </c>
      <c r="N2304" s="6">
        <f ca="1"/>
        <v>-0.12499999999999911</v>
      </c>
      <c r="O2304" s="6">
        <f t="shared" ca="1" si="326"/>
        <v>27.500000000000711</v>
      </c>
      <c r="P2304" t="str">
        <f t="shared" si="335"/>
        <v>NA</v>
      </c>
      <c r="Q2304" s="10">
        <f t="shared" ca="1" si="328"/>
        <v>42.500000000000881</v>
      </c>
      <c r="R2304" s="10">
        <f t="shared" ca="1" si="329"/>
        <v>96.250000000000227</v>
      </c>
      <c r="S2304" s="10">
        <f t="shared" ca="1" si="330"/>
        <v>-53.749999999999346</v>
      </c>
      <c r="T2304" s="10">
        <f t="shared" ca="1" si="331"/>
        <v>429.99999999999784</v>
      </c>
      <c r="U2304" s="10">
        <f t="shared" ca="1" si="332"/>
        <v>429.99999999999784</v>
      </c>
      <c r="V2304">
        <f t="shared" si="333"/>
        <v>5</v>
      </c>
    </row>
    <row r="2305" spans="1:22" x14ac:dyDescent="0.25">
      <c r="A2305">
        <v>256</v>
      </c>
      <c r="B2305">
        <v>9</v>
      </c>
      <c r="C2305">
        <v>0</v>
      </c>
      <c r="D2305">
        <v>1</v>
      </c>
      <c r="E2305">
        <v>0</v>
      </c>
      <c r="F2305">
        <v>0</v>
      </c>
      <c r="G2305">
        <v>1</v>
      </c>
      <c r="H2305">
        <v>650</v>
      </c>
      <c r="I2305">
        <f t="shared" si="334"/>
        <v>2295</v>
      </c>
      <c r="J2305" s="6">
        <f t="array" aca="1" ref="J2305:N2305" ca="1">TRANSPOSE(ols(OFFSET($C$2:$C$10,I2305,0),OFFSET($D$2:$H$10,I2305,0)))</f>
        <v>73.75</v>
      </c>
      <c r="K2305" s="6">
        <f ca="1"/>
        <v>20.000000000000114</v>
      </c>
      <c r="L2305" s="6">
        <f ca="1"/>
        <v>10.000000000000455</v>
      </c>
      <c r="M2305" s="6">
        <f ca="1"/>
        <v>2.5000000000001137</v>
      </c>
      <c r="N2305" s="6">
        <f ca="1"/>
        <v>-0.12499999999999911</v>
      </c>
      <c r="O2305" s="6">
        <f t="shared" ca="1" si="326"/>
        <v>-4.9999999999993037</v>
      </c>
      <c r="P2305" t="str">
        <f t="shared" si="335"/>
        <v>NA</v>
      </c>
      <c r="Q2305" s="10">
        <f t="shared" ca="1" si="328"/>
        <v>42.500000000000881</v>
      </c>
      <c r="R2305" s="10">
        <f t="shared" ca="1" si="329"/>
        <v>76.250000000000114</v>
      </c>
      <c r="S2305" s="10">
        <f t="shared" ca="1" si="330"/>
        <v>-33.749999999999233</v>
      </c>
      <c r="T2305" s="10">
        <f t="shared" ca="1" si="331"/>
        <v>269.99999999999579</v>
      </c>
      <c r="U2305" s="10">
        <f t="shared" ca="1" si="332"/>
        <v>269.99999999999579</v>
      </c>
      <c r="V2305">
        <f t="shared" si="333"/>
        <v>4</v>
      </c>
    </row>
    <row r="2306" spans="1:22" x14ac:dyDescent="0.25">
      <c r="A2306">
        <v>257</v>
      </c>
      <c r="B2306">
        <v>1</v>
      </c>
      <c r="C2306">
        <v>65</v>
      </c>
      <c r="D2306">
        <v>1</v>
      </c>
      <c r="E2306">
        <v>0</v>
      </c>
      <c r="F2306">
        <v>1</v>
      </c>
      <c r="G2306">
        <v>0</v>
      </c>
      <c r="H2306">
        <v>250</v>
      </c>
      <c r="I2306">
        <f t="shared" si="334"/>
        <v>2304</v>
      </c>
      <c r="J2306" s="6">
        <f t="array" aca="1" ref="J2306:N2306" ca="1">TRANSPOSE(ols(OFFSET($C$2:$C$10,I2306,0),OFFSET($D$2:$H$10,I2306,0)))</f>
        <v>187.26190476190231</v>
      </c>
      <c r="K2306" s="6">
        <f ca="1"/>
        <v>-14.642857142856656</v>
      </c>
      <c r="L2306" s="6">
        <f ca="1"/>
        <v>-40.238095238094047</v>
      </c>
      <c r="M2306" s="6">
        <f ca="1"/>
        <v>22.619047619047478</v>
      </c>
      <c r="N2306" s="6">
        <f ca="1"/>
        <v>-0.330952380952378</v>
      </c>
      <c r="O2306" s="6">
        <f t="shared" ca="1" si="326"/>
        <v>64.285714285713766</v>
      </c>
      <c r="P2306" t="str">
        <f t="shared" si="335"/>
        <v>NA</v>
      </c>
      <c r="Q2306" s="10">
        <f t="shared" ca="1" si="328"/>
        <v>53.809523809523441</v>
      </c>
      <c r="R2306" s="10">
        <f t="shared" ca="1" si="329"/>
        <v>147.02380952380827</v>
      </c>
      <c r="S2306" s="10">
        <f t="shared" ca="1" si="330"/>
        <v>-93.214285714284827</v>
      </c>
      <c r="T2306" s="10">
        <f t="shared" ca="1" si="331"/>
        <v>281.65467625899265</v>
      </c>
      <c r="U2306" s="10">
        <f t="shared" ca="1" si="332"/>
        <v>281.65467625899265</v>
      </c>
      <c r="V2306">
        <f t="shared" si="333"/>
        <v>3</v>
      </c>
    </row>
    <row r="2307" spans="1:22" x14ac:dyDescent="0.25">
      <c r="A2307">
        <v>257</v>
      </c>
      <c r="B2307">
        <v>2</v>
      </c>
      <c r="C2307">
        <v>65</v>
      </c>
      <c r="D2307">
        <v>1</v>
      </c>
      <c r="E2307">
        <v>1</v>
      </c>
      <c r="F2307">
        <v>0</v>
      </c>
      <c r="G2307">
        <v>0</v>
      </c>
      <c r="H2307">
        <v>350</v>
      </c>
      <c r="I2307">
        <f t="shared" si="334"/>
        <v>2304</v>
      </c>
      <c r="J2307" s="6">
        <f t="array" aca="1" ref="J2307:N2307" ca="1">TRANSPOSE(ols(OFFSET($C$2:$C$10,I2307,0),OFFSET($D$2:$H$10,I2307,0)))</f>
        <v>187.26190476190231</v>
      </c>
      <c r="K2307" s="6">
        <f ca="1"/>
        <v>-14.642857142856656</v>
      </c>
      <c r="L2307" s="6">
        <f ca="1"/>
        <v>-40.238095238094047</v>
      </c>
      <c r="M2307" s="6">
        <f ca="1"/>
        <v>22.619047619047478</v>
      </c>
      <c r="N2307" s="6">
        <f ca="1"/>
        <v>-0.330952380952378</v>
      </c>
      <c r="O2307" s="6">
        <f t="shared" ref="O2307:O2370" ca="1" si="336">SUMPRODUCT(J2307:N2307,D2307:H2307)</f>
        <v>56.785714285713354</v>
      </c>
      <c r="P2307" t="str">
        <f t="shared" si="335"/>
        <v>NA</v>
      </c>
      <c r="Q2307" s="10">
        <f t="shared" ref="Q2307:Q2370" ca="1" si="337">AVERAGEIF($A$2:$A$5383,A2307,$P$2:$P$5383)</f>
        <v>53.809523809523441</v>
      </c>
      <c r="R2307" s="10">
        <f t="shared" ref="R2307:R2370" ca="1" si="338">O2307-N2307*H2307</f>
        <v>172.61904761904566</v>
      </c>
      <c r="S2307" s="10">
        <f t="shared" ref="S2307:S2370" ca="1" si="339">Q2307-R2307</f>
        <v>-118.80952380952222</v>
      </c>
      <c r="T2307" s="10">
        <f t="shared" ref="T2307:T2370" ca="1" si="340">S2307/N2307</f>
        <v>358.9928057553941</v>
      </c>
      <c r="U2307" s="10">
        <f t="shared" ref="U2307:U2370" ca="1" si="341">IF(OR(T2307&lt;250,T2307&gt;650),"OR",T2307)</f>
        <v>358.9928057553941</v>
      </c>
      <c r="V2307">
        <f t="shared" ref="V2307:V2370" si="342">IF(AND(E2307=1,G2307=0),2,IF(AND(F2307=1,G2307=0),3,IF(AND(E2307=1,G2307=1),5,IF(AND(F2307=1,G2307=1),6,IF(G2307=0,1,IF(G2307=1,4))))))</f>
        <v>2</v>
      </c>
    </row>
    <row r="2308" spans="1:22" x14ac:dyDescent="0.25">
      <c r="A2308">
        <v>257</v>
      </c>
      <c r="B2308">
        <v>3</v>
      </c>
      <c r="C2308">
        <v>20</v>
      </c>
      <c r="D2308">
        <v>1</v>
      </c>
      <c r="E2308">
        <v>1</v>
      </c>
      <c r="F2308">
        <v>0</v>
      </c>
      <c r="G2308">
        <v>0</v>
      </c>
      <c r="H2308">
        <v>450</v>
      </c>
      <c r="I2308">
        <f t="shared" si="334"/>
        <v>2304</v>
      </c>
      <c r="J2308" s="6">
        <f t="array" aca="1" ref="J2308:N2308" ca="1">TRANSPOSE(ols(OFFSET($C$2:$C$10,I2308,0),OFFSET($D$2:$H$10,I2308,0)))</f>
        <v>187.26190476190231</v>
      </c>
      <c r="K2308" s="6">
        <f ca="1"/>
        <v>-14.642857142856656</v>
      </c>
      <c r="L2308" s="6">
        <f ca="1"/>
        <v>-40.238095238094047</v>
      </c>
      <c r="M2308" s="6">
        <f ca="1"/>
        <v>22.619047619047478</v>
      </c>
      <c r="N2308" s="6">
        <f ca="1"/>
        <v>-0.330952380952378</v>
      </c>
      <c r="O2308" s="6">
        <f t="shared" ca="1" si="336"/>
        <v>23.69047619047555</v>
      </c>
      <c r="P2308" t="str">
        <f t="shared" si="335"/>
        <v>NA</v>
      </c>
      <c r="Q2308" s="10">
        <f t="shared" ca="1" si="337"/>
        <v>53.809523809523441</v>
      </c>
      <c r="R2308" s="10">
        <f t="shared" ca="1" si="338"/>
        <v>172.61904761904566</v>
      </c>
      <c r="S2308" s="10">
        <f t="shared" ca="1" si="339"/>
        <v>-118.80952380952222</v>
      </c>
      <c r="T2308" s="10">
        <f t="shared" ca="1" si="340"/>
        <v>358.9928057553941</v>
      </c>
      <c r="U2308" s="10">
        <f t="shared" ca="1" si="341"/>
        <v>358.9928057553941</v>
      </c>
      <c r="V2308">
        <f t="shared" si="342"/>
        <v>2</v>
      </c>
    </row>
    <row r="2309" spans="1:22" x14ac:dyDescent="0.25">
      <c r="A2309">
        <v>257</v>
      </c>
      <c r="B2309">
        <v>4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550</v>
      </c>
      <c r="I2309">
        <f t="shared" si="334"/>
        <v>2304</v>
      </c>
      <c r="J2309" s="6">
        <f t="array" aca="1" ref="J2309:N2309" ca="1">TRANSPOSE(ols(OFFSET($C$2:$C$10,I2309,0),OFFSET($D$2:$H$10,I2309,0)))</f>
        <v>187.26190476190231</v>
      </c>
      <c r="K2309" s="6">
        <f ca="1"/>
        <v>-14.642857142856656</v>
      </c>
      <c r="L2309" s="6">
        <f ca="1"/>
        <v>-40.238095238094047</v>
      </c>
      <c r="M2309" s="6">
        <f ca="1"/>
        <v>22.619047619047478</v>
      </c>
      <c r="N2309" s="6">
        <f ca="1"/>
        <v>-0.330952380952378</v>
      </c>
      <c r="O2309" s="6">
        <f t="shared" ca="1" si="336"/>
        <v>5.2380952380944166</v>
      </c>
      <c r="P2309" t="str">
        <f t="shared" si="335"/>
        <v>NA</v>
      </c>
      <c r="Q2309" s="10">
        <f t="shared" ca="1" si="337"/>
        <v>53.809523809523441</v>
      </c>
      <c r="R2309" s="10">
        <f t="shared" ca="1" si="338"/>
        <v>187.26190476190231</v>
      </c>
      <c r="S2309" s="10">
        <f t="shared" ca="1" si="339"/>
        <v>-133.45238095237886</v>
      </c>
      <c r="T2309" s="10">
        <f t="shared" ca="1" si="340"/>
        <v>403.23741007193973</v>
      </c>
      <c r="U2309" s="10">
        <f t="shared" ca="1" si="341"/>
        <v>403.23741007193973</v>
      </c>
      <c r="V2309">
        <f t="shared" si="342"/>
        <v>1</v>
      </c>
    </row>
    <row r="2310" spans="1:22" x14ac:dyDescent="0.25">
      <c r="A2310">
        <v>257</v>
      </c>
      <c r="B2310">
        <v>5</v>
      </c>
      <c r="C2310">
        <v>70</v>
      </c>
      <c r="D2310">
        <v>1</v>
      </c>
      <c r="E2310">
        <v>0</v>
      </c>
      <c r="F2310">
        <v>1</v>
      </c>
      <c r="G2310">
        <v>1</v>
      </c>
      <c r="H2310">
        <v>250</v>
      </c>
      <c r="I2310">
        <f t="shared" si="334"/>
        <v>2304</v>
      </c>
      <c r="J2310" s="6">
        <f t="array" aca="1" ref="J2310:N2310" ca="1">TRANSPOSE(ols(OFFSET($C$2:$C$10,I2310,0),OFFSET($D$2:$H$10,I2310,0)))</f>
        <v>187.26190476190231</v>
      </c>
      <c r="K2310" s="6">
        <f ca="1"/>
        <v>-14.642857142856656</v>
      </c>
      <c r="L2310" s="6">
        <f ca="1"/>
        <v>-40.238095238094047</v>
      </c>
      <c r="M2310" s="6">
        <f ca="1"/>
        <v>22.619047619047478</v>
      </c>
      <c r="N2310" s="6">
        <f ca="1"/>
        <v>-0.330952380952378</v>
      </c>
      <c r="O2310" s="6">
        <f t="shared" ca="1" si="336"/>
        <v>86.904761904761244</v>
      </c>
      <c r="P2310" t="str">
        <f t="shared" si="335"/>
        <v>NA</v>
      </c>
      <c r="Q2310" s="10">
        <f t="shared" ca="1" si="337"/>
        <v>53.809523809523441</v>
      </c>
      <c r="R2310" s="10">
        <f t="shared" ca="1" si="338"/>
        <v>169.64285714285575</v>
      </c>
      <c r="S2310" s="10">
        <f t="shared" ca="1" si="339"/>
        <v>-115.83333333333231</v>
      </c>
      <c r="T2310" s="10">
        <f t="shared" ca="1" si="340"/>
        <v>350</v>
      </c>
      <c r="U2310" s="10">
        <f t="shared" ca="1" si="341"/>
        <v>350</v>
      </c>
      <c r="V2310">
        <f t="shared" si="342"/>
        <v>6</v>
      </c>
    </row>
    <row r="2311" spans="1:22" x14ac:dyDescent="0.25">
      <c r="A2311">
        <v>257</v>
      </c>
      <c r="B2311">
        <v>6</v>
      </c>
      <c r="C2311">
        <v>70</v>
      </c>
      <c r="D2311">
        <v>1</v>
      </c>
      <c r="E2311">
        <v>0</v>
      </c>
      <c r="F2311">
        <v>1</v>
      </c>
      <c r="G2311">
        <v>1</v>
      </c>
      <c r="H2311">
        <v>350</v>
      </c>
      <c r="I2311">
        <f t="shared" si="334"/>
        <v>2304</v>
      </c>
      <c r="J2311" s="6">
        <f t="array" aca="1" ref="J2311:N2311" ca="1">TRANSPOSE(ols(OFFSET($C$2:$C$10,I2311,0),OFFSET($D$2:$H$10,I2311,0)))</f>
        <v>187.26190476190231</v>
      </c>
      <c r="K2311" s="6">
        <f ca="1"/>
        <v>-14.642857142856656</v>
      </c>
      <c r="L2311" s="6">
        <f ca="1"/>
        <v>-40.238095238094047</v>
      </c>
      <c r="M2311" s="6">
        <f ca="1"/>
        <v>22.619047619047478</v>
      </c>
      <c r="N2311" s="6">
        <f ca="1"/>
        <v>-0.330952380952378</v>
      </c>
      <c r="O2311" s="6">
        <f t="shared" ca="1" si="336"/>
        <v>53.809523809523441</v>
      </c>
      <c r="P2311">
        <f t="shared" ca="1" si="335"/>
        <v>53.809523809523441</v>
      </c>
      <c r="Q2311" s="10">
        <f t="shared" ca="1" si="337"/>
        <v>53.809523809523441</v>
      </c>
      <c r="R2311" s="10">
        <f t="shared" ca="1" si="338"/>
        <v>169.64285714285575</v>
      </c>
      <c r="S2311" s="10">
        <f t="shared" ca="1" si="339"/>
        <v>-115.83333333333231</v>
      </c>
      <c r="T2311" s="10">
        <f t="shared" ca="1" si="340"/>
        <v>350</v>
      </c>
      <c r="U2311" s="10">
        <f t="shared" ca="1" si="341"/>
        <v>350</v>
      </c>
      <c r="V2311">
        <f t="shared" si="342"/>
        <v>6</v>
      </c>
    </row>
    <row r="2312" spans="1:22" x14ac:dyDescent="0.25">
      <c r="A2312">
        <v>257</v>
      </c>
      <c r="B2312">
        <v>7</v>
      </c>
      <c r="C2312">
        <v>55</v>
      </c>
      <c r="D2312">
        <v>1</v>
      </c>
      <c r="E2312">
        <v>1</v>
      </c>
      <c r="F2312">
        <v>0</v>
      </c>
      <c r="G2312">
        <v>1</v>
      </c>
      <c r="H2312">
        <v>450</v>
      </c>
      <c r="I2312">
        <f t="shared" si="334"/>
        <v>2304</v>
      </c>
      <c r="J2312" s="6">
        <f t="array" aca="1" ref="J2312:N2312" ca="1">TRANSPOSE(ols(OFFSET($C$2:$C$10,I2312,0),OFFSET($D$2:$H$10,I2312,0)))</f>
        <v>187.26190476190231</v>
      </c>
      <c r="K2312" s="6">
        <f ca="1"/>
        <v>-14.642857142856656</v>
      </c>
      <c r="L2312" s="6">
        <f ca="1"/>
        <v>-40.238095238094047</v>
      </c>
      <c r="M2312" s="6">
        <f ca="1"/>
        <v>22.619047619047478</v>
      </c>
      <c r="N2312" s="6">
        <f ca="1"/>
        <v>-0.330952380952378</v>
      </c>
      <c r="O2312" s="6">
        <f t="shared" ca="1" si="336"/>
        <v>46.309523809523029</v>
      </c>
      <c r="P2312" t="str">
        <f t="shared" si="335"/>
        <v>NA</v>
      </c>
      <c r="Q2312" s="10">
        <f t="shared" ca="1" si="337"/>
        <v>53.809523809523441</v>
      </c>
      <c r="R2312" s="10">
        <f t="shared" ca="1" si="338"/>
        <v>195.23809523809314</v>
      </c>
      <c r="S2312" s="10">
        <f t="shared" ca="1" si="339"/>
        <v>-141.42857142856968</v>
      </c>
      <c r="T2312" s="10">
        <f t="shared" ca="1" si="340"/>
        <v>427.33812949640139</v>
      </c>
      <c r="U2312" s="10">
        <f t="shared" ca="1" si="341"/>
        <v>427.33812949640139</v>
      </c>
      <c r="V2312">
        <f t="shared" si="342"/>
        <v>5</v>
      </c>
    </row>
    <row r="2313" spans="1:22" x14ac:dyDescent="0.25">
      <c r="A2313">
        <v>257</v>
      </c>
      <c r="B2313">
        <v>8</v>
      </c>
      <c r="C2313">
        <v>0</v>
      </c>
      <c r="D2313">
        <v>1</v>
      </c>
      <c r="E2313">
        <v>1</v>
      </c>
      <c r="F2313">
        <v>0</v>
      </c>
      <c r="G2313">
        <v>1</v>
      </c>
      <c r="H2313">
        <v>550</v>
      </c>
      <c r="I2313">
        <f t="shared" si="334"/>
        <v>2304</v>
      </c>
      <c r="J2313" s="6">
        <f t="array" aca="1" ref="J2313:N2313" ca="1">TRANSPOSE(ols(OFFSET($C$2:$C$10,I2313,0),OFFSET($D$2:$H$10,I2313,0)))</f>
        <v>187.26190476190231</v>
      </c>
      <c r="K2313" s="6">
        <f ca="1"/>
        <v>-14.642857142856656</v>
      </c>
      <c r="L2313" s="6">
        <f ca="1"/>
        <v>-40.238095238094047</v>
      </c>
      <c r="M2313" s="6">
        <f ca="1"/>
        <v>22.619047619047478</v>
      </c>
      <c r="N2313" s="6">
        <f ca="1"/>
        <v>-0.330952380952378</v>
      </c>
      <c r="O2313" s="6">
        <f t="shared" ca="1" si="336"/>
        <v>13.214285714285239</v>
      </c>
      <c r="P2313" t="str">
        <f t="shared" si="335"/>
        <v>NA</v>
      </c>
      <c r="Q2313" s="10">
        <f t="shared" ca="1" si="337"/>
        <v>53.809523809523441</v>
      </c>
      <c r="R2313" s="10">
        <f t="shared" ca="1" si="338"/>
        <v>195.23809523809314</v>
      </c>
      <c r="S2313" s="10">
        <f t="shared" ca="1" si="339"/>
        <v>-141.42857142856968</v>
      </c>
      <c r="T2313" s="10">
        <f t="shared" ca="1" si="340"/>
        <v>427.33812949640139</v>
      </c>
      <c r="U2313" s="10">
        <f t="shared" ca="1" si="341"/>
        <v>427.33812949640139</v>
      </c>
      <c r="V2313">
        <f t="shared" si="342"/>
        <v>5</v>
      </c>
    </row>
    <row r="2314" spans="1:22" x14ac:dyDescent="0.25">
      <c r="A2314">
        <v>257</v>
      </c>
      <c r="B2314">
        <v>9</v>
      </c>
      <c r="C2314">
        <v>0</v>
      </c>
      <c r="D2314">
        <v>1</v>
      </c>
      <c r="E2314">
        <v>0</v>
      </c>
      <c r="F2314">
        <v>0</v>
      </c>
      <c r="G2314">
        <v>1</v>
      </c>
      <c r="H2314">
        <v>650</v>
      </c>
      <c r="I2314">
        <f t="shared" si="334"/>
        <v>2304</v>
      </c>
      <c r="J2314" s="6">
        <f t="array" aca="1" ref="J2314:N2314" ca="1">TRANSPOSE(ols(OFFSET($C$2:$C$10,I2314,0),OFFSET($D$2:$H$10,I2314,0)))</f>
        <v>187.26190476190231</v>
      </c>
      <c r="K2314" s="6">
        <f ca="1"/>
        <v>-14.642857142856656</v>
      </c>
      <c r="L2314" s="6">
        <f ca="1"/>
        <v>-40.238095238094047</v>
      </c>
      <c r="M2314" s="6">
        <f ca="1"/>
        <v>22.619047619047478</v>
      </c>
      <c r="N2314" s="6">
        <f ca="1"/>
        <v>-0.330952380952378</v>
      </c>
      <c r="O2314" s="6">
        <f t="shared" ca="1" si="336"/>
        <v>-5.2380952380958945</v>
      </c>
      <c r="P2314" t="str">
        <f t="shared" si="335"/>
        <v>NA</v>
      </c>
      <c r="Q2314" s="10">
        <f t="shared" ca="1" si="337"/>
        <v>53.809523809523441</v>
      </c>
      <c r="R2314" s="10">
        <f t="shared" ca="1" si="338"/>
        <v>209.88095238094979</v>
      </c>
      <c r="S2314" s="10">
        <f t="shared" ca="1" si="339"/>
        <v>-156.07142857142634</v>
      </c>
      <c r="T2314" s="10">
        <f t="shared" ca="1" si="340"/>
        <v>471.58273381294708</v>
      </c>
      <c r="U2314" s="10">
        <f t="shared" ca="1" si="341"/>
        <v>471.58273381294708</v>
      </c>
      <c r="V2314">
        <f t="shared" si="342"/>
        <v>4</v>
      </c>
    </row>
    <row r="2315" spans="1:22" x14ac:dyDescent="0.25">
      <c r="A2315">
        <v>258</v>
      </c>
      <c r="B2315">
        <v>1</v>
      </c>
      <c r="C2315">
        <v>40</v>
      </c>
      <c r="D2315">
        <v>1</v>
      </c>
      <c r="E2315">
        <v>0</v>
      </c>
      <c r="F2315">
        <v>1</v>
      </c>
      <c r="G2315">
        <v>0</v>
      </c>
      <c r="H2315">
        <v>250</v>
      </c>
      <c r="I2315">
        <f t="shared" si="334"/>
        <v>2313</v>
      </c>
      <c r="J2315" s="6">
        <f t="array" aca="1" ref="J2315:N2315" ca="1">TRANSPOSE(ols(OFFSET($C$2:$C$10,I2315,0),OFFSET($D$2:$H$10,I2315,0)))</f>
        <v>158.57142857142617</v>
      </c>
      <c r="K2315" s="6">
        <f ca="1"/>
        <v>-22.857142857142208</v>
      </c>
      <c r="L2315" s="6">
        <f ca="1"/>
        <v>-51.428571428570422</v>
      </c>
      <c r="M2315" s="6">
        <f ca="1"/>
        <v>25.714285714285552</v>
      </c>
      <c r="N2315" s="6">
        <f ca="1"/>
        <v>-0.28571428571428292</v>
      </c>
      <c r="O2315" s="6">
        <f t="shared" ca="1" si="336"/>
        <v>35.714285714285012</v>
      </c>
      <c r="P2315" t="str">
        <f t="shared" si="335"/>
        <v>NA</v>
      </c>
      <c r="Q2315" s="10">
        <f t="shared" ca="1" si="337"/>
        <v>32.857142857142279</v>
      </c>
      <c r="R2315" s="10">
        <f t="shared" ca="1" si="338"/>
        <v>107.14285714285575</v>
      </c>
      <c r="S2315" s="10">
        <f t="shared" ca="1" si="339"/>
        <v>-74.285714285713468</v>
      </c>
      <c r="T2315" s="10">
        <f t="shared" ca="1" si="340"/>
        <v>259.99999999999966</v>
      </c>
      <c r="U2315" s="10">
        <f t="shared" ca="1" si="341"/>
        <v>259.99999999999966</v>
      </c>
      <c r="V2315">
        <f t="shared" si="342"/>
        <v>3</v>
      </c>
    </row>
    <row r="2316" spans="1:22" x14ac:dyDescent="0.25">
      <c r="A2316">
        <v>258</v>
      </c>
      <c r="B2316">
        <v>2</v>
      </c>
      <c r="C2316">
        <v>40</v>
      </c>
      <c r="D2316">
        <v>1</v>
      </c>
      <c r="E2316">
        <v>1</v>
      </c>
      <c r="F2316">
        <v>0</v>
      </c>
      <c r="G2316">
        <v>0</v>
      </c>
      <c r="H2316">
        <v>350</v>
      </c>
      <c r="I2316">
        <f t="shared" ref="I2316:I2379" si="343">IF(A2316&gt;A2315,I2315+9,I2315)</f>
        <v>2313</v>
      </c>
      <c r="J2316" s="6">
        <f t="array" aca="1" ref="J2316:N2316" ca="1">TRANSPOSE(ols(OFFSET($C$2:$C$10,I2316,0),OFFSET($D$2:$H$10,I2316,0)))</f>
        <v>158.57142857142617</v>
      </c>
      <c r="K2316" s="6">
        <f ca="1"/>
        <v>-22.857142857142208</v>
      </c>
      <c r="L2316" s="6">
        <f ca="1"/>
        <v>-51.428571428570422</v>
      </c>
      <c r="M2316" s="6">
        <f ca="1"/>
        <v>25.714285714285552</v>
      </c>
      <c r="N2316" s="6">
        <f ca="1"/>
        <v>-0.28571428571428292</v>
      </c>
      <c r="O2316" s="6">
        <f t="shared" ca="1" si="336"/>
        <v>35.714285714284941</v>
      </c>
      <c r="P2316" t="str">
        <f t="shared" si="335"/>
        <v>NA</v>
      </c>
      <c r="Q2316" s="10">
        <f t="shared" ca="1" si="337"/>
        <v>32.857142857142279</v>
      </c>
      <c r="R2316" s="10">
        <f t="shared" ca="1" si="338"/>
        <v>135.71428571428396</v>
      </c>
      <c r="S2316" s="10">
        <f t="shared" ca="1" si="339"/>
        <v>-102.85714285714168</v>
      </c>
      <c r="T2316" s="10">
        <f t="shared" ca="1" si="340"/>
        <v>359.99999999999943</v>
      </c>
      <c r="U2316" s="10">
        <f t="shared" ca="1" si="341"/>
        <v>359.99999999999943</v>
      </c>
      <c r="V2316">
        <f t="shared" si="342"/>
        <v>2</v>
      </c>
    </row>
    <row r="2317" spans="1:22" x14ac:dyDescent="0.25">
      <c r="A2317">
        <v>258</v>
      </c>
      <c r="B2317">
        <v>3</v>
      </c>
      <c r="C2317">
        <v>0</v>
      </c>
      <c r="D2317">
        <v>1</v>
      </c>
      <c r="E2317">
        <v>1</v>
      </c>
      <c r="F2317">
        <v>0</v>
      </c>
      <c r="G2317">
        <v>0</v>
      </c>
      <c r="H2317">
        <v>450</v>
      </c>
      <c r="I2317">
        <f t="shared" si="343"/>
        <v>2313</v>
      </c>
      <c r="J2317" s="6">
        <f t="array" aca="1" ref="J2317:N2317" ca="1">TRANSPOSE(ols(OFFSET($C$2:$C$10,I2317,0),OFFSET($D$2:$H$10,I2317,0)))</f>
        <v>158.57142857142617</v>
      </c>
      <c r="K2317" s="6">
        <f ca="1"/>
        <v>-22.857142857142208</v>
      </c>
      <c r="L2317" s="6">
        <f ca="1"/>
        <v>-51.428571428570422</v>
      </c>
      <c r="M2317" s="6">
        <f ca="1"/>
        <v>25.714285714285552</v>
      </c>
      <c r="N2317" s="6">
        <f ca="1"/>
        <v>-0.28571428571428292</v>
      </c>
      <c r="O2317" s="6">
        <f t="shared" ca="1" si="336"/>
        <v>7.1428571428566556</v>
      </c>
      <c r="P2317" t="str">
        <f t="shared" si="335"/>
        <v>NA</v>
      </c>
      <c r="Q2317" s="10">
        <f t="shared" ca="1" si="337"/>
        <v>32.857142857142279</v>
      </c>
      <c r="R2317" s="10">
        <f t="shared" ca="1" si="338"/>
        <v>135.71428571428396</v>
      </c>
      <c r="S2317" s="10">
        <f t="shared" ca="1" si="339"/>
        <v>-102.85714285714168</v>
      </c>
      <c r="T2317" s="10">
        <f t="shared" ca="1" si="340"/>
        <v>359.99999999999943</v>
      </c>
      <c r="U2317" s="10">
        <f t="shared" ca="1" si="341"/>
        <v>359.99999999999943</v>
      </c>
      <c r="V2317">
        <f t="shared" si="342"/>
        <v>2</v>
      </c>
    </row>
    <row r="2318" spans="1:22" x14ac:dyDescent="0.25">
      <c r="A2318">
        <v>258</v>
      </c>
      <c r="B2318">
        <v>4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550</v>
      </c>
      <c r="I2318">
        <f t="shared" si="343"/>
        <v>2313</v>
      </c>
      <c r="J2318" s="6">
        <f t="array" aca="1" ref="J2318:N2318" ca="1">TRANSPOSE(ols(OFFSET($C$2:$C$10,I2318,0),OFFSET($D$2:$H$10,I2318,0)))</f>
        <v>158.57142857142617</v>
      </c>
      <c r="K2318" s="6">
        <f ca="1"/>
        <v>-22.857142857142208</v>
      </c>
      <c r="L2318" s="6">
        <f ca="1"/>
        <v>-51.428571428570422</v>
      </c>
      <c r="M2318" s="6">
        <f ca="1"/>
        <v>25.714285714285552</v>
      </c>
      <c r="N2318" s="6">
        <f ca="1"/>
        <v>-0.28571428571428292</v>
      </c>
      <c r="O2318" s="6">
        <f t="shared" ca="1" si="336"/>
        <v>1.4285714285705637</v>
      </c>
      <c r="P2318" t="str">
        <f t="shared" si="335"/>
        <v>NA</v>
      </c>
      <c r="Q2318" s="10">
        <f t="shared" ca="1" si="337"/>
        <v>32.857142857142279</v>
      </c>
      <c r="R2318" s="10">
        <f t="shared" ca="1" si="338"/>
        <v>158.57142857142617</v>
      </c>
      <c r="S2318" s="10">
        <f t="shared" ca="1" si="339"/>
        <v>-125.71428571428389</v>
      </c>
      <c r="T2318" s="10">
        <f t="shared" ca="1" si="340"/>
        <v>439.9999999999979</v>
      </c>
      <c r="U2318" s="10">
        <f t="shared" ca="1" si="341"/>
        <v>439.9999999999979</v>
      </c>
      <c r="V2318">
        <f t="shared" si="342"/>
        <v>1</v>
      </c>
    </row>
    <row r="2319" spans="1:22" x14ac:dyDescent="0.25">
      <c r="A2319">
        <v>258</v>
      </c>
      <c r="B2319">
        <v>5</v>
      </c>
      <c r="C2319">
        <v>50</v>
      </c>
      <c r="D2319">
        <v>1</v>
      </c>
      <c r="E2319">
        <v>0</v>
      </c>
      <c r="F2319">
        <v>1</v>
      </c>
      <c r="G2319">
        <v>1</v>
      </c>
      <c r="H2319">
        <v>250</v>
      </c>
      <c r="I2319">
        <f t="shared" si="343"/>
        <v>2313</v>
      </c>
      <c r="J2319" s="6">
        <f t="array" aca="1" ref="J2319:N2319" ca="1">TRANSPOSE(ols(OFFSET($C$2:$C$10,I2319,0),OFFSET($D$2:$H$10,I2319,0)))</f>
        <v>158.57142857142617</v>
      </c>
      <c r="K2319" s="6">
        <f ca="1"/>
        <v>-22.857142857142208</v>
      </c>
      <c r="L2319" s="6">
        <f ca="1"/>
        <v>-51.428571428570422</v>
      </c>
      <c r="M2319" s="6">
        <f ca="1"/>
        <v>25.714285714285552</v>
      </c>
      <c r="N2319" s="6">
        <f ca="1"/>
        <v>-0.28571428571428292</v>
      </c>
      <c r="O2319" s="6">
        <f t="shared" ca="1" si="336"/>
        <v>61.428571428570564</v>
      </c>
      <c r="P2319" t="str">
        <f t="shared" si="335"/>
        <v>NA</v>
      </c>
      <c r="Q2319" s="10">
        <f t="shared" ca="1" si="337"/>
        <v>32.857142857142279</v>
      </c>
      <c r="R2319" s="10">
        <f t="shared" ca="1" si="338"/>
        <v>132.8571428571413</v>
      </c>
      <c r="S2319" s="10">
        <f t="shared" ca="1" si="339"/>
        <v>-99.999999999999019</v>
      </c>
      <c r="T2319" s="10">
        <f t="shared" ca="1" si="340"/>
        <v>350</v>
      </c>
      <c r="U2319" s="10">
        <f t="shared" ca="1" si="341"/>
        <v>350</v>
      </c>
      <c r="V2319">
        <f t="shared" si="342"/>
        <v>6</v>
      </c>
    </row>
    <row r="2320" spans="1:22" x14ac:dyDescent="0.25">
      <c r="A2320">
        <v>258</v>
      </c>
      <c r="B2320">
        <v>6</v>
      </c>
      <c r="C2320">
        <v>40</v>
      </c>
      <c r="D2320">
        <v>1</v>
      </c>
      <c r="E2320">
        <v>0</v>
      </c>
      <c r="F2320">
        <v>1</v>
      </c>
      <c r="G2320">
        <v>1</v>
      </c>
      <c r="H2320">
        <v>350</v>
      </c>
      <c r="I2320">
        <f t="shared" si="343"/>
        <v>2313</v>
      </c>
      <c r="J2320" s="6">
        <f t="array" aca="1" ref="J2320:N2320" ca="1">TRANSPOSE(ols(OFFSET($C$2:$C$10,I2320,0),OFFSET($D$2:$H$10,I2320,0)))</f>
        <v>158.57142857142617</v>
      </c>
      <c r="K2320" s="6">
        <f ca="1"/>
        <v>-22.857142857142208</v>
      </c>
      <c r="L2320" s="6">
        <f ca="1"/>
        <v>-51.428571428570422</v>
      </c>
      <c r="M2320" s="6">
        <f ca="1"/>
        <v>25.714285714285552</v>
      </c>
      <c r="N2320" s="6">
        <f ca="1"/>
        <v>-0.28571428571428292</v>
      </c>
      <c r="O2320" s="6">
        <f t="shared" ca="1" si="336"/>
        <v>32.857142857142279</v>
      </c>
      <c r="P2320">
        <f t="shared" ca="1" si="335"/>
        <v>32.857142857142279</v>
      </c>
      <c r="Q2320" s="10">
        <f t="shared" ca="1" si="337"/>
        <v>32.857142857142279</v>
      </c>
      <c r="R2320" s="10">
        <f t="shared" ca="1" si="338"/>
        <v>132.8571428571413</v>
      </c>
      <c r="S2320" s="10">
        <f t="shared" ca="1" si="339"/>
        <v>-99.999999999999019</v>
      </c>
      <c r="T2320" s="10">
        <f t="shared" ca="1" si="340"/>
        <v>350</v>
      </c>
      <c r="U2320" s="10">
        <f t="shared" ca="1" si="341"/>
        <v>350</v>
      </c>
      <c r="V2320">
        <f t="shared" si="342"/>
        <v>6</v>
      </c>
    </row>
    <row r="2321" spans="1:22" x14ac:dyDescent="0.25">
      <c r="A2321">
        <v>258</v>
      </c>
      <c r="B2321">
        <v>7</v>
      </c>
      <c r="C2321">
        <v>40</v>
      </c>
      <c r="D2321">
        <v>1</v>
      </c>
      <c r="E2321">
        <v>1</v>
      </c>
      <c r="F2321">
        <v>0</v>
      </c>
      <c r="G2321">
        <v>1</v>
      </c>
      <c r="H2321">
        <v>450</v>
      </c>
      <c r="I2321">
        <f t="shared" si="343"/>
        <v>2313</v>
      </c>
      <c r="J2321" s="6">
        <f t="array" aca="1" ref="J2321:N2321" ca="1">TRANSPOSE(ols(OFFSET($C$2:$C$10,I2321,0),OFFSET($D$2:$H$10,I2321,0)))</f>
        <v>158.57142857142617</v>
      </c>
      <c r="K2321" s="6">
        <f ca="1"/>
        <v>-22.857142857142208</v>
      </c>
      <c r="L2321" s="6">
        <f ca="1"/>
        <v>-51.428571428570422</v>
      </c>
      <c r="M2321" s="6">
        <f ca="1"/>
        <v>25.714285714285552</v>
      </c>
      <c r="N2321" s="6">
        <f ca="1"/>
        <v>-0.28571428571428292</v>
      </c>
      <c r="O2321" s="6">
        <f t="shared" ca="1" si="336"/>
        <v>32.857142857142208</v>
      </c>
      <c r="P2321" t="str">
        <f t="shared" si="335"/>
        <v>NA</v>
      </c>
      <c r="Q2321" s="10">
        <f t="shared" ca="1" si="337"/>
        <v>32.857142857142279</v>
      </c>
      <c r="R2321" s="10">
        <f t="shared" ca="1" si="338"/>
        <v>161.42857142856951</v>
      </c>
      <c r="S2321" s="10">
        <f t="shared" ca="1" si="339"/>
        <v>-128.57142857142725</v>
      </c>
      <c r="T2321" s="10">
        <f t="shared" ca="1" si="340"/>
        <v>449.99999999999977</v>
      </c>
      <c r="U2321" s="10">
        <f t="shared" ca="1" si="341"/>
        <v>449.99999999999977</v>
      </c>
      <c r="V2321">
        <f t="shared" si="342"/>
        <v>5</v>
      </c>
    </row>
    <row r="2322" spans="1:22" x14ac:dyDescent="0.25">
      <c r="A2322">
        <v>258</v>
      </c>
      <c r="B2322">
        <v>8</v>
      </c>
      <c r="C2322">
        <v>0</v>
      </c>
      <c r="D2322">
        <v>1</v>
      </c>
      <c r="E2322">
        <v>1</v>
      </c>
      <c r="F2322">
        <v>0</v>
      </c>
      <c r="G2322">
        <v>1</v>
      </c>
      <c r="H2322">
        <v>550</v>
      </c>
      <c r="I2322">
        <f t="shared" si="343"/>
        <v>2313</v>
      </c>
      <c r="J2322" s="6">
        <f t="array" aca="1" ref="J2322:N2322" ca="1">TRANSPOSE(ols(OFFSET($C$2:$C$10,I2322,0),OFFSET($D$2:$H$10,I2322,0)))</f>
        <v>158.57142857142617</v>
      </c>
      <c r="K2322" s="6">
        <f ca="1"/>
        <v>-22.857142857142208</v>
      </c>
      <c r="L2322" s="6">
        <f ca="1"/>
        <v>-51.428571428570422</v>
      </c>
      <c r="M2322" s="6">
        <f ca="1"/>
        <v>25.714285714285552</v>
      </c>
      <c r="N2322" s="6">
        <f ca="1"/>
        <v>-0.28571428571428292</v>
      </c>
      <c r="O2322" s="6">
        <f t="shared" ca="1" si="336"/>
        <v>4.2857142857139081</v>
      </c>
      <c r="P2322" t="str">
        <f t="shared" si="335"/>
        <v>NA</v>
      </c>
      <c r="Q2322" s="10">
        <f t="shared" ca="1" si="337"/>
        <v>32.857142857142279</v>
      </c>
      <c r="R2322" s="10">
        <f t="shared" ca="1" si="338"/>
        <v>161.42857142856951</v>
      </c>
      <c r="S2322" s="10">
        <f t="shared" ca="1" si="339"/>
        <v>-128.57142857142725</v>
      </c>
      <c r="T2322" s="10">
        <f t="shared" ca="1" si="340"/>
        <v>449.99999999999977</v>
      </c>
      <c r="U2322" s="10">
        <f t="shared" ca="1" si="341"/>
        <v>449.99999999999977</v>
      </c>
      <c r="V2322">
        <f t="shared" si="342"/>
        <v>5</v>
      </c>
    </row>
    <row r="2323" spans="1:22" x14ac:dyDescent="0.25">
      <c r="A2323">
        <v>258</v>
      </c>
      <c r="B2323">
        <v>9</v>
      </c>
      <c r="C2323">
        <v>0</v>
      </c>
      <c r="D2323">
        <v>1</v>
      </c>
      <c r="E2323">
        <v>0</v>
      </c>
      <c r="F2323">
        <v>0</v>
      </c>
      <c r="G2323">
        <v>1</v>
      </c>
      <c r="H2323">
        <v>650</v>
      </c>
      <c r="I2323">
        <f t="shared" si="343"/>
        <v>2313</v>
      </c>
      <c r="J2323" s="6">
        <f t="array" aca="1" ref="J2323:N2323" ca="1">TRANSPOSE(ols(OFFSET($C$2:$C$10,I2323,0),OFFSET($D$2:$H$10,I2323,0)))</f>
        <v>158.57142857142617</v>
      </c>
      <c r="K2323" s="6">
        <f ca="1"/>
        <v>-22.857142857142208</v>
      </c>
      <c r="L2323" s="6">
        <f ca="1"/>
        <v>-51.428571428570422</v>
      </c>
      <c r="M2323" s="6">
        <f ca="1"/>
        <v>25.714285714285552</v>
      </c>
      <c r="N2323" s="6">
        <f ca="1"/>
        <v>-0.28571428571428292</v>
      </c>
      <c r="O2323" s="6">
        <f t="shared" ca="1" si="336"/>
        <v>-1.4285714285721838</v>
      </c>
      <c r="P2323" t="str">
        <f t="shared" si="335"/>
        <v>NA</v>
      </c>
      <c r="Q2323" s="10">
        <f t="shared" ca="1" si="337"/>
        <v>32.857142857142279</v>
      </c>
      <c r="R2323" s="10">
        <f t="shared" ca="1" si="338"/>
        <v>184.28571428571172</v>
      </c>
      <c r="S2323" s="10">
        <f t="shared" ca="1" si="339"/>
        <v>-151.42857142856946</v>
      </c>
      <c r="T2323" s="10">
        <f t="shared" ca="1" si="340"/>
        <v>529.99999999999829</v>
      </c>
      <c r="U2323" s="10">
        <f t="shared" ca="1" si="341"/>
        <v>529.99999999999829</v>
      </c>
      <c r="V2323">
        <f t="shared" si="342"/>
        <v>4</v>
      </c>
    </row>
    <row r="2324" spans="1:22" x14ac:dyDescent="0.25">
      <c r="A2324">
        <v>259</v>
      </c>
      <c r="B2324">
        <v>1</v>
      </c>
      <c r="C2324">
        <v>60</v>
      </c>
      <c r="D2324">
        <v>1</v>
      </c>
      <c r="E2324">
        <v>0</v>
      </c>
      <c r="F2324">
        <v>1</v>
      </c>
      <c r="G2324">
        <v>0</v>
      </c>
      <c r="H2324">
        <v>250</v>
      </c>
      <c r="I2324">
        <f t="shared" si="343"/>
        <v>2322</v>
      </c>
      <c r="J2324" s="6">
        <f t="array" aca="1" ref="J2324:N2324" ca="1">TRANSPOSE(ols(OFFSET($C$2:$C$10,I2324,0),OFFSET($D$2:$H$10,I2324,0)))</f>
        <v>79.047619047618355</v>
      </c>
      <c r="K2324" s="6">
        <f ca="1"/>
        <v>3.9285714285716722</v>
      </c>
      <c r="L2324" s="6">
        <f ca="1"/>
        <v>19.047619047619492</v>
      </c>
      <c r="M2324" s="6">
        <f ca="1"/>
        <v>-9.5238095238094616</v>
      </c>
      <c r="N2324" s="6">
        <f ca="1"/>
        <v>-0.12380952380952337</v>
      </c>
      <c r="O2324" s="6">
        <f t="shared" ca="1" si="336"/>
        <v>67.142857142856997</v>
      </c>
      <c r="P2324" t="str">
        <f t="shared" si="335"/>
        <v>NA</v>
      </c>
      <c r="Q2324" s="10">
        <f t="shared" ca="1" si="337"/>
        <v>45.238095238095205</v>
      </c>
      <c r="R2324" s="10">
        <f t="shared" ca="1" si="338"/>
        <v>98.095238095237846</v>
      </c>
      <c r="S2324" s="10">
        <f t="shared" ca="1" si="339"/>
        <v>-52.857142857142641</v>
      </c>
      <c r="T2324" s="10">
        <f t="shared" ca="1" si="340"/>
        <v>426.92307692307668</v>
      </c>
      <c r="U2324" s="10">
        <f t="shared" ca="1" si="341"/>
        <v>426.92307692307668</v>
      </c>
      <c r="V2324">
        <f t="shared" si="342"/>
        <v>3</v>
      </c>
    </row>
    <row r="2325" spans="1:22" x14ac:dyDescent="0.25">
      <c r="A2325">
        <v>259</v>
      </c>
      <c r="B2325">
        <v>2</v>
      </c>
      <c r="C2325">
        <v>50</v>
      </c>
      <c r="D2325">
        <v>1</v>
      </c>
      <c r="E2325">
        <v>1</v>
      </c>
      <c r="F2325">
        <v>0</v>
      </c>
      <c r="G2325">
        <v>0</v>
      </c>
      <c r="H2325">
        <v>350</v>
      </c>
      <c r="I2325">
        <f t="shared" si="343"/>
        <v>2322</v>
      </c>
      <c r="J2325" s="6">
        <f t="array" aca="1" ref="J2325:N2325" ca="1">TRANSPOSE(ols(OFFSET($C$2:$C$10,I2325,0),OFFSET($D$2:$H$10,I2325,0)))</f>
        <v>79.047619047618355</v>
      </c>
      <c r="K2325" s="6">
        <f ca="1"/>
        <v>3.9285714285716722</v>
      </c>
      <c r="L2325" s="6">
        <f ca="1"/>
        <v>19.047619047619492</v>
      </c>
      <c r="M2325" s="6">
        <f ca="1"/>
        <v>-9.5238095238094616</v>
      </c>
      <c r="N2325" s="6">
        <f ca="1"/>
        <v>-0.12380952380952337</v>
      </c>
      <c r="O2325" s="6">
        <f t="shared" ca="1" si="336"/>
        <v>39.642857142856847</v>
      </c>
      <c r="P2325" t="str">
        <f t="shared" si="335"/>
        <v>NA</v>
      </c>
      <c r="Q2325" s="10">
        <f t="shared" ca="1" si="337"/>
        <v>45.238095238095205</v>
      </c>
      <c r="R2325" s="10">
        <f t="shared" ca="1" si="338"/>
        <v>82.976190476190027</v>
      </c>
      <c r="S2325" s="10">
        <f t="shared" ca="1" si="339"/>
        <v>-37.738095238094822</v>
      </c>
      <c r="T2325" s="10">
        <f t="shared" ca="1" si="340"/>
        <v>304.80769230769005</v>
      </c>
      <c r="U2325" s="10">
        <f t="shared" ca="1" si="341"/>
        <v>304.80769230769005</v>
      </c>
      <c r="V2325">
        <f t="shared" si="342"/>
        <v>2</v>
      </c>
    </row>
    <row r="2326" spans="1:22" x14ac:dyDescent="0.25">
      <c r="A2326">
        <v>259</v>
      </c>
      <c r="B2326">
        <v>3</v>
      </c>
      <c r="C2326">
        <v>35</v>
      </c>
      <c r="D2326">
        <v>1</v>
      </c>
      <c r="E2326">
        <v>1</v>
      </c>
      <c r="F2326">
        <v>0</v>
      </c>
      <c r="G2326">
        <v>0</v>
      </c>
      <c r="H2326">
        <v>450</v>
      </c>
      <c r="I2326">
        <f t="shared" si="343"/>
        <v>2322</v>
      </c>
      <c r="J2326" s="6">
        <f t="array" aca="1" ref="J2326:N2326" ca="1">TRANSPOSE(ols(OFFSET($C$2:$C$10,I2326,0),OFFSET($D$2:$H$10,I2326,0)))</f>
        <v>79.047619047618355</v>
      </c>
      <c r="K2326" s="6">
        <f ca="1"/>
        <v>3.9285714285716722</v>
      </c>
      <c r="L2326" s="6">
        <f ca="1"/>
        <v>19.047619047619492</v>
      </c>
      <c r="M2326" s="6">
        <f ca="1"/>
        <v>-9.5238095238094616</v>
      </c>
      <c r="N2326" s="6">
        <f ca="1"/>
        <v>-0.12380952380952337</v>
      </c>
      <c r="O2326" s="6">
        <f t="shared" ca="1" si="336"/>
        <v>27.261904761904511</v>
      </c>
      <c r="P2326" t="str">
        <f t="shared" si="335"/>
        <v>NA</v>
      </c>
      <c r="Q2326" s="10">
        <f t="shared" ca="1" si="337"/>
        <v>45.238095238095205</v>
      </c>
      <c r="R2326" s="10">
        <f t="shared" ca="1" si="338"/>
        <v>82.976190476190027</v>
      </c>
      <c r="S2326" s="10">
        <f t="shared" ca="1" si="339"/>
        <v>-37.738095238094822</v>
      </c>
      <c r="T2326" s="10">
        <f t="shared" ca="1" si="340"/>
        <v>304.80769230769005</v>
      </c>
      <c r="U2326" s="10">
        <f t="shared" ca="1" si="341"/>
        <v>304.80769230769005</v>
      </c>
      <c r="V2326">
        <f t="shared" si="342"/>
        <v>2</v>
      </c>
    </row>
    <row r="2327" spans="1:22" x14ac:dyDescent="0.25">
      <c r="A2327">
        <v>259</v>
      </c>
      <c r="B2327">
        <v>4</v>
      </c>
      <c r="C2327">
        <v>0</v>
      </c>
      <c r="D2327">
        <v>1</v>
      </c>
      <c r="E2327">
        <v>0</v>
      </c>
      <c r="F2327">
        <v>0</v>
      </c>
      <c r="G2327">
        <v>0</v>
      </c>
      <c r="H2327">
        <v>550</v>
      </c>
      <c r="I2327">
        <f t="shared" si="343"/>
        <v>2322</v>
      </c>
      <c r="J2327" s="6">
        <f t="array" aca="1" ref="J2327:N2327" ca="1">TRANSPOSE(ols(OFFSET($C$2:$C$10,I2327,0),OFFSET($D$2:$H$10,I2327,0)))</f>
        <v>79.047619047618355</v>
      </c>
      <c r="K2327" s="6">
        <f ca="1"/>
        <v>3.9285714285716722</v>
      </c>
      <c r="L2327" s="6">
        <f ca="1"/>
        <v>19.047619047619492</v>
      </c>
      <c r="M2327" s="6">
        <f ca="1"/>
        <v>-9.5238095238094616</v>
      </c>
      <c r="N2327" s="6">
        <f ca="1"/>
        <v>-0.12380952380952337</v>
      </c>
      <c r="O2327" s="6">
        <f t="shared" ca="1" si="336"/>
        <v>10.952380952380508</v>
      </c>
      <c r="P2327" t="str">
        <f t="shared" si="335"/>
        <v>NA</v>
      </c>
      <c r="Q2327" s="10">
        <f t="shared" ca="1" si="337"/>
        <v>45.238095238095205</v>
      </c>
      <c r="R2327" s="10">
        <f t="shared" ca="1" si="338"/>
        <v>79.047619047618355</v>
      </c>
      <c r="S2327" s="10">
        <f t="shared" ca="1" si="339"/>
        <v>-33.809523809523149</v>
      </c>
      <c r="T2327" s="10">
        <f t="shared" ca="1" si="340"/>
        <v>273.07692307691872</v>
      </c>
      <c r="U2327" s="10">
        <f t="shared" ca="1" si="341"/>
        <v>273.07692307691872</v>
      </c>
      <c r="V2327">
        <f t="shared" si="342"/>
        <v>1</v>
      </c>
    </row>
    <row r="2328" spans="1:22" x14ac:dyDescent="0.25">
      <c r="A2328">
        <v>259</v>
      </c>
      <c r="B2328">
        <v>5</v>
      </c>
      <c r="C2328">
        <v>60</v>
      </c>
      <c r="D2328">
        <v>1</v>
      </c>
      <c r="E2328">
        <v>0</v>
      </c>
      <c r="F2328">
        <v>1</v>
      </c>
      <c r="G2328">
        <v>1</v>
      </c>
      <c r="H2328">
        <v>250</v>
      </c>
      <c r="I2328">
        <f t="shared" si="343"/>
        <v>2322</v>
      </c>
      <c r="J2328" s="6">
        <f t="array" aca="1" ref="J2328:N2328" ca="1">TRANSPOSE(ols(OFFSET($C$2:$C$10,I2328,0),OFFSET($D$2:$H$10,I2328,0)))</f>
        <v>79.047619047618355</v>
      </c>
      <c r="K2328" s="6">
        <f ca="1"/>
        <v>3.9285714285716722</v>
      </c>
      <c r="L2328" s="6">
        <f ca="1"/>
        <v>19.047619047619492</v>
      </c>
      <c r="M2328" s="6">
        <f ca="1"/>
        <v>-9.5238095238094616</v>
      </c>
      <c r="N2328" s="6">
        <f ca="1"/>
        <v>-0.12380952380952337</v>
      </c>
      <c r="O2328" s="6">
        <f t="shared" ca="1" si="336"/>
        <v>57.619047619047542</v>
      </c>
      <c r="P2328" t="str">
        <f t="shared" si="335"/>
        <v>NA</v>
      </c>
      <c r="Q2328" s="10">
        <f t="shared" ca="1" si="337"/>
        <v>45.238095238095205</v>
      </c>
      <c r="R2328" s="10">
        <f t="shared" ca="1" si="338"/>
        <v>88.571428571428385</v>
      </c>
      <c r="S2328" s="10">
        <f t="shared" ca="1" si="339"/>
        <v>-43.333333333333179</v>
      </c>
      <c r="T2328" s="10">
        <f t="shared" ca="1" si="340"/>
        <v>350</v>
      </c>
      <c r="U2328" s="10">
        <f t="shared" ca="1" si="341"/>
        <v>350</v>
      </c>
      <c r="V2328">
        <f t="shared" si="342"/>
        <v>6</v>
      </c>
    </row>
    <row r="2329" spans="1:22" x14ac:dyDescent="0.25">
      <c r="A2329">
        <v>259</v>
      </c>
      <c r="B2329">
        <v>6</v>
      </c>
      <c r="C2329">
        <v>50</v>
      </c>
      <c r="D2329">
        <v>1</v>
      </c>
      <c r="E2329">
        <v>0</v>
      </c>
      <c r="F2329">
        <v>1</v>
      </c>
      <c r="G2329">
        <v>1</v>
      </c>
      <c r="H2329">
        <v>350</v>
      </c>
      <c r="I2329">
        <f t="shared" si="343"/>
        <v>2322</v>
      </c>
      <c r="J2329" s="6">
        <f t="array" aca="1" ref="J2329:N2329" ca="1">TRANSPOSE(ols(OFFSET($C$2:$C$10,I2329,0),OFFSET($D$2:$H$10,I2329,0)))</f>
        <v>79.047619047618355</v>
      </c>
      <c r="K2329" s="6">
        <f ca="1"/>
        <v>3.9285714285716722</v>
      </c>
      <c r="L2329" s="6">
        <f ca="1"/>
        <v>19.047619047619492</v>
      </c>
      <c r="M2329" s="6">
        <f ca="1"/>
        <v>-9.5238095238094616</v>
      </c>
      <c r="N2329" s="6">
        <f ca="1"/>
        <v>-0.12380952380952337</v>
      </c>
      <c r="O2329" s="6">
        <f t="shared" ca="1" si="336"/>
        <v>45.238095238095205</v>
      </c>
      <c r="P2329">
        <f t="shared" ca="1" si="335"/>
        <v>45.238095238095205</v>
      </c>
      <c r="Q2329" s="10">
        <f t="shared" ca="1" si="337"/>
        <v>45.238095238095205</v>
      </c>
      <c r="R2329" s="10">
        <f t="shared" ca="1" si="338"/>
        <v>88.571428571428385</v>
      </c>
      <c r="S2329" s="10">
        <f t="shared" ca="1" si="339"/>
        <v>-43.333333333333179</v>
      </c>
      <c r="T2329" s="10">
        <f t="shared" ca="1" si="340"/>
        <v>350</v>
      </c>
      <c r="U2329" s="10">
        <f t="shared" ca="1" si="341"/>
        <v>350</v>
      </c>
      <c r="V2329">
        <f t="shared" si="342"/>
        <v>6</v>
      </c>
    </row>
    <row r="2330" spans="1:22" x14ac:dyDescent="0.25">
      <c r="A2330">
        <v>259</v>
      </c>
      <c r="B2330">
        <v>7</v>
      </c>
      <c r="C2330">
        <v>5</v>
      </c>
      <c r="D2330">
        <v>1</v>
      </c>
      <c r="E2330">
        <v>1</v>
      </c>
      <c r="F2330">
        <v>0</v>
      </c>
      <c r="G2330">
        <v>1</v>
      </c>
      <c r="H2330">
        <v>450</v>
      </c>
      <c r="I2330">
        <f t="shared" si="343"/>
        <v>2322</v>
      </c>
      <c r="J2330" s="6">
        <f t="array" aca="1" ref="J2330:N2330" ca="1">TRANSPOSE(ols(OFFSET($C$2:$C$10,I2330,0),OFFSET($D$2:$H$10,I2330,0)))</f>
        <v>79.047619047618355</v>
      </c>
      <c r="K2330" s="6">
        <f ca="1"/>
        <v>3.9285714285716722</v>
      </c>
      <c r="L2330" s="6">
        <f ca="1"/>
        <v>19.047619047619492</v>
      </c>
      <c r="M2330" s="6">
        <f ca="1"/>
        <v>-9.5238095238094616</v>
      </c>
      <c r="N2330" s="6">
        <f ca="1"/>
        <v>-0.12380952380952337</v>
      </c>
      <c r="O2330" s="6">
        <f t="shared" ca="1" si="336"/>
        <v>17.738095238095049</v>
      </c>
      <c r="P2330" t="str">
        <f t="shared" si="335"/>
        <v>NA</v>
      </c>
      <c r="Q2330" s="10">
        <f t="shared" ca="1" si="337"/>
        <v>45.238095238095205</v>
      </c>
      <c r="R2330" s="10">
        <f t="shared" ca="1" si="338"/>
        <v>73.452380952380565</v>
      </c>
      <c r="S2330" s="10">
        <f t="shared" ca="1" si="339"/>
        <v>-28.21428571428536</v>
      </c>
      <c r="T2330" s="10">
        <f t="shared" ca="1" si="340"/>
        <v>227.88461538461334</v>
      </c>
      <c r="U2330" s="10" t="str">
        <f t="shared" ca="1" si="341"/>
        <v>OR</v>
      </c>
      <c r="V2330">
        <f t="shared" si="342"/>
        <v>5</v>
      </c>
    </row>
    <row r="2331" spans="1:22" x14ac:dyDescent="0.25">
      <c r="A2331">
        <v>259</v>
      </c>
      <c r="B2331">
        <v>8</v>
      </c>
      <c r="C2331">
        <v>0</v>
      </c>
      <c r="D2331">
        <v>1</v>
      </c>
      <c r="E2331">
        <v>1</v>
      </c>
      <c r="F2331">
        <v>0</v>
      </c>
      <c r="G2331">
        <v>1</v>
      </c>
      <c r="H2331">
        <v>550</v>
      </c>
      <c r="I2331">
        <f t="shared" si="343"/>
        <v>2322</v>
      </c>
      <c r="J2331" s="6">
        <f t="array" aca="1" ref="J2331:N2331" ca="1">TRANSPOSE(ols(OFFSET($C$2:$C$10,I2331,0),OFFSET($D$2:$H$10,I2331,0)))</f>
        <v>79.047619047618355</v>
      </c>
      <c r="K2331" s="6">
        <f ca="1"/>
        <v>3.9285714285716722</v>
      </c>
      <c r="L2331" s="6">
        <f ca="1"/>
        <v>19.047619047619492</v>
      </c>
      <c r="M2331" s="6">
        <f ca="1"/>
        <v>-9.5238095238094616</v>
      </c>
      <c r="N2331" s="6">
        <f ca="1"/>
        <v>-0.12380952380952337</v>
      </c>
      <c r="O2331" s="6">
        <f t="shared" ca="1" si="336"/>
        <v>5.3571428571427191</v>
      </c>
      <c r="P2331" t="str">
        <f t="shared" si="335"/>
        <v>NA</v>
      </c>
      <c r="Q2331" s="10">
        <f t="shared" ca="1" si="337"/>
        <v>45.238095238095205</v>
      </c>
      <c r="R2331" s="10">
        <f t="shared" ca="1" si="338"/>
        <v>73.452380952380565</v>
      </c>
      <c r="S2331" s="10">
        <f t="shared" ca="1" si="339"/>
        <v>-28.21428571428536</v>
      </c>
      <c r="T2331" s="10">
        <f t="shared" ca="1" si="340"/>
        <v>227.88461538461334</v>
      </c>
      <c r="U2331" s="10" t="str">
        <f t="shared" ca="1" si="341"/>
        <v>OR</v>
      </c>
      <c r="V2331">
        <f t="shared" si="342"/>
        <v>5</v>
      </c>
    </row>
    <row r="2332" spans="1:22" x14ac:dyDescent="0.25">
      <c r="A2332">
        <v>259</v>
      </c>
      <c r="B2332">
        <v>9</v>
      </c>
      <c r="C2332">
        <v>0</v>
      </c>
      <c r="D2332">
        <v>1</v>
      </c>
      <c r="E2332">
        <v>0</v>
      </c>
      <c r="F2332">
        <v>0</v>
      </c>
      <c r="G2332">
        <v>1</v>
      </c>
      <c r="H2332">
        <v>650</v>
      </c>
      <c r="I2332">
        <f t="shared" si="343"/>
        <v>2322</v>
      </c>
      <c r="J2332" s="6">
        <f t="array" aca="1" ref="J2332:N2332" ca="1">TRANSPOSE(ols(OFFSET($C$2:$C$10,I2332,0),OFFSET($D$2:$H$10,I2332,0)))</f>
        <v>79.047619047618355</v>
      </c>
      <c r="K2332" s="6">
        <f ca="1"/>
        <v>3.9285714285716722</v>
      </c>
      <c r="L2332" s="6">
        <f ca="1"/>
        <v>19.047619047619492</v>
      </c>
      <c r="M2332" s="6">
        <f ca="1"/>
        <v>-9.5238095238094616</v>
      </c>
      <c r="N2332" s="6">
        <f ca="1"/>
        <v>-0.12380952380952337</v>
      </c>
      <c r="O2332" s="6">
        <f t="shared" ca="1" si="336"/>
        <v>-10.952380952381304</v>
      </c>
      <c r="P2332" t="str">
        <f t="shared" si="335"/>
        <v>NA</v>
      </c>
      <c r="Q2332" s="10">
        <f t="shared" ca="1" si="337"/>
        <v>45.238095238095205</v>
      </c>
      <c r="R2332" s="10">
        <f t="shared" ca="1" si="338"/>
        <v>69.523809523808893</v>
      </c>
      <c r="S2332" s="10">
        <f t="shared" ca="1" si="339"/>
        <v>-24.285714285713688</v>
      </c>
      <c r="T2332" s="10">
        <f t="shared" ca="1" si="340"/>
        <v>196.15384615384201</v>
      </c>
      <c r="U2332" s="10" t="str">
        <f t="shared" ca="1" si="341"/>
        <v>OR</v>
      </c>
      <c r="V2332">
        <f t="shared" si="342"/>
        <v>4</v>
      </c>
    </row>
    <row r="2333" spans="1:22" x14ac:dyDescent="0.25">
      <c r="A2333">
        <v>260</v>
      </c>
      <c r="B2333">
        <v>1</v>
      </c>
      <c r="C2333">
        <v>72.5</v>
      </c>
      <c r="D2333">
        <v>1</v>
      </c>
      <c r="E2333">
        <v>0</v>
      </c>
      <c r="F2333">
        <v>1</v>
      </c>
      <c r="G2333">
        <v>0</v>
      </c>
      <c r="H2333">
        <v>250</v>
      </c>
      <c r="I2333">
        <f t="shared" si="343"/>
        <v>2331</v>
      </c>
      <c r="J2333" s="6">
        <f t="array" aca="1" ref="J2333:N2333" ca="1">TRANSPOSE(ols(OFFSET($C$2:$C$10,I2333,0),OFFSET($D$2:$H$10,I2333,0)))</f>
        <v>102.49999999999818</v>
      </c>
      <c r="K2333" s="6">
        <f ca="1"/>
        <v>1.25</v>
      </c>
      <c r="L2333" s="6">
        <f ca="1"/>
        <v>-10.000000000000909</v>
      </c>
      <c r="M2333" s="6">
        <f ca="1"/>
        <v>15.000000000000227</v>
      </c>
      <c r="N2333" s="6">
        <f ca="1"/>
        <v>-0.1000000000000032</v>
      </c>
      <c r="O2333" s="6">
        <f t="shared" ca="1" si="336"/>
        <v>67.499999999996476</v>
      </c>
      <c r="P2333" t="str">
        <f t="shared" si="335"/>
        <v>NA</v>
      </c>
      <c r="Q2333" s="10">
        <f t="shared" ca="1" si="337"/>
        <v>72.499999999996376</v>
      </c>
      <c r="R2333" s="10">
        <f t="shared" ca="1" si="338"/>
        <v>92.499999999997272</v>
      </c>
      <c r="S2333" s="10">
        <f t="shared" ca="1" si="339"/>
        <v>-20.000000000000895</v>
      </c>
      <c r="T2333" s="10">
        <f t="shared" ca="1" si="340"/>
        <v>200.00000000000256</v>
      </c>
      <c r="U2333" s="10" t="str">
        <f t="shared" ca="1" si="341"/>
        <v>OR</v>
      </c>
      <c r="V2333">
        <f t="shared" si="342"/>
        <v>3</v>
      </c>
    </row>
    <row r="2334" spans="1:22" x14ac:dyDescent="0.25">
      <c r="A2334">
        <v>260</v>
      </c>
      <c r="B2334">
        <v>2</v>
      </c>
      <c r="C2334">
        <v>75</v>
      </c>
      <c r="D2334">
        <v>1</v>
      </c>
      <c r="E2334">
        <v>1</v>
      </c>
      <c r="F2334">
        <v>0</v>
      </c>
      <c r="G2334">
        <v>0</v>
      </c>
      <c r="H2334">
        <v>350</v>
      </c>
      <c r="I2334">
        <f t="shared" si="343"/>
        <v>2331</v>
      </c>
      <c r="J2334" s="6">
        <f t="array" aca="1" ref="J2334:N2334" ca="1">TRANSPOSE(ols(OFFSET($C$2:$C$10,I2334,0),OFFSET($D$2:$H$10,I2334,0)))</f>
        <v>102.49999999999818</v>
      </c>
      <c r="K2334" s="6">
        <f ca="1"/>
        <v>1.25</v>
      </c>
      <c r="L2334" s="6">
        <f ca="1"/>
        <v>-10.000000000000909</v>
      </c>
      <c r="M2334" s="6">
        <f ca="1"/>
        <v>15.000000000000227</v>
      </c>
      <c r="N2334" s="6">
        <f ca="1"/>
        <v>-0.1000000000000032</v>
      </c>
      <c r="O2334" s="6">
        <f t="shared" ca="1" si="336"/>
        <v>68.749999999997058</v>
      </c>
      <c r="P2334" t="str">
        <f t="shared" ref="P2334:P2397" si="344">IF(AND(F2334=1,G2334=1,H2334=350),O2334,"NA")</f>
        <v>NA</v>
      </c>
      <c r="Q2334" s="10">
        <f t="shared" ca="1" si="337"/>
        <v>72.499999999996376</v>
      </c>
      <c r="R2334" s="10">
        <f t="shared" ca="1" si="338"/>
        <v>103.74999999999818</v>
      </c>
      <c r="S2334" s="10">
        <f t="shared" ca="1" si="339"/>
        <v>-31.250000000001805</v>
      </c>
      <c r="T2334" s="10">
        <f t="shared" ca="1" si="340"/>
        <v>312.50000000000807</v>
      </c>
      <c r="U2334" s="10">
        <f t="shared" ca="1" si="341"/>
        <v>312.50000000000807</v>
      </c>
      <c r="V2334">
        <f t="shared" si="342"/>
        <v>2</v>
      </c>
    </row>
    <row r="2335" spans="1:22" x14ac:dyDescent="0.25">
      <c r="A2335">
        <v>260</v>
      </c>
      <c r="B2335">
        <v>3</v>
      </c>
      <c r="C2335">
        <v>57.5</v>
      </c>
      <c r="D2335">
        <v>1</v>
      </c>
      <c r="E2335">
        <v>1</v>
      </c>
      <c r="F2335">
        <v>0</v>
      </c>
      <c r="G2335">
        <v>0</v>
      </c>
      <c r="H2335">
        <v>450</v>
      </c>
      <c r="I2335">
        <f t="shared" si="343"/>
        <v>2331</v>
      </c>
      <c r="J2335" s="6">
        <f t="array" aca="1" ref="J2335:N2335" ca="1">TRANSPOSE(ols(OFFSET($C$2:$C$10,I2335,0),OFFSET($D$2:$H$10,I2335,0)))</f>
        <v>102.49999999999818</v>
      </c>
      <c r="K2335" s="6">
        <f ca="1"/>
        <v>1.25</v>
      </c>
      <c r="L2335" s="6">
        <f ca="1"/>
        <v>-10.000000000000909</v>
      </c>
      <c r="M2335" s="6">
        <f ca="1"/>
        <v>15.000000000000227</v>
      </c>
      <c r="N2335" s="6">
        <f ca="1"/>
        <v>-0.1000000000000032</v>
      </c>
      <c r="O2335" s="6">
        <f t="shared" ca="1" si="336"/>
        <v>58.749999999996746</v>
      </c>
      <c r="P2335" t="str">
        <f t="shared" si="344"/>
        <v>NA</v>
      </c>
      <c r="Q2335" s="10">
        <f t="shared" ca="1" si="337"/>
        <v>72.499999999996376</v>
      </c>
      <c r="R2335" s="10">
        <f t="shared" ca="1" si="338"/>
        <v>103.74999999999818</v>
      </c>
      <c r="S2335" s="10">
        <f t="shared" ca="1" si="339"/>
        <v>-31.250000000001805</v>
      </c>
      <c r="T2335" s="10">
        <f t="shared" ca="1" si="340"/>
        <v>312.50000000000807</v>
      </c>
      <c r="U2335" s="10">
        <f t="shared" ca="1" si="341"/>
        <v>312.50000000000807</v>
      </c>
      <c r="V2335">
        <f t="shared" si="342"/>
        <v>2</v>
      </c>
    </row>
    <row r="2336" spans="1:22" x14ac:dyDescent="0.25">
      <c r="A2336">
        <v>260</v>
      </c>
      <c r="B2336">
        <v>4</v>
      </c>
      <c r="C2336">
        <v>37.5</v>
      </c>
      <c r="D2336">
        <v>1</v>
      </c>
      <c r="E2336">
        <v>0</v>
      </c>
      <c r="F2336">
        <v>0</v>
      </c>
      <c r="G2336">
        <v>0</v>
      </c>
      <c r="H2336">
        <v>550</v>
      </c>
      <c r="I2336">
        <f t="shared" si="343"/>
        <v>2331</v>
      </c>
      <c r="J2336" s="6">
        <f t="array" aca="1" ref="J2336:N2336" ca="1">TRANSPOSE(ols(OFFSET($C$2:$C$10,I2336,0),OFFSET($D$2:$H$10,I2336,0)))</f>
        <v>102.49999999999818</v>
      </c>
      <c r="K2336" s="6">
        <f ca="1"/>
        <v>1.25</v>
      </c>
      <c r="L2336" s="6">
        <f ca="1"/>
        <v>-10.000000000000909</v>
      </c>
      <c r="M2336" s="6">
        <f ca="1"/>
        <v>15.000000000000227</v>
      </c>
      <c r="N2336" s="6">
        <f ca="1"/>
        <v>-0.1000000000000032</v>
      </c>
      <c r="O2336" s="6">
        <f t="shared" ca="1" si="336"/>
        <v>47.499999999996419</v>
      </c>
      <c r="P2336" t="str">
        <f t="shared" si="344"/>
        <v>NA</v>
      </c>
      <c r="Q2336" s="10">
        <f t="shared" ca="1" si="337"/>
        <v>72.499999999996376</v>
      </c>
      <c r="R2336" s="10">
        <f t="shared" ca="1" si="338"/>
        <v>102.49999999999818</v>
      </c>
      <c r="S2336" s="10">
        <f t="shared" ca="1" si="339"/>
        <v>-30.000000000001805</v>
      </c>
      <c r="T2336" s="10">
        <f t="shared" ca="1" si="340"/>
        <v>300.00000000000847</v>
      </c>
      <c r="U2336" s="10">
        <f t="shared" ca="1" si="341"/>
        <v>300.00000000000847</v>
      </c>
      <c r="V2336">
        <f t="shared" si="342"/>
        <v>1</v>
      </c>
    </row>
    <row r="2337" spans="1:22" x14ac:dyDescent="0.25">
      <c r="A2337">
        <v>260</v>
      </c>
      <c r="B2337">
        <v>5</v>
      </c>
      <c r="C2337">
        <v>80</v>
      </c>
      <c r="D2337">
        <v>1</v>
      </c>
      <c r="E2337">
        <v>0</v>
      </c>
      <c r="F2337">
        <v>1</v>
      </c>
      <c r="G2337">
        <v>1</v>
      </c>
      <c r="H2337">
        <v>250</v>
      </c>
      <c r="I2337">
        <f t="shared" si="343"/>
        <v>2331</v>
      </c>
      <c r="J2337" s="6">
        <f t="array" aca="1" ref="J2337:N2337" ca="1">TRANSPOSE(ols(OFFSET($C$2:$C$10,I2337,0),OFFSET($D$2:$H$10,I2337,0)))</f>
        <v>102.49999999999818</v>
      </c>
      <c r="K2337" s="6">
        <f ca="1"/>
        <v>1.25</v>
      </c>
      <c r="L2337" s="6">
        <f ca="1"/>
        <v>-10.000000000000909</v>
      </c>
      <c r="M2337" s="6">
        <f ca="1"/>
        <v>15.000000000000227</v>
      </c>
      <c r="N2337" s="6">
        <f ca="1"/>
        <v>-0.1000000000000032</v>
      </c>
      <c r="O2337" s="6">
        <f t="shared" ca="1" si="336"/>
        <v>82.499999999996703</v>
      </c>
      <c r="P2337" t="str">
        <f t="shared" si="344"/>
        <v>NA</v>
      </c>
      <c r="Q2337" s="10">
        <f t="shared" ca="1" si="337"/>
        <v>72.499999999996376</v>
      </c>
      <c r="R2337" s="10">
        <f t="shared" ca="1" si="338"/>
        <v>107.4999999999975</v>
      </c>
      <c r="S2337" s="10">
        <f t="shared" ca="1" si="339"/>
        <v>-35.000000000001123</v>
      </c>
      <c r="T2337" s="10">
        <f t="shared" ca="1" si="340"/>
        <v>350.00000000000006</v>
      </c>
      <c r="U2337" s="10">
        <f t="shared" ca="1" si="341"/>
        <v>350.00000000000006</v>
      </c>
      <c r="V2337">
        <f t="shared" si="342"/>
        <v>6</v>
      </c>
    </row>
    <row r="2338" spans="1:22" x14ac:dyDescent="0.25">
      <c r="A2338">
        <v>260</v>
      </c>
      <c r="B2338">
        <v>6</v>
      </c>
      <c r="C2338">
        <v>70</v>
      </c>
      <c r="D2338">
        <v>1</v>
      </c>
      <c r="E2338">
        <v>0</v>
      </c>
      <c r="F2338">
        <v>1</v>
      </c>
      <c r="G2338">
        <v>1</v>
      </c>
      <c r="H2338">
        <v>350</v>
      </c>
      <c r="I2338">
        <f t="shared" si="343"/>
        <v>2331</v>
      </c>
      <c r="J2338" s="6">
        <f t="array" aca="1" ref="J2338:N2338" ca="1">TRANSPOSE(ols(OFFSET($C$2:$C$10,I2338,0),OFFSET($D$2:$H$10,I2338,0)))</f>
        <v>102.49999999999818</v>
      </c>
      <c r="K2338" s="6">
        <f ca="1"/>
        <v>1.25</v>
      </c>
      <c r="L2338" s="6">
        <f ca="1"/>
        <v>-10.000000000000909</v>
      </c>
      <c r="M2338" s="6">
        <f ca="1"/>
        <v>15.000000000000227</v>
      </c>
      <c r="N2338" s="6">
        <f ca="1"/>
        <v>-0.1000000000000032</v>
      </c>
      <c r="O2338" s="6">
        <f t="shared" ca="1" si="336"/>
        <v>72.499999999996376</v>
      </c>
      <c r="P2338">
        <f t="shared" ca="1" si="344"/>
        <v>72.499999999996376</v>
      </c>
      <c r="Q2338" s="10">
        <f t="shared" ca="1" si="337"/>
        <v>72.499999999996376</v>
      </c>
      <c r="R2338" s="10">
        <f t="shared" ca="1" si="338"/>
        <v>107.4999999999975</v>
      </c>
      <c r="S2338" s="10">
        <f t="shared" ca="1" si="339"/>
        <v>-35.000000000001123</v>
      </c>
      <c r="T2338" s="10">
        <f t="shared" ca="1" si="340"/>
        <v>350.00000000000006</v>
      </c>
      <c r="U2338" s="10">
        <f t="shared" ca="1" si="341"/>
        <v>350.00000000000006</v>
      </c>
      <c r="V2338">
        <f t="shared" si="342"/>
        <v>6</v>
      </c>
    </row>
    <row r="2339" spans="1:22" x14ac:dyDescent="0.25">
      <c r="A2339">
        <v>260</v>
      </c>
      <c r="B2339">
        <v>7</v>
      </c>
      <c r="C2339">
        <v>70</v>
      </c>
      <c r="D2339">
        <v>1</v>
      </c>
      <c r="E2339">
        <v>1</v>
      </c>
      <c r="F2339">
        <v>0</v>
      </c>
      <c r="G2339">
        <v>1</v>
      </c>
      <c r="H2339">
        <v>450</v>
      </c>
      <c r="I2339">
        <f t="shared" si="343"/>
        <v>2331</v>
      </c>
      <c r="J2339" s="6">
        <f t="array" aca="1" ref="J2339:N2339" ca="1">TRANSPOSE(ols(OFFSET($C$2:$C$10,I2339,0),OFFSET($D$2:$H$10,I2339,0)))</f>
        <v>102.49999999999818</v>
      </c>
      <c r="K2339" s="6">
        <f ca="1"/>
        <v>1.25</v>
      </c>
      <c r="L2339" s="6">
        <f ca="1"/>
        <v>-10.000000000000909</v>
      </c>
      <c r="M2339" s="6">
        <f ca="1"/>
        <v>15.000000000000227</v>
      </c>
      <c r="N2339" s="6">
        <f ca="1"/>
        <v>-0.1000000000000032</v>
      </c>
      <c r="O2339" s="6">
        <f t="shared" ca="1" si="336"/>
        <v>73.749999999996973</v>
      </c>
      <c r="P2339" t="str">
        <f t="shared" si="344"/>
        <v>NA</v>
      </c>
      <c r="Q2339" s="10">
        <f t="shared" ca="1" si="337"/>
        <v>72.499999999996376</v>
      </c>
      <c r="R2339" s="10">
        <f t="shared" ca="1" si="338"/>
        <v>118.74999999999841</v>
      </c>
      <c r="S2339" s="10">
        <f t="shared" ca="1" si="339"/>
        <v>-46.250000000002032</v>
      </c>
      <c r="T2339" s="10">
        <f t="shared" ca="1" si="340"/>
        <v>462.50000000000551</v>
      </c>
      <c r="U2339" s="10">
        <f t="shared" ca="1" si="341"/>
        <v>462.50000000000551</v>
      </c>
      <c r="V2339">
        <f t="shared" si="342"/>
        <v>5</v>
      </c>
    </row>
    <row r="2340" spans="1:22" x14ac:dyDescent="0.25">
      <c r="A2340">
        <v>260</v>
      </c>
      <c r="B2340">
        <v>8</v>
      </c>
      <c r="C2340">
        <v>62.5</v>
      </c>
      <c r="D2340">
        <v>1</v>
      </c>
      <c r="E2340">
        <v>1</v>
      </c>
      <c r="F2340">
        <v>0</v>
      </c>
      <c r="G2340">
        <v>1</v>
      </c>
      <c r="H2340">
        <v>550</v>
      </c>
      <c r="I2340">
        <f t="shared" si="343"/>
        <v>2331</v>
      </c>
      <c r="J2340" s="6">
        <f t="array" aca="1" ref="J2340:N2340" ca="1">TRANSPOSE(ols(OFFSET($C$2:$C$10,I2340,0),OFFSET($D$2:$H$10,I2340,0)))</f>
        <v>102.49999999999818</v>
      </c>
      <c r="K2340" s="6">
        <f ca="1"/>
        <v>1.25</v>
      </c>
      <c r="L2340" s="6">
        <f ca="1"/>
        <v>-10.000000000000909</v>
      </c>
      <c r="M2340" s="6">
        <f ca="1"/>
        <v>15.000000000000227</v>
      </c>
      <c r="N2340" s="6">
        <f ca="1"/>
        <v>-0.1000000000000032</v>
      </c>
      <c r="O2340" s="6">
        <f t="shared" ca="1" si="336"/>
        <v>63.749999999996646</v>
      </c>
      <c r="P2340" t="str">
        <f t="shared" si="344"/>
        <v>NA</v>
      </c>
      <c r="Q2340" s="10">
        <f t="shared" ca="1" si="337"/>
        <v>72.499999999996376</v>
      </c>
      <c r="R2340" s="10">
        <f t="shared" ca="1" si="338"/>
        <v>118.74999999999841</v>
      </c>
      <c r="S2340" s="10">
        <f t="shared" ca="1" si="339"/>
        <v>-46.250000000002032</v>
      </c>
      <c r="T2340" s="10">
        <f t="shared" ca="1" si="340"/>
        <v>462.50000000000551</v>
      </c>
      <c r="U2340" s="10">
        <f t="shared" ca="1" si="341"/>
        <v>462.50000000000551</v>
      </c>
      <c r="V2340">
        <f t="shared" si="342"/>
        <v>5</v>
      </c>
    </row>
    <row r="2341" spans="1:22" x14ac:dyDescent="0.25">
      <c r="A2341">
        <v>260</v>
      </c>
      <c r="B2341">
        <v>9</v>
      </c>
      <c r="C2341">
        <v>62.5</v>
      </c>
      <c r="D2341">
        <v>1</v>
      </c>
      <c r="E2341">
        <v>0</v>
      </c>
      <c r="F2341">
        <v>0</v>
      </c>
      <c r="G2341">
        <v>1</v>
      </c>
      <c r="H2341">
        <v>650</v>
      </c>
      <c r="I2341">
        <f t="shared" si="343"/>
        <v>2331</v>
      </c>
      <c r="J2341" s="6">
        <f t="array" aca="1" ref="J2341:N2341" ca="1">TRANSPOSE(ols(OFFSET($C$2:$C$10,I2341,0),OFFSET($D$2:$H$10,I2341,0)))</f>
        <v>102.49999999999818</v>
      </c>
      <c r="K2341" s="6">
        <f ca="1"/>
        <v>1.25</v>
      </c>
      <c r="L2341" s="6">
        <f ca="1"/>
        <v>-10.000000000000909</v>
      </c>
      <c r="M2341" s="6">
        <f ca="1"/>
        <v>15.000000000000227</v>
      </c>
      <c r="N2341" s="6">
        <f ca="1"/>
        <v>-0.1000000000000032</v>
      </c>
      <c r="O2341" s="6">
        <f t="shared" ca="1" si="336"/>
        <v>52.499999999996334</v>
      </c>
      <c r="P2341" t="str">
        <f t="shared" si="344"/>
        <v>NA</v>
      </c>
      <c r="Q2341" s="10">
        <f t="shared" ca="1" si="337"/>
        <v>72.499999999996376</v>
      </c>
      <c r="R2341" s="10">
        <f t="shared" ca="1" si="338"/>
        <v>117.49999999999841</v>
      </c>
      <c r="S2341" s="10">
        <f t="shared" ca="1" si="339"/>
        <v>-45.000000000002032</v>
      </c>
      <c r="T2341" s="10">
        <f t="shared" ca="1" si="340"/>
        <v>450.00000000000591</v>
      </c>
      <c r="U2341" s="10">
        <f t="shared" ca="1" si="341"/>
        <v>450.00000000000591</v>
      </c>
      <c r="V2341">
        <f t="shared" si="342"/>
        <v>4</v>
      </c>
    </row>
    <row r="2342" spans="1:22" x14ac:dyDescent="0.25">
      <c r="A2342">
        <v>261</v>
      </c>
      <c r="B2342">
        <v>1</v>
      </c>
      <c r="C2342">
        <v>65</v>
      </c>
      <c r="D2342">
        <v>1</v>
      </c>
      <c r="E2342">
        <v>0</v>
      </c>
      <c r="F2342">
        <v>1</v>
      </c>
      <c r="G2342">
        <v>0</v>
      </c>
      <c r="H2342">
        <v>250</v>
      </c>
      <c r="I2342">
        <f t="shared" si="343"/>
        <v>2340</v>
      </c>
      <c r="J2342" s="6">
        <f t="array" aca="1" ref="J2342:N2342" ca="1">TRANSPOSE(ols(OFFSET($C$2:$C$10,I2342,0),OFFSET($D$2:$H$10,I2342,0)))</f>
        <v>155.23809523809359</v>
      </c>
      <c r="K2342" s="6">
        <f ca="1"/>
        <v>-10.357142857142662</v>
      </c>
      <c r="L2342" s="6">
        <f ca="1"/>
        <v>-24.761904761904134</v>
      </c>
      <c r="M2342" s="6">
        <f ca="1"/>
        <v>-7.619047619047592</v>
      </c>
      <c r="N2342" s="6">
        <f ca="1"/>
        <v>-0.21904761904762005</v>
      </c>
      <c r="O2342" s="6">
        <f t="shared" ca="1" si="336"/>
        <v>75.714285714284443</v>
      </c>
      <c r="P2342" t="str">
        <f t="shared" si="344"/>
        <v>NA</v>
      </c>
      <c r="Q2342" s="10">
        <f t="shared" ca="1" si="337"/>
        <v>46.190476190474854</v>
      </c>
      <c r="R2342" s="10">
        <f t="shared" ca="1" si="338"/>
        <v>130.47619047618946</v>
      </c>
      <c r="S2342" s="10">
        <f t="shared" ca="1" si="339"/>
        <v>-84.285714285714604</v>
      </c>
      <c r="T2342" s="10">
        <f t="shared" ca="1" si="340"/>
        <v>384.7826086956519</v>
      </c>
      <c r="U2342" s="10">
        <f t="shared" ca="1" si="341"/>
        <v>384.7826086956519</v>
      </c>
      <c r="V2342">
        <f t="shared" si="342"/>
        <v>3</v>
      </c>
    </row>
    <row r="2343" spans="1:22" x14ac:dyDescent="0.25">
      <c r="A2343">
        <v>261</v>
      </c>
      <c r="B2343">
        <v>2</v>
      </c>
      <c r="C2343">
        <v>65</v>
      </c>
      <c r="D2343">
        <v>1</v>
      </c>
      <c r="E2343">
        <v>1</v>
      </c>
      <c r="F2343">
        <v>0</v>
      </c>
      <c r="G2343">
        <v>0</v>
      </c>
      <c r="H2343">
        <v>350</v>
      </c>
      <c r="I2343">
        <f t="shared" si="343"/>
        <v>2340</v>
      </c>
      <c r="J2343" s="6">
        <f t="array" aca="1" ref="J2343:N2343" ca="1">TRANSPOSE(ols(OFFSET($C$2:$C$10,I2343,0),OFFSET($D$2:$H$10,I2343,0)))</f>
        <v>155.23809523809359</v>
      </c>
      <c r="K2343" s="6">
        <f ca="1"/>
        <v>-10.357142857142662</v>
      </c>
      <c r="L2343" s="6">
        <f ca="1"/>
        <v>-24.761904761904134</v>
      </c>
      <c r="M2343" s="6">
        <f ca="1"/>
        <v>-7.619047619047592</v>
      </c>
      <c r="N2343" s="6">
        <f ca="1"/>
        <v>-0.21904761904762005</v>
      </c>
      <c r="O2343" s="6">
        <f t="shared" ca="1" si="336"/>
        <v>68.214285714283918</v>
      </c>
      <c r="P2343" t="str">
        <f t="shared" si="344"/>
        <v>NA</v>
      </c>
      <c r="Q2343" s="10">
        <f t="shared" ca="1" si="337"/>
        <v>46.190476190474854</v>
      </c>
      <c r="R2343" s="10">
        <f t="shared" ca="1" si="338"/>
        <v>144.88095238095093</v>
      </c>
      <c r="S2343" s="10">
        <f t="shared" ca="1" si="339"/>
        <v>-98.690476190476076</v>
      </c>
      <c r="T2343" s="10">
        <f t="shared" ca="1" si="340"/>
        <v>450.543478260867</v>
      </c>
      <c r="U2343" s="10">
        <f t="shared" ca="1" si="341"/>
        <v>450.543478260867</v>
      </c>
      <c r="V2343">
        <f t="shared" si="342"/>
        <v>2</v>
      </c>
    </row>
    <row r="2344" spans="1:22" x14ac:dyDescent="0.25">
      <c r="A2344">
        <v>261</v>
      </c>
      <c r="B2344">
        <v>3</v>
      </c>
      <c r="C2344">
        <v>55</v>
      </c>
      <c r="D2344">
        <v>1</v>
      </c>
      <c r="E2344">
        <v>1</v>
      </c>
      <c r="F2344">
        <v>0</v>
      </c>
      <c r="G2344">
        <v>0</v>
      </c>
      <c r="H2344">
        <v>450</v>
      </c>
      <c r="I2344">
        <f t="shared" si="343"/>
        <v>2340</v>
      </c>
      <c r="J2344" s="6">
        <f t="array" aca="1" ref="J2344:N2344" ca="1">TRANSPOSE(ols(OFFSET($C$2:$C$10,I2344,0),OFFSET($D$2:$H$10,I2344,0)))</f>
        <v>155.23809523809359</v>
      </c>
      <c r="K2344" s="6">
        <f ca="1"/>
        <v>-10.357142857142662</v>
      </c>
      <c r="L2344" s="6">
        <f ca="1"/>
        <v>-24.761904761904134</v>
      </c>
      <c r="M2344" s="6">
        <f ca="1"/>
        <v>-7.619047619047592</v>
      </c>
      <c r="N2344" s="6">
        <f ca="1"/>
        <v>-0.21904761904762005</v>
      </c>
      <c r="O2344" s="6">
        <f t="shared" ca="1" si="336"/>
        <v>46.309523809521906</v>
      </c>
      <c r="P2344" t="str">
        <f t="shared" si="344"/>
        <v>NA</v>
      </c>
      <c r="Q2344" s="10">
        <f t="shared" ca="1" si="337"/>
        <v>46.190476190474854</v>
      </c>
      <c r="R2344" s="10">
        <f t="shared" ca="1" si="338"/>
        <v>144.88095238095093</v>
      </c>
      <c r="S2344" s="10">
        <f t="shared" ca="1" si="339"/>
        <v>-98.690476190476076</v>
      </c>
      <c r="T2344" s="10">
        <f t="shared" ca="1" si="340"/>
        <v>450.543478260867</v>
      </c>
      <c r="U2344" s="10">
        <f t="shared" ca="1" si="341"/>
        <v>450.543478260867</v>
      </c>
      <c r="V2344">
        <f t="shared" si="342"/>
        <v>2</v>
      </c>
    </row>
    <row r="2345" spans="1:22" x14ac:dyDescent="0.25">
      <c r="A2345">
        <v>261</v>
      </c>
      <c r="B2345">
        <v>4</v>
      </c>
      <c r="C2345">
        <v>40</v>
      </c>
      <c r="D2345">
        <v>1</v>
      </c>
      <c r="E2345">
        <v>0</v>
      </c>
      <c r="F2345">
        <v>0</v>
      </c>
      <c r="G2345">
        <v>0</v>
      </c>
      <c r="H2345">
        <v>550</v>
      </c>
      <c r="I2345">
        <f t="shared" si="343"/>
        <v>2340</v>
      </c>
      <c r="J2345" s="6">
        <f t="array" aca="1" ref="J2345:N2345" ca="1">TRANSPOSE(ols(OFFSET($C$2:$C$10,I2345,0),OFFSET($D$2:$H$10,I2345,0)))</f>
        <v>155.23809523809359</v>
      </c>
      <c r="K2345" s="6">
        <f ca="1"/>
        <v>-10.357142857142662</v>
      </c>
      <c r="L2345" s="6">
        <f ca="1"/>
        <v>-24.761904761904134</v>
      </c>
      <c r="M2345" s="6">
        <f ca="1"/>
        <v>-7.619047619047592</v>
      </c>
      <c r="N2345" s="6">
        <f ca="1"/>
        <v>-0.21904761904762005</v>
      </c>
      <c r="O2345" s="6">
        <f t="shared" ca="1" si="336"/>
        <v>34.761904761902571</v>
      </c>
      <c r="P2345" t="str">
        <f t="shared" si="344"/>
        <v>NA</v>
      </c>
      <c r="Q2345" s="10">
        <f t="shared" ca="1" si="337"/>
        <v>46.190476190474854</v>
      </c>
      <c r="R2345" s="10">
        <f t="shared" ca="1" si="338"/>
        <v>155.23809523809359</v>
      </c>
      <c r="S2345" s="10">
        <f t="shared" ca="1" si="339"/>
        <v>-109.04761904761874</v>
      </c>
      <c r="T2345" s="10">
        <f t="shared" ca="1" si="340"/>
        <v>497.82608695651805</v>
      </c>
      <c r="U2345" s="10">
        <f t="shared" ca="1" si="341"/>
        <v>497.82608695651805</v>
      </c>
      <c r="V2345">
        <f t="shared" si="342"/>
        <v>1</v>
      </c>
    </row>
    <row r="2346" spans="1:22" x14ac:dyDescent="0.25">
      <c r="A2346">
        <v>261</v>
      </c>
      <c r="B2346">
        <v>5</v>
      </c>
      <c r="C2346">
        <v>65</v>
      </c>
      <c r="D2346">
        <v>1</v>
      </c>
      <c r="E2346">
        <v>0</v>
      </c>
      <c r="F2346">
        <v>1</v>
      </c>
      <c r="G2346">
        <v>1</v>
      </c>
      <c r="H2346">
        <v>250</v>
      </c>
      <c r="I2346">
        <f t="shared" si="343"/>
        <v>2340</v>
      </c>
      <c r="J2346" s="6">
        <f t="array" aca="1" ref="J2346:N2346" ca="1">TRANSPOSE(ols(OFFSET($C$2:$C$10,I2346,0),OFFSET($D$2:$H$10,I2346,0)))</f>
        <v>155.23809523809359</v>
      </c>
      <c r="K2346" s="6">
        <f ca="1"/>
        <v>-10.357142857142662</v>
      </c>
      <c r="L2346" s="6">
        <f ca="1"/>
        <v>-24.761904761904134</v>
      </c>
      <c r="M2346" s="6">
        <f ca="1"/>
        <v>-7.619047619047592</v>
      </c>
      <c r="N2346" s="6">
        <f ca="1"/>
        <v>-0.21904761904762005</v>
      </c>
      <c r="O2346" s="6">
        <f t="shared" ca="1" si="336"/>
        <v>68.095238095236851</v>
      </c>
      <c r="P2346" t="str">
        <f t="shared" si="344"/>
        <v>NA</v>
      </c>
      <c r="Q2346" s="10">
        <f t="shared" ca="1" si="337"/>
        <v>46.190476190474854</v>
      </c>
      <c r="R2346" s="10">
        <f t="shared" ca="1" si="338"/>
        <v>122.85714285714187</v>
      </c>
      <c r="S2346" s="10">
        <f t="shared" ca="1" si="339"/>
        <v>-76.666666666667012</v>
      </c>
      <c r="T2346" s="10">
        <f t="shared" ca="1" si="340"/>
        <v>350</v>
      </c>
      <c r="U2346" s="10">
        <f t="shared" ca="1" si="341"/>
        <v>350</v>
      </c>
      <c r="V2346">
        <f t="shared" si="342"/>
        <v>6</v>
      </c>
    </row>
    <row r="2347" spans="1:22" x14ac:dyDescent="0.25">
      <c r="A2347">
        <v>261</v>
      </c>
      <c r="B2347">
        <v>6</v>
      </c>
      <c r="C2347">
        <v>60</v>
      </c>
      <c r="D2347">
        <v>1</v>
      </c>
      <c r="E2347">
        <v>0</v>
      </c>
      <c r="F2347">
        <v>1</v>
      </c>
      <c r="G2347">
        <v>1</v>
      </c>
      <c r="H2347">
        <v>350</v>
      </c>
      <c r="I2347">
        <f t="shared" si="343"/>
        <v>2340</v>
      </c>
      <c r="J2347" s="6">
        <f t="array" aca="1" ref="J2347:N2347" ca="1">TRANSPOSE(ols(OFFSET($C$2:$C$10,I2347,0),OFFSET($D$2:$H$10,I2347,0)))</f>
        <v>155.23809523809359</v>
      </c>
      <c r="K2347" s="6">
        <f ca="1"/>
        <v>-10.357142857142662</v>
      </c>
      <c r="L2347" s="6">
        <f ca="1"/>
        <v>-24.761904761904134</v>
      </c>
      <c r="M2347" s="6">
        <f ca="1"/>
        <v>-7.619047619047592</v>
      </c>
      <c r="N2347" s="6">
        <f ca="1"/>
        <v>-0.21904761904762005</v>
      </c>
      <c r="O2347" s="6">
        <f t="shared" ca="1" si="336"/>
        <v>46.190476190474854</v>
      </c>
      <c r="P2347">
        <f t="shared" ca="1" si="344"/>
        <v>46.190476190474854</v>
      </c>
      <c r="Q2347" s="10">
        <f t="shared" ca="1" si="337"/>
        <v>46.190476190474854</v>
      </c>
      <c r="R2347" s="10">
        <f t="shared" ca="1" si="338"/>
        <v>122.85714285714187</v>
      </c>
      <c r="S2347" s="10">
        <f t="shared" ca="1" si="339"/>
        <v>-76.666666666667012</v>
      </c>
      <c r="T2347" s="10">
        <f t="shared" ca="1" si="340"/>
        <v>350</v>
      </c>
      <c r="U2347" s="10">
        <f t="shared" ca="1" si="341"/>
        <v>350</v>
      </c>
      <c r="V2347">
        <f t="shared" si="342"/>
        <v>6</v>
      </c>
    </row>
    <row r="2348" spans="1:22" x14ac:dyDescent="0.25">
      <c r="A2348">
        <v>261</v>
      </c>
      <c r="B2348">
        <v>7</v>
      </c>
      <c r="C2348">
        <v>45</v>
      </c>
      <c r="D2348">
        <v>1</v>
      </c>
      <c r="E2348">
        <v>1</v>
      </c>
      <c r="F2348">
        <v>0</v>
      </c>
      <c r="G2348">
        <v>1</v>
      </c>
      <c r="H2348">
        <v>450</v>
      </c>
      <c r="I2348">
        <f t="shared" si="343"/>
        <v>2340</v>
      </c>
      <c r="J2348" s="6">
        <f t="array" aca="1" ref="J2348:N2348" ca="1">TRANSPOSE(ols(OFFSET($C$2:$C$10,I2348,0),OFFSET($D$2:$H$10,I2348,0)))</f>
        <v>155.23809523809359</v>
      </c>
      <c r="K2348" s="6">
        <f ca="1"/>
        <v>-10.357142857142662</v>
      </c>
      <c r="L2348" s="6">
        <f ca="1"/>
        <v>-24.761904761904134</v>
      </c>
      <c r="M2348" s="6">
        <f ca="1"/>
        <v>-7.619047619047592</v>
      </c>
      <c r="N2348" s="6">
        <f ca="1"/>
        <v>-0.21904761904762005</v>
      </c>
      <c r="O2348" s="6">
        <f t="shared" ca="1" si="336"/>
        <v>38.690476190474314</v>
      </c>
      <c r="P2348" t="str">
        <f t="shared" si="344"/>
        <v>NA</v>
      </c>
      <c r="Q2348" s="10">
        <f t="shared" ca="1" si="337"/>
        <v>46.190476190474854</v>
      </c>
      <c r="R2348" s="10">
        <f t="shared" ca="1" si="338"/>
        <v>137.26190476190334</v>
      </c>
      <c r="S2348" s="10">
        <f t="shared" ca="1" si="339"/>
        <v>-91.071428571428484</v>
      </c>
      <c r="T2348" s="10">
        <f t="shared" ca="1" si="340"/>
        <v>415.7608695652151</v>
      </c>
      <c r="U2348" s="10">
        <f t="shared" ca="1" si="341"/>
        <v>415.7608695652151</v>
      </c>
      <c r="V2348">
        <f t="shared" si="342"/>
        <v>5</v>
      </c>
    </row>
    <row r="2349" spans="1:22" x14ac:dyDescent="0.25">
      <c r="A2349">
        <v>261</v>
      </c>
      <c r="B2349">
        <v>8</v>
      </c>
      <c r="C2349">
        <v>5</v>
      </c>
      <c r="D2349">
        <v>1</v>
      </c>
      <c r="E2349">
        <v>1</v>
      </c>
      <c r="F2349">
        <v>0</v>
      </c>
      <c r="G2349">
        <v>1</v>
      </c>
      <c r="H2349">
        <v>550</v>
      </c>
      <c r="I2349">
        <f t="shared" si="343"/>
        <v>2340</v>
      </c>
      <c r="J2349" s="6">
        <f t="array" aca="1" ref="J2349:N2349" ca="1">TRANSPOSE(ols(OFFSET($C$2:$C$10,I2349,0),OFFSET($D$2:$H$10,I2349,0)))</f>
        <v>155.23809523809359</v>
      </c>
      <c r="K2349" s="6">
        <f ca="1"/>
        <v>-10.357142857142662</v>
      </c>
      <c r="L2349" s="6">
        <f ca="1"/>
        <v>-24.761904761904134</v>
      </c>
      <c r="M2349" s="6">
        <f ca="1"/>
        <v>-7.619047619047592</v>
      </c>
      <c r="N2349" s="6">
        <f ca="1"/>
        <v>-0.21904761904762005</v>
      </c>
      <c r="O2349" s="6">
        <f t="shared" ca="1" si="336"/>
        <v>16.785714285712316</v>
      </c>
      <c r="P2349" t="str">
        <f t="shared" si="344"/>
        <v>NA</v>
      </c>
      <c r="Q2349" s="10">
        <f t="shared" ca="1" si="337"/>
        <v>46.190476190474854</v>
      </c>
      <c r="R2349" s="10">
        <f t="shared" ca="1" si="338"/>
        <v>137.26190476190334</v>
      </c>
      <c r="S2349" s="10">
        <f t="shared" ca="1" si="339"/>
        <v>-91.071428571428484</v>
      </c>
      <c r="T2349" s="10">
        <f t="shared" ca="1" si="340"/>
        <v>415.7608695652151</v>
      </c>
      <c r="U2349" s="10">
        <f t="shared" ca="1" si="341"/>
        <v>415.7608695652151</v>
      </c>
      <c r="V2349">
        <f t="shared" si="342"/>
        <v>5</v>
      </c>
    </row>
    <row r="2350" spans="1:22" x14ac:dyDescent="0.25">
      <c r="A2350">
        <v>261</v>
      </c>
      <c r="B2350">
        <v>9</v>
      </c>
      <c r="C2350">
        <v>0</v>
      </c>
      <c r="D2350">
        <v>1</v>
      </c>
      <c r="E2350">
        <v>0</v>
      </c>
      <c r="F2350">
        <v>0</v>
      </c>
      <c r="G2350">
        <v>1</v>
      </c>
      <c r="H2350">
        <v>650</v>
      </c>
      <c r="I2350">
        <f t="shared" si="343"/>
        <v>2340</v>
      </c>
      <c r="J2350" s="6">
        <f t="array" aca="1" ref="J2350:N2350" ca="1">TRANSPOSE(ols(OFFSET($C$2:$C$10,I2350,0),OFFSET($D$2:$H$10,I2350,0)))</f>
        <v>155.23809523809359</v>
      </c>
      <c r="K2350" s="6">
        <f ca="1"/>
        <v>-10.357142857142662</v>
      </c>
      <c r="L2350" s="6">
        <f ca="1"/>
        <v>-24.761904761904134</v>
      </c>
      <c r="M2350" s="6">
        <f ca="1"/>
        <v>-7.619047619047592</v>
      </c>
      <c r="N2350" s="6">
        <f ca="1"/>
        <v>-0.21904761904762005</v>
      </c>
      <c r="O2350" s="6">
        <f t="shared" ca="1" si="336"/>
        <v>5.2380952380929671</v>
      </c>
      <c r="P2350" t="str">
        <f t="shared" si="344"/>
        <v>NA</v>
      </c>
      <c r="Q2350" s="10">
        <f t="shared" ca="1" si="337"/>
        <v>46.190476190474854</v>
      </c>
      <c r="R2350" s="10">
        <f t="shared" ca="1" si="338"/>
        <v>147.619047619046</v>
      </c>
      <c r="S2350" s="10">
        <f t="shared" ca="1" si="339"/>
        <v>-101.42857142857115</v>
      </c>
      <c r="T2350" s="10">
        <f t="shared" ca="1" si="340"/>
        <v>463.04347826086615</v>
      </c>
      <c r="U2350" s="10">
        <f t="shared" ca="1" si="341"/>
        <v>463.04347826086615</v>
      </c>
      <c r="V2350">
        <f t="shared" si="342"/>
        <v>4</v>
      </c>
    </row>
    <row r="2351" spans="1:22" x14ac:dyDescent="0.25">
      <c r="A2351">
        <v>262</v>
      </c>
      <c r="B2351">
        <v>1</v>
      </c>
      <c r="C2351">
        <v>50</v>
      </c>
      <c r="D2351">
        <v>1</v>
      </c>
      <c r="E2351">
        <v>0</v>
      </c>
      <c r="F2351">
        <v>1</v>
      </c>
      <c r="G2351">
        <v>0</v>
      </c>
      <c r="H2351">
        <v>250</v>
      </c>
      <c r="I2351">
        <f t="shared" si="343"/>
        <v>2349</v>
      </c>
      <c r="J2351" s="6">
        <f t="array" aca="1" ref="J2351:N2351" ca="1">TRANSPOSE(ols(OFFSET($C$2:$C$10,I2351,0),OFFSET($D$2:$H$10,I2351,0)))</f>
        <v>105.35714285714175</v>
      </c>
      <c r="K2351" s="6">
        <f ca="1"/>
        <v>-14.285714285713993</v>
      </c>
      <c r="L2351" s="6">
        <f ca="1"/>
        <v>-7.1428571428566556</v>
      </c>
      <c r="M2351" s="6">
        <f ca="1"/>
        <v>3.5714285714284983</v>
      </c>
      <c r="N2351" s="6">
        <f ca="1"/>
        <v>-0.17857142857142749</v>
      </c>
      <c r="O2351" s="6">
        <f t="shared" ca="1" si="336"/>
        <v>53.571428571428221</v>
      </c>
      <c r="P2351" t="str">
        <f t="shared" si="344"/>
        <v>NA</v>
      </c>
      <c r="Q2351" s="10">
        <f t="shared" ca="1" si="337"/>
        <v>39.285714285713972</v>
      </c>
      <c r="R2351" s="10">
        <f t="shared" ca="1" si="338"/>
        <v>98.214285714285097</v>
      </c>
      <c r="S2351" s="10">
        <f t="shared" ca="1" si="339"/>
        <v>-58.928571428571125</v>
      </c>
      <c r="T2351" s="10">
        <f t="shared" ca="1" si="340"/>
        <v>330.00000000000028</v>
      </c>
      <c r="U2351" s="10">
        <f t="shared" ca="1" si="341"/>
        <v>330.00000000000028</v>
      </c>
      <c r="V2351">
        <f t="shared" si="342"/>
        <v>3</v>
      </c>
    </row>
    <row r="2352" spans="1:22" x14ac:dyDescent="0.25">
      <c r="A2352">
        <v>262</v>
      </c>
      <c r="B2352">
        <v>2</v>
      </c>
      <c r="C2352">
        <v>50</v>
      </c>
      <c r="D2352">
        <v>1</v>
      </c>
      <c r="E2352">
        <v>1</v>
      </c>
      <c r="F2352">
        <v>0</v>
      </c>
      <c r="G2352">
        <v>0</v>
      </c>
      <c r="H2352">
        <v>350</v>
      </c>
      <c r="I2352">
        <f t="shared" si="343"/>
        <v>2349</v>
      </c>
      <c r="J2352" s="6">
        <f t="array" aca="1" ref="J2352:N2352" ca="1">TRANSPOSE(ols(OFFSET($C$2:$C$10,I2352,0),OFFSET($D$2:$H$10,I2352,0)))</f>
        <v>105.35714285714175</v>
      </c>
      <c r="K2352" s="6">
        <f ca="1"/>
        <v>-14.285714285713993</v>
      </c>
      <c r="L2352" s="6">
        <f ca="1"/>
        <v>-7.1428571428566556</v>
      </c>
      <c r="M2352" s="6">
        <f ca="1"/>
        <v>3.5714285714284983</v>
      </c>
      <c r="N2352" s="6">
        <f ca="1"/>
        <v>-0.17857142857142749</v>
      </c>
      <c r="O2352" s="6">
        <f t="shared" ca="1" si="336"/>
        <v>28.571428571428136</v>
      </c>
      <c r="P2352" t="str">
        <f t="shared" si="344"/>
        <v>NA</v>
      </c>
      <c r="Q2352" s="10">
        <f t="shared" ca="1" si="337"/>
        <v>39.285714285713972</v>
      </c>
      <c r="R2352" s="10">
        <f t="shared" ca="1" si="338"/>
        <v>91.071428571427759</v>
      </c>
      <c r="S2352" s="10">
        <f t="shared" ca="1" si="339"/>
        <v>-51.785714285713787</v>
      </c>
      <c r="T2352" s="10">
        <f t="shared" ca="1" si="340"/>
        <v>289.99999999999898</v>
      </c>
      <c r="U2352" s="10">
        <f t="shared" ca="1" si="341"/>
        <v>289.99999999999898</v>
      </c>
      <c r="V2352">
        <f t="shared" si="342"/>
        <v>2</v>
      </c>
    </row>
    <row r="2353" spans="1:22" x14ac:dyDescent="0.25">
      <c r="A2353">
        <v>262</v>
      </c>
      <c r="B2353">
        <v>3</v>
      </c>
      <c r="C2353">
        <v>0</v>
      </c>
      <c r="D2353">
        <v>1</v>
      </c>
      <c r="E2353">
        <v>1</v>
      </c>
      <c r="F2353">
        <v>0</v>
      </c>
      <c r="G2353">
        <v>0</v>
      </c>
      <c r="H2353">
        <v>450</v>
      </c>
      <c r="I2353">
        <f t="shared" si="343"/>
        <v>2349</v>
      </c>
      <c r="J2353" s="6">
        <f t="array" aca="1" ref="J2353:N2353" ca="1">TRANSPOSE(ols(OFFSET($C$2:$C$10,I2353,0),OFFSET($D$2:$H$10,I2353,0)))</f>
        <v>105.35714285714175</v>
      </c>
      <c r="K2353" s="6">
        <f ca="1"/>
        <v>-14.285714285713993</v>
      </c>
      <c r="L2353" s="6">
        <f ca="1"/>
        <v>-7.1428571428566556</v>
      </c>
      <c r="M2353" s="6">
        <f ca="1"/>
        <v>3.5714285714284983</v>
      </c>
      <c r="N2353" s="6">
        <f ca="1"/>
        <v>-0.17857142857142749</v>
      </c>
      <c r="O2353" s="6">
        <f t="shared" ca="1" si="336"/>
        <v>10.714285714285381</v>
      </c>
      <c r="P2353" t="str">
        <f t="shared" si="344"/>
        <v>NA</v>
      </c>
      <c r="Q2353" s="10">
        <f t="shared" ca="1" si="337"/>
        <v>39.285714285713972</v>
      </c>
      <c r="R2353" s="10">
        <f t="shared" ca="1" si="338"/>
        <v>91.071428571427759</v>
      </c>
      <c r="S2353" s="10">
        <f t="shared" ca="1" si="339"/>
        <v>-51.785714285713787</v>
      </c>
      <c r="T2353" s="10">
        <f t="shared" ca="1" si="340"/>
        <v>289.99999999999898</v>
      </c>
      <c r="U2353" s="10">
        <f t="shared" ca="1" si="341"/>
        <v>289.99999999999898</v>
      </c>
      <c r="V2353">
        <f t="shared" si="342"/>
        <v>2</v>
      </c>
    </row>
    <row r="2354" spans="1:22" x14ac:dyDescent="0.25">
      <c r="A2354">
        <v>262</v>
      </c>
      <c r="B2354">
        <v>4</v>
      </c>
      <c r="C2354">
        <v>0</v>
      </c>
      <c r="D2354">
        <v>1</v>
      </c>
      <c r="E2354">
        <v>0</v>
      </c>
      <c r="F2354">
        <v>0</v>
      </c>
      <c r="G2354">
        <v>0</v>
      </c>
      <c r="H2354">
        <v>550</v>
      </c>
      <c r="I2354">
        <f t="shared" si="343"/>
        <v>2349</v>
      </c>
      <c r="J2354" s="6">
        <f t="array" aca="1" ref="J2354:N2354" ca="1">TRANSPOSE(ols(OFFSET($C$2:$C$10,I2354,0),OFFSET($D$2:$H$10,I2354,0)))</f>
        <v>105.35714285714175</v>
      </c>
      <c r="K2354" s="6">
        <f ca="1"/>
        <v>-14.285714285713993</v>
      </c>
      <c r="L2354" s="6">
        <f ca="1"/>
        <v>-7.1428571428566556</v>
      </c>
      <c r="M2354" s="6">
        <f ca="1"/>
        <v>3.5714285714284983</v>
      </c>
      <c r="N2354" s="6">
        <f ca="1"/>
        <v>-0.17857142857142749</v>
      </c>
      <c r="O2354" s="6">
        <f t="shared" ca="1" si="336"/>
        <v>7.1428571428566272</v>
      </c>
      <c r="P2354" t="str">
        <f t="shared" si="344"/>
        <v>NA</v>
      </c>
      <c r="Q2354" s="10">
        <f t="shared" ca="1" si="337"/>
        <v>39.285714285713972</v>
      </c>
      <c r="R2354" s="10">
        <f t="shared" ca="1" si="338"/>
        <v>105.35714285714175</v>
      </c>
      <c r="S2354" s="10">
        <f t="shared" ca="1" si="339"/>
        <v>-66.071428571427788</v>
      </c>
      <c r="T2354" s="10">
        <f t="shared" ca="1" si="340"/>
        <v>369.99999999999784</v>
      </c>
      <c r="U2354" s="10">
        <f t="shared" ca="1" si="341"/>
        <v>369.99999999999784</v>
      </c>
      <c r="V2354">
        <f t="shared" si="342"/>
        <v>1</v>
      </c>
    </row>
    <row r="2355" spans="1:22" x14ac:dyDescent="0.25">
      <c r="A2355">
        <v>262</v>
      </c>
      <c r="B2355">
        <v>5</v>
      </c>
      <c r="C2355">
        <v>50</v>
      </c>
      <c r="D2355">
        <v>1</v>
      </c>
      <c r="E2355">
        <v>0</v>
      </c>
      <c r="F2355">
        <v>1</v>
      </c>
      <c r="G2355">
        <v>1</v>
      </c>
      <c r="H2355">
        <v>250</v>
      </c>
      <c r="I2355">
        <f t="shared" si="343"/>
        <v>2349</v>
      </c>
      <c r="J2355" s="6">
        <f t="array" aca="1" ref="J2355:N2355" ca="1">TRANSPOSE(ols(OFFSET($C$2:$C$10,I2355,0),OFFSET($D$2:$H$10,I2355,0)))</f>
        <v>105.35714285714175</v>
      </c>
      <c r="K2355" s="6">
        <f ca="1"/>
        <v>-14.285714285713993</v>
      </c>
      <c r="L2355" s="6">
        <f ca="1"/>
        <v>-7.1428571428566556</v>
      </c>
      <c r="M2355" s="6">
        <f ca="1"/>
        <v>3.5714285714284983</v>
      </c>
      <c r="N2355" s="6">
        <f ca="1"/>
        <v>-0.17857142857142749</v>
      </c>
      <c r="O2355" s="6">
        <f t="shared" ca="1" si="336"/>
        <v>57.14285714285672</v>
      </c>
      <c r="P2355" t="str">
        <f t="shared" si="344"/>
        <v>NA</v>
      </c>
      <c r="Q2355" s="10">
        <f t="shared" ca="1" si="337"/>
        <v>39.285714285713972</v>
      </c>
      <c r="R2355" s="10">
        <f t="shared" ca="1" si="338"/>
        <v>101.7857142857136</v>
      </c>
      <c r="S2355" s="10">
        <f t="shared" ca="1" si="339"/>
        <v>-62.499999999999623</v>
      </c>
      <c r="T2355" s="10">
        <f t="shared" ca="1" si="340"/>
        <v>350</v>
      </c>
      <c r="U2355" s="10">
        <f t="shared" ca="1" si="341"/>
        <v>350</v>
      </c>
      <c r="V2355">
        <f t="shared" si="342"/>
        <v>6</v>
      </c>
    </row>
    <row r="2356" spans="1:22" x14ac:dyDescent="0.25">
      <c r="A2356">
        <v>262</v>
      </c>
      <c r="B2356">
        <v>6</v>
      </c>
      <c r="C2356">
        <v>50</v>
      </c>
      <c r="D2356">
        <v>1</v>
      </c>
      <c r="E2356">
        <v>0</v>
      </c>
      <c r="F2356">
        <v>1</v>
      </c>
      <c r="G2356">
        <v>1</v>
      </c>
      <c r="H2356">
        <v>350</v>
      </c>
      <c r="I2356">
        <f t="shared" si="343"/>
        <v>2349</v>
      </c>
      <c r="J2356" s="6">
        <f t="array" aca="1" ref="J2356:N2356" ca="1">TRANSPOSE(ols(OFFSET($C$2:$C$10,I2356,0),OFFSET($D$2:$H$10,I2356,0)))</f>
        <v>105.35714285714175</v>
      </c>
      <c r="K2356" s="6">
        <f ca="1"/>
        <v>-14.285714285713993</v>
      </c>
      <c r="L2356" s="6">
        <f ca="1"/>
        <v>-7.1428571428566556</v>
      </c>
      <c r="M2356" s="6">
        <f ca="1"/>
        <v>3.5714285714284983</v>
      </c>
      <c r="N2356" s="6">
        <f ca="1"/>
        <v>-0.17857142857142749</v>
      </c>
      <c r="O2356" s="6">
        <f t="shared" ca="1" si="336"/>
        <v>39.285714285713972</v>
      </c>
      <c r="P2356">
        <f t="shared" ca="1" si="344"/>
        <v>39.285714285713972</v>
      </c>
      <c r="Q2356" s="10">
        <f t="shared" ca="1" si="337"/>
        <v>39.285714285713972</v>
      </c>
      <c r="R2356" s="10">
        <f t="shared" ca="1" si="338"/>
        <v>101.7857142857136</v>
      </c>
      <c r="S2356" s="10">
        <f t="shared" ca="1" si="339"/>
        <v>-62.499999999999623</v>
      </c>
      <c r="T2356" s="10">
        <f t="shared" ca="1" si="340"/>
        <v>350</v>
      </c>
      <c r="U2356" s="10">
        <f t="shared" ca="1" si="341"/>
        <v>350</v>
      </c>
      <c r="V2356">
        <f t="shared" si="342"/>
        <v>6</v>
      </c>
    </row>
    <row r="2357" spans="1:22" x14ac:dyDescent="0.25">
      <c r="A2357">
        <v>262</v>
      </c>
      <c r="B2357">
        <v>7</v>
      </c>
      <c r="C2357">
        <v>0</v>
      </c>
      <c r="D2357">
        <v>1</v>
      </c>
      <c r="E2357">
        <v>1</v>
      </c>
      <c r="F2357">
        <v>0</v>
      </c>
      <c r="G2357">
        <v>1</v>
      </c>
      <c r="H2357">
        <v>450</v>
      </c>
      <c r="I2357">
        <f t="shared" si="343"/>
        <v>2349</v>
      </c>
      <c r="J2357" s="6">
        <f t="array" aca="1" ref="J2357:N2357" ca="1">TRANSPOSE(ols(OFFSET($C$2:$C$10,I2357,0),OFFSET($D$2:$H$10,I2357,0)))</f>
        <v>105.35714285714175</v>
      </c>
      <c r="K2357" s="6">
        <f ca="1"/>
        <v>-14.285714285713993</v>
      </c>
      <c r="L2357" s="6">
        <f ca="1"/>
        <v>-7.1428571428566556</v>
      </c>
      <c r="M2357" s="6">
        <f ca="1"/>
        <v>3.5714285714284983</v>
      </c>
      <c r="N2357" s="6">
        <f ca="1"/>
        <v>-0.17857142857142749</v>
      </c>
      <c r="O2357" s="6">
        <f t="shared" ca="1" si="336"/>
        <v>14.28571428571388</v>
      </c>
      <c r="P2357" t="str">
        <f t="shared" si="344"/>
        <v>NA</v>
      </c>
      <c r="Q2357" s="10">
        <f t="shared" ca="1" si="337"/>
        <v>39.285714285713972</v>
      </c>
      <c r="R2357" s="10">
        <f t="shared" ca="1" si="338"/>
        <v>94.642857142856258</v>
      </c>
      <c r="S2357" s="10">
        <f t="shared" ca="1" si="339"/>
        <v>-55.357142857142286</v>
      </c>
      <c r="T2357" s="10">
        <f t="shared" ca="1" si="340"/>
        <v>309.99999999999869</v>
      </c>
      <c r="U2357" s="10">
        <f t="shared" ca="1" si="341"/>
        <v>309.99999999999869</v>
      </c>
      <c r="V2357">
        <f t="shared" si="342"/>
        <v>5</v>
      </c>
    </row>
    <row r="2358" spans="1:22" x14ac:dyDescent="0.25">
      <c r="A2358">
        <v>262</v>
      </c>
      <c r="B2358">
        <v>8</v>
      </c>
      <c r="C2358">
        <v>0</v>
      </c>
      <c r="D2358">
        <v>1</v>
      </c>
      <c r="E2358">
        <v>1</v>
      </c>
      <c r="F2358">
        <v>0</v>
      </c>
      <c r="G2358">
        <v>1</v>
      </c>
      <c r="H2358">
        <v>550</v>
      </c>
      <c r="I2358">
        <f t="shared" si="343"/>
        <v>2349</v>
      </c>
      <c r="J2358" s="6">
        <f t="array" aca="1" ref="J2358:N2358" ca="1">TRANSPOSE(ols(OFFSET($C$2:$C$10,I2358,0),OFFSET($D$2:$H$10,I2358,0)))</f>
        <v>105.35714285714175</v>
      </c>
      <c r="K2358" s="6">
        <f ca="1"/>
        <v>-14.285714285713993</v>
      </c>
      <c r="L2358" s="6">
        <f ca="1"/>
        <v>-7.1428571428566556</v>
      </c>
      <c r="M2358" s="6">
        <f ca="1"/>
        <v>3.5714285714284983</v>
      </c>
      <c r="N2358" s="6">
        <f ca="1"/>
        <v>-0.17857142857142749</v>
      </c>
      <c r="O2358" s="6">
        <f t="shared" ca="1" si="336"/>
        <v>-3.5714285714288678</v>
      </c>
      <c r="P2358" t="str">
        <f t="shared" si="344"/>
        <v>NA</v>
      </c>
      <c r="Q2358" s="10">
        <f t="shared" ca="1" si="337"/>
        <v>39.285714285713972</v>
      </c>
      <c r="R2358" s="10">
        <f t="shared" ca="1" si="338"/>
        <v>94.642857142856258</v>
      </c>
      <c r="S2358" s="10">
        <f t="shared" ca="1" si="339"/>
        <v>-55.357142857142286</v>
      </c>
      <c r="T2358" s="10">
        <f t="shared" ca="1" si="340"/>
        <v>309.99999999999869</v>
      </c>
      <c r="U2358" s="10">
        <f t="shared" ca="1" si="341"/>
        <v>309.99999999999869</v>
      </c>
      <c r="V2358">
        <f t="shared" si="342"/>
        <v>5</v>
      </c>
    </row>
    <row r="2359" spans="1:22" x14ac:dyDescent="0.25">
      <c r="A2359">
        <v>262</v>
      </c>
      <c r="B2359">
        <v>9</v>
      </c>
      <c r="C2359">
        <v>0</v>
      </c>
      <c r="D2359">
        <v>1</v>
      </c>
      <c r="E2359">
        <v>0</v>
      </c>
      <c r="F2359">
        <v>0</v>
      </c>
      <c r="G2359">
        <v>1</v>
      </c>
      <c r="H2359">
        <v>650</v>
      </c>
      <c r="I2359">
        <f t="shared" si="343"/>
        <v>2349</v>
      </c>
      <c r="J2359" s="6">
        <f t="array" aca="1" ref="J2359:N2359" ca="1">TRANSPOSE(ols(OFFSET($C$2:$C$10,I2359,0),OFFSET($D$2:$H$10,I2359,0)))</f>
        <v>105.35714285714175</v>
      </c>
      <c r="K2359" s="6">
        <f ca="1"/>
        <v>-14.285714285713993</v>
      </c>
      <c r="L2359" s="6">
        <f ca="1"/>
        <v>-7.1428571428566556</v>
      </c>
      <c r="M2359" s="6">
        <f ca="1"/>
        <v>3.5714285714284983</v>
      </c>
      <c r="N2359" s="6">
        <f ca="1"/>
        <v>-0.17857142857142749</v>
      </c>
      <c r="O2359" s="6">
        <f t="shared" ca="1" si="336"/>
        <v>-7.142857142857622</v>
      </c>
      <c r="P2359" t="str">
        <f t="shared" si="344"/>
        <v>NA</v>
      </c>
      <c r="Q2359" s="10">
        <f t="shared" ca="1" si="337"/>
        <v>39.285714285713972</v>
      </c>
      <c r="R2359" s="10">
        <f t="shared" ca="1" si="338"/>
        <v>108.92857142857025</v>
      </c>
      <c r="S2359" s="10">
        <f t="shared" ca="1" si="339"/>
        <v>-69.642857142856286</v>
      </c>
      <c r="T2359" s="10">
        <f t="shared" ca="1" si="340"/>
        <v>389.99999999999756</v>
      </c>
      <c r="U2359" s="10">
        <f t="shared" ca="1" si="341"/>
        <v>389.99999999999756</v>
      </c>
      <c r="V2359">
        <f t="shared" si="342"/>
        <v>4</v>
      </c>
    </row>
    <row r="2360" spans="1:22" x14ac:dyDescent="0.25">
      <c r="A2360">
        <v>263</v>
      </c>
      <c r="B2360">
        <v>1</v>
      </c>
      <c r="C2360">
        <v>82.5</v>
      </c>
      <c r="D2360">
        <v>1</v>
      </c>
      <c r="E2360">
        <v>0</v>
      </c>
      <c r="F2360">
        <v>1</v>
      </c>
      <c r="G2360">
        <v>0</v>
      </c>
      <c r="H2360">
        <v>250</v>
      </c>
      <c r="I2360">
        <f t="shared" si="343"/>
        <v>2358</v>
      </c>
      <c r="J2360" s="6">
        <f t="array" aca="1" ref="J2360:N2360" ca="1">TRANSPOSE(ols(OFFSET($C$2:$C$10,I2360,0),OFFSET($D$2:$H$10,I2360,0)))</f>
        <v>83.54166666666606</v>
      </c>
      <c r="K2360" s="6">
        <f ca="1"/>
        <v>35</v>
      </c>
      <c r="L2360" s="6">
        <f ca="1"/>
        <v>39.16666666666697</v>
      </c>
      <c r="M2360" s="6">
        <f ca="1"/>
        <v>-2.0833333333328028</v>
      </c>
      <c r="N2360" s="6">
        <f ca="1"/>
        <v>-9.5833333333336768E-2</v>
      </c>
      <c r="O2360" s="6">
        <f t="shared" ca="1" si="336"/>
        <v>98.749999999998835</v>
      </c>
      <c r="P2360" t="str">
        <f t="shared" si="344"/>
        <v>NA</v>
      </c>
      <c r="Q2360" s="10">
        <f t="shared" ca="1" si="337"/>
        <v>87.083333333332362</v>
      </c>
      <c r="R2360" s="10">
        <f t="shared" ca="1" si="338"/>
        <v>122.70833333333303</v>
      </c>
      <c r="S2360" s="10">
        <f t="shared" ca="1" si="339"/>
        <v>-35.625000000000668</v>
      </c>
      <c r="T2360" s="10">
        <f t="shared" ca="1" si="340"/>
        <v>371.73913043477626</v>
      </c>
      <c r="U2360" s="10">
        <f t="shared" ca="1" si="341"/>
        <v>371.73913043477626</v>
      </c>
      <c r="V2360">
        <f t="shared" si="342"/>
        <v>3</v>
      </c>
    </row>
    <row r="2361" spans="1:22" x14ac:dyDescent="0.25">
      <c r="A2361">
        <v>263</v>
      </c>
      <c r="B2361">
        <v>2</v>
      </c>
      <c r="C2361">
        <v>80</v>
      </c>
      <c r="D2361">
        <v>1</v>
      </c>
      <c r="E2361">
        <v>1</v>
      </c>
      <c r="F2361">
        <v>0</v>
      </c>
      <c r="G2361">
        <v>0</v>
      </c>
      <c r="H2361">
        <v>350</v>
      </c>
      <c r="I2361">
        <f t="shared" si="343"/>
        <v>2358</v>
      </c>
      <c r="J2361" s="6">
        <f t="array" aca="1" ref="J2361:N2361" ca="1">TRANSPOSE(ols(OFFSET($C$2:$C$10,I2361,0),OFFSET($D$2:$H$10,I2361,0)))</f>
        <v>83.54166666666606</v>
      </c>
      <c r="K2361" s="6">
        <f ca="1"/>
        <v>35</v>
      </c>
      <c r="L2361" s="6">
        <f ca="1"/>
        <v>39.16666666666697</v>
      </c>
      <c r="M2361" s="6">
        <f ca="1"/>
        <v>-2.0833333333328028</v>
      </c>
      <c r="N2361" s="6">
        <f ca="1"/>
        <v>-9.5833333333336768E-2</v>
      </c>
      <c r="O2361" s="6">
        <f t="shared" ca="1" si="336"/>
        <v>84.999999999998195</v>
      </c>
      <c r="P2361" t="str">
        <f t="shared" si="344"/>
        <v>NA</v>
      </c>
      <c r="Q2361" s="10">
        <f t="shared" ca="1" si="337"/>
        <v>87.083333333332362</v>
      </c>
      <c r="R2361" s="10">
        <f t="shared" ca="1" si="338"/>
        <v>118.54166666666606</v>
      </c>
      <c r="S2361" s="10">
        <f t="shared" ca="1" si="339"/>
        <v>-31.458333333333698</v>
      </c>
      <c r="T2361" s="10">
        <f t="shared" ca="1" si="340"/>
        <v>328.26086956520942</v>
      </c>
      <c r="U2361" s="10">
        <f t="shared" ca="1" si="341"/>
        <v>328.26086956520942</v>
      </c>
      <c r="V2361">
        <f t="shared" si="342"/>
        <v>2</v>
      </c>
    </row>
    <row r="2362" spans="1:22" x14ac:dyDescent="0.25">
      <c r="A2362">
        <v>263</v>
      </c>
      <c r="B2362">
        <v>3</v>
      </c>
      <c r="C2362">
        <v>77.5</v>
      </c>
      <c r="D2362">
        <v>1</v>
      </c>
      <c r="E2362">
        <v>1</v>
      </c>
      <c r="F2362">
        <v>0</v>
      </c>
      <c r="G2362">
        <v>0</v>
      </c>
      <c r="H2362">
        <v>450</v>
      </c>
      <c r="I2362">
        <f t="shared" si="343"/>
        <v>2358</v>
      </c>
      <c r="J2362" s="6">
        <f t="array" aca="1" ref="J2362:N2362" ca="1">TRANSPOSE(ols(OFFSET($C$2:$C$10,I2362,0),OFFSET($D$2:$H$10,I2362,0)))</f>
        <v>83.54166666666606</v>
      </c>
      <c r="K2362" s="6">
        <f ca="1"/>
        <v>35</v>
      </c>
      <c r="L2362" s="6">
        <f ca="1"/>
        <v>39.16666666666697</v>
      </c>
      <c r="M2362" s="6">
        <f ca="1"/>
        <v>-2.0833333333328028</v>
      </c>
      <c r="N2362" s="6">
        <f ca="1"/>
        <v>-9.5833333333336768E-2</v>
      </c>
      <c r="O2362" s="6">
        <f t="shared" ca="1" si="336"/>
        <v>75.416666666664511</v>
      </c>
      <c r="P2362" t="str">
        <f t="shared" si="344"/>
        <v>NA</v>
      </c>
      <c r="Q2362" s="10">
        <f t="shared" ca="1" si="337"/>
        <v>87.083333333332362</v>
      </c>
      <c r="R2362" s="10">
        <f t="shared" ca="1" si="338"/>
        <v>118.54166666666606</v>
      </c>
      <c r="S2362" s="10">
        <f t="shared" ca="1" si="339"/>
        <v>-31.458333333333698</v>
      </c>
      <c r="T2362" s="10">
        <f t="shared" ca="1" si="340"/>
        <v>328.26086956520942</v>
      </c>
      <c r="U2362" s="10">
        <f t="shared" ca="1" si="341"/>
        <v>328.26086956520942</v>
      </c>
      <c r="V2362">
        <f t="shared" si="342"/>
        <v>2</v>
      </c>
    </row>
    <row r="2363" spans="1:22" x14ac:dyDescent="0.25">
      <c r="A2363">
        <v>263</v>
      </c>
      <c r="B2363">
        <v>4</v>
      </c>
      <c r="C2363">
        <v>50</v>
      </c>
      <c r="D2363">
        <v>1</v>
      </c>
      <c r="E2363">
        <v>0</v>
      </c>
      <c r="F2363">
        <v>0</v>
      </c>
      <c r="G2363">
        <v>0</v>
      </c>
      <c r="H2363">
        <v>550</v>
      </c>
      <c r="I2363">
        <f t="shared" si="343"/>
        <v>2358</v>
      </c>
      <c r="J2363" s="6">
        <f t="array" aca="1" ref="J2363:N2363" ca="1">TRANSPOSE(ols(OFFSET($C$2:$C$10,I2363,0),OFFSET($D$2:$H$10,I2363,0)))</f>
        <v>83.54166666666606</v>
      </c>
      <c r="K2363" s="6">
        <f ca="1"/>
        <v>35</v>
      </c>
      <c r="L2363" s="6">
        <f ca="1"/>
        <v>39.16666666666697</v>
      </c>
      <c r="M2363" s="6">
        <f ca="1"/>
        <v>-2.0833333333328028</v>
      </c>
      <c r="N2363" s="6">
        <f ca="1"/>
        <v>-9.5833333333336768E-2</v>
      </c>
      <c r="O2363" s="6">
        <f t="shared" ca="1" si="336"/>
        <v>30.833333333330842</v>
      </c>
      <c r="P2363" t="str">
        <f t="shared" si="344"/>
        <v>NA</v>
      </c>
      <c r="Q2363" s="10">
        <f t="shared" ca="1" si="337"/>
        <v>87.083333333332362</v>
      </c>
      <c r="R2363" s="10">
        <f t="shared" ca="1" si="338"/>
        <v>83.54166666666606</v>
      </c>
      <c r="S2363" s="10">
        <f t="shared" ca="1" si="339"/>
        <v>3.5416666666663019</v>
      </c>
      <c r="T2363" s="10">
        <f t="shared" ca="1" si="340"/>
        <v>-36.956521739125307</v>
      </c>
      <c r="U2363" s="10" t="str">
        <f t="shared" ca="1" si="341"/>
        <v>OR</v>
      </c>
      <c r="V2363">
        <f t="shared" si="342"/>
        <v>1</v>
      </c>
    </row>
    <row r="2364" spans="1:22" x14ac:dyDescent="0.25">
      <c r="A2364">
        <v>263</v>
      </c>
      <c r="B2364">
        <v>5</v>
      </c>
      <c r="C2364">
        <v>100</v>
      </c>
      <c r="D2364">
        <v>1</v>
      </c>
      <c r="E2364">
        <v>0</v>
      </c>
      <c r="F2364">
        <v>1</v>
      </c>
      <c r="G2364">
        <v>1</v>
      </c>
      <c r="H2364">
        <v>250</v>
      </c>
      <c r="I2364">
        <f t="shared" si="343"/>
        <v>2358</v>
      </c>
      <c r="J2364" s="6">
        <f t="array" aca="1" ref="J2364:N2364" ca="1">TRANSPOSE(ols(OFFSET($C$2:$C$10,I2364,0),OFFSET($D$2:$H$10,I2364,0)))</f>
        <v>83.54166666666606</v>
      </c>
      <c r="K2364" s="6">
        <f ca="1"/>
        <v>35</v>
      </c>
      <c r="L2364" s="6">
        <f ca="1"/>
        <v>39.16666666666697</v>
      </c>
      <c r="M2364" s="6">
        <f ca="1"/>
        <v>-2.0833333333328028</v>
      </c>
      <c r="N2364" s="6">
        <f ca="1"/>
        <v>-9.5833333333336768E-2</v>
      </c>
      <c r="O2364" s="6">
        <f t="shared" ca="1" si="336"/>
        <v>96.666666666666032</v>
      </c>
      <c r="P2364" t="str">
        <f t="shared" si="344"/>
        <v>NA</v>
      </c>
      <c r="Q2364" s="10">
        <f t="shared" ca="1" si="337"/>
        <v>87.083333333332362</v>
      </c>
      <c r="R2364" s="10">
        <f t="shared" ca="1" si="338"/>
        <v>120.62500000000023</v>
      </c>
      <c r="S2364" s="10">
        <f t="shared" ca="1" si="339"/>
        <v>-33.541666666667865</v>
      </c>
      <c r="T2364" s="10">
        <f t="shared" ca="1" si="340"/>
        <v>349.99999999999994</v>
      </c>
      <c r="U2364" s="10">
        <f t="shared" ca="1" si="341"/>
        <v>349.99999999999994</v>
      </c>
      <c r="V2364">
        <f t="shared" si="342"/>
        <v>6</v>
      </c>
    </row>
    <row r="2365" spans="1:22" x14ac:dyDescent="0.25">
      <c r="A2365">
        <v>263</v>
      </c>
      <c r="B2365">
        <v>6</v>
      </c>
      <c r="C2365">
        <v>100</v>
      </c>
      <c r="D2365">
        <v>1</v>
      </c>
      <c r="E2365">
        <v>0</v>
      </c>
      <c r="F2365">
        <v>1</v>
      </c>
      <c r="G2365">
        <v>1</v>
      </c>
      <c r="H2365">
        <v>350</v>
      </c>
      <c r="I2365">
        <f t="shared" si="343"/>
        <v>2358</v>
      </c>
      <c r="J2365" s="6">
        <f t="array" aca="1" ref="J2365:N2365" ca="1">TRANSPOSE(ols(OFFSET($C$2:$C$10,I2365,0),OFFSET($D$2:$H$10,I2365,0)))</f>
        <v>83.54166666666606</v>
      </c>
      <c r="K2365" s="6">
        <f ca="1"/>
        <v>35</v>
      </c>
      <c r="L2365" s="6">
        <f ca="1"/>
        <v>39.16666666666697</v>
      </c>
      <c r="M2365" s="6">
        <f ca="1"/>
        <v>-2.0833333333328028</v>
      </c>
      <c r="N2365" s="6">
        <f ca="1"/>
        <v>-9.5833333333336768E-2</v>
      </c>
      <c r="O2365" s="6">
        <f t="shared" ca="1" si="336"/>
        <v>87.083333333332362</v>
      </c>
      <c r="P2365">
        <f t="shared" ca="1" si="344"/>
        <v>87.083333333332362</v>
      </c>
      <c r="Q2365" s="10">
        <f t="shared" ca="1" si="337"/>
        <v>87.083333333332362</v>
      </c>
      <c r="R2365" s="10">
        <f t="shared" ca="1" si="338"/>
        <v>120.62500000000023</v>
      </c>
      <c r="S2365" s="10">
        <f t="shared" ca="1" si="339"/>
        <v>-33.541666666667865</v>
      </c>
      <c r="T2365" s="10">
        <f t="shared" ca="1" si="340"/>
        <v>349.99999999999994</v>
      </c>
      <c r="U2365" s="10">
        <f t="shared" ca="1" si="341"/>
        <v>349.99999999999994</v>
      </c>
      <c r="V2365">
        <f t="shared" si="342"/>
        <v>6</v>
      </c>
    </row>
    <row r="2366" spans="1:22" x14ac:dyDescent="0.25">
      <c r="A2366">
        <v>263</v>
      </c>
      <c r="B2366">
        <v>7</v>
      </c>
      <c r="C2366">
        <v>75</v>
      </c>
      <c r="D2366">
        <v>1</v>
      </c>
      <c r="E2366">
        <v>1</v>
      </c>
      <c r="F2366">
        <v>0</v>
      </c>
      <c r="G2366">
        <v>1</v>
      </c>
      <c r="H2366">
        <v>450</v>
      </c>
      <c r="I2366">
        <f t="shared" si="343"/>
        <v>2358</v>
      </c>
      <c r="J2366" s="6">
        <f t="array" aca="1" ref="J2366:N2366" ca="1">TRANSPOSE(ols(OFFSET($C$2:$C$10,I2366,0),OFFSET($D$2:$H$10,I2366,0)))</f>
        <v>83.54166666666606</v>
      </c>
      <c r="K2366" s="6">
        <f ca="1"/>
        <v>35</v>
      </c>
      <c r="L2366" s="6">
        <f ca="1"/>
        <v>39.16666666666697</v>
      </c>
      <c r="M2366" s="6">
        <f ca="1"/>
        <v>-2.0833333333328028</v>
      </c>
      <c r="N2366" s="6">
        <f ca="1"/>
        <v>-9.5833333333336768E-2</v>
      </c>
      <c r="O2366" s="6">
        <f t="shared" ca="1" si="336"/>
        <v>73.333333333331709</v>
      </c>
      <c r="P2366" t="str">
        <f t="shared" si="344"/>
        <v>NA</v>
      </c>
      <c r="Q2366" s="10">
        <f t="shared" ca="1" si="337"/>
        <v>87.083333333332362</v>
      </c>
      <c r="R2366" s="10">
        <f t="shared" ca="1" si="338"/>
        <v>116.45833333333326</v>
      </c>
      <c r="S2366" s="10">
        <f t="shared" ca="1" si="339"/>
        <v>-29.375000000000895</v>
      </c>
      <c r="T2366" s="10">
        <f t="shared" ca="1" si="340"/>
        <v>306.52173913043316</v>
      </c>
      <c r="U2366" s="10">
        <f t="shared" ca="1" si="341"/>
        <v>306.52173913043316</v>
      </c>
      <c r="V2366">
        <f t="shared" si="342"/>
        <v>5</v>
      </c>
    </row>
    <row r="2367" spans="1:22" x14ac:dyDescent="0.25">
      <c r="A2367">
        <v>263</v>
      </c>
      <c r="B2367">
        <v>8</v>
      </c>
      <c r="C2367">
        <v>65</v>
      </c>
      <c r="D2367">
        <v>1</v>
      </c>
      <c r="E2367">
        <v>1</v>
      </c>
      <c r="F2367">
        <v>0</v>
      </c>
      <c r="G2367">
        <v>1</v>
      </c>
      <c r="H2367">
        <v>550</v>
      </c>
      <c r="I2367">
        <f t="shared" si="343"/>
        <v>2358</v>
      </c>
      <c r="J2367" s="6">
        <f t="array" aca="1" ref="J2367:N2367" ca="1">TRANSPOSE(ols(OFFSET($C$2:$C$10,I2367,0),OFFSET($D$2:$H$10,I2367,0)))</f>
        <v>83.54166666666606</v>
      </c>
      <c r="K2367" s="6">
        <f ca="1"/>
        <v>35</v>
      </c>
      <c r="L2367" s="6">
        <f ca="1"/>
        <v>39.16666666666697</v>
      </c>
      <c r="M2367" s="6">
        <f ca="1"/>
        <v>-2.0833333333328028</v>
      </c>
      <c r="N2367" s="6">
        <f ca="1"/>
        <v>-9.5833333333336768E-2</v>
      </c>
      <c r="O2367" s="6">
        <f t="shared" ca="1" si="336"/>
        <v>63.749999999998039</v>
      </c>
      <c r="P2367" t="str">
        <f t="shared" si="344"/>
        <v>NA</v>
      </c>
      <c r="Q2367" s="10">
        <f t="shared" ca="1" si="337"/>
        <v>87.083333333332362</v>
      </c>
      <c r="R2367" s="10">
        <f t="shared" ca="1" si="338"/>
        <v>116.45833333333326</v>
      </c>
      <c r="S2367" s="10">
        <f t="shared" ca="1" si="339"/>
        <v>-29.375000000000895</v>
      </c>
      <c r="T2367" s="10">
        <f t="shared" ca="1" si="340"/>
        <v>306.52173913043316</v>
      </c>
      <c r="U2367" s="10">
        <f t="shared" ca="1" si="341"/>
        <v>306.52173913043316</v>
      </c>
      <c r="V2367">
        <f t="shared" si="342"/>
        <v>5</v>
      </c>
    </row>
    <row r="2368" spans="1:22" x14ac:dyDescent="0.25">
      <c r="A2368">
        <v>263</v>
      </c>
      <c r="B2368">
        <v>9</v>
      </c>
      <c r="C2368">
        <v>0</v>
      </c>
      <c r="D2368">
        <v>1</v>
      </c>
      <c r="E2368">
        <v>0</v>
      </c>
      <c r="F2368">
        <v>0</v>
      </c>
      <c r="G2368">
        <v>1</v>
      </c>
      <c r="H2368">
        <v>650</v>
      </c>
      <c r="I2368">
        <f t="shared" si="343"/>
        <v>2358</v>
      </c>
      <c r="J2368" s="6">
        <f t="array" aca="1" ref="J2368:N2368" ca="1">TRANSPOSE(ols(OFFSET($C$2:$C$10,I2368,0),OFFSET($D$2:$H$10,I2368,0)))</f>
        <v>83.54166666666606</v>
      </c>
      <c r="K2368" s="6">
        <f ca="1"/>
        <v>35</v>
      </c>
      <c r="L2368" s="6">
        <f ca="1"/>
        <v>39.16666666666697</v>
      </c>
      <c r="M2368" s="6">
        <f ca="1"/>
        <v>-2.0833333333328028</v>
      </c>
      <c r="N2368" s="6">
        <f ca="1"/>
        <v>-9.5833333333336768E-2</v>
      </c>
      <c r="O2368" s="6">
        <f t="shared" ca="1" si="336"/>
        <v>19.166666666664355</v>
      </c>
      <c r="P2368" t="str">
        <f t="shared" si="344"/>
        <v>NA</v>
      </c>
      <c r="Q2368" s="10">
        <f t="shared" ca="1" si="337"/>
        <v>87.083333333332362</v>
      </c>
      <c r="R2368" s="10">
        <f t="shared" ca="1" si="338"/>
        <v>81.458333333333258</v>
      </c>
      <c r="S2368" s="10">
        <f t="shared" ca="1" si="339"/>
        <v>5.6249999999991047</v>
      </c>
      <c r="T2368" s="10">
        <f t="shared" ca="1" si="340"/>
        <v>-58.6956521739016</v>
      </c>
      <c r="U2368" s="10" t="str">
        <f t="shared" ca="1" si="341"/>
        <v>OR</v>
      </c>
      <c r="V2368">
        <f t="shared" si="342"/>
        <v>4</v>
      </c>
    </row>
    <row r="2369" spans="1:22" x14ac:dyDescent="0.25">
      <c r="A2369">
        <v>264</v>
      </c>
      <c r="B2369">
        <v>1</v>
      </c>
      <c r="C2369">
        <v>90</v>
      </c>
      <c r="D2369">
        <v>1</v>
      </c>
      <c r="E2369">
        <v>0</v>
      </c>
      <c r="F2369">
        <v>1</v>
      </c>
      <c r="G2369">
        <v>0</v>
      </c>
      <c r="H2369">
        <v>250</v>
      </c>
      <c r="I2369">
        <f t="shared" si="343"/>
        <v>2367</v>
      </c>
      <c r="J2369" s="6">
        <f t="array" aca="1" ref="J2369:N2369" ca="1">TRANSPOSE(ols(OFFSET($C$2:$C$10,I2369,0),OFFSET($D$2:$H$10,I2369,0)))</f>
        <v>57.738095238093592</v>
      </c>
      <c r="K2369" s="6">
        <f ca="1"/>
        <v>29.642857142857338</v>
      </c>
      <c r="L2369" s="6">
        <f ca="1"/>
        <v>45.238095238095411</v>
      </c>
      <c r="M2369" s="6">
        <f ca="1"/>
        <v>-22.619047619047365</v>
      </c>
      <c r="N2369" s="6">
        <f ca="1"/>
        <v>-6.904761904761969E-2</v>
      </c>
      <c r="O2369" s="6">
        <f t="shared" ca="1" si="336"/>
        <v>85.714285714284074</v>
      </c>
      <c r="P2369" t="str">
        <f t="shared" si="344"/>
        <v>NA</v>
      </c>
      <c r="Q2369" s="10">
        <f t="shared" ca="1" si="337"/>
        <v>56.190476190474747</v>
      </c>
      <c r="R2369" s="10">
        <f t="shared" ca="1" si="338"/>
        <v>102.976190476189</v>
      </c>
      <c r="S2369" s="10">
        <f t="shared" ca="1" si="339"/>
        <v>-46.785714285714256</v>
      </c>
      <c r="T2369" s="10">
        <f t="shared" ca="1" si="340"/>
        <v>677.58620689654504</v>
      </c>
      <c r="U2369" s="10" t="str">
        <f t="shared" ca="1" si="341"/>
        <v>OR</v>
      </c>
      <c r="V2369">
        <f t="shared" si="342"/>
        <v>3</v>
      </c>
    </row>
    <row r="2370" spans="1:22" x14ac:dyDescent="0.25">
      <c r="A2370">
        <v>264</v>
      </c>
      <c r="B2370">
        <v>2</v>
      </c>
      <c r="C2370">
        <v>70</v>
      </c>
      <c r="D2370">
        <v>1</v>
      </c>
      <c r="E2370">
        <v>1</v>
      </c>
      <c r="F2370">
        <v>0</v>
      </c>
      <c r="G2370">
        <v>0</v>
      </c>
      <c r="H2370">
        <v>350</v>
      </c>
      <c r="I2370">
        <f t="shared" si="343"/>
        <v>2367</v>
      </c>
      <c r="J2370" s="6">
        <f t="array" aca="1" ref="J2370:N2370" ca="1">TRANSPOSE(ols(OFFSET($C$2:$C$10,I2370,0),OFFSET($D$2:$H$10,I2370,0)))</f>
        <v>57.738095238093592</v>
      </c>
      <c r="K2370" s="6">
        <f ca="1"/>
        <v>29.642857142857338</v>
      </c>
      <c r="L2370" s="6">
        <f ca="1"/>
        <v>45.238095238095411</v>
      </c>
      <c r="M2370" s="6">
        <f ca="1"/>
        <v>-22.619047619047365</v>
      </c>
      <c r="N2370" s="6">
        <f ca="1"/>
        <v>-6.904761904761969E-2</v>
      </c>
      <c r="O2370" s="6">
        <f t="shared" ca="1" si="336"/>
        <v>63.214285714284038</v>
      </c>
      <c r="P2370" t="str">
        <f t="shared" si="344"/>
        <v>NA</v>
      </c>
      <c r="Q2370" s="10">
        <f t="shared" ca="1" si="337"/>
        <v>56.190476190474747</v>
      </c>
      <c r="R2370" s="10">
        <f t="shared" ca="1" si="338"/>
        <v>87.38095238095093</v>
      </c>
      <c r="S2370" s="10">
        <f t="shared" ca="1" si="339"/>
        <v>-31.190476190476183</v>
      </c>
      <c r="T2370" s="10">
        <f t="shared" ca="1" si="340"/>
        <v>451.72413793103016</v>
      </c>
      <c r="U2370" s="10">
        <f t="shared" ca="1" si="341"/>
        <v>451.72413793103016</v>
      </c>
      <c r="V2370">
        <f t="shared" si="342"/>
        <v>2</v>
      </c>
    </row>
    <row r="2371" spans="1:22" x14ac:dyDescent="0.25">
      <c r="A2371">
        <v>264</v>
      </c>
      <c r="B2371">
        <v>3</v>
      </c>
      <c r="C2371">
        <v>55</v>
      </c>
      <c r="D2371">
        <v>1</v>
      </c>
      <c r="E2371">
        <v>1</v>
      </c>
      <c r="F2371">
        <v>0</v>
      </c>
      <c r="G2371">
        <v>0</v>
      </c>
      <c r="H2371">
        <v>450</v>
      </c>
      <c r="I2371">
        <f t="shared" si="343"/>
        <v>2367</v>
      </c>
      <c r="J2371" s="6">
        <f t="array" aca="1" ref="J2371:N2371" ca="1">TRANSPOSE(ols(OFFSET($C$2:$C$10,I2371,0),OFFSET($D$2:$H$10,I2371,0)))</f>
        <v>57.738095238093592</v>
      </c>
      <c r="K2371" s="6">
        <f ca="1"/>
        <v>29.642857142857338</v>
      </c>
      <c r="L2371" s="6">
        <f ca="1"/>
        <v>45.238095238095411</v>
      </c>
      <c r="M2371" s="6">
        <f ca="1"/>
        <v>-22.619047619047365</v>
      </c>
      <c r="N2371" s="6">
        <f ca="1"/>
        <v>-6.904761904761969E-2</v>
      </c>
      <c r="O2371" s="6">
        <f t="shared" ref="O2371:O2434" ca="1" si="345">SUMPRODUCT(J2371:N2371,D2371:H2371)</f>
        <v>56.309523809522069</v>
      </c>
      <c r="P2371" t="str">
        <f t="shared" si="344"/>
        <v>NA</v>
      </c>
      <c r="Q2371" s="10">
        <f t="shared" ref="Q2371:Q2434" ca="1" si="346">AVERAGEIF($A$2:$A$5383,A2371,$P$2:$P$5383)</f>
        <v>56.190476190474747</v>
      </c>
      <c r="R2371" s="10">
        <f t="shared" ref="R2371:R2434" ca="1" si="347">O2371-N2371*H2371</f>
        <v>87.38095238095093</v>
      </c>
      <c r="S2371" s="10">
        <f t="shared" ref="S2371:S2434" ca="1" si="348">Q2371-R2371</f>
        <v>-31.190476190476183</v>
      </c>
      <c r="T2371" s="10">
        <f t="shared" ref="T2371:T2434" ca="1" si="349">S2371/N2371</f>
        <v>451.72413793103016</v>
      </c>
      <c r="U2371" s="10">
        <f t="shared" ref="U2371:U2434" ca="1" si="350">IF(OR(T2371&lt;250,T2371&gt;650),"OR",T2371)</f>
        <v>451.72413793103016</v>
      </c>
      <c r="V2371">
        <f t="shared" ref="V2371:V2434" si="351">IF(AND(E2371=1,G2371=0),2,IF(AND(F2371=1,G2371=0),3,IF(AND(E2371=1,G2371=1),5,IF(AND(F2371=1,G2371=1),6,IF(G2371=0,1,IF(G2371=1,4))))))</f>
        <v>2</v>
      </c>
    </row>
    <row r="2372" spans="1:22" x14ac:dyDescent="0.25">
      <c r="A2372">
        <v>264</v>
      </c>
      <c r="B2372">
        <v>4</v>
      </c>
      <c r="C2372">
        <v>10</v>
      </c>
      <c r="D2372">
        <v>1</v>
      </c>
      <c r="E2372">
        <v>0</v>
      </c>
      <c r="F2372">
        <v>0</v>
      </c>
      <c r="G2372">
        <v>0</v>
      </c>
      <c r="H2372">
        <v>550</v>
      </c>
      <c r="I2372">
        <f t="shared" si="343"/>
        <v>2367</v>
      </c>
      <c r="J2372" s="6">
        <f t="array" aca="1" ref="J2372:N2372" ca="1">TRANSPOSE(ols(OFFSET($C$2:$C$10,I2372,0),OFFSET($D$2:$H$10,I2372,0)))</f>
        <v>57.738095238093592</v>
      </c>
      <c r="K2372" s="6">
        <f ca="1"/>
        <v>29.642857142857338</v>
      </c>
      <c r="L2372" s="6">
        <f ca="1"/>
        <v>45.238095238095411</v>
      </c>
      <c r="M2372" s="6">
        <f ca="1"/>
        <v>-22.619047619047365</v>
      </c>
      <c r="N2372" s="6">
        <f ca="1"/>
        <v>-6.904761904761969E-2</v>
      </c>
      <c r="O2372" s="6">
        <f t="shared" ca="1" si="345"/>
        <v>19.761904761902763</v>
      </c>
      <c r="P2372" t="str">
        <f t="shared" si="344"/>
        <v>NA</v>
      </c>
      <c r="Q2372" s="10">
        <f t="shared" ca="1" si="346"/>
        <v>56.190476190474747</v>
      </c>
      <c r="R2372" s="10">
        <f t="shared" ca="1" si="347"/>
        <v>57.738095238093592</v>
      </c>
      <c r="S2372" s="10">
        <f t="shared" ca="1" si="348"/>
        <v>-1.5476190476188449</v>
      </c>
      <c r="T2372" s="10">
        <f t="shared" ca="1" si="349"/>
        <v>22.413793103445133</v>
      </c>
      <c r="U2372" s="10" t="str">
        <f t="shared" ca="1" si="350"/>
        <v>OR</v>
      </c>
      <c r="V2372">
        <f t="shared" si="351"/>
        <v>1</v>
      </c>
    </row>
    <row r="2373" spans="1:22" x14ac:dyDescent="0.25">
      <c r="A2373">
        <v>264</v>
      </c>
      <c r="B2373">
        <v>5</v>
      </c>
      <c r="C2373">
        <v>45</v>
      </c>
      <c r="D2373">
        <v>1</v>
      </c>
      <c r="E2373">
        <v>0</v>
      </c>
      <c r="F2373">
        <v>1</v>
      </c>
      <c r="G2373">
        <v>1</v>
      </c>
      <c r="H2373">
        <v>250</v>
      </c>
      <c r="I2373">
        <f t="shared" si="343"/>
        <v>2367</v>
      </c>
      <c r="J2373" s="6">
        <f t="array" aca="1" ref="J2373:N2373" ca="1">TRANSPOSE(ols(OFFSET($C$2:$C$10,I2373,0),OFFSET($D$2:$H$10,I2373,0)))</f>
        <v>57.738095238093592</v>
      </c>
      <c r="K2373" s="6">
        <f ca="1"/>
        <v>29.642857142857338</v>
      </c>
      <c r="L2373" s="6">
        <f ca="1"/>
        <v>45.238095238095411</v>
      </c>
      <c r="M2373" s="6">
        <f ca="1"/>
        <v>-22.619047619047365</v>
      </c>
      <c r="N2373" s="6">
        <f ca="1"/>
        <v>-6.904761904761969E-2</v>
      </c>
      <c r="O2373" s="6">
        <f t="shared" ca="1" si="345"/>
        <v>63.095238095236716</v>
      </c>
      <c r="P2373" t="str">
        <f t="shared" si="344"/>
        <v>NA</v>
      </c>
      <c r="Q2373" s="10">
        <f t="shared" ca="1" si="346"/>
        <v>56.190476190474747</v>
      </c>
      <c r="R2373" s="10">
        <f t="shared" ca="1" si="347"/>
        <v>80.357142857141639</v>
      </c>
      <c r="S2373" s="10">
        <f t="shared" ca="1" si="348"/>
        <v>-24.166666666666892</v>
      </c>
      <c r="T2373" s="10">
        <f t="shared" ca="1" si="349"/>
        <v>350</v>
      </c>
      <c r="U2373" s="10">
        <f t="shared" ca="1" si="350"/>
        <v>350</v>
      </c>
      <c r="V2373">
        <f t="shared" si="351"/>
        <v>6</v>
      </c>
    </row>
    <row r="2374" spans="1:22" x14ac:dyDescent="0.25">
      <c r="A2374">
        <v>264</v>
      </c>
      <c r="B2374">
        <v>6</v>
      </c>
      <c r="C2374">
        <v>70</v>
      </c>
      <c r="D2374">
        <v>1</v>
      </c>
      <c r="E2374">
        <v>0</v>
      </c>
      <c r="F2374">
        <v>1</v>
      </c>
      <c r="G2374">
        <v>1</v>
      </c>
      <c r="H2374">
        <v>350</v>
      </c>
      <c r="I2374">
        <f t="shared" si="343"/>
        <v>2367</v>
      </c>
      <c r="J2374" s="6">
        <f t="array" aca="1" ref="J2374:N2374" ca="1">TRANSPOSE(ols(OFFSET($C$2:$C$10,I2374,0),OFFSET($D$2:$H$10,I2374,0)))</f>
        <v>57.738095238093592</v>
      </c>
      <c r="K2374" s="6">
        <f ca="1"/>
        <v>29.642857142857338</v>
      </c>
      <c r="L2374" s="6">
        <f ca="1"/>
        <v>45.238095238095411</v>
      </c>
      <c r="M2374" s="6">
        <f ca="1"/>
        <v>-22.619047619047365</v>
      </c>
      <c r="N2374" s="6">
        <f ca="1"/>
        <v>-6.904761904761969E-2</v>
      </c>
      <c r="O2374" s="6">
        <f t="shared" ca="1" si="345"/>
        <v>56.190476190474747</v>
      </c>
      <c r="P2374">
        <f t="shared" ca="1" si="344"/>
        <v>56.190476190474747</v>
      </c>
      <c r="Q2374" s="10">
        <f t="shared" ca="1" si="346"/>
        <v>56.190476190474747</v>
      </c>
      <c r="R2374" s="10">
        <f t="shared" ca="1" si="347"/>
        <v>80.357142857141639</v>
      </c>
      <c r="S2374" s="10">
        <f t="shared" ca="1" si="348"/>
        <v>-24.166666666666892</v>
      </c>
      <c r="T2374" s="10">
        <f t="shared" ca="1" si="349"/>
        <v>350</v>
      </c>
      <c r="U2374" s="10">
        <f t="shared" ca="1" si="350"/>
        <v>350</v>
      </c>
      <c r="V2374">
        <f t="shared" si="351"/>
        <v>6</v>
      </c>
    </row>
    <row r="2375" spans="1:22" x14ac:dyDescent="0.25">
      <c r="A2375">
        <v>264</v>
      </c>
      <c r="B2375">
        <v>7</v>
      </c>
      <c r="C2375">
        <v>45</v>
      </c>
      <c r="D2375">
        <v>1</v>
      </c>
      <c r="E2375">
        <v>1</v>
      </c>
      <c r="F2375">
        <v>0</v>
      </c>
      <c r="G2375">
        <v>1</v>
      </c>
      <c r="H2375">
        <v>450</v>
      </c>
      <c r="I2375">
        <f t="shared" si="343"/>
        <v>2367</v>
      </c>
      <c r="J2375" s="6">
        <f t="array" aca="1" ref="J2375:N2375" ca="1">TRANSPOSE(ols(OFFSET($C$2:$C$10,I2375,0),OFFSET($D$2:$H$10,I2375,0)))</f>
        <v>57.738095238093592</v>
      </c>
      <c r="K2375" s="6">
        <f ca="1"/>
        <v>29.642857142857338</v>
      </c>
      <c r="L2375" s="6">
        <f ca="1"/>
        <v>45.238095238095411</v>
      </c>
      <c r="M2375" s="6">
        <f ca="1"/>
        <v>-22.619047619047365</v>
      </c>
      <c r="N2375" s="6">
        <f ca="1"/>
        <v>-6.904761904761969E-2</v>
      </c>
      <c r="O2375" s="6">
        <f t="shared" ca="1" si="345"/>
        <v>33.690476190474705</v>
      </c>
      <c r="P2375" t="str">
        <f t="shared" si="344"/>
        <v>NA</v>
      </c>
      <c r="Q2375" s="10">
        <f t="shared" ca="1" si="346"/>
        <v>56.190476190474747</v>
      </c>
      <c r="R2375" s="10">
        <f t="shared" ca="1" si="347"/>
        <v>64.761904761903565</v>
      </c>
      <c r="S2375" s="10">
        <f t="shared" ca="1" si="348"/>
        <v>-8.5714285714288181</v>
      </c>
      <c r="T2375" s="10">
        <f t="shared" ca="1" si="349"/>
        <v>124.13793103448518</v>
      </c>
      <c r="U2375" s="10" t="str">
        <f t="shared" ca="1" si="350"/>
        <v>OR</v>
      </c>
      <c r="V2375">
        <f t="shared" si="351"/>
        <v>5</v>
      </c>
    </row>
    <row r="2376" spans="1:22" x14ac:dyDescent="0.25">
      <c r="A2376">
        <v>264</v>
      </c>
      <c r="B2376">
        <v>8</v>
      </c>
      <c r="C2376">
        <v>10</v>
      </c>
      <c r="D2376">
        <v>1</v>
      </c>
      <c r="E2376">
        <v>1</v>
      </c>
      <c r="F2376">
        <v>0</v>
      </c>
      <c r="G2376">
        <v>1</v>
      </c>
      <c r="H2376">
        <v>550</v>
      </c>
      <c r="I2376">
        <f t="shared" si="343"/>
        <v>2367</v>
      </c>
      <c r="J2376" s="6">
        <f t="array" aca="1" ref="J2376:N2376" ca="1">TRANSPOSE(ols(OFFSET($C$2:$C$10,I2376,0),OFFSET($D$2:$H$10,I2376,0)))</f>
        <v>57.738095238093592</v>
      </c>
      <c r="K2376" s="6">
        <f ca="1"/>
        <v>29.642857142857338</v>
      </c>
      <c r="L2376" s="6">
        <f ca="1"/>
        <v>45.238095238095411</v>
      </c>
      <c r="M2376" s="6">
        <f ca="1"/>
        <v>-22.619047619047365</v>
      </c>
      <c r="N2376" s="6">
        <f ca="1"/>
        <v>-6.904761904761969E-2</v>
      </c>
      <c r="O2376" s="6">
        <f t="shared" ca="1" si="345"/>
        <v>26.785714285712736</v>
      </c>
      <c r="P2376" t="str">
        <f t="shared" si="344"/>
        <v>NA</v>
      </c>
      <c r="Q2376" s="10">
        <f t="shared" ca="1" si="346"/>
        <v>56.190476190474747</v>
      </c>
      <c r="R2376" s="10">
        <f t="shared" ca="1" si="347"/>
        <v>64.761904761903565</v>
      </c>
      <c r="S2376" s="10">
        <f t="shared" ca="1" si="348"/>
        <v>-8.5714285714288181</v>
      </c>
      <c r="T2376" s="10">
        <f t="shared" ca="1" si="349"/>
        <v>124.13793103448518</v>
      </c>
      <c r="U2376" s="10" t="str">
        <f t="shared" ca="1" si="350"/>
        <v>OR</v>
      </c>
      <c r="V2376">
        <f t="shared" si="351"/>
        <v>5</v>
      </c>
    </row>
    <row r="2377" spans="1:22" x14ac:dyDescent="0.25">
      <c r="A2377">
        <v>264</v>
      </c>
      <c r="B2377">
        <v>9</v>
      </c>
      <c r="C2377">
        <v>0</v>
      </c>
      <c r="D2377">
        <v>1</v>
      </c>
      <c r="E2377">
        <v>0</v>
      </c>
      <c r="F2377">
        <v>0</v>
      </c>
      <c r="G2377">
        <v>1</v>
      </c>
      <c r="H2377">
        <v>650</v>
      </c>
      <c r="I2377">
        <f t="shared" si="343"/>
        <v>2367</v>
      </c>
      <c r="J2377" s="6">
        <f t="array" aca="1" ref="J2377:N2377" ca="1">TRANSPOSE(ols(OFFSET($C$2:$C$10,I2377,0),OFFSET($D$2:$H$10,I2377,0)))</f>
        <v>57.738095238093592</v>
      </c>
      <c r="K2377" s="6">
        <f ca="1"/>
        <v>29.642857142857338</v>
      </c>
      <c r="L2377" s="6">
        <f ca="1"/>
        <v>45.238095238095411</v>
      </c>
      <c r="M2377" s="6">
        <f ca="1"/>
        <v>-22.619047619047365</v>
      </c>
      <c r="N2377" s="6">
        <f ca="1"/>
        <v>-6.904761904761969E-2</v>
      </c>
      <c r="O2377" s="6">
        <f t="shared" ca="1" si="345"/>
        <v>-9.7619047619065711</v>
      </c>
      <c r="P2377" t="str">
        <f t="shared" si="344"/>
        <v>NA</v>
      </c>
      <c r="Q2377" s="10">
        <f t="shared" ca="1" si="346"/>
        <v>56.190476190474747</v>
      </c>
      <c r="R2377" s="10">
        <f t="shared" ca="1" si="347"/>
        <v>35.119047619046228</v>
      </c>
      <c r="S2377" s="10">
        <f t="shared" ca="1" si="348"/>
        <v>21.07142857142852</v>
      </c>
      <c r="T2377" s="10">
        <f t="shared" ca="1" si="349"/>
        <v>-305.17241379309985</v>
      </c>
      <c r="U2377" s="10" t="str">
        <f t="shared" ca="1" si="350"/>
        <v>OR</v>
      </c>
      <c r="V2377">
        <f t="shared" si="351"/>
        <v>4</v>
      </c>
    </row>
    <row r="2378" spans="1:22" x14ac:dyDescent="0.25">
      <c r="A2378">
        <v>265</v>
      </c>
      <c r="B2378">
        <v>1</v>
      </c>
      <c r="C2378">
        <v>90</v>
      </c>
      <c r="D2378">
        <v>1</v>
      </c>
      <c r="E2378">
        <v>0</v>
      </c>
      <c r="F2378">
        <v>1</v>
      </c>
      <c r="G2378">
        <v>0</v>
      </c>
      <c r="H2378">
        <v>250</v>
      </c>
      <c r="I2378">
        <f t="shared" si="343"/>
        <v>2376</v>
      </c>
      <c r="J2378" s="6">
        <f t="array" aca="1" ref="J2378:N2378" ca="1">TRANSPOSE(ols(OFFSET($C$2:$C$10,I2378,0),OFFSET($D$2:$H$10,I2378,0)))</f>
        <v>183.51190476190186</v>
      </c>
      <c r="K2378" s="6">
        <f ca="1"/>
        <v>-19.642857142856428</v>
      </c>
      <c r="L2378" s="6">
        <f ca="1"/>
        <v>-15.238095238093592</v>
      </c>
      <c r="M2378" s="6">
        <f ca="1"/>
        <v>5.119047619047592</v>
      </c>
      <c r="N2378" s="6">
        <f ca="1"/>
        <v>-0.30595238095237942</v>
      </c>
      <c r="O2378" s="6">
        <f t="shared" ca="1" si="345"/>
        <v>91.785714285713411</v>
      </c>
      <c r="P2378" t="str">
        <f t="shared" si="344"/>
        <v>NA</v>
      </c>
      <c r="Q2378" s="10">
        <f t="shared" ca="1" si="346"/>
        <v>66.309523809523057</v>
      </c>
      <c r="R2378" s="10">
        <f t="shared" ca="1" si="347"/>
        <v>168.27380952380827</v>
      </c>
      <c r="S2378" s="10">
        <f t="shared" ca="1" si="348"/>
        <v>-101.96428571428521</v>
      </c>
      <c r="T2378" s="10">
        <f t="shared" ca="1" si="349"/>
        <v>333.26848249027239</v>
      </c>
      <c r="U2378" s="10">
        <f t="shared" ca="1" si="350"/>
        <v>333.26848249027239</v>
      </c>
      <c r="V2378">
        <f t="shared" si="351"/>
        <v>3</v>
      </c>
    </row>
    <row r="2379" spans="1:22" x14ac:dyDescent="0.25">
      <c r="A2379">
        <v>265</v>
      </c>
      <c r="B2379">
        <v>2</v>
      </c>
      <c r="C2379">
        <v>75</v>
      </c>
      <c r="D2379">
        <v>1</v>
      </c>
      <c r="E2379">
        <v>1</v>
      </c>
      <c r="F2379">
        <v>0</v>
      </c>
      <c r="G2379">
        <v>0</v>
      </c>
      <c r="H2379">
        <v>350</v>
      </c>
      <c r="I2379">
        <f t="shared" si="343"/>
        <v>2376</v>
      </c>
      <c r="J2379" s="6">
        <f t="array" aca="1" ref="J2379:N2379" ca="1">TRANSPOSE(ols(OFFSET($C$2:$C$10,I2379,0),OFFSET($D$2:$H$10,I2379,0)))</f>
        <v>183.51190476190186</v>
      </c>
      <c r="K2379" s="6">
        <f ca="1"/>
        <v>-19.642857142856428</v>
      </c>
      <c r="L2379" s="6">
        <f ca="1"/>
        <v>-15.238095238093592</v>
      </c>
      <c r="M2379" s="6">
        <f ca="1"/>
        <v>5.119047619047592</v>
      </c>
      <c r="N2379" s="6">
        <f ca="1"/>
        <v>-0.30595238095237942</v>
      </c>
      <c r="O2379" s="6">
        <f t="shared" ca="1" si="345"/>
        <v>56.785714285712629</v>
      </c>
      <c r="P2379" t="str">
        <f t="shared" si="344"/>
        <v>NA</v>
      </c>
      <c r="Q2379" s="10">
        <f t="shared" ca="1" si="346"/>
        <v>66.309523809523057</v>
      </c>
      <c r="R2379" s="10">
        <f t="shared" ca="1" si="347"/>
        <v>163.86904761904543</v>
      </c>
      <c r="S2379" s="10">
        <f t="shared" ca="1" si="348"/>
        <v>-97.559523809522375</v>
      </c>
      <c r="T2379" s="10">
        <f t="shared" ca="1" si="349"/>
        <v>318.87159533073623</v>
      </c>
      <c r="U2379" s="10">
        <f t="shared" ca="1" si="350"/>
        <v>318.87159533073623</v>
      </c>
      <c r="V2379">
        <f t="shared" si="351"/>
        <v>2</v>
      </c>
    </row>
    <row r="2380" spans="1:22" x14ac:dyDescent="0.25">
      <c r="A2380">
        <v>265</v>
      </c>
      <c r="B2380">
        <v>3</v>
      </c>
      <c r="C2380">
        <v>20</v>
      </c>
      <c r="D2380">
        <v>1</v>
      </c>
      <c r="E2380">
        <v>1</v>
      </c>
      <c r="F2380">
        <v>0</v>
      </c>
      <c r="G2380">
        <v>0</v>
      </c>
      <c r="H2380">
        <v>450</v>
      </c>
      <c r="I2380">
        <f t="shared" ref="I2380:I2443" si="352">IF(A2380&gt;A2379,I2379+9,I2379)</f>
        <v>2376</v>
      </c>
      <c r="J2380" s="6">
        <f t="array" aca="1" ref="J2380:N2380" ca="1">TRANSPOSE(ols(OFFSET($C$2:$C$10,I2380,0),OFFSET($D$2:$H$10,I2380,0)))</f>
        <v>183.51190476190186</v>
      </c>
      <c r="K2380" s="6">
        <f ca="1"/>
        <v>-19.642857142856428</v>
      </c>
      <c r="L2380" s="6">
        <f ca="1"/>
        <v>-15.238095238093592</v>
      </c>
      <c r="M2380" s="6">
        <f ca="1"/>
        <v>5.119047619047592</v>
      </c>
      <c r="N2380" s="6">
        <f ca="1"/>
        <v>-0.30595238095237942</v>
      </c>
      <c r="O2380" s="6">
        <f t="shared" ca="1" si="345"/>
        <v>26.190476190474698</v>
      </c>
      <c r="P2380" t="str">
        <f t="shared" si="344"/>
        <v>NA</v>
      </c>
      <c r="Q2380" s="10">
        <f t="shared" ca="1" si="346"/>
        <v>66.309523809523057</v>
      </c>
      <c r="R2380" s="10">
        <f t="shared" ca="1" si="347"/>
        <v>163.86904761904543</v>
      </c>
      <c r="S2380" s="10">
        <f t="shared" ca="1" si="348"/>
        <v>-97.559523809522375</v>
      </c>
      <c r="T2380" s="10">
        <f t="shared" ca="1" si="349"/>
        <v>318.87159533073623</v>
      </c>
      <c r="U2380" s="10">
        <f t="shared" ca="1" si="350"/>
        <v>318.87159533073623</v>
      </c>
      <c r="V2380">
        <f t="shared" si="351"/>
        <v>2</v>
      </c>
    </row>
    <row r="2381" spans="1:22" x14ac:dyDescent="0.25">
      <c r="A2381">
        <v>265</v>
      </c>
      <c r="B2381">
        <v>4</v>
      </c>
      <c r="C2381">
        <v>5</v>
      </c>
      <c r="D2381">
        <v>1</v>
      </c>
      <c r="E2381">
        <v>0</v>
      </c>
      <c r="F2381">
        <v>0</v>
      </c>
      <c r="G2381">
        <v>0</v>
      </c>
      <c r="H2381">
        <v>550</v>
      </c>
      <c r="I2381">
        <f t="shared" si="352"/>
        <v>2376</v>
      </c>
      <c r="J2381" s="6">
        <f t="array" aca="1" ref="J2381:N2381" ca="1">TRANSPOSE(ols(OFFSET($C$2:$C$10,I2381,0),OFFSET($D$2:$H$10,I2381,0)))</f>
        <v>183.51190476190186</v>
      </c>
      <c r="K2381" s="6">
        <f ca="1"/>
        <v>-19.642857142856428</v>
      </c>
      <c r="L2381" s="6">
        <f ca="1"/>
        <v>-15.238095238093592</v>
      </c>
      <c r="M2381" s="6">
        <f ca="1"/>
        <v>5.119047619047592</v>
      </c>
      <c r="N2381" s="6">
        <f ca="1"/>
        <v>-0.30595238095237942</v>
      </c>
      <c r="O2381" s="6">
        <f t="shared" ca="1" si="345"/>
        <v>15.238095238093166</v>
      </c>
      <c r="P2381" t="str">
        <f t="shared" si="344"/>
        <v>NA</v>
      </c>
      <c r="Q2381" s="10">
        <f t="shared" ca="1" si="346"/>
        <v>66.309523809523057</v>
      </c>
      <c r="R2381" s="10">
        <f t="shared" ca="1" si="347"/>
        <v>183.51190476190186</v>
      </c>
      <c r="S2381" s="10">
        <f t="shared" ca="1" si="348"/>
        <v>-117.2023809523788</v>
      </c>
      <c r="T2381" s="10">
        <f t="shared" ca="1" si="349"/>
        <v>383.07392996108439</v>
      </c>
      <c r="U2381" s="10">
        <f t="shared" ca="1" si="350"/>
        <v>383.07392996108439</v>
      </c>
      <c r="V2381">
        <f t="shared" si="351"/>
        <v>1</v>
      </c>
    </row>
    <row r="2382" spans="1:22" x14ac:dyDescent="0.25">
      <c r="A2382">
        <v>265</v>
      </c>
      <c r="B2382">
        <v>5</v>
      </c>
      <c r="C2382">
        <v>90</v>
      </c>
      <c r="D2382">
        <v>1</v>
      </c>
      <c r="E2382">
        <v>0</v>
      </c>
      <c r="F2382">
        <v>1</v>
      </c>
      <c r="G2382">
        <v>1</v>
      </c>
      <c r="H2382">
        <v>250</v>
      </c>
      <c r="I2382">
        <f t="shared" si="352"/>
        <v>2376</v>
      </c>
      <c r="J2382" s="6">
        <f t="array" aca="1" ref="J2382:N2382" ca="1">TRANSPOSE(ols(OFFSET($C$2:$C$10,I2382,0),OFFSET($D$2:$H$10,I2382,0)))</f>
        <v>183.51190476190186</v>
      </c>
      <c r="K2382" s="6">
        <f ca="1"/>
        <v>-19.642857142856428</v>
      </c>
      <c r="L2382" s="6">
        <f ca="1"/>
        <v>-15.238095238093592</v>
      </c>
      <c r="M2382" s="6">
        <f ca="1"/>
        <v>5.119047619047592</v>
      </c>
      <c r="N2382" s="6">
        <f ca="1"/>
        <v>-0.30595238095237942</v>
      </c>
      <c r="O2382" s="6">
        <f t="shared" ca="1" si="345"/>
        <v>96.904761904761003</v>
      </c>
      <c r="P2382" t="str">
        <f t="shared" si="344"/>
        <v>NA</v>
      </c>
      <c r="Q2382" s="10">
        <f t="shared" ca="1" si="346"/>
        <v>66.309523809523057</v>
      </c>
      <c r="R2382" s="10">
        <f t="shared" ca="1" si="347"/>
        <v>173.39285714285586</v>
      </c>
      <c r="S2382" s="10">
        <f t="shared" ca="1" si="348"/>
        <v>-107.0833333333328</v>
      </c>
      <c r="T2382" s="10">
        <f t="shared" ca="1" si="349"/>
        <v>350</v>
      </c>
      <c r="U2382" s="10">
        <f t="shared" ca="1" si="350"/>
        <v>350</v>
      </c>
      <c r="V2382">
        <f t="shared" si="351"/>
        <v>6</v>
      </c>
    </row>
    <row r="2383" spans="1:22" x14ac:dyDescent="0.25">
      <c r="A2383">
        <v>265</v>
      </c>
      <c r="B2383">
        <v>6</v>
      </c>
      <c r="C2383">
        <v>75</v>
      </c>
      <c r="D2383">
        <v>1</v>
      </c>
      <c r="E2383">
        <v>0</v>
      </c>
      <c r="F2383">
        <v>1</v>
      </c>
      <c r="G2383">
        <v>1</v>
      </c>
      <c r="H2383">
        <v>350</v>
      </c>
      <c r="I2383">
        <f t="shared" si="352"/>
        <v>2376</v>
      </c>
      <c r="J2383" s="6">
        <f t="array" aca="1" ref="J2383:N2383" ca="1">TRANSPOSE(ols(OFFSET($C$2:$C$10,I2383,0),OFFSET($D$2:$H$10,I2383,0)))</f>
        <v>183.51190476190186</v>
      </c>
      <c r="K2383" s="6">
        <f ca="1"/>
        <v>-19.642857142856428</v>
      </c>
      <c r="L2383" s="6">
        <f ca="1"/>
        <v>-15.238095238093592</v>
      </c>
      <c r="M2383" s="6">
        <f ca="1"/>
        <v>5.119047619047592</v>
      </c>
      <c r="N2383" s="6">
        <f ca="1"/>
        <v>-0.30595238095237942</v>
      </c>
      <c r="O2383" s="6">
        <f t="shared" ca="1" si="345"/>
        <v>66.309523809523057</v>
      </c>
      <c r="P2383">
        <f t="shared" ca="1" si="344"/>
        <v>66.309523809523057</v>
      </c>
      <c r="Q2383" s="10">
        <f t="shared" ca="1" si="346"/>
        <v>66.309523809523057</v>
      </c>
      <c r="R2383" s="10">
        <f t="shared" ca="1" si="347"/>
        <v>173.39285714285586</v>
      </c>
      <c r="S2383" s="10">
        <f t="shared" ca="1" si="348"/>
        <v>-107.0833333333328</v>
      </c>
      <c r="T2383" s="10">
        <f t="shared" ca="1" si="349"/>
        <v>350</v>
      </c>
      <c r="U2383" s="10">
        <f t="shared" ca="1" si="350"/>
        <v>350</v>
      </c>
      <c r="V2383">
        <f t="shared" si="351"/>
        <v>6</v>
      </c>
    </row>
    <row r="2384" spans="1:22" x14ac:dyDescent="0.25">
      <c r="A2384">
        <v>265</v>
      </c>
      <c r="B2384">
        <v>7</v>
      </c>
      <c r="C2384">
        <v>20</v>
      </c>
      <c r="D2384">
        <v>1</v>
      </c>
      <c r="E2384">
        <v>1</v>
      </c>
      <c r="F2384">
        <v>0</v>
      </c>
      <c r="G2384">
        <v>1</v>
      </c>
      <c r="H2384">
        <v>450</v>
      </c>
      <c r="I2384">
        <f t="shared" si="352"/>
        <v>2376</v>
      </c>
      <c r="J2384" s="6">
        <f t="array" aca="1" ref="J2384:N2384" ca="1">TRANSPOSE(ols(OFFSET($C$2:$C$10,I2384,0),OFFSET($D$2:$H$10,I2384,0)))</f>
        <v>183.51190476190186</v>
      </c>
      <c r="K2384" s="6">
        <f ca="1"/>
        <v>-19.642857142856428</v>
      </c>
      <c r="L2384" s="6">
        <f ca="1"/>
        <v>-15.238095238093592</v>
      </c>
      <c r="M2384" s="6">
        <f ca="1"/>
        <v>5.119047619047592</v>
      </c>
      <c r="N2384" s="6">
        <f ca="1"/>
        <v>-0.30595238095237942</v>
      </c>
      <c r="O2384" s="6">
        <f t="shared" ca="1" si="345"/>
        <v>31.30952380952229</v>
      </c>
      <c r="P2384" t="str">
        <f t="shared" si="344"/>
        <v>NA</v>
      </c>
      <c r="Q2384" s="10">
        <f t="shared" ca="1" si="346"/>
        <v>66.309523809523057</v>
      </c>
      <c r="R2384" s="10">
        <f t="shared" ca="1" si="347"/>
        <v>168.98809523809302</v>
      </c>
      <c r="S2384" s="10">
        <f t="shared" ca="1" si="348"/>
        <v>-102.67857142856997</v>
      </c>
      <c r="T2384" s="10">
        <f t="shared" ca="1" si="349"/>
        <v>335.60311284046384</v>
      </c>
      <c r="U2384" s="10">
        <f t="shared" ca="1" si="350"/>
        <v>335.60311284046384</v>
      </c>
      <c r="V2384">
        <f t="shared" si="351"/>
        <v>5</v>
      </c>
    </row>
    <row r="2385" spans="1:22" x14ac:dyDescent="0.25">
      <c r="A2385">
        <v>265</v>
      </c>
      <c r="B2385">
        <v>8</v>
      </c>
      <c r="C2385">
        <v>0</v>
      </c>
      <c r="D2385">
        <v>1</v>
      </c>
      <c r="E2385">
        <v>1</v>
      </c>
      <c r="F2385">
        <v>0</v>
      </c>
      <c r="G2385">
        <v>1</v>
      </c>
      <c r="H2385">
        <v>550</v>
      </c>
      <c r="I2385">
        <f t="shared" si="352"/>
        <v>2376</v>
      </c>
      <c r="J2385" s="6">
        <f t="array" aca="1" ref="J2385:N2385" ca="1">TRANSPOSE(ols(OFFSET($C$2:$C$10,I2385,0),OFFSET($D$2:$H$10,I2385,0)))</f>
        <v>183.51190476190186</v>
      </c>
      <c r="K2385" s="6">
        <f ca="1"/>
        <v>-19.642857142856428</v>
      </c>
      <c r="L2385" s="6">
        <f ca="1"/>
        <v>-15.238095238093592</v>
      </c>
      <c r="M2385" s="6">
        <f ca="1"/>
        <v>5.119047619047592</v>
      </c>
      <c r="N2385" s="6">
        <f ca="1"/>
        <v>-0.30595238095237942</v>
      </c>
      <c r="O2385" s="6">
        <f t="shared" ca="1" si="345"/>
        <v>0.71428571428432974</v>
      </c>
      <c r="P2385" t="str">
        <f t="shared" si="344"/>
        <v>NA</v>
      </c>
      <c r="Q2385" s="10">
        <f t="shared" ca="1" si="346"/>
        <v>66.309523809523057</v>
      </c>
      <c r="R2385" s="10">
        <f t="shared" ca="1" si="347"/>
        <v>168.98809523809302</v>
      </c>
      <c r="S2385" s="10">
        <f t="shared" ca="1" si="348"/>
        <v>-102.67857142856997</v>
      </c>
      <c r="T2385" s="10">
        <f t="shared" ca="1" si="349"/>
        <v>335.60311284046384</v>
      </c>
      <c r="U2385" s="10">
        <f t="shared" ca="1" si="350"/>
        <v>335.60311284046384</v>
      </c>
      <c r="V2385">
        <f t="shared" si="351"/>
        <v>5</v>
      </c>
    </row>
    <row r="2386" spans="1:22" x14ac:dyDescent="0.25">
      <c r="A2386">
        <v>265</v>
      </c>
      <c r="B2386">
        <v>9</v>
      </c>
      <c r="C2386">
        <v>0</v>
      </c>
      <c r="D2386">
        <v>1</v>
      </c>
      <c r="E2386">
        <v>0</v>
      </c>
      <c r="F2386">
        <v>0</v>
      </c>
      <c r="G2386">
        <v>1</v>
      </c>
      <c r="H2386">
        <v>650</v>
      </c>
      <c r="I2386">
        <f t="shared" si="352"/>
        <v>2376</v>
      </c>
      <c r="J2386" s="6">
        <f t="array" aca="1" ref="J2386:N2386" ca="1">TRANSPOSE(ols(OFFSET($C$2:$C$10,I2386,0),OFFSET($D$2:$H$10,I2386,0)))</f>
        <v>183.51190476190186</v>
      </c>
      <c r="K2386" s="6">
        <f ca="1"/>
        <v>-19.642857142856428</v>
      </c>
      <c r="L2386" s="6">
        <f ca="1"/>
        <v>-15.238095238093592</v>
      </c>
      <c r="M2386" s="6">
        <f ca="1"/>
        <v>5.119047619047592</v>
      </c>
      <c r="N2386" s="6">
        <f ca="1"/>
        <v>-0.30595238095237942</v>
      </c>
      <c r="O2386" s="6">
        <f t="shared" ca="1" si="345"/>
        <v>-10.238095238097173</v>
      </c>
      <c r="P2386" t="str">
        <f t="shared" si="344"/>
        <v>NA</v>
      </c>
      <c r="Q2386" s="10">
        <f t="shared" ca="1" si="346"/>
        <v>66.309523809523057</v>
      </c>
      <c r="R2386" s="10">
        <f t="shared" ca="1" si="347"/>
        <v>188.63095238094945</v>
      </c>
      <c r="S2386" s="10">
        <f t="shared" ca="1" si="348"/>
        <v>-122.3214285714264</v>
      </c>
      <c r="T2386" s="10">
        <f t="shared" ca="1" si="349"/>
        <v>399.805447470812</v>
      </c>
      <c r="U2386" s="10">
        <f t="shared" ca="1" si="350"/>
        <v>399.805447470812</v>
      </c>
      <c r="V2386">
        <f t="shared" si="351"/>
        <v>4</v>
      </c>
    </row>
    <row r="2387" spans="1:22" x14ac:dyDescent="0.25">
      <c r="A2387">
        <v>266</v>
      </c>
      <c r="B2387">
        <v>1</v>
      </c>
      <c r="C2387">
        <v>75</v>
      </c>
      <c r="D2387">
        <v>1</v>
      </c>
      <c r="E2387">
        <v>0</v>
      </c>
      <c r="F2387">
        <v>1</v>
      </c>
      <c r="G2387">
        <v>0</v>
      </c>
      <c r="H2387">
        <v>250</v>
      </c>
      <c r="I2387">
        <f t="shared" si="352"/>
        <v>2385</v>
      </c>
      <c r="J2387" s="6">
        <f t="array" aca="1" ref="J2387:N2387" ca="1">TRANSPOSE(ols(OFFSET($C$2:$C$10,I2387,0),OFFSET($D$2:$H$10,I2387,0)))</f>
        <v>159.28571428571286</v>
      </c>
      <c r="K2387" s="6">
        <f ca="1"/>
        <v>-6.4285714285711038</v>
      </c>
      <c r="L2387" s="6">
        <f ca="1"/>
        <v>-15.71428571428487</v>
      </c>
      <c r="M2387" s="6">
        <f ca="1"/>
        <v>2.8571428571427759</v>
      </c>
      <c r="N2387" s="6">
        <f ca="1"/>
        <v>-0.24285714285714199</v>
      </c>
      <c r="O2387" s="6">
        <f t="shared" ca="1" si="345"/>
        <v>82.857142857142492</v>
      </c>
      <c r="P2387" t="str">
        <f t="shared" si="344"/>
        <v>NA</v>
      </c>
      <c r="Q2387" s="10">
        <f t="shared" ca="1" si="346"/>
        <v>61.428571428571061</v>
      </c>
      <c r="R2387" s="10">
        <f t="shared" ca="1" si="347"/>
        <v>143.57142857142799</v>
      </c>
      <c r="S2387" s="10">
        <f t="shared" ca="1" si="348"/>
        <v>-82.142857142856926</v>
      </c>
      <c r="T2387" s="10">
        <f t="shared" ca="1" si="349"/>
        <v>338.23529411764736</v>
      </c>
      <c r="U2387" s="10">
        <f t="shared" ca="1" si="350"/>
        <v>338.23529411764736</v>
      </c>
      <c r="V2387">
        <f t="shared" si="351"/>
        <v>3</v>
      </c>
    </row>
    <row r="2388" spans="1:22" x14ac:dyDescent="0.25">
      <c r="A2388">
        <v>266</v>
      </c>
      <c r="B2388">
        <v>2</v>
      </c>
      <c r="C2388">
        <v>65</v>
      </c>
      <c r="D2388">
        <v>1</v>
      </c>
      <c r="E2388">
        <v>1</v>
      </c>
      <c r="F2388">
        <v>0</v>
      </c>
      <c r="G2388">
        <v>0</v>
      </c>
      <c r="H2388">
        <v>350</v>
      </c>
      <c r="I2388">
        <f t="shared" si="352"/>
        <v>2385</v>
      </c>
      <c r="J2388" s="6">
        <f t="array" aca="1" ref="J2388:N2388" ca="1">TRANSPOSE(ols(OFFSET($C$2:$C$10,I2388,0),OFFSET($D$2:$H$10,I2388,0)))</f>
        <v>159.28571428571286</v>
      </c>
      <c r="K2388" s="6">
        <f ca="1"/>
        <v>-6.4285714285711038</v>
      </c>
      <c r="L2388" s="6">
        <f ca="1"/>
        <v>-15.71428571428487</v>
      </c>
      <c r="M2388" s="6">
        <f ca="1"/>
        <v>2.8571428571427759</v>
      </c>
      <c r="N2388" s="6">
        <f ca="1"/>
        <v>-0.24285714285714199</v>
      </c>
      <c r="O2388" s="6">
        <f t="shared" ca="1" si="345"/>
        <v>67.857142857142051</v>
      </c>
      <c r="P2388" t="str">
        <f t="shared" si="344"/>
        <v>NA</v>
      </c>
      <c r="Q2388" s="10">
        <f t="shared" ca="1" si="346"/>
        <v>61.428571428571061</v>
      </c>
      <c r="R2388" s="10">
        <f t="shared" ca="1" si="347"/>
        <v>152.85714285714175</v>
      </c>
      <c r="S2388" s="10">
        <f t="shared" ca="1" si="348"/>
        <v>-91.428571428570692</v>
      </c>
      <c r="T2388" s="10">
        <f t="shared" ca="1" si="349"/>
        <v>376.47058823529244</v>
      </c>
      <c r="U2388" s="10">
        <f t="shared" ca="1" si="350"/>
        <v>376.47058823529244</v>
      </c>
      <c r="V2388">
        <f t="shared" si="351"/>
        <v>2</v>
      </c>
    </row>
    <row r="2389" spans="1:22" x14ac:dyDescent="0.25">
      <c r="A2389">
        <v>266</v>
      </c>
      <c r="B2389">
        <v>3</v>
      </c>
      <c r="C2389">
        <v>55</v>
      </c>
      <c r="D2389">
        <v>1</v>
      </c>
      <c r="E2389">
        <v>1</v>
      </c>
      <c r="F2389">
        <v>0</v>
      </c>
      <c r="G2389">
        <v>0</v>
      </c>
      <c r="H2389">
        <v>450</v>
      </c>
      <c r="I2389">
        <f t="shared" si="352"/>
        <v>2385</v>
      </c>
      <c r="J2389" s="6">
        <f t="array" aca="1" ref="J2389:N2389" ca="1">TRANSPOSE(ols(OFFSET($C$2:$C$10,I2389,0),OFFSET($D$2:$H$10,I2389,0)))</f>
        <v>159.28571428571286</v>
      </c>
      <c r="K2389" s="6">
        <f ca="1"/>
        <v>-6.4285714285711038</v>
      </c>
      <c r="L2389" s="6">
        <f ca="1"/>
        <v>-15.71428571428487</v>
      </c>
      <c r="M2389" s="6">
        <f ca="1"/>
        <v>2.8571428571427759</v>
      </c>
      <c r="N2389" s="6">
        <f ca="1"/>
        <v>-0.24285714285714199</v>
      </c>
      <c r="O2389" s="6">
        <f t="shared" ca="1" si="345"/>
        <v>43.571428571427859</v>
      </c>
      <c r="P2389" t="str">
        <f t="shared" si="344"/>
        <v>NA</v>
      </c>
      <c r="Q2389" s="10">
        <f t="shared" ca="1" si="346"/>
        <v>61.428571428571061</v>
      </c>
      <c r="R2389" s="10">
        <f t="shared" ca="1" si="347"/>
        <v>152.85714285714175</v>
      </c>
      <c r="S2389" s="10">
        <f t="shared" ca="1" si="348"/>
        <v>-91.428571428570692</v>
      </c>
      <c r="T2389" s="10">
        <f t="shared" ca="1" si="349"/>
        <v>376.47058823529244</v>
      </c>
      <c r="U2389" s="10">
        <f t="shared" ca="1" si="350"/>
        <v>376.47058823529244</v>
      </c>
      <c r="V2389">
        <f t="shared" si="351"/>
        <v>2</v>
      </c>
    </row>
    <row r="2390" spans="1:22" x14ac:dyDescent="0.25">
      <c r="A2390">
        <v>266</v>
      </c>
      <c r="B2390">
        <v>4</v>
      </c>
      <c r="C2390">
        <v>25</v>
      </c>
      <c r="D2390">
        <v>1</v>
      </c>
      <c r="E2390">
        <v>0</v>
      </c>
      <c r="F2390">
        <v>0</v>
      </c>
      <c r="G2390">
        <v>0</v>
      </c>
      <c r="H2390">
        <v>550</v>
      </c>
      <c r="I2390">
        <f t="shared" si="352"/>
        <v>2385</v>
      </c>
      <c r="J2390" s="6">
        <f t="array" aca="1" ref="J2390:N2390" ca="1">TRANSPOSE(ols(OFFSET($C$2:$C$10,I2390,0),OFFSET($D$2:$H$10,I2390,0)))</f>
        <v>159.28571428571286</v>
      </c>
      <c r="K2390" s="6">
        <f ca="1"/>
        <v>-6.4285714285711038</v>
      </c>
      <c r="L2390" s="6">
        <f ca="1"/>
        <v>-15.71428571428487</v>
      </c>
      <c r="M2390" s="6">
        <f ca="1"/>
        <v>2.8571428571427759</v>
      </c>
      <c r="N2390" s="6">
        <f ca="1"/>
        <v>-0.24285714285714199</v>
      </c>
      <c r="O2390" s="6">
        <f t="shared" ca="1" si="345"/>
        <v>25.714285714284756</v>
      </c>
      <c r="P2390" t="str">
        <f t="shared" si="344"/>
        <v>NA</v>
      </c>
      <c r="Q2390" s="10">
        <f t="shared" ca="1" si="346"/>
        <v>61.428571428571061</v>
      </c>
      <c r="R2390" s="10">
        <f t="shared" ca="1" si="347"/>
        <v>159.28571428571286</v>
      </c>
      <c r="S2390" s="10">
        <f t="shared" ca="1" si="348"/>
        <v>-97.857142857141795</v>
      </c>
      <c r="T2390" s="10">
        <f t="shared" ca="1" si="349"/>
        <v>402.94117647058528</v>
      </c>
      <c r="U2390" s="10">
        <f t="shared" ca="1" si="350"/>
        <v>402.94117647058528</v>
      </c>
      <c r="V2390">
        <f t="shared" si="351"/>
        <v>1</v>
      </c>
    </row>
    <row r="2391" spans="1:22" x14ac:dyDescent="0.25">
      <c r="A2391">
        <v>266</v>
      </c>
      <c r="B2391">
        <v>5</v>
      </c>
      <c r="C2391">
        <v>85</v>
      </c>
      <c r="D2391">
        <v>1</v>
      </c>
      <c r="E2391">
        <v>0</v>
      </c>
      <c r="F2391">
        <v>1</v>
      </c>
      <c r="G2391">
        <v>1</v>
      </c>
      <c r="H2391">
        <v>250</v>
      </c>
      <c r="I2391">
        <f t="shared" si="352"/>
        <v>2385</v>
      </c>
      <c r="J2391" s="6">
        <f t="array" aca="1" ref="J2391:N2391" ca="1">TRANSPOSE(ols(OFFSET($C$2:$C$10,I2391,0),OFFSET($D$2:$H$10,I2391,0)))</f>
        <v>159.28571428571286</v>
      </c>
      <c r="K2391" s="6">
        <f ca="1"/>
        <v>-6.4285714285711038</v>
      </c>
      <c r="L2391" s="6">
        <f ca="1"/>
        <v>-15.71428571428487</v>
      </c>
      <c r="M2391" s="6">
        <f ca="1"/>
        <v>2.8571428571427759</v>
      </c>
      <c r="N2391" s="6">
        <f ca="1"/>
        <v>-0.24285714285714199</v>
      </c>
      <c r="O2391" s="6">
        <f t="shared" ca="1" si="345"/>
        <v>85.714285714285268</v>
      </c>
      <c r="P2391" t="str">
        <f t="shared" si="344"/>
        <v>NA</v>
      </c>
      <c r="Q2391" s="10">
        <f t="shared" ca="1" si="346"/>
        <v>61.428571428571061</v>
      </c>
      <c r="R2391" s="10">
        <f t="shared" ca="1" si="347"/>
        <v>146.42857142857076</v>
      </c>
      <c r="S2391" s="10">
        <f t="shared" ca="1" si="348"/>
        <v>-84.999999999999702</v>
      </c>
      <c r="T2391" s="10">
        <f t="shared" ca="1" si="349"/>
        <v>350</v>
      </c>
      <c r="U2391" s="10">
        <f t="shared" ca="1" si="350"/>
        <v>350</v>
      </c>
      <c r="V2391">
        <f t="shared" si="351"/>
        <v>6</v>
      </c>
    </row>
    <row r="2392" spans="1:22" x14ac:dyDescent="0.25">
      <c r="A2392">
        <v>266</v>
      </c>
      <c r="B2392">
        <v>6</v>
      </c>
      <c r="C2392">
        <v>70</v>
      </c>
      <c r="D2392">
        <v>1</v>
      </c>
      <c r="E2392">
        <v>0</v>
      </c>
      <c r="F2392">
        <v>1</v>
      </c>
      <c r="G2392">
        <v>1</v>
      </c>
      <c r="H2392">
        <v>350</v>
      </c>
      <c r="I2392">
        <f t="shared" si="352"/>
        <v>2385</v>
      </c>
      <c r="J2392" s="6">
        <f t="array" aca="1" ref="J2392:N2392" ca="1">TRANSPOSE(ols(OFFSET($C$2:$C$10,I2392,0),OFFSET($D$2:$H$10,I2392,0)))</f>
        <v>159.28571428571286</v>
      </c>
      <c r="K2392" s="6">
        <f ca="1"/>
        <v>-6.4285714285711038</v>
      </c>
      <c r="L2392" s="6">
        <f ca="1"/>
        <v>-15.71428571428487</v>
      </c>
      <c r="M2392" s="6">
        <f ca="1"/>
        <v>2.8571428571427759</v>
      </c>
      <c r="N2392" s="6">
        <f ca="1"/>
        <v>-0.24285714285714199</v>
      </c>
      <c r="O2392" s="6">
        <f t="shared" ca="1" si="345"/>
        <v>61.428571428571061</v>
      </c>
      <c r="P2392">
        <f t="shared" ca="1" si="344"/>
        <v>61.428571428571061</v>
      </c>
      <c r="Q2392" s="10">
        <f t="shared" ca="1" si="346"/>
        <v>61.428571428571061</v>
      </c>
      <c r="R2392" s="10">
        <f t="shared" ca="1" si="347"/>
        <v>146.42857142857076</v>
      </c>
      <c r="S2392" s="10">
        <f t="shared" ca="1" si="348"/>
        <v>-84.999999999999702</v>
      </c>
      <c r="T2392" s="10">
        <f t="shared" ca="1" si="349"/>
        <v>350</v>
      </c>
      <c r="U2392" s="10">
        <f t="shared" ca="1" si="350"/>
        <v>350</v>
      </c>
      <c r="V2392">
        <f t="shared" si="351"/>
        <v>6</v>
      </c>
    </row>
    <row r="2393" spans="1:22" x14ac:dyDescent="0.25">
      <c r="A2393">
        <v>266</v>
      </c>
      <c r="B2393">
        <v>7</v>
      </c>
      <c r="C2393">
        <v>50</v>
      </c>
      <c r="D2393">
        <v>1</v>
      </c>
      <c r="E2393">
        <v>1</v>
      </c>
      <c r="F2393">
        <v>0</v>
      </c>
      <c r="G2393">
        <v>1</v>
      </c>
      <c r="H2393">
        <v>450</v>
      </c>
      <c r="I2393">
        <f t="shared" si="352"/>
        <v>2385</v>
      </c>
      <c r="J2393" s="6">
        <f t="array" aca="1" ref="J2393:N2393" ca="1">TRANSPOSE(ols(OFFSET($C$2:$C$10,I2393,0),OFFSET($D$2:$H$10,I2393,0)))</f>
        <v>159.28571428571286</v>
      </c>
      <c r="K2393" s="6">
        <f ca="1"/>
        <v>-6.4285714285711038</v>
      </c>
      <c r="L2393" s="6">
        <f ca="1"/>
        <v>-15.71428571428487</v>
      </c>
      <c r="M2393" s="6">
        <f ca="1"/>
        <v>2.8571428571427759</v>
      </c>
      <c r="N2393" s="6">
        <f ca="1"/>
        <v>-0.24285714285714199</v>
      </c>
      <c r="O2393" s="6">
        <f t="shared" ca="1" si="345"/>
        <v>46.428571428570635</v>
      </c>
      <c r="P2393" t="str">
        <f t="shared" si="344"/>
        <v>NA</v>
      </c>
      <c r="Q2393" s="10">
        <f t="shared" ca="1" si="346"/>
        <v>61.428571428571061</v>
      </c>
      <c r="R2393" s="10">
        <f t="shared" ca="1" si="347"/>
        <v>155.71428571428453</v>
      </c>
      <c r="S2393" s="10">
        <f t="shared" ca="1" si="348"/>
        <v>-94.285714285713468</v>
      </c>
      <c r="T2393" s="10">
        <f t="shared" ca="1" si="349"/>
        <v>388.23529411764508</v>
      </c>
      <c r="U2393" s="10">
        <f t="shared" ca="1" si="350"/>
        <v>388.23529411764508</v>
      </c>
      <c r="V2393">
        <f t="shared" si="351"/>
        <v>5</v>
      </c>
    </row>
    <row r="2394" spans="1:22" x14ac:dyDescent="0.25">
      <c r="A2394">
        <v>266</v>
      </c>
      <c r="B2394">
        <v>8</v>
      </c>
      <c r="C2394">
        <v>10</v>
      </c>
      <c r="D2394">
        <v>1</v>
      </c>
      <c r="E2394">
        <v>1</v>
      </c>
      <c r="F2394">
        <v>0</v>
      </c>
      <c r="G2394">
        <v>1</v>
      </c>
      <c r="H2394">
        <v>550</v>
      </c>
      <c r="I2394">
        <f t="shared" si="352"/>
        <v>2385</v>
      </c>
      <c r="J2394" s="6">
        <f t="array" aca="1" ref="J2394:N2394" ca="1">TRANSPOSE(ols(OFFSET($C$2:$C$10,I2394,0),OFFSET($D$2:$H$10,I2394,0)))</f>
        <v>159.28571428571286</v>
      </c>
      <c r="K2394" s="6">
        <f ca="1"/>
        <v>-6.4285714285711038</v>
      </c>
      <c r="L2394" s="6">
        <f ca="1"/>
        <v>-15.71428571428487</v>
      </c>
      <c r="M2394" s="6">
        <f ca="1"/>
        <v>2.8571428571427759</v>
      </c>
      <c r="N2394" s="6">
        <f ca="1"/>
        <v>-0.24285714285714199</v>
      </c>
      <c r="O2394" s="6">
        <f t="shared" ca="1" si="345"/>
        <v>22.142857142856428</v>
      </c>
      <c r="P2394" t="str">
        <f t="shared" si="344"/>
        <v>NA</v>
      </c>
      <c r="Q2394" s="10">
        <f t="shared" ca="1" si="346"/>
        <v>61.428571428571061</v>
      </c>
      <c r="R2394" s="10">
        <f t="shared" ca="1" si="347"/>
        <v>155.71428571428453</v>
      </c>
      <c r="S2394" s="10">
        <f t="shared" ca="1" si="348"/>
        <v>-94.285714285713468</v>
      </c>
      <c r="T2394" s="10">
        <f t="shared" ca="1" si="349"/>
        <v>388.23529411764508</v>
      </c>
      <c r="U2394" s="10">
        <f t="shared" ca="1" si="350"/>
        <v>388.23529411764508</v>
      </c>
      <c r="V2394">
        <f t="shared" si="351"/>
        <v>5</v>
      </c>
    </row>
    <row r="2395" spans="1:22" x14ac:dyDescent="0.25">
      <c r="A2395">
        <v>266</v>
      </c>
      <c r="B2395">
        <v>9</v>
      </c>
      <c r="C2395">
        <v>5</v>
      </c>
      <c r="D2395">
        <v>1</v>
      </c>
      <c r="E2395">
        <v>0</v>
      </c>
      <c r="F2395">
        <v>0</v>
      </c>
      <c r="G2395">
        <v>1</v>
      </c>
      <c r="H2395">
        <v>650</v>
      </c>
      <c r="I2395">
        <f t="shared" si="352"/>
        <v>2385</v>
      </c>
      <c r="J2395" s="6">
        <f t="array" aca="1" ref="J2395:N2395" ca="1">TRANSPOSE(ols(OFFSET($C$2:$C$10,I2395,0),OFFSET($D$2:$H$10,I2395,0)))</f>
        <v>159.28571428571286</v>
      </c>
      <c r="K2395" s="6">
        <f ca="1"/>
        <v>-6.4285714285711038</v>
      </c>
      <c r="L2395" s="6">
        <f ca="1"/>
        <v>-15.71428571428487</v>
      </c>
      <c r="M2395" s="6">
        <f ca="1"/>
        <v>2.8571428571427759</v>
      </c>
      <c r="N2395" s="6">
        <f ca="1"/>
        <v>-0.24285714285714199</v>
      </c>
      <c r="O2395" s="6">
        <f t="shared" ca="1" si="345"/>
        <v>4.2857142857133397</v>
      </c>
      <c r="P2395" t="str">
        <f t="shared" si="344"/>
        <v>NA</v>
      </c>
      <c r="Q2395" s="10">
        <f t="shared" ca="1" si="346"/>
        <v>61.428571428571061</v>
      </c>
      <c r="R2395" s="10">
        <f t="shared" ca="1" si="347"/>
        <v>162.14285714285563</v>
      </c>
      <c r="S2395" s="10">
        <f t="shared" ca="1" si="348"/>
        <v>-100.71428571428457</v>
      </c>
      <c r="T2395" s="10">
        <f t="shared" ca="1" si="349"/>
        <v>414.70588235293792</v>
      </c>
      <c r="U2395" s="10">
        <f t="shared" ca="1" si="350"/>
        <v>414.70588235293792</v>
      </c>
      <c r="V2395">
        <f t="shared" si="351"/>
        <v>4</v>
      </c>
    </row>
    <row r="2396" spans="1:22" x14ac:dyDescent="0.25">
      <c r="A2396">
        <v>267</v>
      </c>
      <c r="B2396">
        <v>1</v>
      </c>
      <c r="C2396">
        <v>25</v>
      </c>
      <c r="D2396">
        <v>1</v>
      </c>
      <c r="E2396">
        <v>0</v>
      </c>
      <c r="F2396">
        <v>1</v>
      </c>
      <c r="G2396">
        <v>0</v>
      </c>
      <c r="H2396">
        <v>250</v>
      </c>
      <c r="I2396">
        <f t="shared" si="352"/>
        <v>2394</v>
      </c>
      <c r="J2396" s="6">
        <f t="array" aca="1" ref="J2396:N2396" ca="1">TRANSPOSE(ols(OFFSET($C$2:$C$10,I2396,0),OFFSET($D$2:$H$10,I2396,0)))</f>
        <v>50.20833333333303</v>
      </c>
      <c r="K2396" s="6">
        <f ca="1"/>
        <v>-2.5000000000002274</v>
      </c>
      <c r="L2396" s="6">
        <f ca="1"/>
        <v>-4.1666666666669698</v>
      </c>
      <c r="M2396" s="6">
        <f ca="1"/>
        <v>34.583333333333485</v>
      </c>
      <c r="N2396" s="6">
        <f ca="1"/>
        <v>-7.9166666666666607E-2</v>
      </c>
      <c r="O2396" s="6">
        <f t="shared" ca="1" si="345"/>
        <v>26.24999999999941</v>
      </c>
      <c r="P2396" t="str">
        <f t="shared" si="344"/>
        <v>NA</v>
      </c>
      <c r="Q2396" s="10">
        <f t="shared" ca="1" si="346"/>
        <v>52.916666666666231</v>
      </c>
      <c r="R2396" s="10">
        <f t="shared" ca="1" si="347"/>
        <v>46.04166666666606</v>
      </c>
      <c r="S2396" s="10">
        <f t="shared" ca="1" si="348"/>
        <v>6.8750000000001705</v>
      </c>
      <c r="T2396" s="10">
        <f t="shared" ca="1" si="349"/>
        <v>-86.842105263160107</v>
      </c>
      <c r="U2396" s="10" t="str">
        <f t="shared" ca="1" si="350"/>
        <v>OR</v>
      </c>
      <c r="V2396">
        <f t="shared" si="351"/>
        <v>3</v>
      </c>
    </row>
    <row r="2397" spans="1:22" x14ac:dyDescent="0.25">
      <c r="A2397">
        <v>267</v>
      </c>
      <c r="B2397">
        <v>2</v>
      </c>
      <c r="C2397">
        <v>20</v>
      </c>
      <c r="D2397">
        <v>1</v>
      </c>
      <c r="E2397">
        <v>1</v>
      </c>
      <c r="F2397">
        <v>0</v>
      </c>
      <c r="G2397">
        <v>0</v>
      </c>
      <c r="H2397">
        <v>350</v>
      </c>
      <c r="I2397">
        <f t="shared" si="352"/>
        <v>2394</v>
      </c>
      <c r="J2397" s="6">
        <f t="array" aca="1" ref="J2397:N2397" ca="1">TRANSPOSE(ols(OFFSET($C$2:$C$10,I2397,0),OFFSET($D$2:$H$10,I2397,0)))</f>
        <v>50.20833333333303</v>
      </c>
      <c r="K2397" s="6">
        <f ca="1"/>
        <v>-2.5000000000002274</v>
      </c>
      <c r="L2397" s="6">
        <f ca="1"/>
        <v>-4.1666666666669698</v>
      </c>
      <c r="M2397" s="6">
        <f ca="1"/>
        <v>34.583333333333485</v>
      </c>
      <c r="N2397" s="6">
        <f ca="1"/>
        <v>-7.9166666666666607E-2</v>
      </c>
      <c r="O2397" s="6">
        <f t="shared" ca="1" si="345"/>
        <v>19.999999999999488</v>
      </c>
      <c r="P2397" t="str">
        <f t="shared" si="344"/>
        <v>NA</v>
      </c>
      <c r="Q2397" s="10">
        <f t="shared" ca="1" si="346"/>
        <v>52.916666666666231</v>
      </c>
      <c r="R2397" s="10">
        <f t="shared" ca="1" si="347"/>
        <v>47.708333333332803</v>
      </c>
      <c r="S2397" s="10">
        <f t="shared" ca="1" si="348"/>
        <v>5.2083333333334281</v>
      </c>
      <c r="T2397" s="10">
        <f t="shared" ca="1" si="349"/>
        <v>-65.789473684211771</v>
      </c>
      <c r="U2397" s="10" t="str">
        <f t="shared" ca="1" si="350"/>
        <v>OR</v>
      </c>
      <c r="V2397">
        <f t="shared" si="351"/>
        <v>2</v>
      </c>
    </row>
    <row r="2398" spans="1:22" x14ac:dyDescent="0.25">
      <c r="A2398">
        <v>267</v>
      </c>
      <c r="B2398">
        <v>3</v>
      </c>
      <c r="C2398">
        <v>10</v>
      </c>
      <c r="D2398">
        <v>1</v>
      </c>
      <c r="E2398">
        <v>1</v>
      </c>
      <c r="F2398">
        <v>0</v>
      </c>
      <c r="G2398">
        <v>0</v>
      </c>
      <c r="H2398">
        <v>450</v>
      </c>
      <c r="I2398">
        <f t="shared" si="352"/>
        <v>2394</v>
      </c>
      <c r="J2398" s="6">
        <f t="array" aca="1" ref="J2398:N2398" ca="1">TRANSPOSE(ols(OFFSET($C$2:$C$10,I2398,0),OFFSET($D$2:$H$10,I2398,0)))</f>
        <v>50.20833333333303</v>
      </c>
      <c r="K2398" s="6">
        <f ca="1"/>
        <v>-2.5000000000002274</v>
      </c>
      <c r="L2398" s="6">
        <f ca="1"/>
        <v>-4.1666666666669698</v>
      </c>
      <c r="M2398" s="6">
        <f ca="1"/>
        <v>34.583333333333485</v>
      </c>
      <c r="N2398" s="6">
        <f ca="1"/>
        <v>-7.9166666666666607E-2</v>
      </c>
      <c r="O2398" s="6">
        <f t="shared" ca="1" si="345"/>
        <v>12.083333333332831</v>
      </c>
      <c r="P2398" t="str">
        <f t="shared" ref="P2398:P2461" si="353">IF(AND(F2398=1,G2398=1,H2398=350),O2398,"NA")</f>
        <v>NA</v>
      </c>
      <c r="Q2398" s="10">
        <f t="shared" ca="1" si="346"/>
        <v>52.916666666666231</v>
      </c>
      <c r="R2398" s="10">
        <f t="shared" ca="1" si="347"/>
        <v>47.708333333332803</v>
      </c>
      <c r="S2398" s="10">
        <f t="shared" ca="1" si="348"/>
        <v>5.2083333333334281</v>
      </c>
      <c r="T2398" s="10">
        <f t="shared" ca="1" si="349"/>
        <v>-65.789473684211771</v>
      </c>
      <c r="U2398" s="10" t="str">
        <f t="shared" ca="1" si="350"/>
        <v>OR</v>
      </c>
      <c r="V2398">
        <f t="shared" si="351"/>
        <v>2</v>
      </c>
    </row>
    <row r="2399" spans="1:22" x14ac:dyDescent="0.25">
      <c r="A2399">
        <v>267</v>
      </c>
      <c r="B2399">
        <v>4</v>
      </c>
      <c r="C2399">
        <v>10</v>
      </c>
      <c r="D2399">
        <v>1</v>
      </c>
      <c r="E2399">
        <v>0</v>
      </c>
      <c r="F2399">
        <v>0</v>
      </c>
      <c r="G2399">
        <v>0</v>
      </c>
      <c r="H2399">
        <v>550</v>
      </c>
      <c r="I2399">
        <f t="shared" si="352"/>
        <v>2394</v>
      </c>
      <c r="J2399" s="6">
        <f t="array" aca="1" ref="J2399:N2399" ca="1">TRANSPOSE(ols(OFFSET($C$2:$C$10,I2399,0),OFFSET($D$2:$H$10,I2399,0)))</f>
        <v>50.20833333333303</v>
      </c>
      <c r="K2399" s="6">
        <f ca="1"/>
        <v>-2.5000000000002274</v>
      </c>
      <c r="L2399" s="6">
        <f ca="1"/>
        <v>-4.1666666666669698</v>
      </c>
      <c r="M2399" s="6">
        <f ca="1"/>
        <v>34.583333333333485</v>
      </c>
      <c r="N2399" s="6">
        <f ca="1"/>
        <v>-7.9166666666666607E-2</v>
      </c>
      <c r="O2399" s="6">
        <f t="shared" ca="1" si="345"/>
        <v>6.6666666666663943</v>
      </c>
      <c r="P2399" t="str">
        <f t="shared" si="353"/>
        <v>NA</v>
      </c>
      <c r="Q2399" s="10">
        <f t="shared" ca="1" si="346"/>
        <v>52.916666666666231</v>
      </c>
      <c r="R2399" s="10">
        <f t="shared" ca="1" si="347"/>
        <v>50.20833333333303</v>
      </c>
      <c r="S2399" s="10">
        <f t="shared" ca="1" si="348"/>
        <v>2.7083333333332007</v>
      </c>
      <c r="T2399" s="10">
        <f t="shared" ca="1" si="349"/>
        <v>-34.210526315787824</v>
      </c>
      <c r="U2399" s="10" t="str">
        <f t="shared" ca="1" si="350"/>
        <v>OR</v>
      </c>
      <c r="V2399">
        <f t="shared" si="351"/>
        <v>1</v>
      </c>
    </row>
    <row r="2400" spans="1:22" x14ac:dyDescent="0.25">
      <c r="A2400">
        <v>267</v>
      </c>
      <c r="B2400">
        <v>5</v>
      </c>
      <c r="C2400">
        <v>60</v>
      </c>
      <c r="D2400">
        <v>1</v>
      </c>
      <c r="E2400">
        <v>0</v>
      </c>
      <c r="F2400">
        <v>1</v>
      </c>
      <c r="G2400">
        <v>1</v>
      </c>
      <c r="H2400">
        <v>250</v>
      </c>
      <c r="I2400">
        <f t="shared" si="352"/>
        <v>2394</v>
      </c>
      <c r="J2400" s="6">
        <f t="array" aca="1" ref="J2400:N2400" ca="1">TRANSPOSE(ols(OFFSET($C$2:$C$10,I2400,0),OFFSET($D$2:$H$10,I2400,0)))</f>
        <v>50.20833333333303</v>
      </c>
      <c r="K2400" s="6">
        <f ca="1"/>
        <v>-2.5000000000002274</v>
      </c>
      <c r="L2400" s="6">
        <f ca="1"/>
        <v>-4.1666666666669698</v>
      </c>
      <c r="M2400" s="6">
        <f ca="1"/>
        <v>34.583333333333485</v>
      </c>
      <c r="N2400" s="6">
        <f ca="1"/>
        <v>-7.9166666666666607E-2</v>
      </c>
      <c r="O2400" s="6">
        <f t="shared" ca="1" si="345"/>
        <v>60.833333333332895</v>
      </c>
      <c r="P2400" t="str">
        <f t="shared" si="353"/>
        <v>NA</v>
      </c>
      <c r="Q2400" s="10">
        <f t="shared" ca="1" si="346"/>
        <v>52.916666666666231</v>
      </c>
      <c r="R2400" s="10">
        <f t="shared" ca="1" si="347"/>
        <v>80.624999999999545</v>
      </c>
      <c r="S2400" s="10">
        <f t="shared" ca="1" si="348"/>
        <v>-27.708333333333314</v>
      </c>
      <c r="T2400" s="10">
        <f t="shared" ca="1" si="349"/>
        <v>350</v>
      </c>
      <c r="U2400" s="10">
        <f t="shared" ca="1" si="350"/>
        <v>350</v>
      </c>
      <c r="V2400">
        <f t="shared" si="351"/>
        <v>6</v>
      </c>
    </row>
    <row r="2401" spans="1:22" x14ac:dyDescent="0.25">
      <c r="A2401">
        <v>267</v>
      </c>
      <c r="B2401">
        <v>6</v>
      </c>
      <c r="C2401">
        <v>55</v>
      </c>
      <c r="D2401">
        <v>1</v>
      </c>
      <c r="E2401">
        <v>0</v>
      </c>
      <c r="F2401">
        <v>1</v>
      </c>
      <c r="G2401">
        <v>1</v>
      </c>
      <c r="H2401">
        <v>350</v>
      </c>
      <c r="I2401">
        <f t="shared" si="352"/>
        <v>2394</v>
      </c>
      <c r="J2401" s="6">
        <f t="array" aca="1" ref="J2401:N2401" ca="1">TRANSPOSE(ols(OFFSET($C$2:$C$10,I2401,0),OFFSET($D$2:$H$10,I2401,0)))</f>
        <v>50.20833333333303</v>
      </c>
      <c r="K2401" s="6">
        <f ca="1"/>
        <v>-2.5000000000002274</v>
      </c>
      <c r="L2401" s="6">
        <f ca="1"/>
        <v>-4.1666666666669698</v>
      </c>
      <c r="M2401" s="6">
        <f ca="1"/>
        <v>34.583333333333485</v>
      </c>
      <c r="N2401" s="6">
        <f ca="1"/>
        <v>-7.9166666666666607E-2</v>
      </c>
      <c r="O2401" s="6">
        <f t="shared" ca="1" si="345"/>
        <v>52.916666666666231</v>
      </c>
      <c r="P2401">
        <f t="shared" ca="1" si="353"/>
        <v>52.916666666666231</v>
      </c>
      <c r="Q2401" s="10">
        <f t="shared" ca="1" si="346"/>
        <v>52.916666666666231</v>
      </c>
      <c r="R2401" s="10">
        <f t="shared" ca="1" si="347"/>
        <v>80.624999999999545</v>
      </c>
      <c r="S2401" s="10">
        <f t="shared" ca="1" si="348"/>
        <v>-27.708333333333314</v>
      </c>
      <c r="T2401" s="10">
        <f t="shared" ca="1" si="349"/>
        <v>350</v>
      </c>
      <c r="U2401" s="10">
        <f t="shared" ca="1" si="350"/>
        <v>350</v>
      </c>
      <c r="V2401">
        <f t="shared" si="351"/>
        <v>6</v>
      </c>
    </row>
    <row r="2402" spans="1:22" x14ac:dyDescent="0.25">
      <c r="A2402">
        <v>267</v>
      </c>
      <c r="B2402">
        <v>7</v>
      </c>
      <c r="C2402">
        <v>47.5</v>
      </c>
      <c r="D2402">
        <v>1</v>
      </c>
      <c r="E2402">
        <v>1</v>
      </c>
      <c r="F2402">
        <v>0</v>
      </c>
      <c r="G2402">
        <v>1</v>
      </c>
      <c r="H2402">
        <v>450</v>
      </c>
      <c r="I2402">
        <f t="shared" si="352"/>
        <v>2394</v>
      </c>
      <c r="J2402" s="6">
        <f t="array" aca="1" ref="J2402:N2402" ca="1">TRANSPOSE(ols(OFFSET($C$2:$C$10,I2402,0),OFFSET($D$2:$H$10,I2402,0)))</f>
        <v>50.20833333333303</v>
      </c>
      <c r="K2402" s="6">
        <f ca="1"/>
        <v>-2.5000000000002274</v>
      </c>
      <c r="L2402" s="6">
        <f ca="1"/>
        <v>-4.1666666666669698</v>
      </c>
      <c r="M2402" s="6">
        <f ca="1"/>
        <v>34.583333333333485</v>
      </c>
      <c r="N2402" s="6">
        <f ca="1"/>
        <v>-7.9166666666666607E-2</v>
      </c>
      <c r="O2402" s="6">
        <f t="shared" ca="1" si="345"/>
        <v>46.666666666666316</v>
      </c>
      <c r="P2402" t="str">
        <f t="shared" si="353"/>
        <v>NA</v>
      </c>
      <c r="Q2402" s="10">
        <f t="shared" ca="1" si="346"/>
        <v>52.916666666666231</v>
      </c>
      <c r="R2402" s="10">
        <f t="shared" ca="1" si="347"/>
        <v>82.291666666666288</v>
      </c>
      <c r="S2402" s="10">
        <f t="shared" ca="1" si="348"/>
        <v>-29.375000000000057</v>
      </c>
      <c r="T2402" s="10">
        <f t="shared" ca="1" si="349"/>
        <v>371.05263157894836</v>
      </c>
      <c r="U2402" s="10">
        <f t="shared" ca="1" si="350"/>
        <v>371.05263157894836</v>
      </c>
      <c r="V2402">
        <f t="shared" si="351"/>
        <v>5</v>
      </c>
    </row>
    <row r="2403" spans="1:22" x14ac:dyDescent="0.25">
      <c r="A2403">
        <v>267</v>
      </c>
      <c r="B2403">
        <v>8</v>
      </c>
      <c r="C2403">
        <v>40</v>
      </c>
      <c r="D2403">
        <v>1</v>
      </c>
      <c r="E2403">
        <v>1</v>
      </c>
      <c r="F2403">
        <v>0</v>
      </c>
      <c r="G2403">
        <v>1</v>
      </c>
      <c r="H2403">
        <v>550</v>
      </c>
      <c r="I2403">
        <f t="shared" si="352"/>
        <v>2394</v>
      </c>
      <c r="J2403" s="6">
        <f t="array" aca="1" ref="J2403:N2403" ca="1">TRANSPOSE(ols(OFFSET($C$2:$C$10,I2403,0),OFFSET($D$2:$H$10,I2403,0)))</f>
        <v>50.20833333333303</v>
      </c>
      <c r="K2403" s="6">
        <f ca="1"/>
        <v>-2.5000000000002274</v>
      </c>
      <c r="L2403" s="6">
        <f ca="1"/>
        <v>-4.1666666666669698</v>
      </c>
      <c r="M2403" s="6">
        <f ca="1"/>
        <v>34.583333333333485</v>
      </c>
      <c r="N2403" s="6">
        <f ca="1"/>
        <v>-7.9166666666666607E-2</v>
      </c>
      <c r="O2403" s="6">
        <f t="shared" ca="1" si="345"/>
        <v>38.749999999999652</v>
      </c>
      <c r="P2403" t="str">
        <f t="shared" si="353"/>
        <v>NA</v>
      </c>
      <c r="Q2403" s="10">
        <f t="shared" ca="1" si="346"/>
        <v>52.916666666666231</v>
      </c>
      <c r="R2403" s="10">
        <f t="shared" ca="1" si="347"/>
        <v>82.291666666666288</v>
      </c>
      <c r="S2403" s="10">
        <f t="shared" ca="1" si="348"/>
        <v>-29.375000000000057</v>
      </c>
      <c r="T2403" s="10">
        <f t="shared" ca="1" si="349"/>
        <v>371.05263157894836</v>
      </c>
      <c r="U2403" s="10">
        <f t="shared" ca="1" si="350"/>
        <v>371.05263157894836</v>
      </c>
      <c r="V2403">
        <f t="shared" si="351"/>
        <v>5</v>
      </c>
    </row>
    <row r="2404" spans="1:22" x14ac:dyDescent="0.25">
      <c r="A2404">
        <v>267</v>
      </c>
      <c r="B2404">
        <v>9</v>
      </c>
      <c r="C2404">
        <v>30</v>
      </c>
      <c r="D2404">
        <v>1</v>
      </c>
      <c r="E2404">
        <v>0</v>
      </c>
      <c r="F2404">
        <v>0</v>
      </c>
      <c r="G2404">
        <v>1</v>
      </c>
      <c r="H2404">
        <v>650</v>
      </c>
      <c r="I2404">
        <f t="shared" si="352"/>
        <v>2394</v>
      </c>
      <c r="J2404" s="6">
        <f t="array" aca="1" ref="J2404:N2404" ca="1">TRANSPOSE(ols(OFFSET($C$2:$C$10,I2404,0),OFFSET($D$2:$H$10,I2404,0)))</f>
        <v>50.20833333333303</v>
      </c>
      <c r="K2404" s="6">
        <f ca="1"/>
        <v>-2.5000000000002274</v>
      </c>
      <c r="L2404" s="6">
        <f ca="1"/>
        <v>-4.1666666666669698</v>
      </c>
      <c r="M2404" s="6">
        <f ca="1"/>
        <v>34.583333333333485</v>
      </c>
      <c r="N2404" s="6">
        <f ca="1"/>
        <v>-7.9166666666666607E-2</v>
      </c>
      <c r="O2404" s="6">
        <f t="shared" ca="1" si="345"/>
        <v>33.333333333333222</v>
      </c>
      <c r="P2404" t="str">
        <f t="shared" si="353"/>
        <v>NA</v>
      </c>
      <c r="Q2404" s="10">
        <f t="shared" ca="1" si="346"/>
        <v>52.916666666666231</v>
      </c>
      <c r="R2404" s="10">
        <f t="shared" ca="1" si="347"/>
        <v>84.791666666666515</v>
      </c>
      <c r="S2404" s="10">
        <f t="shared" ca="1" si="348"/>
        <v>-31.875000000000284</v>
      </c>
      <c r="T2404" s="10">
        <f t="shared" ca="1" si="349"/>
        <v>402.6315789473723</v>
      </c>
      <c r="U2404" s="10">
        <f t="shared" ca="1" si="350"/>
        <v>402.6315789473723</v>
      </c>
      <c r="V2404">
        <f t="shared" si="351"/>
        <v>4</v>
      </c>
    </row>
    <row r="2405" spans="1:22" x14ac:dyDescent="0.25">
      <c r="A2405">
        <v>268</v>
      </c>
      <c r="B2405">
        <v>1</v>
      </c>
      <c r="C2405">
        <v>50</v>
      </c>
      <c r="D2405">
        <v>1</v>
      </c>
      <c r="E2405">
        <v>0</v>
      </c>
      <c r="F2405">
        <v>1</v>
      </c>
      <c r="G2405">
        <v>0</v>
      </c>
      <c r="H2405">
        <v>250</v>
      </c>
      <c r="I2405">
        <f t="shared" si="352"/>
        <v>2403</v>
      </c>
      <c r="J2405" s="6">
        <f t="array" aca="1" ref="J2405:N2405" ca="1">TRANSPOSE(ols(OFFSET($C$2:$C$10,I2405,0),OFFSET($D$2:$H$10,I2405,0)))</f>
        <v>95.773809523808268</v>
      </c>
      <c r="K2405" s="6">
        <f ca="1"/>
        <v>0.71428571428600662</v>
      </c>
      <c r="L2405" s="6">
        <f ca="1"/>
        <v>-5.4761904761899132</v>
      </c>
      <c r="M2405" s="6">
        <f ca="1"/>
        <v>-2.2619047619047024</v>
      </c>
      <c r="N2405" s="6">
        <f ca="1"/>
        <v>-0.13690476190476186</v>
      </c>
      <c r="O2405" s="6">
        <f t="shared" ca="1" si="345"/>
        <v>56.071428571427887</v>
      </c>
      <c r="P2405" t="str">
        <f t="shared" si="353"/>
        <v>NA</v>
      </c>
      <c r="Q2405" s="10">
        <f t="shared" ca="1" si="346"/>
        <v>40.119047619047002</v>
      </c>
      <c r="R2405" s="10">
        <f t="shared" ca="1" si="347"/>
        <v>90.297619047618355</v>
      </c>
      <c r="S2405" s="10">
        <f t="shared" ca="1" si="348"/>
        <v>-50.178571428571352</v>
      </c>
      <c r="T2405" s="10">
        <f t="shared" ca="1" si="349"/>
        <v>366.52173913043436</v>
      </c>
      <c r="U2405" s="10">
        <f t="shared" ca="1" si="350"/>
        <v>366.52173913043436</v>
      </c>
      <c r="V2405">
        <f t="shared" si="351"/>
        <v>3</v>
      </c>
    </row>
    <row r="2406" spans="1:22" x14ac:dyDescent="0.25">
      <c r="A2406">
        <v>268</v>
      </c>
      <c r="B2406">
        <v>2</v>
      </c>
      <c r="C2406">
        <v>50</v>
      </c>
      <c r="D2406">
        <v>1</v>
      </c>
      <c r="E2406">
        <v>1</v>
      </c>
      <c r="F2406">
        <v>0</v>
      </c>
      <c r="G2406">
        <v>0</v>
      </c>
      <c r="H2406">
        <v>350</v>
      </c>
      <c r="I2406">
        <f t="shared" si="352"/>
        <v>2403</v>
      </c>
      <c r="J2406" s="6">
        <f t="array" aca="1" ref="J2406:N2406" ca="1">TRANSPOSE(ols(OFFSET($C$2:$C$10,I2406,0),OFFSET($D$2:$H$10,I2406,0)))</f>
        <v>95.773809523808268</v>
      </c>
      <c r="K2406" s="6">
        <f ca="1"/>
        <v>0.71428571428600662</v>
      </c>
      <c r="L2406" s="6">
        <f ca="1"/>
        <v>-5.4761904761899132</v>
      </c>
      <c r="M2406" s="6">
        <f ca="1"/>
        <v>-2.2619047619047024</v>
      </c>
      <c r="N2406" s="6">
        <f ca="1"/>
        <v>-0.13690476190476186</v>
      </c>
      <c r="O2406" s="6">
        <f t="shared" ca="1" si="345"/>
        <v>48.571428571427624</v>
      </c>
      <c r="P2406" t="str">
        <f t="shared" si="353"/>
        <v>NA</v>
      </c>
      <c r="Q2406" s="10">
        <f t="shared" ca="1" si="346"/>
        <v>40.119047619047002</v>
      </c>
      <c r="R2406" s="10">
        <f t="shared" ca="1" si="347"/>
        <v>96.488095238094274</v>
      </c>
      <c r="S2406" s="10">
        <f t="shared" ca="1" si="348"/>
        <v>-56.369047619047272</v>
      </c>
      <c r="T2406" s="10">
        <f t="shared" ca="1" si="349"/>
        <v>411.73913043478018</v>
      </c>
      <c r="U2406" s="10">
        <f t="shared" ca="1" si="350"/>
        <v>411.73913043478018</v>
      </c>
      <c r="V2406">
        <f t="shared" si="351"/>
        <v>2</v>
      </c>
    </row>
    <row r="2407" spans="1:22" x14ac:dyDescent="0.25">
      <c r="A2407">
        <v>268</v>
      </c>
      <c r="B2407">
        <v>3</v>
      </c>
      <c r="C2407">
        <v>35</v>
      </c>
      <c r="D2407">
        <v>1</v>
      </c>
      <c r="E2407">
        <v>1</v>
      </c>
      <c r="F2407">
        <v>0</v>
      </c>
      <c r="G2407">
        <v>0</v>
      </c>
      <c r="H2407">
        <v>450</v>
      </c>
      <c r="I2407">
        <f t="shared" si="352"/>
        <v>2403</v>
      </c>
      <c r="J2407" s="6">
        <f t="array" aca="1" ref="J2407:N2407" ca="1">TRANSPOSE(ols(OFFSET($C$2:$C$10,I2407,0),OFFSET($D$2:$H$10,I2407,0)))</f>
        <v>95.773809523808268</v>
      </c>
      <c r="K2407" s="6">
        <f ca="1"/>
        <v>0.71428571428600662</v>
      </c>
      <c r="L2407" s="6">
        <f ca="1"/>
        <v>-5.4761904761899132</v>
      </c>
      <c r="M2407" s="6">
        <f ca="1"/>
        <v>-2.2619047619047024</v>
      </c>
      <c r="N2407" s="6">
        <f ca="1"/>
        <v>-0.13690476190476186</v>
      </c>
      <c r="O2407" s="6">
        <f t="shared" ca="1" si="345"/>
        <v>34.880952380951435</v>
      </c>
      <c r="P2407" t="str">
        <f t="shared" si="353"/>
        <v>NA</v>
      </c>
      <c r="Q2407" s="10">
        <f t="shared" ca="1" si="346"/>
        <v>40.119047619047002</v>
      </c>
      <c r="R2407" s="10">
        <f t="shared" ca="1" si="347"/>
        <v>96.488095238094274</v>
      </c>
      <c r="S2407" s="10">
        <f t="shared" ca="1" si="348"/>
        <v>-56.369047619047272</v>
      </c>
      <c r="T2407" s="10">
        <f t="shared" ca="1" si="349"/>
        <v>411.73913043478018</v>
      </c>
      <c r="U2407" s="10">
        <f t="shared" ca="1" si="350"/>
        <v>411.73913043478018</v>
      </c>
      <c r="V2407">
        <f t="shared" si="351"/>
        <v>2</v>
      </c>
    </row>
    <row r="2408" spans="1:22" x14ac:dyDescent="0.25">
      <c r="A2408">
        <v>268</v>
      </c>
      <c r="B2408">
        <v>4</v>
      </c>
      <c r="C2408">
        <v>25</v>
      </c>
      <c r="D2408">
        <v>1</v>
      </c>
      <c r="E2408">
        <v>0</v>
      </c>
      <c r="F2408">
        <v>0</v>
      </c>
      <c r="G2408">
        <v>0</v>
      </c>
      <c r="H2408">
        <v>550</v>
      </c>
      <c r="I2408">
        <f t="shared" si="352"/>
        <v>2403</v>
      </c>
      <c r="J2408" s="6">
        <f t="array" aca="1" ref="J2408:N2408" ca="1">TRANSPOSE(ols(OFFSET($C$2:$C$10,I2408,0),OFFSET($D$2:$H$10,I2408,0)))</f>
        <v>95.773809523808268</v>
      </c>
      <c r="K2408" s="6">
        <f ca="1"/>
        <v>0.71428571428600662</v>
      </c>
      <c r="L2408" s="6">
        <f ca="1"/>
        <v>-5.4761904761899132</v>
      </c>
      <c r="M2408" s="6">
        <f ca="1"/>
        <v>-2.2619047619047024</v>
      </c>
      <c r="N2408" s="6">
        <f ca="1"/>
        <v>-0.13690476190476186</v>
      </c>
      <c r="O2408" s="6">
        <f t="shared" ca="1" si="345"/>
        <v>20.476190476189245</v>
      </c>
      <c r="P2408" t="str">
        <f t="shared" si="353"/>
        <v>NA</v>
      </c>
      <c r="Q2408" s="10">
        <f t="shared" ca="1" si="346"/>
        <v>40.119047619047002</v>
      </c>
      <c r="R2408" s="10">
        <f t="shared" ca="1" si="347"/>
        <v>95.773809523808268</v>
      </c>
      <c r="S2408" s="10">
        <f t="shared" ca="1" si="348"/>
        <v>-55.654761904761266</v>
      </c>
      <c r="T2408" s="10">
        <f t="shared" ca="1" si="349"/>
        <v>406.52173913043026</v>
      </c>
      <c r="U2408" s="10">
        <f t="shared" ca="1" si="350"/>
        <v>406.52173913043026</v>
      </c>
      <c r="V2408">
        <f t="shared" si="351"/>
        <v>1</v>
      </c>
    </row>
    <row r="2409" spans="1:22" x14ac:dyDescent="0.25">
      <c r="A2409">
        <v>268</v>
      </c>
      <c r="B2409">
        <v>5</v>
      </c>
      <c r="C2409">
        <v>50</v>
      </c>
      <c r="D2409">
        <v>1</v>
      </c>
      <c r="E2409">
        <v>0</v>
      </c>
      <c r="F2409">
        <v>1</v>
      </c>
      <c r="G2409">
        <v>1</v>
      </c>
      <c r="H2409">
        <v>250</v>
      </c>
      <c r="I2409">
        <f t="shared" si="352"/>
        <v>2403</v>
      </c>
      <c r="J2409" s="6">
        <f t="array" aca="1" ref="J2409:N2409" ca="1">TRANSPOSE(ols(OFFSET($C$2:$C$10,I2409,0),OFFSET($D$2:$H$10,I2409,0)))</f>
        <v>95.773809523808268</v>
      </c>
      <c r="K2409" s="6">
        <f ca="1"/>
        <v>0.71428571428600662</v>
      </c>
      <c r="L2409" s="6">
        <f ca="1"/>
        <v>-5.4761904761899132</v>
      </c>
      <c r="M2409" s="6">
        <f ca="1"/>
        <v>-2.2619047619047024</v>
      </c>
      <c r="N2409" s="6">
        <f ca="1"/>
        <v>-0.13690476190476186</v>
      </c>
      <c r="O2409" s="6">
        <f t="shared" ca="1" si="345"/>
        <v>53.809523809523185</v>
      </c>
      <c r="P2409" t="str">
        <f t="shared" si="353"/>
        <v>NA</v>
      </c>
      <c r="Q2409" s="10">
        <f t="shared" ca="1" si="346"/>
        <v>40.119047619047002</v>
      </c>
      <c r="R2409" s="10">
        <f t="shared" ca="1" si="347"/>
        <v>88.035714285713652</v>
      </c>
      <c r="S2409" s="10">
        <f t="shared" ca="1" si="348"/>
        <v>-47.91666666666665</v>
      </c>
      <c r="T2409" s="10">
        <f t="shared" ca="1" si="349"/>
        <v>350</v>
      </c>
      <c r="U2409" s="10">
        <f t="shared" ca="1" si="350"/>
        <v>350</v>
      </c>
      <c r="V2409">
        <f t="shared" si="351"/>
        <v>6</v>
      </c>
    </row>
    <row r="2410" spans="1:22" x14ac:dyDescent="0.25">
      <c r="A2410">
        <v>268</v>
      </c>
      <c r="B2410">
        <v>6</v>
      </c>
      <c r="C2410">
        <v>50</v>
      </c>
      <c r="D2410">
        <v>1</v>
      </c>
      <c r="E2410">
        <v>0</v>
      </c>
      <c r="F2410">
        <v>1</v>
      </c>
      <c r="G2410">
        <v>1</v>
      </c>
      <c r="H2410">
        <v>350</v>
      </c>
      <c r="I2410">
        <f t="shared" si="352"/>
        <v>2403</v>
      </c>
      <c r="J2410" s="6">
        <f t="array" aca="1" ref="J2410:N2410" ca="1">TRANSPOSE(ols(OFFSET($C$2:$C$10,I2410,0),OFFSET($D$2:$H$10,I2410,0)))</f>
        <v>95.773809523808268</v>
      </c>
      <c r="K2410" s="6">
        <f ca="1"/>
        <v>0.71428571428600662</v>
      </c>
      <c r="L2410" s="6">
        <f ca="1"/>
        <v>-5.4761904761899132</v>
      </c>
      <c r="M2410" s="6">
        <f ca="1"/>
        <v>-2.2619047619047024</v>
      </c>
      <c r="N2410" s="6">
        <f ca="1"/>
        <v>-0.13690476190476186</v>
      </c>
      <c r="O2410" s="6">
        <f t="shared" ca="1" si="345"/>
        <v>40.119047619047002</v>
      </c>
      <c r="P2410">
        <f t="shared" ca="1" si="353"/>
        <v>40.119047619047002</v>
      </c>
      <c r="Q2410" s="10">
        <f t="shared" ca="1" si="346"/>
        <v>40.119047619047002</v>
      </c>
      <c r="R2410" s="10">
        <f t="shared" ca="1" si="347"/>
        <v>88.035714285713652</v>
      </c>
      <c r="S2410" s="10">
        <f t="shared" ca="1" si="348"/>
        <v>-47.91666666666665</v>
      </c>
      <c r="T2410" s="10">
        <f t="shared" ca="1" si="349"/>
        <v>350</v>
      </c>
      <c r="U2410" s="10">
        <f t="shared" ca="1" si="350"/>
        <v>350</v>
      </c>
      <c r="V2410">
        <f t="shared" si="351"/>
        <v>6</v>
      </c>
    </row>
    <row r="2411" spans="1:22" x14ac:dyDescent="0.25">
      <c r="A2411">
        <v>268</v>
      </c>
      <c r="B2411">
        <v>7</v>
      </c>
      <c r="C2411">
        <v>35</v>
      </c>
      <c r="D2411">
        <v>1</v>
      </c>
      <c r="E2411">
        <v>1</v>
      </c>
      <c r="F2411">
        <v>0</v>
      </c>
      <c r="G2411">
        <v>1</v>
      </c>
      <c r="H2411">
        <v>450</v>
      </c>
      <c r="I2411">
        <f t="shared" si="352"/>
        <v>2403</v>
      </c>
      <c r="J2411" s="6">
        <f t="array" aca="1" ref="J2411:N2411" ca="1">TRANSPOSE(ols(OFFSET($C$2:$C$10,I2411,0),OFFSET($D$2:$H$10,I2411,0)))</f>
        <v>95.773809523808268</v>
      </c>
      <c r="K2411" s="6">
        <f ca="1"/>
        <v>0.71428571428600662</v>
      </c>
      <c r="L2411" s="6">
        <f ca="1"/>
        <v>-5.4761904761899132</v>
      </c>
      <c r="M2411" s="6">
        <f ca="1"/>
        <v>-2.2619047619047024</v>
      </c>
      <c r="N2411" s="6">
        <f ca="1"/>
        <v>-0.13690476190476186</v>
      </c>
      <c r="O2411" s="6">
        <f t="shared" ca="1" si="345"/>
        <v>32.619047619046732</v>
      </c>
      <c r="P2411" t="str">
        <f t="shared" si="353"/>
        <v>NA</v>
      </c>
      <c r="Q2411" s="10">
        <f t="shared" ca="1" si="346"/>
        <v>40.119047619047002</v>
      </c>
      <c r="R2411" s="10">
        <f t="shared" ca="1" si="347"/>
        <v>94.226190476189572</v>
      </c>
      <c r="S2411" s="10">
        <f t="shared" ca="1" si="348"/>
        <v>-54.10714285714257</v>
      </c>
      <c r="T2411" s="10">
        <f t="shared" ca="1" si="349"/>
        <v>395.21739130434582</v>
      </c>
      <c r="U2411" s="10">
        <f t="shared" ca="1" si="350"/>
        <v>395.21739130434582</v>
      </c>
      <c r="V2411">
        <f t="shared" si="351"/>
        <v>5</v>
      </c>
    </row>
    <row r="2412" spans="1:22" x14ac:dyDescent="0.25">
      <c r="A2412">
        <v>268</v>
      </c>
      <c r="B2412">
        <v>8</v>
      </c>
      <c r="C2412">
        <v>15</v>
      </c>
      <c r="D2412">
        <v>1</v>
      </c>
      <c r="E2412">
        <v>1</v>
      </c>
      <c r="F2412">
        <v>0</v>
      </c>
      <c r="G2412">
        <v>1</v>
      </c>
      <c r="H2412">
        <v>550</v>
      </c>
      <c r="I2412">
        <f t="shared" si="352"/>
        <v>2403</v>
      </c>
      <c r="J2412" s="6">
        <f t="array" aca="1" ref="J2412:N2412" ca="1">TRANSPOSE(ols(OFFSET($C$2:$C$10,I2412,0),OFFSET($D$2:$H$10,I2412,0)))</f>
        <v>95.773809523808268</v>
      </c>
      <c r="K2412" s="6">
        <f ca="1"/>
        <v>0.71428571428600662</v>
      </c>
      <c r="L2412" s="6">
        <f ca="1"/>
        <v>-5.4761904761899132</v>
      </c>
      <c r="M2412" s="6">
        <f ca="1"/>
        <v>-2.2619047619047024</v>
      </c>
      <c r="N2412" s="6">
        <f ca="1"/>
        <v>-0.13690476190476186</v>
      </c>
      <c r="O2412" s="6">
        <f t="shared" ca="1" si="345"/>
        <v>18.92857142857055</v>
      </c>
      <c r="P2412" t="str">
        <f t="shared" si="353"/>
        <v>NA</v>
      </c>
      <c r="Q2412" s="10">
        <f t="shared" ca="1" si="346"/>
        <v>40.119047619047002</v>
      </c>
      <c r="R2412" s="10">
        <f t="shared" ca="1" si="347"/>
        <v>94.226190476189572</v>
      </c>
      <c r="S2412" s="10">
        <f t="shared" ca="1" si="348"/>
        <v>-54.10714285714257</v>
      </c>
      <c r="T2412" s="10">
        <f t="shared" ca="1" si="349"/>
        <v>395.21739130434582</v>
      </c>
      <c r="U2412" s="10">
        <f t="shared" ca="1" si="350"/>
        <v>395.21739130434582</v>
      </c>
      <c r="V2412">
        <f t="shared" si="351"/>
        <v>5</v>
      </c>
    </row>
    <row r="2413" spans="1:22" x14ac:dyDescent="0.25">
      <c r="A2413">
        <v>268</v>
      </c>
      <c r="B2413">
        <v>9</v>
      </c>
      <c r="C2413">
        <v>0</v>
      </c>
      <c r="D2413">
        <v>1</v>
      </c>
      <c r="E2413">
        <v>0</v>
      </c>
      <c r="F2413">
        <v>0</v>
      </c>
      <c r="G2413">
        <v>1</v>
      </c>
      <c r="H2413">
        <v>650</v>
      </c>
      <c r="I2413">
        <f t="shared" si="352"/>
        <v>2403</v>
      </c>
      <c r="J2413" s="6">
        <f t="array" aca="1" ref="J2413:N2413" ca="1">TRANSPOSE(ols(OFFSET($C$2:$C$10,I2413,0),OFFSET($D$2:$H$10,I2413,0)))</f>
        <v>95.773809523808268</v>
      </c>
      <c r="K2413" s="6">
        <f ca="1"/>
        <v>0.71428571428600662</v>
      </c>
      <c r="L2413" s="6">
        <f ca="1"/>
        <v>-5.4761904761899132</v>
      </c>
      <c r="M2413" s="6">
        <f ca="1"/>
        <v>-2.2619047619047024</v>
      </c>
      <c r="N2413" s="6">
        <f ca="1"/>
        <v>-0.13690476190476186</v>
      </c>
      <c r="O2413" s="6">
        <f t="shared" ca="1" si="345"/>
        <v>4.5238095238083531</v>
      </c>
      <c r="P2413" t="str">
        <f t="shared" si="353"/>
        <v>NA</v>
      </c>
      <c r="Q2413" s="10">
        <f t="shared" ca="1" si="346"/>
        <v>40.119047619047002</v>
      </c>
      <c r="R2413" s="10">
        <f t="shared" ca="1" si="347"/>
        <v>93.511904761903565</v>
      </c>
      <c r="S2413" s="10">
        <f t="shared" ca="1" si="348"/>
        <v>-53.392857142856563</v>
      </c>
      <c r="T2413" s="10">
        <f t="shared" ca="1" si="349"/>
        <v>389.99999999999591</v>
      </c>
      <c r="U2413" s="10">
        <f t="shared" ca="1" si="350"/>
        <v>389.99999999999591</v>
      </c>
      <c r="V2413">
        <f t="shared" si="351"/>
        <v>4</v>
      </c>
    </row>
    <row r="2414" spans="1:22" x14ac:dyDescent="0.25">
      <c r="A2414">
        <v>269</v>
      </c>
      <c r="B2414">
        <v>1</v>
      </c>
      <c r="C2414">
        <v>100</v>
      </c>
      <c r="D2414">
        <v>1</v>
      </c>
      <c r="E2414">
        <v>0</v>
      </c>
      <c r="F2414">
        <v>1</v>
      </c>
      <c r="G2414">
        <v>0</v>
      </c>
      <c r="H2414">
        <v>250</v>
      </c>
      <c r="I2414">
        <f t="shared" si="352"/>
        <v>2412</v>
      </c>
      <c r="J2414" s="6">
        <f t="array" aca="1" ref="J2414:N2414" ca="1">TRANSPOSE(ols(OFFSET($C$2:$C$10,I2414,0),OFFSET($D$2:$H$10,I2414,0)))</f>
        <v>182.73809523809268</v>
      </c>
      <c r="K2414" s="6">
        <f ca="1"/>
        <v>-2.8571428571424349</v>
      </c>
      <c r="L2414" s="6">
        <f ca="1"/>
        <v>-4.7619047619036792</v>
      </c>
      <c r="M2414" s="6">
        <f ca="1"/>
        <v>-2.6190476190472509</v>
      </c>
      <c r="N2414" s="6">
        <f ca="1"/>
        <v>-0.26904761904762076</v>
      </c>
      <c r="O2414" s="6">
        <f t="shared" ca="1" si="345"/>
        <v>110.71428571428382</v>
      </c>
      <c r="P2414" t="str">
        <f t="shared" si="353"/>
        <v>NA</v>
      </c>
      <c r="Q2414" s="10">
        <f t="shared" ca="1" si="346"/>
        <v>81.190476190474484</v>
      </c>
      <c r="R2414" s="10">
        <f t="shared" ca="1" si="347"/>
        <v>177.976190476189</v>
      </c>
      <c r="S2414" s="10">
        <f t="shared" ca="1" si="348"/>
        <v>-96.785714285714519</v>
      </c>
      <c r="T2414" s="10">
        <f t="shared" ca="1" si="349"/>
        <v>359.73451327433486</v>
      </c>
      <c r="U2414" s="10">
        <f t="shared" ca="1" si="350"/>
        <v>359.73451327433486</v>
      </c>
      <c r="V2414">
        <f t="shared" si="351"/>
        <v>3</v>
      </c>
    </row>
    <row r="2415" spans="1:22" x14ac:dyDescent="0.25">
      <c r="A2415">
        <v>269</v>
      </c>
      <c r="B2415">
        <v>2</v>
      </c>
      <c r="C2415">
        <v>100</v>
      </c>
      <c r="D2415">
        <v>1</v>
      </c>
      <c r="E2415">
        <v>1</v>
      </c>
      <c r="F2415">
        <v>0</v>
      </c>
      <c r="G2415">
        <v>0</v>
      </c>
      <c r="H2415">
        <v>350</v>
      </c>
      <c r="I2415">
        <f t="shared" si="352"/>
        <v>2412</v>
      </c>
      <c r="J2415" s="6">
        <f t="array" aca="1" ref="J2415:N2415" ca="1">TRANSPOSE(ols(OFFSET($C$2:$C$10,I2415,0),OFFSET($D$2:$H$10,I2415,0)))</f>
        <v>182.73809523809268</v>
      </c>
      <c r="K2415" s="6">
        <f ca="1"/>
        <v>-2.8571428571424349</v>
      </c>
      <c r="L2415" s="6">
        <f ca="1"/>
        <v>-4.7619047619036792</v>
      </c>
      <c r="M2415" s="6">
        <f ca="1"/>
        <v>-2.6190476190472509</v>
      </c>
      <c r="N2415" s="6">
        <f ca="1"/>
        <v>-0.26904761904762076</v>
      </c>
      <c r="O2415" s="6">
        <f t="shared" ca="1" si="345"/>
        <v>85.71428571428298</v>
      </c>
      <c r="P2415" t="str">
        <f t="shared" si="353"/>
        <v>NA</v>
      </c>
      <c r="Q2415" s="10">
        <f t="shared" ca="1" si="346"/>
        <v>81.190476190474484</v>
      </c>
      <c r="R2415" s="10">
        <f t="shared" ca="1" si="347"/>
        <v>179.88095238095025</v>
      </c>
      <c r="S2415" s="10">
        <f t="shared" ca="1" si="348"/>
        <v>-98.690476190475763</v>
      </c>
      <c r="T2415" s="10">
        <f t="shared" ca="1" si="349"/>
        <v>366.81415929203149</v>
      </c>
      <c r="U2415" s="10">
        <f t="shared" ca="1" si="350"/>
        <v>366.81415929203149</v>
      </c>
      <c r="V2415">
        <f t="shared" si="351"/>
        <v>2</v>
      </c>
    </row>
    <row r="2416" spans="1:22" x14ac:dyDescent="0.25">
      <c r="A2416">
        <v>269</v>
      </c>
      <c r="B2416">
        <v>3</v>
      </c>
      <c r="C2416">
        <v>50</v>
      </c>
      <c r="D2416">
        <v>1</v>
      </c>
      <c r="E2416">
        <v>1</v>
      </c>
      <c r="F2416">
        <v>0</v>
      </c>
      <c r="G2416">
        <v>0</v>
      </c>
      <c r="H2416">
        <v>450</v>
      </c>
      <c r="I2416">
        <f t="shared" si="352"/>
        <v>2412</v>
      </c>
      <c r="J2416" s="6">
        <f t="array" aca="1" ref="J2416:N2416" ca="1">TRANSPOSE(ols(OFFSET($C$2:$C$10,I2416,0),OFFSET($D$2:$H$10,I2416,0)))</f>
        <v>182.73809523809268</v>
      </c>
      <c r="K2416" s="6">
        <f ca="1"/>
        <v>-2.8571428571424349</v>
      </c>
      <c r="L2416" s="6">
        <f ca="1"/>
        <v>-4.7619047619036792</v>
      </c>
      <c r="M2416" s="6">
        <f ca="1"/>
        <v>-2.6190476190472509</v>
      </c>
      <c r="N2416" s="6">
        <f ca="1"/>
        <v>-0.26904761904762076</v>
      </c>
      <c r="O2416" s="6">
        <f t="shared" ca="1" si="345"/>
        <v>58.809523809520911</v>
      </c>
      <c r="P2416" t="str">
        <f t="shared" si="353"/>
        <v>NA</v>
      </c>
      <c r="Q2416" s="10">
        <f t="shared" ca="1" si="346"/>
        <v>81.190476190474484</v>
      </c>
      <c r="R2416" s="10">
        <f t="shared" ca="1" si="347"/>
        <v>179.88095238095025</v>
      </c>
      <c r="S2416" s="10">
        <f t="shared" ca="1" si="348"/>
        <v>-98.690476190475763</v>
      </c>
      <c r="T2416" s="10">
        <f t="shared" ca="1" si="349"/>
        <v>366.81415929203149</v>
      </c>
      <c r="U2416" s="10">
        <f t="shared" ca="1" si="350"/>
        <v>366.81415929203149</v>
      </c>
      <c r="V2416">
        <f t="shared" si="351"/>
        <v>2</v>
      </c>
    </row>
    <row r="2417" spans="1:22" x14ac:dyDescent="0.25">
      <c r="A2417">
        <v>269</v>
      </c>
      <c r="B2417">
        <v>4</v>
      </c>
      <c r="C2417">
        <v>40</v>
      </c>
      <c r="D2417">
        <v>1</v>
      </c>
      <c r="E2417">
        <v>0</v>
      </c>
      <c r="F2417">
        <v>0</v>
      </c>
      <c r="G2417">
        <v>0</v>
      </c>
      <c r="H2417">
        <v>550</v>
      </c>
      <c r="I2417">
        <f t="shared" si="352"/>
        <v>2412</v>
      </c>
      <c r="J2417" s="6">
        <f t="array" aca="1" ref="J2417:N2417" ca="1">TRANSPOSE(ols(OFFSET($C$2:$C$10,I2417,0),OFFSET($D$2:$H$10,I2417,0)))</f>
        <v>182.73809523809268</v>
      </c>
      <c r="K2417" s="6">
        <f ca="1"/>
        <v>-2.8571428571424349</v>
      </c>
      <c r="L2417" s="6">
        <f ca="1"/>
        <v>-4.7619047619036792</v>
      </c>
      <c r="M2417" s="6">
        <f ca="1"/>
        <v>-2.6190476190472509</v>
      </c>
      <c r="N2417" s="6">
        <f ca="1"/>
        <v>-0.26904761904762076</v>
      </c>
      <c r="O2417" s="6">
        <f t="shared" ca="1" si="345"/>
        <v>34.761904761901263</v>
      </c>
      <c r="P2417" t="str">
        <f t="shared" si="353"/>
        <v>NA</v>
      </c>
      <c r="Q2417" s="10">
        <f t="shared" ca="1" si="346"/>
        <v>81.190476190474484</v>
      </c>
      <c r="R2417" s="10">
        <f t="shared" ca="1" si="347"/>
        <v>182.73809523809268</v>
      </c>
      <c r="S2417" s="10">
        <f t="shared" ca="1" si="348"/>
        <v>-101.5476190476182</v>
      </c>
      <c r="T2417" s="10">
        <f t="shared" ca="1" si="349"/>
        <v>377.43362831857854</v>
      </c>
      <c r="U2417" s="10">
        <f t="shared" ca="1" si="350"/>
        <v>377.43362831857854</v>
      </c>
      <c r="V2417">
        <f t="shared" si="351"/>
        <v>1</v>
      </c>
    </row>
    <row r="2418" spans="1:22" x14ac:dyDescent="0.25">
      <c r="A2418">
        <v>269</v>
      </c>
      <c r="B2418">
        <v>5</v>
      </c>
      <c r="C2418">
        <v>100</v>
      </c>
      <c r="D2418">
        <v>1</v>
      </c>
      <c r="E2418">
        <v>0</v>
      </c>
      <c r="F2418">
        <v>1</v>
      </c>
      <c r="G2418">
        <v>1</v>
      </c>
      <c r="H2418">
        <v>250</v>
      </c>
      <c r="I2418">
        <f t="shared" si="352"/>
        <v>2412</v>
      </c>
      <c r="J2418" s="6">
        <f t="array" aca="1" ref="J2418:N2418" ca="1">TRANSPOSE(ols(OFFSET($C$2:$C$10,I2418,0),OFFSET($D$2:$H$10,I2418,0)))</f>
        <v>182.73809523809268</v>
      </c>
      <c r="K2418" s="6">
        <f ca="1"/>
        <v>-2.8571428571424349</v>
      </c>
      <c r="L2418" s="6">
        <f ca="1"/>
        <v>-4.7619047619036792</v>
      </c>
      <c r="M2418" s="6">
        <f ca="1"/>
        <v>-2.6190476190472509</v>
      </c>
      <c r="N2418" s="6">
        <f ca="1"/>
        <v>-0.26904761904762076</v>
      </c>
      <c r="O2418" s="6">
        <f t="shared" ca="1" si="345"/>
        <v>108.09523809523657</v>
      </c>
      <c r="P2418" t="str">
        <f t="shared" si="353"/>
        <v>NA</v>
      </c>
      <c r="Q2418" s="10">
        <f t="shared" ca="1" si="346"/>
        <v>81.190476190474484</v>
      </c>
      <c r="R2418" s="10">
        <f t="shared" ca="1" si="347"/>
        <v>175.35714285714175</v>
      </c>
      <c r="S2418" s="10">
        <f t="shared" ca="1" si="348"/>
        <v>-94.166666666667268</v>
      </c>
      <c r="T2418" s="10">
        <f t="shared" ca="1" si="349"/>
        <v>350</v>
      </c>
      <c r="U2418" s="10">
        <f t="shared" ca="1" si="350"/>
        <v>350</v>
      </c>
      <c r="V2418">
        <f t="shared" si="351"/>
        <v>6</v>
      </c>
    </row>
    <row r="2419" spans="1:22" x14ac:dyDescent="0.25">
      <c r="A2419">
        <v>269</v>
      </c>
      <c r="B2419">
        <v>6</v>
      </c>
      <c r="C2419">
        <v>100</v>
      </c>
      <c r="D2419">
        <v>1</v>
      </c>
      <c r="E2419">
        <v>0</v>
      </c>
      <c r="F2419">
        <v>1</v>
      </c>
      <c r="G2419">
        <v>1</v>
      </c>
      <c r="H2419">
        <v>350</v>
      </c>
      <c r="I2419">
        <f t="shared" si="352"/>
        <v>2412</v>
      </c>
      <c r="J2419" s="6">
        <f t="array" aca="1" ref="J2419:N2419" ca="1">TRANSPOSE(ols(OFFSET($C$2:$C$10,I2419,0),OFFSET($D$2:$H$10,I2419,0)))</f>
        <v>182.73809523809268</v>
      </c>
      <c r="K2419" s="6">
        <f ca="1"/>
        <v>-2.8571428571424349</v>
      </c>
      <c r="L2419" s="6">
        <f ca="1"/>
        <v>-4.7619047619036792</v>
      </c>
      <c r="M2419" s="6">
        <f ca="1"/>
        <v>-2.6190476190472509</v>
      </c>
      <c r="N2419" s="6">
        <f ca="1"/>
        <v>-0.26904761904762076</v>
      </c>
      <c r="O2419" s="6">
        <f t="shared" ca="1" si="345"/>
        <v>81.190476190474484</v>
      </c>
      <c r="P2419">
        <f t="shared" ca="1" si="353"/>
        <v>81.190476190474484</v>
      </c>
      <c r="Q2419" s="10">
        <f t="shared" ca="1" si="346"/>
        <v>81.190476190474484</v>
      </c>
      <c r="R2419" s="10">
        <f t="shared" ca="1" si="347"/>
        <v>175.35714285714175</v>
      </c>
      <c r="S2419" s="10">
        <f t="shared" ca="1" si="348"/>
        <v>-94.166666666667268</v>
      </c>
      <c r="T2419" s="10">
        <f t="shared" ca="1" si="349"/>
        <v>350</v>
      </c>
      <c r="U2419" s="10">
        <f t="shared" ca="1" si="350"/>
        <v>350</v>
      </c>
      <c r="V2419">
        <f t="shared" si="351"/>
        <v>6</v>
      </c>
    </row>
    <row r="2420" spans="1:22" x14ac:dyDescent="0.25">
      <c r="A2420">
        <v>269</v>
      </c>
      <c r="B2420">
        <v>7</v>
      </c>
      <c r="C2420">
        <v>50</v>
      </c>
      <c r="D2420">
        <v>1</v>
      </c>
      <c r="E2420">
        <v>1</v>
      </c>
      <c r="F2420">
        <v>0</v>
      </c>
      <c r="G2420">
        <v>1</v>
      </c>
      <c r="H2420">
        <v>450</v>
      </c>
      <c r="I2420">
        <f t="shared" si="352"/>
        <v>2412</v>
      </c>
      <c r="J2420" s="6">
        <f t="array" aca="1" ref="J2420:N2420" ca="1">TRANSPOSE(ols(OFFSET($C$2:$C$10,I2420,0),OFFSET($D$2:$H$10,I2420,0)))</f>
        <v>182.73809523809268</v>
      </c>
      <c r="K2420" s="6">
        <f ca="1"/>
        <v>-2.8571428571424349</v>
      </c>
      <c r="L2420" s="6">
        <f ca="1"/>
        <v>-4.7619047619036792</v>
      </c>
      <c r="M2420" s="6">
        <f ca="1"/>
        <v>-2.6190476190472509</v>
      </c>
      <c r="N2420" s="6">
        <f ca="1"/>
        <v>-0.26904761904762076</v>
      </c>
      <c r="O2420" s="6">
        <f t="shared" ca="1" si="345"/>
        <v>56.19047619047366</v>
      </c>
      <c r="P2420" t="str">
        <f t="shared" si="353"/>
        <v>NA</v>
      </c>
      <c r="Q2420" s="10">
        <f t="shared" ca="1" si="346"/>
        <v>81.190476190474484</v>
      </c>
      <c r="R2420" s="10">
        <f t="shared" ca="1" si="347"/>
        <v>177.261904761903</v>
      </c>
      <c r="S2420" s="10">
        <f t="shared" ca="1" si="348"/>
        <v>-96.071428571428513</v>
      </c>
      <c r="T2420" s="10">
        <f t="shared" ca="1" si="349"/>
        <v>357.07964601769663</v>
      </c>
      <c r="U2420" s="10">
        <f t="shared" ca="1" si="350"/>
        <v>357.07964601769663</v>
      </c>
      <c r="V2420">
        <f t="shared" si="351"/>
        <v>5</v>
      </c>
    </row>
    <row r="2421" spans="1:22" x14ac:dyDescent="0.25">
      <c r="A2421">
        <v>269</v>
      </c>
      <c r="B2421">
        <v>8</v>
      </c>
      <c r="C2421">
        <v>30</v>
      </c>
      <c r="D2421">
        <v>1</v>
      </c>
      <c r="E2421">
        <v>1</v>
      </c>
      <c r="F2421">
        <v>0</v>
      </c>
      <c r="G2421">
        <v>1</v>
      </c>
      <c r="H2421">
        <v>550</v>
      </c>
      <c r="I2421">
        <f t="shared" si="352"/>
        <v>2412</v>
      </c>
      <c r="J2421" s="6">
        <f t="array" aca="1" ref="J2421:N2421" ca="1">TRANSPOSE(ols(OFFSET($C$2:$C$10,I2421,0),OFFSET($D$2:$H$10,I2421,0)))</f>
        <v>182.73809523809268</v>
      </c>
      <c r="K2421" s="6">
        <f ca="1"/>
        <v>-2.8571428571424349</v>
      </c>
      <c r="L2421" s="6">
        <f ca="1"/>
        <v>-4.7619047619036792</v>
      </c>
      <c r="M2421" s="6">
        <f ca="1"/>
        <v>-2.6190476190472509</v>
      </c>
      <c r="N2421" s="6">
        <f ca="1"/>
        <v>-0.26904761904762076</v>
      </c>
      <c r="O2421" s="6">
        <f t="shared" ca="1" si="345"/>
        <v>29.285714285711578</v>
      </c>
      <c r="P2421" t="str">
        <f t="shared" si="353"/>
        <v>NA</v>
      </c>
      <c r="Q2421" s="10">
        <f t="shared" ca="1" si="346"/>
        <v>81.190476190474484</v>
      </c>
      <c r="R2421" s="10">
        <f t="shared" ca="1" si="347"/>
        <v>177.261904761903</v>
      </c>
      <c r="S2421" s="10">
        <f t="shared" ca="1" si="348"/>
        <v>-96.071428571428513</v>
      </c>
      <c r="T2421" s="10">
        <f t="shared" ca="1" si="349"/>
        <v>357.07964601769663</v>
      </c>
      <c r="U2421" s="10">
        <f t="shared" ca="1" si="350"/>
        <v>357.07964601769663</v>
      </c>
      <c r="V2421">
        <f t="shared" si="351"/>
        <v>5</v>
      </c>
    </row>
    <row r="2422" spans="1:22" x14ac:dyDescent="0.25">
      <c r="A2422">
        <v>269</v>
      </c>
      <c r="B2422">
        <v>9</v>
      </c>
      <c r="C2422">
        <v>0</v>
      </c>
      <c r="D2422">
        <v>1</v>
      </c>
      <c r="E2422">
        <v>0</v>
      </c>
      <c r="F2422">
        <v>0</v>
      </c>
      <c r="G2422">
        <v>1</v>
      </c>
      <c r="H2422">
        <v>650</v>
      </c>
      <c r="I2422">
        <f t="shared" si="352"/>
        <v>2412</v>
      </c>
      <c r="J2422" s="6">
        <f t="array" aca="1" ref="J2422:N2422" ca="1">TRANSPOSE(ols(OFFSET($C$2:$C$10,I2422,0),OFFSET($D$2:$H$10,I2422,0)))</f>
        <v>182.73809523809268</v>
      </c>
      <c r="K2422" s="6">
        <f ca="1"/>
        <v>-2.8571428571424349</v>
      </c>
      <c r="L2422" s="6">
        <f ca="1"/>
        <v>-4.7619047619036792</v>
      </c>
      <c r="M2422" s="6">
        <f ca="1"/>
        <v>-2.6190476190472509</v>
      </c>
      <c r="N2422" s="6">
        <f ca="1"/>
        <v>-0.26904761904762076</v>
      </c>
      <c r="O2422" s="6">
        <f t="shared" ca="1" si="345"/>
        <v>5.2380952380919439</v>
      </c>
      <c r="P2422" t="str">
        <f t="shared" si="353"/>
        <v>NA</v>
      </c>
      <c r="Q2422" s="10">
        <f t="shared" ca="1" si="346"/>
        <v>81.190476190474484</v>
      </c>
      <c r="R2422" s="10">
        <f t="shared" ca="1" si="347"/>
        <v>180.11904761904543</v>
      </c>
      <c r="S2422" s="10">
        <f t="shared" ca="1" si="348"/>
        <v>-98.928571428570947</v>
      </c>
      <c r="T2422" s="10">
        <f t="shared" ca="1" si="349"/>
        <v>367.69911504424368</v>
      </c>
      <c r="U2422" s="10">
        <f t="shared" ca="1" si="350"/>
        <v>367.69911504424368</v>
      </c>
      <c r="V2422">
        <f t="shared" si="351"/>
        <v>4</v>
      </c>
    </row>
    <row r="2423" spans="1:22" x14ac:dyDescent="0.25">
      <c r="A2423">
        <v>270</v>
      </c>
      <c r="B2423">
        <v>1</v>
      </c>
      <c r="C2423">
        <v>75</v>
      </c>
      <c r="D2423">
        <v>1</v>
      </c>
      <c r="E2423">
        <v>0</v>
      </c>
      <c r="F2423">
        <v>1</v>
      </c>
      <c r="G2423">
        <v>0</v>
      </c>
      <c r="H2423">
        <v>250</v>
      </c>
      <c r="I2423">
        <f t="shared" si="352"/>
        <v>2421</v>
      </c>
      <c r="J2423" s="6">
        <f t="array" aca="1" ref="J2423:N2423" ca="1">TRANSPOSE(ols(OFFSET($C$2:$C$10,I2423,0),OFFSET($D$2:$H$10,I2423,0)))</f>
        <v>128.03571428571286</v>
      </c>
      <c r="K2423" s="6">
        <f ca="1"/>
        <v>3.5714285714286689</v>
      </c>
      <c r="L2423" s="6">
        <f ca="1"/>
        <v>-10.714285714285325</v>
      </c>
      <c r="M2423" s="6">
        <f ca="1"/>
        <v>10.35714285714289</v>
      </c>
      <c r="N2423" s="6">
        <f ca="1"/>
        <v>-0.16785714285714093</v>
      </c>
      <c r="O2423" s="6">
        <f t="shared" ca="1" si="345"/>
        <v>75.357142857142293</v>
      </c>
      <c r="P2423" t="str">
        <f t="shared" si="353"/>
        <v>NA</v>
      </c>
      <c r="Q2423" s="10">
        <f t="shared" ca="1" si="346"/>
        <v>68.928571428571104</v>
      </c>
      <c r="R2423" s="10">
        <f t="shared" ca="1" si="347"/>
        <v>117.32142857142753</v>
      </c>
      <c r="S2423" s="10">
        <f t="shared" ca="1" si="348"/>
        <v>-48.392857142856428</v>
      </c>
      <c r="T2423" s="10">
        <f t="shared" ca="1" si="349"/>
        <v>288.29787234042459</v>
      </c>
      <c r="U2423" s="10">
        <f t="shared" ca="1" si="350"/>
        <v>288.29787234042459</v>
      </c>
      <c r="V2423">
        <f t="shared" si="351"/>
        <v>3</v>
      </c>
    </row>
    <row r="2424" spans="1:22" x14ac:dyDescent="0.25">
      <c r="A2424">
        <v>270</v>
      </c>
      <c r="B2424">
        <v>2</v>
      </c>
      <c r="C2424">
        <v>75</v>
      </c>
      <c r="D2424">
        <v>1</v>
      </c>
      <c r="E2424">
        <v>1</v>
      </c>
      <c r="F2424">
        <v>0</v>
      </c>
      <c r="G2424">
        <v>0</v>
      </c>
      <c r="H2424">
        <v>350</v>
      </c>
      <c r="I2424">
        <f t="shared" si="352"/>
        <v>2421</v>
      </c>
      <c r="J2424" s="6">
        <f t="array" aca="1" ref="J2424:N2424" ca="1">TRANSPOSE(ols(OFFSET($C$2:$C$10,I2424,0),OFFSET($D$2:$H$10,I2424,0)))</f>
        <v>128.03571428571286</v>
      </c>
      <c r="K2424" s="6">
        <f ca="1"/>
        <v>3.5714285714286689</v>
      </c>
      <c r="L2424" s="6">
        <f ca="1"/>
        <v>-10.714285714285325</v>
      </c>
      <c r="M2424" s="6">
        <f ca="1"/>
        <v>10.35714285714289</v>
      </c>
      <c r="N2424" s="6">
        <f ca="1"/>
        <v>-0.16785714285714093</v>
      </c>
      <c r="O2424" s="6">
        <f t="shared" ca="1" si="345"/>
        <v>72.857142857142208</v>
      </c>
      <c r="P2424" t="str">
        <f t="shared" si="353"/>
        <v>NA</v>
      </c>
      <c r="Q2424" s="10">
        <f t="shared" ca="1" si="346"/>
        <v>68.928571428571104</v>
      </c>
      <c r="R2424" s="10">
        <f t="shared" ca="1" si="347"/>
        <v>131.60714285714153</v>
      </c>
      <c r="S2424" s="10">
        <f t="shared" ca="1" si="348"/>
        <v>-62.678571428570422</v>
      </c>
      <c r="T2424" s="10">
        <f t="shared" ca="1" si="349"/>
        <v>373.40425531914724</v>
      </c>
      <c r="U2424" s="10">
        <f t="shared" ca="1" si="350"/>
        <v>373.40425531914724</v>
      </c>
      <c r="V2424">
        <f t="shared" si="351"/>
        <v>2</v>
      </c>
    </row>
    <row r="2425" spans="1:22" x14ac:dyDescent="0.25">
      <c r="A2425">
        <v>270</v>
      </c>
      <c r="B2425">
        <v>3</v>
      </c>
      <c r="C2425">
        <v>55</v>
      </c>
      <c r="D2425">
        <v>1</v>
      </c>
      <c r="E2425">
        <v>1</v>
      </c>
      <c r="F2425">
        <v>0</v>
      </c>
      <c r="G2425">
        <v>0</v>
      </c>
      <c r="H2425">
        <v>450</v>
      </c>
      <c r="I2425">
        <f t="shared" si="352"/>
        <v>2421</v>
      </c>
      <c r="J2425" s="6">
        <f t="array" aca="1" ref="J2425:N2425" ca="1">TRANSPOSE(ols(OFFSET($C$2:$C$10,I2425,0),OFFSET($D$2:$H$10,I2425,0)))</f>
        <v>128.03571428571286</v>
      </c>
      <c r="K2425" s="6">
        <f ca="1"/>
        <v>3.5714285714286689</v>
      </c>
      <c r="L2425" s="6">
        <f ca="1"/>
        <v>-10.714285714285325</v>
      </c>
      <c r="M2425" s="6">
        <f ca="1"/>
        <v>10.35714285714289</v>
      </c>
      <c r="N2425" s="6">
        <f ca="1"/>
        <v>-0.16785714285714093</v>
      </c>
      <c r="O2425" s="6">
        <f t="shared" ca="1" si="345"/>
        <v>56.0714285714281</v>
      </c>
      <c r="P2425" t="str">
        <f t="shared" si="353"/>
        <v>NA</v>
      </c>
      <c r="Q2425" s="10">
        <f t="shared" ca="1" si="346"/>
        <v>68.928571428571104</v>
      </c>
      <c r="R2425" s="10">
        <f t="shared" ca="1" si="347"/>
        <v>131.60714285714153</v>
      </c>
      <c r="S2425" s="10">
        <f t="shared" ca="1" si="348"/>
        <v>-62.678571428570422</v>
      </c>
      <c r="T2425" s="10">
        <f t="shared" ca="1" si="349"/>
        <v>373.40425531914724</v>
      </c>
      <c r="U2425" s="10">
        <f t="shared" ca="1" si="350"/>
        <v>373.40425531914724</v>
      </c>
      <c r="V2425">
        <f t="shared" si="351"/>
        <v>2</v>
      </c>
    </row>
    <row r="2426" spans="1:22" x14ac:dyDescent="0.25">
      <c r="A2426">
        <v>270</v>
      </c>
      <c r="B2426">
        <v>4</v>
      </c>
      <c r="C2426">
        <v>35</v>
      </c>
      <c r="D2426">
        <v>1</v>
      </c>
      <c r="E2426">
        <v>0</v>
      </c>
      <c r="F2426">
        <v>0</v>
      </c>
      <c r="G2426">
        <v>0</v>
      </c>
      <c r="H2426">
        <v>550</v>
      </c>
      <c r="I2426">
        <f t="shared" si="352"/>
        <v>2421</v>
      </c>
      <c r="J2426" s="6">
        <f t="array" aca="1" ref="J2426:N2426" ca="1">TRANSPOSE(ols(OFFSET($C$2:$C$10,I2426,0),OFFSET($D$2:$H$10,I2426,0)))</f>
        <v>128.03571428571286</v>
      </c>
      <c r="K2426" s="6">
        <f ca="1"/>
        <v>3.5714285714286689</v>
      </c>
      <c r="L2426" s="6">
        <f ca="1"/>
        <v>-10.714285714285325</v>
      </c>
      <c r="M2426" s="6">
        <f ca="1"/>
        <v>10.35714285714289</v>
      </c>
      <c r="N2426" s="6">
        <f ca="1"/>
        <v>-0.16785714285714093</v>
      </c>
      <c r="O2426" s="6">
        <f t="shared" ca="1" si="345"/>
        <v>35.714285714285353</v>
      </c>
      <c r="P2426" t="str">
        <f t="shared" si="353"/>
        <v>NA</v>
      </c>
      <c r="Q2426" s="10">
        <f t="shared" ca="1" si="346"/>
        <v>68.928571428571104</v>
      </c>
      <c r="R2426" s="10">
        <f t="shared" ca="1" si="347"/>
        <v>128.03571428571286</v>
      </c>
      <c r="S2426" s="10">
        <f t="shared" ca="1" si="348"/>
        <v>-59.107142857141753</v>
      </c>
      <c r="T2426" s="10">
        <f t="shared" ca="1" si="349"/>
        <v>352.12765957446555</v>
      </c>
      <c r="U2426" s="10">
        <f t="shared" ca="1" si="350"/>
        <v>352.12765957446555</v>
      </c>
      <c r="V2426">
        <f t="shared" si="351"/>
        <v>1</v>
      </c>
    </row>
    <row r="2427" spans="1:22" x14ac:dyDescent="0.25">
      <c r="A2427">
        <v>270</v>
      </c>
      <c r="B2427">
        <v>5</v>
      </c>
      <c r="C2427">
        <v>80</v>
      </c>
      <c r="D2427">
        <v>1</v>
      </c>
      <c r="E2427">
        <v>0</v>
      </c>
      <c r="F2427">
        <v>1</v>
      </c>
      <c r="G2427">
        <v>1</v>
      </c>
      <c r="H2427">
        <v>250</v>
      </c>
      <c r="I2427">
        <f t="shared" si="352"/>
        <v>2421</v>
      </c>
      <c r="J2427" s="6">
        <f t="array" aca="1" ref="J2427:N2427" ca="1">TRANSPOSE(ols(OFFSET($C$2:$C$10,I2427,0),OFFSET($D$2:$H$10,I2427,0)))</f>
        <v>128.03571428571286</v>
      </c>
      <c r="K2427" s="6">
        <f ca="1"/>
        <v>3.5714285714286689</v>
      </c>
      <c r="L2427" s="6">
        <f ca="1"/>
        <v>-10.714285714285325</v>
      </c>
      <c r="M2427" s="6">
        <f ca="1"/>
        <v>10.35714285714289</v>
      </c>
      <c r="N2427" s="6">
        <f ca="1"/>
        <v>-0.16785714285714093</v>
      </c>
      <c r="O2427" s="6">
        <f t="shared" ca="1" si="345"/>
        <v>85.714285714285182</v>
      </c>
      <c r="P2427" t="str">
        <f t="shared" si="353"/>
        <v>NA</v>
      </c>
      <c r="Q2427" s="10">
        <f t="shared" ca="1" si="346"/>
        <v>68.928571428571104</v>
      </c>
      <c r="R2427" s="10">
        <f t="shared" ca="1" si="347"/>
        <v>127.67857142857042</v>
      </c>
      <c r="S2427" s="10">
        <f t="shared" ca="1" si="348"/>
        <v>-58.749999999999318</v>
      </c>
      <c r="T2427" s="10">
        <f t="shared" ca="1" si="349"/>
        <v>349.99999999999994</v>
      </c>
      <c r="U2427" s="10">
        <f t="shared" ca="1" si="350"/>
        <v>349.99999999999994</v>
      </c>
      <c r="V2427">
        <f t="shared" si="351"/>
        <v>6</v>
      </c>
    </row>
    <row r="2428" spans="1:22" x14ac:dyDescent="0.25">
      <c r="A2428">
        <v>270</v>
      </c>
      <c r="B2428">
        <v>6</v>
      </c>
      <c r="C2428">
        <v>75</v>
      </c>
      <c r="D2428">
        <v>1</v>
      </c>
      <c r="E2428">
        <v>0</v>
      </c>
      <c r="F2428">
        <v>1</v>
      </c>
      <c r="G2428">
        <v>1</v>
      </c>
      <c r="H2428">
        <v>350</v>
      </c>
      <c r="I2428">
        <f t="shared" si="352"/>
        <v>2421</v>
      </c>
      <c r="J2428" s="6">
        <f t="array" aca="1" ref="J2428:N2428" ca="1">TRANSPOSE(ols(OFFSET($C$2:$C$10,I2428,0),OFFSET($D$2:$H$10,I2428,0)))</f>
        <v>128.03571428571286</v>
      </c>
      <c r="K2428" s="6">
        <f ca="1"/>
        <v>3.5714285714286689</v>
      </c>
      <c r="L2428" s="6">
        <f ca="1"/>
        <v>-10.714285714285325</v>
      </c>
      <c r="M2428" s="6">
        <f ca="1"/>
        <v>10.35714285714289</v>
      </c>
      <c r="N2428" s="6">
        <f ca="1"/>
        <v>-0.16785714285714093</v>
      </c>
      <c r="O2428" s="6">
        <f t="shared" ca="1" si="345"/>
        <v>68.928571428571104</v>
      </c>
      <c r="P2428">
        <f t="shared" ca="1" si="353"/>
        <v>68.928571428571104</v>
      </c>
      <c r="Q2428" s="10">
        <f t="shared" ca="1" si="346"/>
        <v>68.928571428571104</v>
      </c>
      <c r="R2428" s="10">
        <f t="shared" ca="1" si="347"/>
        <v>127.67857142857042</v>
      </c>
      <c r="S2428" s="10">
        <f t="shared" ca="1" si="348"/>
        <v>-58.749999999999318</v>
      </c>
      <c r="T2428" s="10">
        <f t="shared" ca="1" si="349"/>
        <v>349.99999999999994</v>
      </c>
      <c r="U2428" s="10">
        <f t="shared" ca="1" si="350"/>
        <v>349.99999999999994</v>
      </c>
      <c r="V2428">
        <f t="shared" si="351"/>
        <v>6</v>
      </c>
    </row>
    <row r="2429" spans="1:22" x14ac:dyDescent="0.25">
      <c r="A2429">
        <v>270</v>
      </c>
      <c r="B2429">
        <v>7</v>
      </c>
      <c r="C2429">
        <v>70</v>
      </c>
      <c r="D2429">
        <v>1</v>
      </c>
      <c r="E2429">
        <v>1</v>
      </c>
      <c r="F2429">
        <v>0</v>
      </c>
      <c r="G2429">
        <v>1</v>
      </c>
      <c r="H2429">
        <v>450</v>
      </c>
      <c r="I2429">
        <f t="shared" si="352"/>
        <v>2421</v>
      </c>
      <c r="J2429" s="6">
        <f t="array" aca="1" ref="J2429:N2429" ca="1">TRANSPOSE(ols(OFFSET($C$2:$C$10,I2429,0),OFFSET($D$2:$H$10,I2429,0)))</f>
        <v>128.03571428571286</v>
      </c>
      <c r="K2429" s="6">
        <f ca="1"/>
        <v>3.5714285714286689</v>
      </c>
      <c r="L2429" s="6">
        <f ca="1"/>
        <v>-10.714285714285325</v>
      </c>
      <c r="M2429" s="6">
        <f ca="1"/>
        <v>10.35714285714289</v>
      </c>
      <c r="N2429" s="6">
        <f ca="1"/>
        <v>-0.16785714285714093</v>
      </c>
      <c r="O2429" s="6">
        <f t="shared" ca="1" si="345"/>
        <v>66.42857142857099</v>
      </c>
      <c r="P2429" t="str">
        <f t="shared" si="353"/>
        <v>NA</v>
      </c>
      <c r="Q2429" s="10">
        <f t="shared" ca="1" si="346"/>
        <v>68.928571428571104</v>
      </c>
      <c r="R2429" s="10">
        <f t="shared" ca="1" si="347"/>
        <v>141.96428571428442</v>
      </c>
      <c r="S2429" s="10">
        <f t="shared" ca="1" si="348"/>
        <v>-73.035714285713311</v>
      </c>
      <c r="T2429" s="10">
        <f t="shared" ca="1" si="349"/>
        <v>435.10638297872259</v>
      </c>
      <c r="U2429" s="10">
        <f t="shared" ca="1" si="350"/>
        <v>435.10638297872259</v>
      </c>
      <c r="V2429">
        <f t="shared" si="351"/>
        <v>5</v>
      </c>
    </row>
    <row r="2430" spans="1:22" x14ac:dyDescent="0.25">
      <c r="A2430">
        <v>270</v>
      </c>
      <c r="B2430">
        <v>8</v>
      </c>
      <c r="C2430">
        <v>45</v>
      </c>
      <c r="D2430">
        <v>1</v>
      </c>
      <c r="E2430">
        <v>1</v>
      </c>
      <c r="F2430">
        <v>0</v>
      </c>
      <c r="G2430">
        <v>1</v>
      </c>
      <c r="H2430">
        <v>550</v>
      </c>
      <c r="I2430">
        <f t="shared" si="352"/>
        <v>2421</v>
      </c>
      <c r="J2430" s="6">
        <f t="array" aca="1" ref="J2430:N2430" ca="1">TRANSPOSE(ols(OFFSET($C$2:$C$10,I2430,0),OFFSET($D$2:$H$10,I2430,0)))</f>
        <v>128.03571428571286</v>
      </c>
      <c r="K2430" s="6">
        <f ca="1"/>
        <v>3.5714285714286689</v>
      </c>
      <c r="L2430" s="6">
        <f ca="1"/>
        <v>-10.714285714285325</v>
      </c>
      <c r="M2430" s="6">
        <f ca="1"/>
        <v>10.35714285714289</v>
      </c>
      <c r="N2430" s="6">
        <f ca="1"/>
        <v>-0.16785714285714093</v>
      </c>
      <c r="O2430" s="6">
        <f t="shared" ca="1" si="345"/>
        <v>49.642857142856911</v>
      </c>
      <c r="P2430" t="str">
        <f t="shared" si="353"/>
        <v>NA</v>
      </c>
      <c r="Q2430" s="10">
        <f t="shared" ca="1" si="346"/>
        <v>68.928571428571104</v>
      </c>
      <c r="R2430" s="10">
        <f t="shared" ca="1" si="347"/>
        <v>141.96428571428442</v>
      </c>
      <c r="S2430" s="10">
        <f t="shared" ca="1" si="348"/>
        <v>-73.035714285713311</v>
      </c>
      <c r="T2430" s="10">
        <f t="shared" ca="1" si="349"/>
        <v>435.10638297872259</v>
      </c>
      <c r="U2430" s="10">
        <f t="shared" ca="1" si="350"/>
        <v>435.10638297872259</v>
      </c>
      <c r="V2430">
        <f t="shared" si="351"/>
        <v>5</v>
      </c>
    </row>
    <row r="2431" spans="1:22" x14ac:dyDescent="0.25">
      <c r="A2431">
        <v>270</v>
      </c>
      <c r="B2431">
        <v>9</v>
      </c>
      <c r="C2431">
        <v>30</v>
      </c>
      <c r="D2431">
        <v>1</v>
      </c>
      <c r="E2431">
        <v>0</v>
      </c>
      <c r="F2431">
        <v>0</v>
      </c>
      <c r="G2431">
        <v>1</v>
      </c>
      <c r="H2431">
        <v>650</v>
      </c>
      <c r="I2431">
        <f t="shared" si="352"/>
        <v>2421</v>
      </c>
      <c r="J2431" s="6">
        <f t="array" aca="1" ref="J2431:N2431" ca="1">TRANSPOSE(ols(OFFSET($C$2:$C$10,I2431,0),OFFSET($D$2:$H$10,I2431,0)))</f>
        <v>128.03571428571286</v>
      </c>
      <c r="K2431" s="6">
        <f ca="1"/>
        <v>3.5714285714286689</v>
      </c>
      <c r="L2431" s="6">
        <f ca="1"/>
        <v>-10.714285714285325</v>
      </c>
      <c r="M2431" s="6">
        <f ca="1"/>
        <v>10.35714285714289</v>
      </c>
      <c r="N2431" s="6">
        <f ca="1"/>
        <v>-0.16785714285714093</v>
      </c>
      <c r="O2431" s="6">
        <f t="shared" ca="1" si="345"/>
        <v>29.285714285714135</v>
      </c>
      <c r="P2431" t="str">
        <f t="shared" si="353"/>
        <v>NA</v>
      </c>
      <c r="Q2431" s="10">
        <f t="shared" ca="1" si="346"/>
        <v>68.928571428571104</v>
      </c>
      <c r="R2431" s="10">
        <f t="shared" ca="1" si="347"/>
        <v>138.39285714285575</v>
      </c>
      <c r="S2431" s="10">
        <f t="shared" ca="1" si="348"/>
        <v>-69.464285714284642</v>
      </c>
      <c r="T2431" s="10">
        <f t="shared" ca="1" si="349"/>
        <v>413.82978723404091</v>
      </c>
      <c r="U2431" s="10">
        <f t="shared" ca="1" si="350"/>
        <v>413.82978723404091</v>
      </c>
      <c r="V2431">
        <f t="shared" si="351"/>
        <v>4</v>
      </c>
    </row>
    <row r="2432" spans="1:22" x14ac:dyDescent="0.25">
      <c r="A2432">
        <v>271</v>
      </c>
      <c r="B2432">
        <v>1</v>
      </c>
      <c r="C2432">
        <v>70.5</v>
      </c>
      <c r="D2432">
        <v>1</v>
      </c>
      <c r="E2432">
        <v>0</v>
      </c>
      <c r="F2432">
        <v>1</v>
      </c>
      <c r="G2432">
        <v>0</v>
      </c>
      <c r="H2432">
        <v>250</v>
      </c>
      <c r="I2432">
        <f t="shared" si="352"/>
        <v>2430</v>
      </c>
      <c r="J2432" s="6">
        <f t="array" aca="1" ref="J2432:N2432" ca="1">TRANSPOSE(ols(OFFSET($C$2:$C$10,I2432,0),OFFSET($D$2:$H$10,I2432,0)))</f>
        <v>173.67857142856974</v>
      </c>
      <c r="K2432" s="6">
        <f ca="1"/>
        <v>-20.39285714285711</v>
      </c>
      <c r="L2432" s="6">
        <f ca="1"/>
        <v>-51.571428571428442</v>
      </c>
      <c r="M2432" s="6">
        <f ca="1"/>
        <v>-30.714285714285438</v>
      </c>
      <c r="N2432" s="6">
        <f ca="1"/>
        <v>-0.19928571428571651</v>
      </c>
      <c r="O2432" s="6">
        <f t="shared" ca="1" si="345"/>
        <v>72.285714285712174</v>
      </c>
      <c r="P2432" t="str">
        <f t="shared" si="353"/>
        <v>NA</v>
      </c>
      <c r="Q2432" s="10">
        <f t="shared" ca="1" si="346"/>
        <v>21.642857142855078</v>
      </c>
      <c r="R2432" s="10">
        <f t="shared" ca="1" si="347"/>
        <v>122.1071428571413</v>
      </c>
      <c r="S2432" s="10">
        <f t="shared" ca="1" si="348"/>
        <v>-100.46428571428622</v>
      </c>
      <c r="T2432" s="10">
        <f t="shared" ca="1" si="349"/>
        <v>504.12186379928005</v>
      </c>
      <c r="U2432" s="10">
        <f t="shared" ca="1" si="350"/>
        <v>504.12186379928005</v>
      </c>
      <c r="V2432">
        <f t="shared" si="351"/>
        <v>3</v>
      </c>
    </row>
    <row r="2433" spans="1:22" x14ac:dyDescent="0.25">
      <c r="A2433">
        <v>271</v>
      </c>
      <c r="B2433">
        <v>2</v>
      </c>
      <c r="C2433">
        <v>83</v>
      </c>
      <c r="D2433">
        <v>1</v>
      </c>
      <c r="E2433">
        <v>1</v>
      </c>
      <c r="F2433">
        <v>0</v>
      </c>
      <c r="G2433">
        <v>0</v>
      </c>
      <c r="H2433">
        <v>350</v>
      </c>
      <c r="I2433">
        <f t="shared" si="352"/>
        <v>2430</v>
      </c>
      <c r="J2433" s="6">
        <f t="array" aca="1" ref="J2433:N2433" ca="1">TRANSPOSE(ols(OFFSET($C$2:$C$10,I2433,0),OFFSET($D$2:$H$10,I2433,0)))</f>
        <v>173.67857142856974</v>
      </c>
      <c r="K2433" s="6">
        <f ca="1"/>
        <v>-20.39285714285711</v>
      </c>
      <c r="L2433" s="6">
        <f ca="1"/>
        <v>-51.571428571428442</v>
      </c>
      <c r="M2433" s="6">
        <f ca="1"/>
        <v>-30.714285714285438</v>
      </c>
      <c r="N2433" s="6">
        <f ca="1"/>
        <v>-0.19928571428571651</v>
      </c>
      <c r="O2433" s="6">
        <f t="shared" ca="1" si="345"/>
        <v>83.535714285711848</v>
      </c>
      <c r="P2433" t="str">
        <f t="shared" si="353"/>
        <v>NA</v>
      </c>
      <c r="Q2433" s="10">
        <f t="shared" ca="1" si="346"/>
        <v>21.642857142855078</v>
      </c>
      <c r="R2433" s="10">
        <f t="shared" ca="1" si="347"/>
        <v>153.28571428571263</v>
      </c>
      <c r="S2433" s="10">
        <f t="shared" ca="1" si="348"/>
        <v>-131.64285714285757</v>
      </c>
      <c r="T2433" s="10">
        <f t="shared" ca="1" si="349"/>
        <v>660.57347670250374</v>
      </c>
      <c r="U2433" s="10" t="str">
        <f t="shared" ca="1" si="350"/>
        <v>OR</v>
      </c>
      <c r="V2433">
        <f t="shared" si="351"/>
        <v>2</v>
      </c>
    </row>
    <row r="2434" spans="1:22" x14ac:dyDescent="0.25">
      <c r="A2434">
        <v>271</v>
      </c>
      <c r="B2434">
        <v>3</v>
      </c>
      <c r="C2434">
        <v>60</v>
      </c>
      <c r="D2434">
        <v>1</v>
      </c>
      <c r="E2434">
        <v>1</v>
      </c>
      <c r="F2434">
        <v>0</v>
      </c>
      <c r="G2434">
        <v>0</v>
      </c>
      <c r="H2434">
        <v>450</v>
      </c>
      <c r="I2434">
        <f t="shared" si="352"/>
        <v>2430</v>
      </c>
      <c r="J2434" s="6">
        <f t="array" aca="1" ref="J2434:N2434" ca="1">TRANSPOSE(ols(OFFSET($C$2:$C$10,I2434,0),OFFSET($D$2:$H$10,I2434,0)))</f>
        <v>173.67857142856974</v>
      </c>
      <c r="K2434" s="6">
        <f ca="1"/>
        <v>-20.39285714285711</v>
      </c>
      <c r="L2434" s="6">
        <f ca="1"/>
        <v>-51.571428571428442</v>
      </c>
      <c r="M2434" s="6">
        <f ca="1"/>
        <v>-30.714285714285438</v>
      </c>
      <c r="N2434" s="6">
        <f ca="1"/>
        <v>-0.19928571428571651</v>
      </c>
      <c r="O2434" s="6">
        <f t="shared" ca="1" si="345"/>
        <v>63.607142857140204</v>
      </c>
      <c r="P2434" t="str">
        <f t="shared" si="353"/>
        <v>NA</v>
      </c>
      <c r="Q2434" s="10">
        <f t="shared" ca="1" si="346"/>
        <v>21.642857142855078</v>
      </c>
      <c r="R2434" s="10">
        <f t="shared" ca="1" si="347"/>
        <v>153.28571428571263</v>
      </c>
      <c r="S2434" s="10">
        <f t="shared" ca="1" si="348"/>
        <v>-131.64285714285757</v>
      </c>
      <c r="T2434" s="10">
        <f t="shared" ca="1" si="349"/>
        <v>660.57347670250374</v>
      </c>
      <c r="U2434" s="10" t="str">
        <f t="shared" ca="1" si="350"/>
        <v>OR</v>
      </c>
      <c r="V2434">
        <f t="shared" si="351"/>
        <v>2</v>
      </c>
    </row>
    <row r="2435" spans="1:22" x14ac:dyDescent="0.25">
      <c r="A2435">
        <v>271</v>
      </c>
      <c r="B2435">
        <v>4</v>
      </c>
      <c r="C2435">
        <v>70</v>
      </c>
      <c r="D2435">
        <v>1</v>
      </c>
      <c r="E2435">
        <v>0</v>
      </c>
      <c r="F2435">
        <v>0</v>
      </c>
      <c r="G2435">
        <v>0</v>
      </c>
      <c r="H2435">
        <v>550</v>
      </c>
      <c r="I2435">
        <f t="shared" si="352"/>
        <v>2430</v>
      </c>
      <c r="J2435" s="6">
        <f t="array" aca="1" ref="J2435:N2435" ca="1">TRANSPOSE(ols(OFFSET($C$2:$C$10,I2435,0),OFFSET($D$2:$H$10,I2435,0)))</f>
        <v>173.67857142856974</v>
      </c>
      <c r="K2435" s="6">
        <f ca="1"/>
        <v>-20.39285714285711</v>
      </c>
      <c r="L2435" s="6">
        <f ca="1"/>
        <v>-51.571428571428442</v>
      </c>
      <c r="M2435" s="6">
        <f ca="1"/>
        <v>-30.714285714285438</v>
      </c>
      <c r="N2435" s="6">
        <f ca="1"/>
        <v>-0.19928571428571651</v>
      </c>
      <c r="O2435" s="6">
        <f t="shared" ref="O2435:O2498" ca="1" si="354">SUMPRODUCT(J2435:N2435,D2435:H2435)</f>
        <v>64.071428571425656</v>
      </c>
      <c r="P2435" t="str">
        <f t="shared" si="353"/>
        <v>NA</v>
      </c>
      <c r="Q2435" s="10">
        <f t="shared" ref="Q2435:Q2498" ca="1" si="355">AVERAGEIF($A$2:$A$5383,A2435,$P$2:$P$5383)</f>
        <v>21.642857142855078</v>
      </c>
      <c r="R2435" s="10">
        <f t="shared" ref="R2435:R2498" ca="1" si="356">O2435-N2435*H2435</f>
        <v>173.67857142856974</v>
      </c>
      <c r="S2435" s="10">
        <f t="shared" ref="S2435:S2498" ca="1" si="357">Q2435-R2435</f>
        <v>-152.03571428571468</v>
      </c>
      <c r="T2435" s="10">
        <f t="shared" ref="T2435:T2498" ca="1" si="358">S2435/N2435</f>
        <v>762.90322580644511</v>
      </c>
      <c r="U2435" s="10" t="str">
        <f t="shared" ref="U2435:U2498" ca="1" si="359">IF(OR(T2435&lt;250,T2435&gt;650),"OR",T2435)</f>
        <v>OR</v>
      </c>
      <c r="V2435">
        <f t="shared" ref="V2435:V2498" si="360">IF(AND(E2435=1,G2435=0),2,IF(AND(F2435=1,G2435=0),3,IF(AND(E2435=1,G2435=1),5,IF(AND(F2435=1,G2435=1),6,IF(G2435=0,1,IF(G2435=1,4))))))</f>
        <v>1</v>
      </c>
    </row>
    <row r="2436" spans="1:22" x14ac:dyDescent="0.25">
      <c r="A2436">
        <v>271</v>
      </c>
      <c r="B2436">
        <v>5</v>
      </c>
      <c r="C2436">
        <v>40</v>
      </c>
      <c r="D2436">
        <v>1</v>
      </c>
      <c r="E2436">
        <v>0</v>
      </c>
      <c r="F2436">
        <v>1</v>
      </c>
      <c r="G2436">
        <v>1</v>
      </c>
      <c r="H2436">
        <v>250</v>
      </c>
      <c r="I2436">
        <f t="shared" si="352"/>
        <v>2430</v>
      </c>
      <c r="J2436" s="6">
        <f t="array" aca="1" ref="J2436:N2436" ca="1">TRANSPOSE(ols(OFFSET($C$2:$C$10,I2436,0),OFFSET($D$2:$H$10,I2436,0)))</f>
        <v>173.67857142856974</v>
      </c>
      <c r="K2436" s="6">
        <f ca="1"/>
        <v>-20.39285714285711</v>
      </c>
      <c r="L2436" s="6">
        <f ca="1"/>
        <v>-51.571428571428442</v>
      </c>
      <c r="M2436" s="6">
        <f ca="1"/>
        <v>-30.714285714285438</v>
      </c>
      <c r="N2436" s="6">
        <f ca="1"/>
        <v>-0.19928571428571651</v>
      </c>
      <c r="O2436" s="6">
        <f t="shared" ca="1" si="354"/>
        <v>41.571428571426736</v>
      </c>
      <c r="P2436" t="str">
        <f t="shared" si="353"/>
        <v>NA</v>
      </c>
      <c r="Q2436" s="10">
        <f t="shared" ca="1" si="355"/>
        <v>21.642857142855078</v>
      </c>
      <c r="R2436" s="10">
        <f t="shared" ca="1" si="356"/>
        <v>91.39285714285586</v>
      </c>
      <c r="S2436" s="10">
        <f t="shared" ca="1" si="357"/>
        <v>-69.750000000000782</v>
      </c>
      <c r="T2436" s="10">
        <f t="shared" ca="1" si="358"/>
        <v>350</v>
      </c>
      <c r="U2436" s="10">
        <f t="shared" ca="1" si="359"/>
        <v>350</v>
      </c>
      <c r="V2436">
        <f t="shared" si="360"/>
        <v>6</v>
      </c>
    </row>
    <row r="2437" spans="1:22" x14ac:dyDescent="0.25">
      <c r="A2437">
        <v>271</v>
      </c>
      <c r="B2437">
        <v>6</v>
      </c>
      <c r="C2437">
        <v>25</v>
      </c>
      <c r="D2437">
        <v>1</v>
      </c>
      <c r="E2437">
        <v>0</v>
      </c>
      <c r="F2437">
        <v>1</v>
      </c>
      <c r="G2437">
        <v>1</v>
      </c>
      <c r="H2437">
        <v>350</v>
      </c>
      <c r="I2437">
        <f t="shared" si="352"/>
        <v>2430</v>
      </c>
      <c r="J2437" s="6">
        <f t="array" aca="1" ref="J2437:N2437" ca="1">TRANSPOSE(ols(OFFSET($C$2:$C$10,I2437,0),OFFSET($D$2:$H$10,I2437,0)))</f>
        <v>173.67857142856974</v>
      </c>
      <c r="K2437" s="6">
        <f ca="1"/>
        <v>-20.39285714285711</v>
      </c>
      <c r="L2437" s="6">
        <f ca="1"/>
        <v>-51.571428571428442</v>
      </c>
      <c r="M2437" s="6">
        <f ca="1"/>
        <v>-30.714285714285438</v>
      </c>
      <c r="N2437" s="6">
        <f ca="1"/>
        <v>-0.19928571428571651</v>
      </c>
      <c r="O2437" s="6">
        <f t="shared" ca="1" si="354"/>
        <v>21.642857142855078</v>
      </c>
      <c r="P2437">
        <f t="shared" ca="1" si="353"/>
        <v>21.642857142855078</v>
      </c>
      <c r="Q2437" s="10">
        <f t="shared" ca="1" si="355"/>
        <v>21.642857142855078</v>
      </c>
      <c r="R2437" s="10">
        <f t="shared" ca="1" si="356"/>
        <v>91.39285714285586</v>
      </c>
      <c r="S2437" s="10">
        <f t="shared" ca="1" si="357"/>
        <v>-69.750000000000782</v>
      </c>
      <c r="T2437" s="10">
        <f t="shared" ca="1" si="358"/>
        <v>350</v>
      </c>
      <c r="U2437" s="10">
        <f t="shared" ca="1" si="359"/>
        <v>350</v>
      </c>
      <c r="V2437">
        <f t="shared" si="360"/>
        <v>6</v>
      </c>
    </row>
    <row r="2438" spans="1:22" x14ac:dyDescent="0.25">
      <c r="A2438">
        <v>271</v>
      </c>
      <c r="B2438">
        <v>7</v>
      </c>
      <c r="C2438">
        <v>35</v>
      </c>
      <c r="D2438">
        <v>1</v>
      </c>
      <c r="E2438">
        <v>1</v>
      </c>
      <c r="F2438">
        <v>0</v>
      </c>
      <c r="G2438">
        <v>1</v>
      </c>
      <c r="H2438">
        <v>450</v>
      </c>
      <c r="I2438">
        <f t="shared" si="352"/>
        <v>2430</v>
      </c>
      <c r="J2438" s="6">
        <f t="array" aca="1" ref="J2438:N2438" ca="1">TRANSPOSE(ols(OFFSET($C$2:$C$10,I2438,0),OFFSET($D$2:$H$10,I2438,0)))</f>
        <v>173.67857142856974</v>
      </c>
      <c r="K2438" s="6">
        <f ca="1"/>
        <v>-20.39285714285711</v>
      </c>
      <c r="L2438" s="6">
        <f ca="1"/>
        <v>-51.571428571428442</v>
      </c>
      <c r="M2438" s="6">
        <f ca="1"/>
        <v>-30.714285714285438</v>
      </c>
      <c r="N2438" s="6">
        <f ca="1"/>
        <v>-0.19928571428571651</v>
      </c>
      <c r="O2438" s="6">
        <f t="shared" ca="1" si="354"/>
        <v>32.892857142854766</v>
      </c>
      <c r="P2438" t="str">
        <f t="shared" si="353"/>
        <v>NA</v>
      </c>
      <c r="Q2438" s="10">
        <f t="shared" ca="1" si="355"/>
        <v>21.642857142855078</v>
      </c>
      <c r="R2438" s="10">
        <f t="shared" ca="1" si="356"/>
        <v>122.57142857142719</v>
      </c>
      <c r="S2438" s="10">
        <f t="shared" ca="1" si="357"/>
        <v>-100.92857142857211</v>
      </c>
      <c r="T2438" s="10">
        <f t="shared" ca="1" si="358"/>
        <v>506.45161290322358</v>
      </c>
      <c r="U2438" s="10">
        <f t="shared" ca="1" si="359"/>
        <v>506.45161290322358</v>
      </c>
      <c r="V2438">
        <f t="shared" si="360"/>
        <v>5</v>
      </c>
    </row>
    <row r="2439" spans="1:22" x14ac:dyDescent="0.25">
      <c r="A2439">
        <v>271</v>
      </c>
      <c r="B2439">
        <v>8</v>
      </c>
      <c r="C2439">
        <v>15</v>
      </c>
      <c r="D2439">
        <v>1</v>
      </c>
      <c r="E2439">
        <v>1</v>
      </c>
      <c r="F2439">
        <v>0</v>
      </c>
      <c r="G2439">
        <v>1</v>
      </c>
      <c r="H2439">
        <v>550</v>
      </c>
      <c r="I2439">
        <f t="shared" si="352"/>
        <v>2430</v>
      </c>
      <c r="J2439" s="6">
        <f t="array" aca="1" ref="J2439:N2439" ca="1">TRANSPOSE(ols(OFFSET($C$2:$C$10,I2439,0),OFFSET($D$2:$H$10,I2439,0)))</f>
        <v>173.67857142856974</v>
      </c>
      <c r="K2439" s="6">
        <f ca="1"/>
        <v>-20.39285714285711</v>
      </c>
      <c r="L2439" s="6">
        <f ca="1"/>
        <v>-51.571428571428442</v>
      </c>
      <c r="M2439" s="6">
        <f ca="1"/>
        <v>-30.714285714285438</v>
      </c>
      <c r="N2439" s="6">
        <f ca="1"/>
        <v>-0.19928571428571651</v>
      </c>
      <c r="O2439" s="6">
        <f t="shared" ca="1" si="354"/>
        <v>12.964285714283108</v>
      </c>
      <c r="P2439" t="str">
        <f t="shared" si="353"/>
        <v>NA</v>
      </c>
      <c r="Q2439" s="10">
        <f t="shared" ca="1" si="355"/>
        <v>21.642857142855078</v>
      </c>
      <c r="R2439" s="10">
        <f t="shared" ca="1" si="356"/>
        <v>122.57142857142719</v>
      </c>
      <c r="S2439" s="10">
        <f t="shared" ca="1" si="357"/>
        <v>-100.92857142857211</v>
      </c>
      <c r="T2439" s="10">
        <f t="shared" ca="1" si="358"/>
        <v>506.45161290322358</v>
      </c>
      <c r="U2439" s="10">
        <f t="shared" ca="1" si="359"/>
        <v>506.45161290322358</v>
      </c>
      <c r="V2439">
        <f t="shared" si="360"/>
        <v>5</v>
      </c>
    </row>
    <row r="2440" spans="1:22" x14ac:dyDescent="0.25">
      <c r="A2440">
        <v>271</v>
      </c>
      <c r="B2440">
        <v>9</v>
      </c>
      <c r="C2440">
        <v>7.5</v>
      </c>
      <c r="D2440">
        <v>1</v>
      </c>
      <c r="E2440">
        <v>0</v>
      </c>
      <c r="F2440">
        <v>0</v>
      </c>
      <c r="G2440">
        <v>1</v>
      </c>
      <c r="H2440">
        <v>650</v>
      </c>
      <c r="I2440">
        <f t="shared" si="352"/>
        <v>2430</v>
      </c>
      <c r="J2440" s="6">
        <f t="array" aca="1" ref="J2440:N2440" ca="1">TRANSPOSE(ols(OFFSET($C$2:$C$10,I2440,0),OFFSET($D$2:$H$10,I2440,0)))</f>
        <v>173.67857142856974</v>
      </c>
      <c r="K2440" s="6">
        <f ca="1"/>
        <v>-20.39285714285711</v>
      </c>
      <c r="L2440" s="6">
        <f ca="1"/>
        <v>-51.571428571428442</v>
      </c>
      <c r="M2440" s="6">
        <f ca="1"/>
        <v>-30.714285714285438</v>
      </c>
      <c r="N2440" s="6">
        <f ca="1"/>
        <v>-0.19928571428571651</v>
      </c>
      <c r="O2440" s="6">
        <f t="shared" ca="1" si="354"/>
        <v>13.428571428568574</v>
      </c>
      <c r="P2440" t="str">
        <f t="shared" si="353"/>
        <v>NA</v>
      </c>
      <c r="Q2440" s="10">
        <f t="shared" ca="1" si="355"/>
        <v>21.642857142855078</v>
      </c>
      <c r="R2440" s="10">
        <f t="shared" ca="1" si="356"/>
        <v>142.9642857142843</v>
      </c>
      <c r="S2440" s="10">
        <f t="shared" ca="1" si="357"/>
        <v>-121.32142857142922</v>
      </c>
      <c r="T2440" s="10">
        <f t="shared" ca="1" si="358"/>
        <v>608.78136200716494</v>
      </c>
      <c r="U2440" s="10">
        <f t="shared" ca="1" si="359"/>
        <v>608.78136200716494</v>
      </c>
      <c r="V2440">
        <f t="shared" si="360"/>
        <v>4</v>
      </c>
    </row>
    <row r="2441" spans="1:22" x14ac:dyDescent="0.25">
      <c r="A2441">
        <v>272</v>
      </c>
      <c r="B2441">
        <v>1</v>
      </c>
      <c r="C2441">
        <v>32.5</v>
      </c>
      <c r="D2441">
        <v>1</v>
      </c>
      <c r="E2441">
        <v>0</v>
      </c>
      <c r="F2441">
        <v>1</v>
      </c>
      <c r="G2441">
        <v>0</v>
      </c>
      <c r="H2441">
        <v>250</v>
      </c>
      <c r="I2441">
        <f t="shared" si="352"/>
        <v>2439</v>
      </c>
      <c r="J2441" s="6">
        <f t="array" aca="1" ref="J2441:N2441" ca="1">TRANSPOSE(ols(OFFSET($C$2:$C$10,I2441,0),OFFSET($D$2:$H$10,I2441,0)))</f>
        <v>59.851190476189458</v>
      </c>
      <c r="K2441" s="6">
        <f ca="1"/>
        <v>3.0357142857144481</v>
      </c>
      <c r="L2441" s="6">
        <f ca="1"/>
        <v>2.97619047619105</v>
      </c>
      <c r="M2441" s="6">
        <f ca="1"/>
        <v>1.0119047619047592</v>
      </c>
      <c r="N2441" s="6">
        <f ca="1"/>
        <v>-0.10059523809523752</v>
      </c>
      <c r="O2441" s="6">
        <f t="shared" ca="1" si="354"/>
        <v>37.678571428571132</v>
      </c>
      <c r="P2441" t="str">
        <f t="shared" si="353"/>
        <v>NA</v>
      </c>
      <c r="Q2441" s="10">
        <f t="shared" ca="1" si="355"/>
        <v>28.630952380952138</v>
      </c>
      <c r="R2441" s="10">
        <f t="shared" ca="1" si="356"/>
        <v>62.827380952380508</v>
      </c>
      <c r="S2441" s="10">
        <f t="shared" ca="1" si="357"/>
        <v>-34.19642857142837</v>
      </c>
      <c r="T2441" s="10">
        <f t="shared" ca="1" si="358"/>
        <v>339.94082840236683</v>
      </c>
      <c r="U2441" s="10">
        <f t="shared" ca="1" si="359"/>
        <v>339.94082840236683</v>
      </c>
      <c r="V2441">
        <f t="shared" si="360"/>
        <v>3</v>
      </c>
    </row>
    <row r="2442" spans="1:22" x14ac:dyDescent="0.25">
      <c r="A2442">
        <v>272</v>
      </c>
      <c r="B2442">
        <v>2</v>
      </c>
      <c r="C2442">
        <v>30</v>
      </c>
      <c r="D2442">
        <v>1</v>
      </c>
      <c r="E2442">
        <v>1</v>
      </c>
      <c r="F2442">
        <v>0</v>
      </c>
      <c r="G2442">
        <v>0</v>
      </c>
      <c r="H2442">
        <v>350</v>
      </c>
      <c r="I2442">
        <f t="shared" si="352"/>
        <v>2439</v>
      </c>
      <c r="J2442" s="6">
        <f t="array" aca="1" ref="J2442:N2442" ca="1">TRANSPOSE(ols(OFFSET($C$2:$C$10,I2442,0),OFFSET($D$2:$H$10,I2442,0)))</f>
        <v>59.851190476189458</v>
      </c>
      <c r="K2442" s="6">
        <f ca="1"/>
        <v>3.0357142857144481</v>
      </c>
      <c r="L2442" s="6">
        <f ca="1"/>
        <v>2.97619047619105</v>
      </c>
      <c r="M2442" s="6">
        <f ca="1"/>
        <v>1.0119047619047592</v>
      </c>
      <c r="N2442" s="6">
        <f ca="1"/>
        <v>-0.10059523809523752</v>
      </c>
      <c r="O2442" s="6">
        <f t="shared" ca="1" si="354"/>
        <v>27.678571428570777</v>
      </c>
      <c r="P2442" t="str">
        <f t="shared" si="353"/>
        <v>NA</v>
      </c>
      <c r="Q2442" s="10">
        <f t="shared" ca="1" si="355"/>
        <v>28.630952380952138</v>
      </c>
      <c r="R2442" s="10">
        <f t="shared" ca="1" si="356"/>
        <v>62.886904761903907</v>
      </c>
      <c r="S2442" s="10">
        <f t="shared" ca="1" si="357"/>
        <v>-34.255952380951769</v>
      </c>
      <c r="T2442" s="10">
        <f t="shared" ca="1" si="358"/>
        <v>340.53254437869413</v>
      </c>
      <c r="U2442" s="10">
        <f t="shared" ca="1" si="359"/>
        <v>340.53254437869413</v>
      </c>
      <c r="V2442">
        <f t="shared" si="360"/>
        <v>2</v>
      </c>
    </row>
    <row r="2443" spans="1:22" x14ac:dyDescent="0.25">
      <c r="A2443">
        <v>272</v>
      </c>
      <c r="B2443">
        <v>3</v>
      </c>
      <c r="C2443">
        <v>25</v>
      </c>
      <c r="D2443">
        <v>1</v>
      </c>
      <c r="E2443">
        <v>1</v>
      </c>
      <c r="F2443">
        <v>0</v>
      </c>
      <c r="G2443">
        <v>0</v>
      </c>
      <c r="H2443">
        <v>450</v>
      </c>
      <c r="I2443">
        <f t="shared" si="352"/>
        <v>2439</v>
      </c>
      <c r="J2443" s="6">
        <f t="array" aca="1" ref="J2443:N2443" ca="1">TRANSPOSE(ols(OFFSET($C$2:$C$10,I2443,0),OFFSET($D$2:$H$10,I2443,0)))</f>
        <v>59.851190476189458</v>
      </c>
      <c r="K2443" s="6">
        <f ca="1"/>
        <v>3.0357142857144481</v>
      </c>
      <c r="L2443" s="6">
        <f ca="1"/>
        <v>2.97619047619105</v>
      </c>
      <c r="M2443" s="6">
        <f ca="1"/>
        <v>1.0119047619047592</v>
      </c>
      <c r="N2443" s="6">
        <f ca="1"/>
        <v>-0.10059523809523752</v>
      </c>
      <c r="O2443" s="6">
        <f t="shared" ca="1" si="354"/>
        <v>17.619047619047024</v>
      </c>
      <c r="P2443" t="str">
        <f t="shared" si="353"/>
        <v>NA</v>
      </c>
      <c r="Q2443" s="10">
        <f t="shared" ca="1" si="355"/>
        <v>28.630952380952138</v>
      </c>
      <c r="R2443" s="10">
        <f t="shared" ca="1" si="356"/>
        <v>62.886904761903907</v>
      </c>
      <c r="S2443" s="10">
        <f t="shared" ca="1" si="357"/>
        <v>-34.255952380951769</v>
      </c>
      <c r="T2443" s="10">
        <f t="shared" ca="1" si="358"/>
        <v>340.53254437869413</v>
      </c>
      <c r="U2443" s="10">
        <f t="shared" ca="1" si="359"/>
        <v>340.53254437869413</v>
      </c>
      <c r="V2443">
        <f t="shared" si="360"/>
        <v>2</v>
      </c>
    </row>
    <row r="2444" spans="1:22" x14ac:dyDescent="0.25">
      <c r="A2444">
        <v>272</v>
      </c>
      <c r="B2444">
        <v>4</v>
      </c>
      <c r="C2444">
        <v>0</v>
      </c>
      <c r="D2444">
        <v>1</v>
      </c>
      <c r="E2444">
        <v>0</v>
      </c>
      <c r="F2444">
        <v>0</v>
      </c>
      <c r="G2444">
        <v>0</v>
      </c>
      <c r="H2444">
        <v>550</v>
      </c>
      <c r="I2444">
        <f t="shared" ref="I2444:I2507" si="361">IF(A2444&gt;A2443,I2443+9,I2443)</f>
        <v>2439</v>
      </c>
      <c r="J2444" s="6">
        <f t="array" aca="1" ref="J2444:N2444" ca="1">TRANSPOSE(ols(OFFSET($C$2:$C$10,I2444,0),OFFSET($D$2:$H$10,I2444,0)))</f>
        <v>59.851190476189458</v>
      </c>
      <c r="K2444" s="6">
        <f ca="1"/>
        <v>3.0357142857144481</v>
      </c>
      <c r="L2444" s="6">
        <f ca="1"/>
        <v>2.97619047619105</v>
      </c>
      <c r="M2444" s="6">
        <f ca="1"/>
        <v>1.0119047619047592</v>
      </c>
      <c r="N2444" s="6">
        <f ca="1"/>
        <v>-0.10059523809523752</v>
      </c>
      <c r="O2444" s="6">
        <f t="shared" ca="1" si="354"/>
        <v>4.5238095238088221</v>
      </c>
      <c r="P2444" t="str">
        <f t="shared" si="353"/>
        <v>NA</v>
      </c>
      <c r="Q2444" s="10">
        <f t="shared" ca="1" si="355"/>
        <v>28.630952380952138</v>
      </c>
      <c r="R2444" s="10">
        <f t="shared" ca="1" si="356"/>
        <v>59.851190476189458</v>
      </c>
      <c r="S2444" s="10">
        <f t="shared" ca="1" si="357"/>
        <v>-31.22023809523732</v>
      </c>
      <c r="T2444" s="10">
        <f t="shared" ca="1" si="358"/>
        <v>310.35502958579292</v>
      </c>
      <c r="U2444" s="10">
        <f t="shared" ca="1" si="359"/>
        <v>310.35502958579292</v>
      </c>
      <c r="V2444">
        <f t="shared" si="360"/>
        <v>1</v>
      </c>
    </row>
    <row r="2445" spans="1:22" x14ac:dyDescent="0.25">
      <c r="A2445">
        <v>272</v>
      </c>
      <c r="B2445">
        <v>5</v>
      </c>
      <c r="C2445">
        <v>37.5</v>
      </c>
      <c r="D2445">
        <v>1</v>
      </c>
      <c r="E2445">
        <v>0</v>
      </c>
      <c r="F2445">
        <v>1</v>
      </c>
      <c r="G2445">
        <v>1</v>
      </c>
      <c r="H2445">
        <v>250</v>
      </c>
      <c r="I2445">
        <f t="shared" si="361"/>
        <v>2439</v>
      </c>
      <c r="J2445" s="6">
        <f t="array" aca="1" ref="J2445:N2445" ca="1">TRANSPOSE(ols(OFFSET($C$2:$C$10,I2445,0),OFFSET($D$2:$H$10,I2445,0)))</f>
        <v>59.851190476189458</v>
      </c>
      <c r="K2445" s="6">
        <f ca="1"/>
        <v>3.0357142857144481</v>
      </c>
      <c r="L2445" s="6">
        <f ca="1"/>
        <v>2.97619047619105</v>
      </c>
      <c r="M2445" s="6">
        <f ca="1"/>
        <v>1.0119047619047592</v>
      </c>
      <c r="N2445" s="6">
        <f ca="1"/>
        <v>-0.10059523809523752</v>
      </c>
      <c r="O2445" s="6">
        <f t="shared" ca="1" si="354"/>
        <v>38.690476190475891</v>
      </c>
      <c r="P2445" t="str">
        <f t="shared" si="353"/>
        <v>NA</v>
      </c>
      <c r="Q2445" s="10">
        <f t="shared" ca="1" si="355"/>
        <v>28.630952380952138</v>
      </c>
      <c r="R2445" s="10">
        <f t="shared" ca="1" si="356"/>
        <v>63.839285714285268</v>
      </c>
      <c r="S2445" s="10">
        <f t="shared" ca="1" si="357"/>
        <v>-35.20833333333313</v>
      </c>
      <c r="T2445" s="10">
        <f t="shared" ca="1" si="358"/>
        <v>350</v>
      </c>
      <c r="U2445" s="10">
        <f t="shared" ca="1" si="359"/>
        <v>350</v>
      </c>
      <c r="V2445">
        <f t="shared" si="360"/>
        <v>6</v>
      </c>
    </row>
    <row r="2446" spans="1:22" x14ac:dyDescent="0.25">
      <c r="A2446">
        <v>272</v>
      </c>
      <c r="B2446">
        <v>6</v>
      </c>
      <c r="C2446">
        <v>35</v>
      </c>
      <c r="D2446">
        <v>1</v>
      </c>
      <c r="E2446">
        <v>0</v>
      </c>
      <c r="F2446">
        <v>1</v>
      </c>
      <c r="G2446">
        <v>1</v>
      </c>
      <c r="H2446">
        <v>350</v>
      </c>
      <c r="I2446">
        <f t="shared" si="361"/>
        <v>2439</v>
      </c>
      <c r="J2446" s="6">
        <f t="array" aca="1" ref="J2446:N2446" ca="1">TRANSPOSE(ols(OFFSET($C$2:$C$10,I2446,0),OFFSET($D$2:$H$10,I2446,0)))</f>
        <v>59.851190476189458</v>
      </c>
      <c r="K2446" s="6">
        <f ca="1"/>
        <v>3.0357142857144481</v>
      </c>
      <c r="L2446" s="6">
        <f ca="1"/>
        <v>2.97619047619105</v>
      </c>
      <c r="M2446" s="6">
        <f ca="1"/>
        <v>1.0119047619047592</v>
      </c>
      <c r="N2446" s="6">
        <f ca="1"/>
        <v>-0.10059523809523752</v>
      </c>
      <c r="O2446" s="6">
        <f t="shared" ca="1" si="354"/>
        <v>28.630952380952138</v>
      </c>
      <c r="P2446">
        <f t="shared" ca="1" si="353"/>
        <v>28.630952380952138</v>
      </c>
      <c r="Q2446" s="10">
        <f t="shared" ca="1" si="355"/>
        <v>28.630952380952138</v>
      </c>
      <c r="R2446" s="10">
        <f t="shared" ca="1" si="356"/>
        <v>63.839285714285268</v>
      </c>
      <c r="S2446" s="10">
        <f t="shared" ca="1" si="357"/>
        <v>-35.20833333333313</v>
      </c>
      <c r="T2446" s="10">
        <f t="shared" ca="1" si="358"/>
        <v>350</v>
      </c>
      <c r="U2446" s="10">
        <f t="shared" ca="1" si="359"/>
        <v>350</v>
      </c>
      <c r="V2446">
        <f t="shared" si="360"/>
        <v>6</v>
      </c>
    </row>
    <row r="2447" spans="1:22" x14ac:dyDescent="0.25">
      <c r="A2447">
        <v>272</v>
      </c>
      <c r="B2447">
        <v>7</v>
      </c>
      <c r="C2447">
        <v>17.5</v>
      </c>
      <c r="D2447">
        <v>1</v>
      </c>
      <c r="E2447">
        <v>1</v>
      </c>
      <c r="F2447">
        <v>0</v>
      </c>
      <c r="G2447">
        <v>1</v>
      </c>
      <c r="H2447">
        <v>450</v>
      </c>
      <c r="I2447">
        <f t="shared" si="361"/>
        <v>2439</v>
      </c>
      <c r="J2447" s="6">
        <f t="array" aca="1" ref="J2447:N2447" ca="1">TRANSPOSE(ols(OFFSET($C$2:$C$10,I2447,0),OFFSET($D$2:$H$10,I2447,0)))</f>
        <v>59.851190476189458</v>
      </c>
      <c r="K2447" s="6">
        <f ca="1"/>
        <v>3.0357142857144481</v>
      </c>
      <c r="L2447" s="6">
        <f ca="1"/>
        <v>2.97619047619105</v>
      </c>
      <c r="M2447" s="6">
        <f ca="1"/>
        <v>1.0119047619047592</v>
      </c>
      <c r="N2447" s="6">
        <f ca="1"/>
        <v>-0.10059523809523752</v>
      </c>
      <c r="O2447" s="6">
        <f t="shared" ca="1" si="354"/>
        <v>18.630952380951783</v>
      </c>
      <c r="P2447" t="str">
        <f t="shared" si="353"/>
        <v>NA</v>
      </c>
      <c r="Q2447" s="10">
        <f t="shared" ca="1" si="355"/>
        <v>28.630952380952138</v>
      </c>
      <c r="R2447" s="10">
        <f t="shared" ca="1" si="356"/>
        <v>63.898809523808666</v>
      </c>
      <c r="S2447" s="10">
        <f t="shared" ca="1" si="357"/>
        <v>-35.267857142856528</v>
      </c>
      <c r="T2447" s="10">
        <f t="shared" ca="1" si="358"/>
        <v>350.59171597632729</v>
      </c>
      <c r="U2447" s="10">
        <f t="shared" ca="1" si="359"/>
        <v>350.59171597632729</v>
      </c>
      <c r="V2447">
        <f t="shared" si="360"/>
        <v>5</v>
      </c>
    </row>
    <row r="2448" spans="1:22" x14ac:dyDescent="0.25">
      <c r="A2448">
        <v>272</v>
      </c>
      <c r="B2448">
        <v>8</v>
      </c>
      <c r="C2448">
        <v>0</v>
      </c>
      <c r="D2448">
        <v>1</v>
      </c>
      <c r="E2448">
        <v>1</v>
      </c>
      <c r="F2448">
        <v>0</v>
      </c>
      <c r="G2448">
        <v>1</v>
      </c>
      <c r="H2448">
        <v>550</v>
      </c>
      <c r="I2448">
        <f t="shared" si="361"/>
        <v>2439</v>
      </c>
      <c r="J2448" s="6">
        <f t="array" aca="1" ref="J2448:N2448" ca="1">TRANSPOSE(ols(OFFSET($C$2:$C$10,I2448,0),OFFSET($D$2:$H$10,I2448,0)))</f>
        <v>59.851190476189458</v>
      </c>
      <c r="K2448" s="6">
        <f ca="1"/>
        <v>3.0357142857144481</v>
      </c>
      <c r="L2448" s="6">
        <f ca="1"/>
        <v>2.97619047619105</v>
      </c>
      <c r="M2448" s="6">
        <f ca="1"/>
        <v>1.0119047619047592</v>
      </c>
      <c r="N2448" s="6">
        <f ca="1"/>
        <v>-0.10059523809523752</v>
      </c>
      <c r="O2448" s="6">
        <f t="shared" ca="1" si="354"/>
        <v>8.5714285714280294</v>
      </c>
      <c r="P2448" t="str">
        <f t="shared" si="353"/>
        <v>NA</v>
      </c>
      <c r="Q2448" s="10">
        <f t="shared" ca="1" si="355"/>
        <v>28.630952380952138</v>
      </c>
      <c r="R2448" s="10">
        <f t="shared" ca="1" si="356"/>
        <v>63.898809523808666</v>
      </c>
      <c r="S2448" s="10">
        <f t="shared" ca="1" si="357"/>
        <v>-35.267857142856528</v>
      </c>
      <c r="T2448" s="10">
        <f t="shared" ca="1" si="358"/>
        <v>350.59171597632729</v>
      </c>
      <c r="U2448" s="10">
        <f t="shared" ca="1" si="359"/>
        <v>350.59171597632729</v>
      </c>
      <c r="V2448">
        <f t="shared" si="360"/>
        <v>5</v>
      </c>
    </row>
    <row r="2449" spans="1:22" x14ac:dyDescent="0.25">
      <c r="A2449">
        <v>272</v>
      </c>
      <c r="B2449">
        <v>9</v>
      </c>
      <c r="C2449">
        <v>0</v>
      </c>
      <c r="D2449">
        <v>1</v>
      </c>
      <c r="E2449">
        <v>0</v>
      </c>
      <c r="F2449">
        <v>0</v>
      </c>
      <c r="G2449">
        <v>1</v>
      </c>
      <c r="H2449">
        <v>650</v>
      </c>
      <c r="I2449">
        <f t="shared" si="361"/>
        <v>2439</v>
      </c>
      <c r="J2449" s="6">
        <f t="array" aca="1" ref="J2449:N2449" ca="1">TRANSPOSE(ols(OFFSET($C$2:$C$10,I2449,0),OFFSET($D$2:$H$10,I2449,0)))</f>
        <v>59.851190476189458</v>
      </c>
      <c r="K2449" s="6">
        <f ca="1"/>
        <v>3.0357142857144481</v>
      </c>
      <c r="L2449" s="6">
        <f ca="1"/>
        <v>2.97619047619105</v>
      </c>
      <c r="M2449" s="6">
        <f ca="1"/>
        <v>1.0119047619047592</v>
      </c>
      <c r="N2449" s="6">
        <f ca="1"/>
        <v>-0.10059523809523752</v>
      </c>
      <c r="O2449" s="6">
        <f t="shared" ca="1" si="354"/>
        <v>-4.5238095238101721</v>
      </c>
      <c r="P2449" t="str">
        <f t="shared" si="353"/>
        <v>NA</v>
      </c>
      <c r="Q2449" s="10">
        <f t="shared" ca="1" si="355"/>
        <v>28.630952380952138</v>
      </c>
      <c r="R2449" s="10">
        <f t="shared" ca="1" si="356"/>
        <v>60.863095238094218</v>
      </c>
      <c r="S2449" s="10">
        <f t="shared" ca="1" si="357"/>
        <v>-32.23214285714208</v>
      </c>
      <c r="T2449" s="10">
        <f t="shared" ca="1" si="358"/>
        <v>320.41420118342609</v>
      </c>
      <c r="U2449" s="10">
        <f t="shared" ca="1" si="359"/>
        <v>320.41420118342609</v>
      </c>
      <c r="V2449">
        <f t="shared" si="360"/>
        <v>4</v>
      </c>
    </row>
    <row r="2450" spans="1:22" x14ac:dyDescent="0.25">
      <c r="A2450">
        <v>273</v>
      </c>
      <c r="B2450">
        <v>1</v>
      </c>
      <c r="C2450">
        <v>45</v>
      </c>
      <c r="D2450">
        <v>1</v>
      </c>
      <c r="E2450">
        <v>0</v>
      </c>
      <c r="F2450">
        <v>1</v>
      </c>
      <c r="G2450">
        <v>0</v>
      </c>
      <c r="H2450">
        <v>250</v>
      </c>
      <c r="I2450">
        <f t="shared" si="361"/>
        <v>2448</v>
      </c>
      <c r="J2450" s="6">
        <f t="array" aca="1" ref="J2450:N2450" ca="1">TRANSPOSE(ols(OFFSET($C$2:$C$10,I2450,0),OFFSET($D$2:$H$10,I2450,0)))</f>
        <v>59.79166666666606</v>
      </c>
      <c r="K2450" s="6">
        <f ca="1"/>
        <v>-1.1368683772161603E-13</v>
      </c>
      <c r="L2450" s="6">
        <f ca="1"/>
        <v>9.1666666666669698</v>
      </c>
      <c r="M2450" s="6">
        <f ca="1"/>
        <v>-17.083333333333144</v>
      </c>
      <c r="N2450" s="6">
        <f ca="1"/>
        <v>-7.0833333333333748E-2</v>
      </c>
      <c r="O2450" s="6">
        <f t="shared" ca="1" si="354"/>
        <v>51.249999999999595</v>
      </c>
      <c r="P2450" t="str">
        <f t="shared" si="353"/>
        <v>NA</v>
      </c>
      <c r="Q2450" s="10">
        <f t="shared" ca="1" si="355"/>
        <v>27.083333333333073</v>
      </c>
      <c r="R2450" s="10">
        <f t="shared" ca="1" si="356"/>
        <v>68.95833333333303</v>
      </c>
      <c r="S2450" s="10">
        <f t="shared" ca="1" si="357"/>
        <v>-41.874999999999957</v>
      </c>
      <c r="T2450" s="10">
        <f t="shared" ca="1" si="358"/>
        <v>591.17647058823127</v>
      </c>
      <c r="U2450" s="10">
        <f t="shared" ca="1" si="359"/>
        <v>591.17647058823127</v>
      </c>
      <c r="V2450">
        <f t="shared" si="360"/>
        <v>3</v>
      </c>
    </row>
    <row r="2451" spans="1:22" x14ac:dyDescent="0.25">
      <c r="A2451">
        <v>273</v>
      </c>
      <c r="B2451">
        <v>2</v>
      </c>
      <c r="C2451">
        <v>40</v>
      </c>
      <c r="D2451">
        <v>1</v>
      </c>
      <c r="E2451">
        <v>1</v>
      </c>
      <c r="F2451">
        <v>0</v>
      </c>
      <c r="G2451">
        <v>0</v>
      </c>
      <c r="H2451">
        <v>350</v>
      </c>
      <c r="I2451">
        <f t="shared" si="361"/>
        <v>2448</v>
      </c>
      <c r="J2451" s="6">
        <f t="array" aca="1" ref="J2451:N2451" ca="1">TRANSPOSE(ols(OFFSET($C$2:$C$10,I2451,0),OFFSET($D$2:$H$10,I2451,0)))</f>
        <v>59.79166666666606</v>
      </c>
      <c r="K2451" s="6">
        <f ca="1"/>
        <v>-1.1368683772161603E-13</v>
      </c>
      <c r="L2451" s="6">
        <f ca="1"/>
        <v>9.1666666666669698</v>
      </c>
      <c r="M2451" s="6">
        <f ca="1"/>
        <v>-17.083333333333144</v>
      </c>
      <c r="N2451" s="6">
        <f ca="1"/>
        <v>-7.0833333333333748E-2</v>
      </c>
      <c r="O2451" s="6">
        <f t="shared" ca="1" si="354"/>
        <v>34.999999999999133</v>
      </c>
      <c r="P2451" t="str">
        <f t="shared" si="353"/>
        <v>NA</v>
      </c>
      <c r="Q2451" s="10">
        <f t="shared" ca="1" si="355"/>
        <v>27.083333333333073</v>
      </c>
      <c r="R2451" s="10">
        <f t="shared" ca="1" si="356"/>
        <v>59.791666666665947</v>
      </c>
      <c r="S2451" s="10">
        <f t="shared" ca="1" si="357"/>
        <v>-32.708333333332874</v>
      </c>
      <c r="T2451" s="10">
        <f t="shared" ca="1" si="358"/>
        <v>461.76470588234378</v>
      </c>
      <c r="U2451" s="10">
        <f t="shared" ca="1" si="359"/>
        <v>461.76470588234378</v>
      </c>
      <c r="V2451">
        <f t="shared" si="360"/>
        <v>2</v>
      </c>
    </row>
    <row r="2452" spans="1:22" x14ac:dyDescent="0.25">
      <c r="A2452">
        <v>273</v>
      </c>
      <c r="B2452">
        <v>3</v>
      </c>
      <c r="C2452">
        <v>32.5</v>
      </c>
      <c r="D2452">
        <v>1</v>
      </c>
      <c r="E2452">
        <v>1</v>
      </c>
      <c r="F2452">
        <v>0</v>
      </c>
      <c r="G2452">
        <v>0</v>
      </c>
      <c r="H2452">
        <v>450</v>
      </c>
      <c r="I2452">
        <f t="shared" si="361"/>
        <v>2448</v>
      </c>
      <c r="J2452" s="6">
        <f t="array" aca="1" ref="J2452:N2452" ca="1">TRANSPOSE(ols(OFFSET($C$2:$C$10,I2452,0),OFFSET($D$2:$H$10,I2452,0)))</f>
        <v>59.79166666666606</v>
      </c>
      <c r="K2452" s="6">
        <f ca="1"/>
        <v>-1.1368683772161603E-13</v>
      </c>
      <c r="L2452" s="6">
        <f ca="1"/>
        <v>9.1666666666669698</v>
      </c>
      <c r="M2452" s="6">
        <f ca="1"/>
        <v>-17.083333333333144</v>
      </c>
      <c r="N2452" s="6">
        <f ca="1"/>
        <v>-7.0833333333333748E-2</v>
      </c>
      <c r="O2452" s="6">
        <f t="shared" ca="1" si="354"/>
        <v>27.916666666665762</v>
      </c>
      <c r="P2452" t="str">
        <f t="shared" si="353"/>
        <v>NA</v>
      </c>
      <c r="Q2452" s="10">
        <f t="shared" ca="1" si="355"/>
        <v>27.083333333333073</v>
      </c>
      <c r="R2452" s="10">
        <f t="shared" ca="1" si="356"/>
        <v>59.791666666665947</v>
      </c>
      <c r="S2452" s="10">
        <f t="shared" ca="1" si="357"/>
        <v>-32.708333333332874</v>
      </c>
      <c r="T2452" s="10">
        <f t="shared" ca="1" si="358"/>
        <v>461.76470588234378</v>
      </c>
      <c r="U2452" s="10">
        <f t="shared" ca="1" si="359"/>
        <v>461.76470588234378</v>
      </c>
      <c r="V2452">
        <f t="shared" si="360"/>
        <v>2</v>
      </c>
    </row>
    <row r="2453" spans="1:22" x14ac:dyDescent="0.25">
      <c r="A2453">
        <v>273</v>
      </c>
      <c r="B2453">
        <v>4</v>
      </c>
      <c r="C2453">
        <v>17.5</v>
      </c>
      <c r="D2453">
        <v>1</v>
      </c>
      <c r="E2453">
        <v>0</v>
      </c>
      <c r="F2453">
        <v>0</v>
      </c>
      <c r="G2453">
        <v>0</v>
      </c>
      <c r="H2453">
        <v>550</v>
      </c>
      <c r="I2453">
        <f t="shared" si="361"/>
        <v>2448</v>
      </c>
      <c r="J2453" s="6">
        <f t="array" aca="1" ref="J2453:N2453" ca="1">TRANSPOSE(ols(OFFSET($C$2:$C$10,I2453,0),OFFSET($D$2:$H$10,I2453,0)))</f>
        <v>59.79166666666606</v>
      </c>
      <c r="K2453" s="6">
        <f ca="1"/>
        <v>-1.1368683772161603E-13</v>
      </c>
      <c r="L2453" s="6">
        <f ca="1"/>
        <v>9.1666666666669698</v>
      </c>
      <c r="M2453" s="6">
        <f ca="1"/>
        <v>-17.083333333333144</v>
      </c>
      <c r="N2453" s="6">
        <f ca="1"/>
        <v>-7.0833333333333748E-2</v>
      </c>
      <c r="O2453" s="6">
        <f t="shared" ca="1" si="354"/>
        <v>20.833333333332497</v>
      </c>
      <c r="P2453" t="str">
        <f t="shared" si="353"/>
        <v>NA</v>
      </c>
      <c r="Q2453" s="10">
        <f t="shared" ca="1" si="355"/>
        <v>27.083333333333073</v>
      </c>
      <c r="R2453" s="10">
        <f t="shared" ca="1" si="356"/>
        <v>59.79166666666606</v>
      </c>
      <c r="S2453" s="10">
        <f t="shared" ca="1" si="357"/>
        <v>-32.708333333332988</v>
      </c>
      <c r="T2453" s="10">
        <f t="shared" ca="1" si="358"/>
        <v>461.76470588234537</v>
      </c>
      <c r="U2453" s="10">
        <f t="shared" ca="1" si="359"/>
        <v>461.76470588234537</v>
      </c>
      <c r="V2453">
        <f t="shared" si="360"/>
        <v>1</v>
      </c>
    </row>
    <row r="2454" spans="1:22" x14ac:dyDescent="0.25">
      <c r="A2454">
        <v>273</v>
      </c>
      <c r="B2454">
        <v>5</v>
      </c>
      <c r="C2454">
        <v>35</v>
      </c>
      <c r="D2454">
        <v>1</v>
      </c>
      <c r="E2454">
        <v>0</v>
      </c>
      <c r="F2454">
        <v>1</v>
      </c>
      <c r="G2454">
        <v>1</v>
      </c>
      <c r="H2454">
        <v>250</v>
      </c>
      <c r="I2454">
        <f t="shared" si="361"/>
        <v>2448</v>
      </c>
      <c r="J2454" s="6">
        <f t="array" aca="1" ref="J2454:N2454" ca="1">TRANSPOSE(ols(OFFSET($C$2:$C$10,I2454,0),OFFSET($D$2:$H$10,I2454,0)))</f>
        <v>59.79166666666606</v>
      </c>
      <c r="K2454" s="6">
        <f ca="1"/>
        <v>-1.1368683772161603E-13</v>
      </c>
      <c r="L2454" s="6">
        <f ca="1"/>
        <v>9.1666666666669698</v>
      </c>
      <c r="M2454" s="6">
        <f ca="1"/>
        <v>-17.083333333333144</v>
      </c>
      <c r="N2454" s="6">
        <f ca="1"/>
        <v>-7.0833333333333748E-2</v>
      </c>
      <c r="O2454" s="6">
        <f t="shared" ca="1" si="354"/>
        <v>34.166666666666451</v>
      </c>
      <c r="P2454" t="str">
        <f t="shared" si="353"/>
        <v>NA</v>
      </c>
      <c r="Q2454" s="10">
        <f t="shared" ca="1" si="355"/>
        <v>27.083333333333073</v>
      </c>
      <c r="R2454" s="10">
        <f t="shared" ca="1" si="356"/>
        <v>51.874999999999886</v>
      </c>
      <c r="S2454" s="10">
        <f t="shared" ca="1" si="357"/>
        <v>-24.791666666666814</v>
      </c>
      <c r="T2454" s="10">
        <f t="shared" ca="1" si="358"/>
        <v>350</v>
      </c>
      <c r="U2454" s="10">
        <f t="shared" ca="1" si="359"/>
        <v>350</v>
      </c>
      <c r="V2454">
        <f t="shared" si="360"/>
        <v>6</v>
      </c>
    </row>
    <row r="2455" spans="1:22" x14ac:dyDescent="0.25">
      <c r="A2455">
        <v>273</v>
      </c>
      <c r="B2455">
        <v>6</v>
      </c>
      <c r="C2455">
        <v>32.5</v>
      </c>
      <c r="D2455">
        <v>1</v>
      </c>
      <c r="E2455">
        <v>0</v>
      </c>
      <c r="F2455">
        <v>1</v>
      </c>
      <c r="G2455">
        <v>1</v>
      </c>
      <c r="H2455">
        <v>350</v>
      </c>
      <c r="I2455">
        <f t="shared" si="361"/>
        <v>2448</v>
      </c>
      <c r="J2455" s="6">
        <f t="array" aca="1" ref="J2455:N2455" ca="1">TRANSPOSE(ols(OFFSET($C$2:$C$10,I2455,0),OFFSET($D$2:$H$10,I2455,0)))</f>
        <v>59.79166666666606</v>
      </c>
      <c r="K2455" s="6">
        <f ca="1"/>
        <v>-1.1368683772161603E-13</v>
      </c>
      <c r="L2455" s="6">
        <f ca="1"/>
        <v>9.1666666666669698</v>
      </c>
      <c r="M2455" s="6">
        <f ca="1"/>
        <v>-17.083333333333144</v>
      </c>
      <c r="N2455" s="6">
        <f ca="1"/>
        <v>-7.0833333333333748E-2</v>
      </c>
      <c r="O2455" s="6">
        <f t="shared" ca="1" si="354"/>
        <v>27.083333333333073</v>
      </c>
      <c r="P2455">
        <f t="shared" ca="1" si="353"/>
        <v>27.083333333333073</v>
      </c>
      <c r="Q2455" s="10">
        <f t="shared" ca="1" si="355"/>
        <v>27.083333333333073</v>
      </c>
      <c r="R2455" s="10">
        <f t="shared" ca="1" si="356"/>
        <v>51.874999999999886</v>
      </c>
      <c r="S2455" s="10">
        <f t="shared" ca="1" si="357"/>
        <v>-24.791666666666814</v>
      </c>
      <c r="T2455" s="10">
        <f t="shared" ca="1" si="358"/>
        <v>350</v>
      </c>
      <c r="U2455" s="10">
        <f t="shared" ca="1" si="359"/>
        <v>350</v>
      </c>
      <c r="V2455">
        <f t="shared" si="360"/>
        <v>6</v>
      </c>
    </row>
    <row r="2456" spans="1:22" x14ac:dyDescent="0.25">
      <c r="A2456">
        <v>273</v>
      </c>
      <c r="B2456">
        <v>7</v>
      </c>
      <c r="C2456">
        <v>5</v>
      </c>
      <c r="D2456">
        <v>1</v>
      </c>
      <c r="E2456">
        <v>1</v>
      </c>
      <c r="F2456">
        <v>0</v>
      </c>
      <c r="G2456">
        <v>1</v>
      </c>
      <c r="H2456">
        <v>450</v>
      </c>
      <c r="I2456">
        <f t="shared" si="361"/>
        <v>2448</v>
      </c>
      <c r="J2456" s="6">
        <f t="array" aca="1" ref="J2456:N2456" ca="1">TRANSPOSE(ols(OFFSET($C$2:$C$10,I2456,0),OFFSET($D$2:$H$10,I2456,0)))</f>
        <v>59.79166666666606</v>
      </c>
      <c r="K2456" s="6">
        <f ca="1"/>
        <v>-1.1368683772161603E-13</v>
      </c>
      <c r="L2456" s="6">
        <f ca="1"/>
        <v>9.1666666666669698</v>
      </c>
      <c r="M2456" s="6">
        <f ca="1"/>
        <v>-17.083333333333144</v>
      </c>
      <c r="N2456" s="6">
        <f ca="1"/>
        <v>-7.0833333333333748E-2</v>
      </c>
      <c r="O2456" s="6">
        <f t="shared" ca="1" si="354"/>
        <v>10.833333333332618</v>
      </c>
      <c r="P2456" t="str">
        <f t="shared" si="353"/>
        <v>NA</v>
      </c>
      <c r="Q2456" s="10">
        <f t="shared" ca="1" si="355"/>
        <v>27.083333333333073</v>
      </c>
      <c r="R2456" s="10">
        <f t="shared" ca="1" si="356"/>
        <v>42.708333333332803</v>
      </c>
      <c r="S2456" s="10">
        <f t="shared" ca="1" si="357"/>
        <v>-15.62499999999973</v>
      </c>
      <c r="T2456" s="10">
        <f t="shared" ca="1" si="358"/>
        <v>220.58823529411254</v>
      </c>
      <c r="U2456" s="10" t="str">
        <f t="shared" ca="1" si="359"/>
        <v>OR</v>
      </c>
      <c r="V2456">
        <f t="shared" si="360"/>
        <v>5</v>
      </c>
    </row>
    <row r="2457" spans="1:22" x14ac:dyDescent="0.25">
      <c r="A2457">
        <v>273</v>
      </c>
      <c r="B2457">
        <v>8</v>
      </c>
      <c r="C2457">
        <v>0</v>
      </c>
      <c r="D2457">
        <v>1</v>
      </c>
      <c r="E2457">
        <v>1</v>
      </c>
      <c r="F2457">
        <v>0</v>
      </c>
      <c r="G2457">
        <v>1</v>
      </c>
      <c r="H2457">
        <v>550</v>
      </c>
      <c r="I2457">
        <f t="shared" si="361"/>
        <v>2448</v>
      </c>
      <c r="J2457" s="6">
        <f t="array" aca="1" ref="J2457:N2457" ca="1">TRANSPOSE(ols(OFFSET($C$2:$C$10,I2457,0),OFFSET($D$2:$H$10,I2457,0)))</f>
        <v>59.79166666666606</v>
      </c>
      <c r="K2457" s="6">
        <f ca="1"/>
        <v>-1.1368683772161603E-13</v>
      </c>
      <c r="L2457" s="6">
        <f ca="1"/>
        <v>9.1666666666669698</v>
      </c>
      <c r="M2457" s="6">
        <f ca="1"/>
        <v>-17.083333333333144</v>
      </c>
      <c r="N2457" s="6">
        <f ca="1"/>
        <v>-7.0833333333333748E-2</v>
      </c>
      <c r="O2457" s="6">
        <f t="shared" ca="1" si="354"/>
        <v>3.7499999999992397</v>
      </c>
      <c r="P2457" t="str">
        <f t="shared" si="353"/>
        <v>NA</v>
      </c>
      <c r="Q2457" s="10">
        <f t="shared" ca="1" si="355"/>
        <v>27.083333333333073</v>
      </c>
      <c r="R2457" s="10">
        <f t="shared" ca="1" si="356"/>
        <v>42.708333333332803</v>
      </c>
      <c r="S2457" s="10">
        <f t="shared" ca="1" si="357"/>
        <v>-15.62499999999973</v>
      </c>
      <c r="T2457" s="10">
        <f t="shared" ca="1" si="358"/>
        <v>220.58823529411254</v>
      </c>
      <c r="U2457" s="10" t="str">
        <f t="shared" ca="1" si="359"/>
        <v>OR</v>
      </c>
      <c r="V2457">
        <f t="shared" si="360"/>
        <v>5</v>
      </c>
    </row>
    <row r="2458" spans="1:22" x14ac:dyDescent="0.25">
      <c r="A2458">
        <v>273</v>
      </c>
      <c r="B2458">
        <v>9</v>
      </c>
      <c r="C2458">
        <v>0</v>
      </c>
      <c r="D2458">
        <v>1</v>
      </c>
      <c r="E2458">
        <v>0</v>
      </c>
      <c r="F2458">
        <v>0</v>
      </c>
      <c r="G2458">
        <v>1</v>
      </c>
      <c r="H2458">
        <v>650</v>
      </c>
      <c r="I2458">
        <f t="shared" si="361"/>
        <v>2448</v>
      </c>
      <c r="J2458" s="6">
        <f t="array" aca="1" ref="J2458:N2458" ca="1">TRANSPOSE(ols(OFFSET($C$2:$C$10,I2458,0),OFFSET($D$2:$H$10,I2458,0)))</f>
        <v>59.79166666666606</v>
      </c>
      <c r="K2458" s="6">
        <f ca="1"/>
        <v>-1.1368683772161603E-13</v>
      </c>
      <c r="L2458" s="6">
        <f ca="1"/>
        <v>9.1666666666669698</v>
      </c>
      <c r="M2458" s="6">
        <f ca="1"/>
        <v>-17.083333333333144</v>
      </c>
      <c r="N2458" s="6">
        <f ca="1"/>
        <v>-7.0833333333333748E-2</v>
      </c>
      <c r="O2458" s="6">
        <f t="shared" ca="1" si="354"/>
        <v>-3.3333333333340178</v>
      </c>
      <c r="P2458" t="str">
        <f t="shared" si="353"/>
        <v>NA</v>
      </c>
      <c r="Q2458" s="10">
        <f t="shared" ca="1" si="355"/>
        <v>27.083333333333073</v>
      </c>
      <c r="R2458" s="10">
        <f t="shared" ca="1" si="356"/>
        <v>42.708333333332916</v>
      </c>
      <c r="S2458" s="10">
        <f t="shared" ca="1" si="357"/>
        <v>-15.624999999999844</v>
      </c>
      <c r="T2458" s="10">
        <f t="shared" ca="1" si="358"/>
        <v>220.58823529411416</v>
      </c>
      <c r="U2458" s="10" t="str">
        <f t="shared" ca="1" si="359"/>
        <v>OR</v>
      </c>
      <c r="V2458">
        <f t="shared" si="360"/>
        <v>4</v>
      </c>
    </row>
    <row r="2459" spans="1:22" x14ac:dyDescent="0.25">
      <c r="A2459">
        <v>274</v>
      </c>
      <c r="B2459">
        <v>1</v>
      </c>
      <c r="C2459">
        <v>11.5</v>
      </c>
      <c r="D2459">
        <v>1</v>
      </c>
      <c r="E2459">
        <v>0</v>
      </c>
      <c r="F2459">
        <v>1</v>
      </c>
      <c r="G2459">
        <v>0</v>
      </c>
      <c r="H2459">
        <v>250</v>
      </c>
      <c r="I2459">
        <f t="shared" si="361"/>
        <v>2457</v>
      </c>
      <c r="J2459" s="6">
        <f t="array" aca="1" ref="J2459:N2459" ca="1">TRANSPOSE(ols(OFFSET($C$2:$C$10,I2459,0),OFFSET($D$2:$H$10,I2459,0)))</f>
        <v>25.523809523809234</v>
      </c>
      <c r="K2459" s="6">
        <f ca="1"/>
        <v>-2.535714285714235</v>
      </c>
      <c r="L2459" s="6">
        <f ca="1"/>
        <v>-3.4761904761903679</v>
      </c>
      <c r="M2459" s="6">
        <f ca="1"/>
        <v>-0.76190476190477341</v>
      </c>
      <c r="N2459" s="6">
        <f ca="1"/>
        <v>-4.1904761904761445E-2</v>
      </c>
      <c r="O2459" s="6">
        <f t="shared" ca="1" si="354"/>
        <v>11.571428571428505</v>
      </c>
      <c r="P2459" t="str">
        <f t="shared" si="353"/>
        <v>NA</v>
      </c>
      <c r="Q2459" s="10">
        <f t="shared" ca="1" si="355"/>
        <v>6.6190476190475867</v>
      </c>
      <c r="R2459" s="10">
        <f t="shared" ca="1" si="356"/>
        <v>22.047619047618866</v>
      </c>
      <c r="S2459" s="10">
        <f t="shared" ca="1" si="357"/>
        <v>-15.42857142857128</v>
      </c>
      <c r="T2459" s="10">
        <f t="shared" ca="1" si="358"/>
        <v>368.18181818181864</v>
      </c>
      <c r="U2459" s="10">
        <f t="shared" ca="1" si="359"/>
        <v>368.18181818181864</v>
      </c>
      <c r="V2459">
        <f t="shared" si="360"/>
        <v>3</v>
      </c>
    </row>
    <row r="2460" spans="1:22" x14ac:dyDescent="0.25">
      <c r="A2460">
        <v>274</v>
      </c>
      <c r="B2460">
        <v>2</v>
      </c>
      <c r="C2460">
        <v>10</v>
      </c>
      <c r="D2460">
        <v>1</v>
      </c>
      <c r="E2460">
        <v>1</v>
      </c>
      <c r="F2460">
        <v>0</v>
      </c>
      <c r="G2460">
        <v>0</v>
      </c>
      <c r="H2460">
        <v>350</v>
      </c>
      <c r="I2460">
        <f t="shared" si="361"/>
        <v>2457</v>
      </c>
      <c r="J2460" s="6">
        <f t="array" aca="1" ref="J2460:N2460" ca="1">TRANSPOSE(ols(OFFSET($C$2:$C$10,I2460,0),OFFSET($D$2:$H$10,I2460,0)))</f>
        <v>25.523809523809234</v>
      </c>
      <c r="K2460" s="6">
        <f ca="1"/>
        <v>-2.535714285714235</v>
      </c>
      <c r="L2460" s="6">
        <f ca="1"/>
        <v>-3.4761904761903679</v>
      </c>
      <c r="M2460" s="6">
        <f ca="1"/>
        <v>-0.76190476190477341</v>
      </c>
      <c r="N2460" s="6">
        <f ca="1"/>
        <v>-4.1904761904761445E-2</v>
      </c>
      <c r="O2460" s="6">
        <f t="shared" ca="1" si="354"/>
        <v>8.321428571428493</v>
      </c>
      <c r="P2460" t="str">
        <f t="shared" si="353"/>
        <v>NA</v>
      </c>
      <c r="Q2460" s="10">
        <f t="shared" ca="1" si="355"/>
        <v>6.6190476190475867</v>
      </c>
      <c r="R2460" s="10">
        <f t="shared" ca="1" si="356"/>
        <v>22.988095238094999</v>
      </c>
      <c r="S2460" s="10">
        <f t="shared" ca="1" si="357"/>
        <v>-16.369047619047414</v>
      </c>
      <c r="T2460" s="10">
        <f t="shared" ca="1" si="358"/>
        <v>390.62499999999937</v>
      </c>
      <c r="U2460" s="10">
        <f t="shared" ca="1" si="359"/>
        <v>390.62499999999937</v>
      </c>
      <c r="V2460">
        <f t="shared" si="360"/>
        <v>2</v>
      </c>
    </row>
    <row r="2461" spans="1:22" x14ac:dyDescent="0.25">
      <c r="A2461">
        <v>274</v>
      </c>
      <c r="B2461">
        <v>3</v>
      </c>
      <c r="C2461">
        <v>5</v>
      </c>
      <c r="D2461">
        <v>1</v>
      </c>
      <c r="E2461">
        <v>1</v>
      </c>
      <c r="F2461">
        <v>0</v>
      </c>
      <c r="G2461">
        <v>0</v>
      </c>
      <c r="H2461">
        <v>450</v>
      </c>
      <c r="I2461">
        <f t="shared" si="361"/>
        <v>2457</v>
      </c>
      <c r="J2461" s="6">
        <f t="array" aca="1" ref="J2461:N2461" ca="1">TRANSPOSE(ols(OFFSET($C$2:$C$10,I2461,0),OFFSET($D$2:$H$10,I2461,0)))</f>
        <v>25.523809523809234</v>
      </c>
      <c r="K2461" s="6">
        <f ca="1"/>
        <v>-2.535714285714235</v>
      </c>
      <c r="L2461" s="6">
        <f ca="1"/>
        <v>-3.4761904761903679</v>
      </c>
      <c r="M2461" s="6">
        <f ca="1"/>
        <v>-0.76190476190477341</v>
      </c>
      <c r="N2461" s="6">
        <f ca="1"/>
        <v>-4.1904761904761445E-2</v>
      </c>
      <c r="O2461" s="6">
        <f t="shared" ca="1" si="354"/>
        <v>4.1309523809523476</v>
      </c>
      <c r="P2461" t="str">
        <f t="shared" si="353"/>
        <v>NA</v>
      </c>
      <c r="Q2461" s="10">
        <f t="shared" ca="1" si="355"/>
        <v>6.6190476190475867</v>
      </c>
      <c r="R2461" s="10">
        <f t="shared" ca="1" si="356"/>
        <v>22.988095238094999</v>
      </c>
      <c r="S2461" s="10">
        <f t="shared" ca="1" si="357"/>
        <v>-16.369047619047414</v>
      </c>
      <c r="T2461" s="10">
        <f t="shared" ca="1" si="358"/>
        <v>390.62499999999937</v>
      </c>
      <c r="U2461" s="10">
        <f t="shared" ca="1" si="359"/>
        <v>390.62499999999937</v>
      </c>
      <c r="V2461">
        <f t="shared" si="360"/>
        <v>2</v>
      </c>
    </row>
    <row r="2462" spans="1:22" x14ac:dyDescent="0.25">
      <c r="A2462">
        <v>274</v>
      </c>
      <c r="B2462">
        <v>4</v>
      </c>
      <c r="C2462">
        <v>0</v>
      </c>
      <c r="D2462">
        <v>1</v>
      </c>
      <c r="E2462">
        <v>0</v>
      </c>
      <c r="F2462">
        <v>0</v>
      </c>
      <c r="G2462">
        <v>0</v>
      </c>
      <c r="H2462">
        <v>550</v>
      </c>
      <c r="I2462">
        <f t="shared" si="361"/>
        <v>2457</v>
      </c>
      <c r="J2462" s="6">
        <f t="array" aca="1" ref="J2462:N2462" ca="1">TRANSPOSE(ols(OFFSET($C$2:$C$10,I2462,0),OFFSET($D$2:$H$10,I2462,0)))</f>
        <v>25.523809523809234</v>
      </c>
      <c r="K2462" s="6">
        <f ca="1"/>
        <v>-2.535714285714235</v>
      </c>
      <c r="L2462" s="6">
        <f ca="1"/>
        <v>-3.4761904761903679</v>
      </c>
      <c r="M2462" s="6">
        <f ca="1"/>
        <v>-0.76190476190477341</v>
      </c>
      <c r="N2462" s="6">
        <f ca="1"/>
        <v>-4.1904761904761445E-2</v>
      </c>
      <c r="O2462" s="6">
        <f t="shared" ca="1" si="354"/>
        <v>2.476190476190439</v>
      </c>
      <c r="P2462" t="str">
        <f t="shared" ref="P2462:P2525" si="362">IF(AND(F2462=1,G2462=1,H2462=350),O2462,"NA")</f>
        <v>NA</v>
      </c>
      <c r="Q2462" s="10">
        <f t="shared" ca="1" si="355"/>
        <v>6.6190476190475867</v>
      </c>
      <c r="R2462" s="10">
        <f t="shared" ca="1" si="356"/>
        <v>25.523809523809234</v>
      </c>
      <c r="S2462" s="10">
        <f t="shared" ca="1" si="357"/>
        <v>-18.904761904761649</v>
      </c>
      <c r="T2462" s="10">
        <f t="shared" ca="1" si="358"/>
        <v>451.13636363636249</v>
      </c>
      <c r="U2462" s="10">
        <f t="shared" ca="1" si="359"/>
        <v>451.13636363636249</v>
      </c>
      <c r="V2462">
        <f t="shared" si="360"/>
        <v>1</v>
      </c>
    </row>
    <row r="2463" spans="1:22" x14ac:dyDescent="0.25">
      <c r="A2463">
        <v>274</v>
      </c>
      <c r="B2463">
        <v>5</v>
      </c>
      <c r="C2463">
        <v>12.5</v>
      </c>
      <c r="D2463">
        <v>1</v>
      </c>
      <c r="E2463">
        <v>0</v>
      </c>
      <c r="F2463">
        <v>1</v>
      </c>
      <c r="G2463">
        <v>1</v>
      </c>
      <c r="H2463">
        <v>250</v>
      </c>
      <c r="I2463">
        <f t="shared" si="361"/>
        <v>2457</v>
      </c>
      <c r="J2463" s="6">
        <f t="array" aca="1" ref="J2463:N2463" ca="1">TRANSPOSE(ols(OFFSET($C$2:$C$10,I2463,0),OFFSET($D$2:$H$10,I2463,0)))</f>
        <v>25.523809523809234</v>
      </c>
      <c r="K2463" s="6">
        <f ca="1"/>
        <v>-2.535714285714235</v>
      </c>
      <c r="L2463" s="6">
        <f ca="1"/>
        <v>-3.4761904761903679</v>
      </c>
      <c r="M2463" s="6">
        <f ca="1"/>
        <v>-0.76190476190477341</v>
      </c>
      <c r="N2463" s="6">
        <f ca="1"/>
        <v>-4.1904761904761445E-2</v>
      </c>
      <c r="O2463" s="6">
        <f t="shared" ca="1" si="354"/>
        <v>10.809523809523732</v>
      </c>
      <c r="P2463" t="str">
        <f t="shared" si="362"/>
        <v>NA</v>
      </c>
      <c r="Q2463" s="10">
        <f t="shared" ca="1" si="355"/>
        <v>6.6190476190475867</v>
      </c>
      <c r="R2463" s="10">
        <f t="shared" ca="1" si="356"/>
        <v>21.285714285714093</v>
      </c>
      <c r="S2463" s="10">
        <f t="shared" ca="1" si="357"/>
        <v>-14.666666666666506</v>
      </c>
      <c r="T2463" s="10">
        <f t="shared" ca="1" si="358"/>
        <v>350</v>
      </c>
      <c r="U2463" s="10">
        <f t="shared" ca="1" si="359"/>
        <v>350</v>
      </c>
      <c r="V2463">
        <f t="shared" si="360"/>
        <v>6</v>
      </c>
    </row>
    <row r="2464" spans="1:22" x14ac:dyDescent="0.25">
      <c r="A2464">
        <v>274</v>
      </c>
      <c r="B2464">
        <v>6</v>
      </c>
      <c r="C2464">
        <v>5</v>
      </c>
      <c r="D2464">
        <v>1</v>
      </c>
      <c r="E2464">
        <v>0</v>
      </c>
      <c r="F2464">
        <v>1</v>
      </c>
      <c r="G2464">
        <v>1</v>
      </c>
      <c r="H2464">
        <v>350</v>
      </c>
      <c r="I2464">
        <f t="shared" si="361"/>
        <v>2457</v>
      </c>
      <c r="J2464" s="6">
        <f t="array" aca="1" ref="J2464:N2464" ca="1">TRANSPOSE(ols(OFFSET($C$2:$C$10,I2464,0),OFFSET($D$2:$H$10,I2464,0)))</f>
        <v>25.523809523809234</v>
      </c>
      <c r="K2464" s="6">
        <f ca="1"/>
        <v>-2.535714285714235</v>
      </c>
      <c r="L2464" s="6">
        <f ca="1"/>
        <v>-3.4761904761903679</v>
      </c>
      <c r="M2464" s="6">
        <f ca="1"/>
        <v>-0.76190476190477341</v>
      </c>
      <c r="N2464" s="6">
        <f ca="1"/>
        <v>-4.1904761904761445E-2</v>
      </c>
      <c r="O2464" s="6">
        <f t="shared" ca="1" si="354"/>
        <v>6.6190476190475867</v>
      </c>
      <c r="P2464">
        <f t="shared" ca="1" si="362"/>
        <v>6.6190476190475867</v>
      </c>
      <c r="Q2464" s="10">
        <f t="shared" ca="1" si="355"/>
        <v>6.6190476190475867</v>
      </c>
      <c r="R2464" s="10">
        <f t="shared" ca="1" si="356"/>
        <v>21.285714285714093</v>
      </c>
      <c r="S2464" s="10">
        <f t="shared" ca="1" si="357"/>
        <v>-14.666666666666506</v>
      </c>
      <c r="T2464" s="10">
        <f t="shared" ca="1" si="358"/>
        <v>350</v>
      </c>
      <c r="U2464" s="10">
        <f t="shared" ca="1" si="359"/>
        <v>350</v>
      </c>
      <c r="V2464">
        <f t="shared" si="360"/>
        <v>6</v>
      </c>
    </row>
    <row r="2465" spans="1:22" x14ac:dyDescent="0.25">
      <c r="A2465">
        <v>274</v>
      </c>
      <c r="B2465">
        <v>7</v>
      </c>
      <c r="C2465">
        <v>0</v>
      </c>
      <c r="D2465">
        <v>1</v>
      </c>
      <c r="E2465">
        <v>1</v>
      </c>
      <c r="F2465">
        <v>0</v>
      </c>
      <c r="G2465">
        <v>1</v>
      </c>
      <c r="H2465">
        <v>450</v>
      </c>
      <c r="I2465">
        <f t="shared" si="361"/>
        <v>2457</v>
      </c>
      <c r="J2465" s="6">
        <f t="array" aca="1" ref="J2465:N2465" ca="1">TRANSPOSE(ols(OFFSET($C$2:$C$10,I2465,0),OFFSET($D$2:$H$10,I2465,0)))</f>
        <v>25.523809523809234</v>
      </c>
      <c r="K2465" s="6">
        <f ca="1"/>
        <v>-2.535714285714235</v>
      </c>
      <c r="L2465" s="6">
        <f ca="1"/>
        <v>-3.4761904761903679</v>
      </c>
      <c r="M2465" s="6">
        <f ca="1"/>
        <v>-0.76190476190477341</v>
      </c>
      <c r="N2465" s="6">
        <f ca="1"/>
        <v>-4.1904761904761445E-2</v>
      </c>
      <c r="O2465" s="6">
        <f t="shared" ca="1" si="354"/>
        <v>3.3690476190475742</v>
      </c>
      <c r="P2465" t="str">
        <f t="shared" si="362"/>
        <v>NA</v>
      </c>
      <c r="Q2465" s="10">
        <f t="shared" ca="1" si="355"/>
        <v>6.6190476190475867</v>
      </c>
      <c r="R2465" s="10">
        <f t="shared" ca="1" si="356"/>
        <v>22.226190476190226</v>
      </c>
      <c r="S2465" s="10">
        <f t="shared" ca="1" si="357"/>
        <v>-15.607142857142639</v>
      </c>
      <c r="T2465" s="10">
        <f t="shared" ca="1" si="358"/>
        <v>372.44318181818068</v>
      </c>
      <c r="U2465" s="10">
        <f t="shared" ca="1" si="359"/>
        <v>372.44318181818068</v>
      </c>
      <c r="V2465">
        <f t="shared" si="360"/>
        <v>5</v>
      </c>
    </row>
    <row r="2466" spans="1:22" x14ac:dyDescent="0.25">
      <c r="A2466">
        <v>274</v>
      </c>
      <c r="B2466">
        <v>8</v>
      </c>
      <c r="C2466">
        <v>0</v>
      </c>
      <c r="D2466">
        <v>1</v>
      </c>
      <c r="E2466">
        <v>1</v>
      </c>
      <c r="F2466">
        <v>0</v>
      </c>
      <c r="G2466">
        <v>1</v>
      </c>
      <c r="H2466">
        <v>550</v>
      </c>
      <c r="I2466">
        <f t="shared" si="361"/>
        <v>2457</v>
      </c>
      <c r="J2466" s="6">
        <f t="array" aca="1" ref="J2466:N2466" ca="1">TRANSPOSE(ols(OFFSET($C$2:$C$10,I2466,0),OFFSET($D$2:$H$10,I2466,0)))</f>
        <v>25.523809523809234</v>
      </c>
      <c r="K2466" s="6">
        <f ca="1"/>
        <v>-2.535714285714235</v>
      </c>
      <c r="L2466" s="6">
        <f ca="1"/>
        <v>-3.4761904761903679</v>
      </c>
      <c r="M2466" s="6">
        <f ca="1"/>
        <v>-0.76190476190477341</v>
      </c>
      <c r="N2466" s="6">
        <f ca="1"/>
        <v>-4.1904761904761445E-2</v>
      </c>
      <c r="O2466" s="6">
        <f t="shared" ca="1" si="354"/>
        <v>-0.8214285714285694</v>
      </c>
      <c r="P2466" t="str">
        <f t="shared" si="362"/>
        <v>NA</v>
      </c>
      <c r="Q2466" s="10">
        <f t="shared" ca="1" si="355"/>
        <v>6.6190476190475867</v>
      </c>
      <c r="R2466" s="10">
        <f t="shared" ca="1" si="356"/>
        <v>22.226190476190226</v>
      </c>
      <c r="S2466" s="10">
        <f t="shared" ca="1" si="357"/>
        <v>-15.607142857142639</v>
      </c>
      <c r="T2466" s="10">
        <f t="shared" ca="1" si="358"/>
        <v>372.44318181818068</v>
      </c>
      <c r="U2466" s="10">
        <f t="shared" ca="1" si="359"/>
        <v>372.44318181818068</v>
      </c>
      <c r="V2466">
        <f t="shared" si="360"/>
        <v>5</v>
      </c>
    </row>
    <row r="2467" spans="1:22" x14ac:dyDescent="0.25">
      <c r="A2467">
        <v>274</v>
      </c>
      <c r="B2467">
        <v>9</v>
      </c>
      <c r="C2467">
        <v>0</v>
      </c>
      <c r="D2467">
        <v>1</v>
      </c>
      <c r="E2467">
        <v>0</v>
      </c>
      <c r="F2467">
        <v>0</v>
      </c>
      <c r="G2467">
        <v>1</v>
      </c>
      <c r="H2467">
        <v>650</v>
      </c>
      <c r="I2467">
        <f t="shared" si="361"/>
        <v>2457</v>
      </c>
      <c r="J2467" s="6">
        <f t="array" aca="1" ref="J2467:N2467" ca="1">TRANSPOSE(ols(OFFSET($C$2:$C$10,I2467,0),OFFSET($D$2:$H$10,I2467,0)))</f>
        <v>25.523809523809234</v>
      </c>
      <c r="K2467" s="6">
        <f ca="1"/>
        <v>-2.535714285714235</v>
      </c>
      <c r="L2467" s="6">
        <f ca="1"/>
        <v>-3.4761904761903679</v>
      </c>
      <c r="M2467" s="6">
        <f ca="1"/>
        <v>-0.76190476190477341</v>
      </c>
      <c r="N2467" s="6">
        <f ca="1"/>
        <v>-4.1904761904761445E-2</v>
      </c>
      <c r="O2467" s="6">
        <f t="shared" ca="1" si="354"/>
        <v>-2.4761904761904781</v>
      </c>
      <c r="P2467" t="str">
        <f t="shared" si="362"/>
        <v>NA</v>
      </c>
      <c r="Q2467" s="10">
        <f t="shared" ca="1" si="355"/>
        <v>6.6190476190475867</v>
      </c>
      <c r="R2467" s="10">
        <f t="shared" ca="1" si="356"/>
        <v>24.761904761904461</v>
      </c>
      <c r="S2467" s="10">
        <f t="shared" ca="1" si="357"/>
        <v>-18.142857142856876</v>
      </c>
      <c r="T2467" s="10">
        <f t="shared" ca="1" si="358"/>
        <v>432.95454545454385</v>
      </c>
      <c r="U2467" s="10">
        <f t="shared" ca="1" si="359"/>
        <v>432.95454545454385</v>
      </c>
      <c r="V2467">
        <f t="shared" si="360"/>
        <v>4</v>
      </c>
    </row>
    <row r="2468" spans="1:22" x14ac:dyDescent="0.25">
      <c r="A2468">
        <v>275</v>
      </c>
      <c r="B2468">
        <v>1</v>
      </c>
      <c r="C2468">
        <v>2.5</v>
      </c>
      <c r="D2468">
        <v>1</v>
      </c>
      <c r="E2468">
        <v>0</v>
      </c>
      <c r="F2468">
        <v>1</v>
      </c>
      <c r="G2468">
        <v>0</v>
      </c>
      <c r="H2468">
        <v>250</v>
      </c>
      <c r="I2468">
        <f t="shared" si="361"/>
        <v>2466</v>
      </c>
      <c r="J2468" s="6">
        <f t="array" aca="1" ref="J2468:N2468" ca="1">TRANSPOSE(ols(OFFSET($C$2:$C$10,I2468,0),OFFSET($D$2:$H$10,I2468,0)))</f>
        <v>14.952380952380736</v>
      </c>
      <c r="K2468" s="6">
        <f ca="1"/>
        <v>-3.4285714285713667</v>
      </c>
      <c r="L2468" s="6">
        <f ca="1"/>
        <v>-5.0476190476189373</v>
      </c>
      <c r="M2468" s="6">
        <f ca="1"/>
        <v>2.5238095238095077</v>
      </c>
      <c r="N2468" s="6">
        <f ca="1"/>
        <v>-2.6190476190475931E-2</v>
      </c>
      <c r="O2468" s="6">
        <f t="shared" ca="1" si="354"/>
        <v>3.3571428571428159</v>
      </c>
      <c r="P2468" t="str">
        <f t="shared" si="362"/>
        <v>NA</v>
      </c>
      <c r="Q2468" s="10">
        <f t="shared" ca="1" si="355"/>
        <v>3.2619047619047308</v>
      </c>
      <c r="R2468" s="10">
        <f t="shared" ca="1" si="356"/>
        <v>9.9047619047617985</v>
      </c>
      <c r="S2468" s="10">
        <f t="shared" ca="1" si="357"/>
        <v>-6.6428571428570677</v>
      </c>
      <c r="T2468" s="10">
        <f t="shared" ca="1" si="358"/>
        <v>253.63636363636328</v>
      </c>
      <c r="U2468" s="10">
        <f t="shared" ca="1" si="359"/>
        <v>253.63636363636328</v>
      </c>
      <c r="V2468">
        <f t="shared" si="360"/>
        <v>3</v>
      </c>
    </row>
    <row r="2469" spans="1:22" x14ac:dyDescent="0.25">
      <c r="A2469">
        <v>275</v>
      </c>
      <c r="B2469">
        <v>2</v>
      </c>
      <c r="C2469">
        <v>2.5</v>
      </c>
      <c r="D2469">
        <v>1</v>
      </c>
      <c r="E2469">
        <v>1</v>
      </c>
      <c r="F2469">
        <v>0</v>
      </c>
      <c r="G2469">
        <v>0</v>
      </c>
      <c r="H2469">
        <v>350</v>
      </c>
      <c r="I2469">
        <f t="shared" si="361"/>
        <v>2466</v>
      </c>
      <c r="J2469" s="6">
        <f t="array" aca="1" ref="J2469:N2469" ca="1">TRANSPOSE(ols(OFFSET($C$2:$C$10,I2469,0),OFFSET($D$2:$H$10,I2469,0)))</f>
        <v>14.952380952380736</v>
      </c>
      <c r="K2469" s="6">
        <f ca="1"/>
        <v>-3.4285714285713667</v>
      </c>
      <c r="L2469" s="6">
        <f ca="1"/>
        <v>-5.0476190476189373</v>
      </c>
      <c r="M2469" s="6">
        <f ca="1"/>
        <v>2.5238095238095077</v>
      </c>
      <c r="N2469" s="6">
        <f ca="1"/>
        <v>-2.6190476190475931E-2</v>
      </c>
      <c r="O2469" s="6">
        <f t="shared" ca="1" si="354"/>
        <v>2.3571428571427937</v>
      </c>
      <c r="P2469" t="str">
        <f t="shared" si="362"/>
        <v>NA</v>
      </c>
      <c r="Q2469" s="10">
        <f t="shared" ca="1" si="355"/>
        <v>3.2619047619047308</v>
      </c>
      <c r="R2469" s="10">
        <f t="shared" ca="1" si="356"/>
        <v>11.523809523809369</v>
      </c>
      <c r="S2469" s="10">
        <f t="shared" ca="1" si="357"/>
        <v>-8.2619047619046384</v>
      </c>
      <c r="T2469" s="10">
        <f t="shared" ca="1" si="358"/>
        <v>315.45454545454385</v>
      </c>
      <c r="U2469" s="10">
        <f t="shared" ca="1" si="359"/>
        <v>315.45454545454385</v>
      </c>
      <c r="V2469">
        <f t="shared" si="360"/>
        <v>2</v>
      </c>
    </row>
    <row r="2470" spans="1:22" x14ac:dyDescent="0.25">
      <c r="A2470">
        <v>275</v>
      </c>
      <c r="B2470">
        <v>3</v>
      </c>
      <c r="C2470">
        <v>0.5</v>
      </c>
      <c r="D2470">
        <v>1</v>
      </c>
      <c r="E2470">
        <v>1</v>
      </c>
      <c r="F2470">
        <v>0</v>
      </c>
      <c r="G2470">
        <v>0</v>
      </c>
      <c r="H2470">
        <v>450</v>
      </c>
      <c r="I2470">
        <f t="shared" si="361"/>
        <v>2466</v>
      </c>
      <c r="J2470" s="6">
        <f t="array" aca="1" ref="J2470:N2470" ca="1">TRANSPOSE(ols(OFFSET($C$2:$C$10,I2470,0),OFFSET($D$2:$H$10,I2470,0)))</f>
        <v>14.952380952380736</v>
      </c>
      <c r="K2470" s="6">
        <f ca="1"/>
        <v>-3.4285714285713667</v>
      </c>
      <c r="L2470" s="6">
        <f ca="1"/>
        <v>-5.0476190476189373</v>
      </c>
      <c r="M2470" s="6">
        <f ca="1"/>
        <v>2.5238095238095077</v>
      </c>
      <c r="N2470" s="6">
        <f ca="1"/>
        <v>-2.6190476190475931E-2</v>
      </c>
      <c r="O2470" s="6">
        <f t="shared" ca="1" si="354"/>
        <v>-0.26190476190480005</v>
      </c>
      <c r="P2470" t="str">
        <f t="shared" si="362"/>
        <v>NA</v>
      </c>
      <c r="Q2470" s="10">
        <f t="shared" ca="1" si="355"/>
        <v>3.2619047619047308</v>
      </c>
      <c r="R2470" s="10">
        <f t="shared" ca="1" si="356"/>
        <v>11.523809523809369</v>
      </c>
      <c r="S2470" s="10">
        <f t="shared" ca="1" si="357"/>
        <v>-8.2619047619046384</v>
      </c>
      <c r="T2470" s="10">
        <f t="shared" ca="1" si="358"/>
        <v>315.45454545454385</v>
      </c>
      <c r="U2470" s="10">
        <f t="shared" ca="1" si="359"/>
        <v>315.45454545454385</v>
      </c>
      <c r="V2470">
        <f t="shared" si="360"/>
        <v>2</v>
      </c>
    </row>
    <row r="2471" spans="1:22" x14ac:dyDescent="0.25">
      <c r="A2471">
        <v>275</v>
      </c>
      <c r="B2471">
        <v>4</v>
      </c>
      <c r="C2471">
        <v>0.5</v>
      </c>
      <c r="D2471">
        <v>1</v>
      </c>
      <c r="E2471">
        <v>0</v>
      </c>
      <c r="F2471">
        <v>0</v>
      </c>
      <c r="G2471">
        <v>0</v>
      </c>
      <c r="H2471">
        <v>550</v>
      </c>
      <c r="I2471">
        <f t="shared" si="361"/>
        <v>2466</v>
      </c>
      <c r="J2471" s="6">
        <f t="array" aca="1" ref="J2471:N2471" ca="1">TRANSPOSE(ols(OFFSET($C$2:$C$10,I2471,0),OFFSET($D$2:$H$10,I2471,0)))</f>
        <v>14.952380952380736</v>
      </c>
      <c r="K2471" s="6">
        <f ca="1"/>
        <v>-3.4285714285713667</v>
      </c>
      <c r="L2471" s="6">
        <f ca="1"/>
        <v>-5.0476190476189373</v>
      </c>
      <c r="M2471" s="6">
        <f ca="1"/>
        <v>2.5238095238095077</v>
      </c>
      <c r="N2471" s="6">
        <f ca="1"/>
        <v>-2.6190476190475931E-2</v>
      </c>
      <c r="O2471" s="6">
        <f t="shared" ca="1" si="354"/>
        <v>0.54761904761897462</v>
      </c>
      <c r="P2471" t="str">
        <f t="shared" si="362"/>
        <v>NA</v>
      </c>
      <c r="Q2471" s="10">
        <f t="shared" ca="1" si="355"/>
        <v>3.2619047619047308</v>
      </c>
      <c r="R2471" s="10">
        <f t="shared" ca="1" si="356"/>
        <v>14.952380952380736</v>
      </c>
      <c r="S2471" s="10">
        <f t="shared" ca="1" si="357"/>
        <v>-11.690476190476005</v>
      </c>
      <c r="T2471" s="10">
        <f t="shared" ca="1" si="358"/>
        <v>446.3636363636337</v>
      </c>
      <c r="U2471" s="10">
        <f t="shared" ca="1" si="359"/>
        <v>446.3636363636337</v>
      </c>
      <c r="V2471">
        <f t="shared" si="360"/>
        <v>1</v>
      </c>
    </row>
    <row r="2472" spans="1:22" x14ac:dyDescent="0.25">
      <c r="A2472">
        <v>275</v>
      </c>
      <c r="B2472">
        <v>5</v>
      </c>
      <c r="C2472">
        <v>7.5</v>
      </c>
      <c r="D2472">
        <v>1</v>
      </c>
      <c r="E2472">
        <v>0</v>
      </c>
      <c r="F2472">
        <v>1</v>
      </c>
      <c r="G2472">
        <v>1</v>
      </c>
      <c r="H2472">
        <v>250</v>
      </c>
      <c r="I2472">
        <f t="shared" si="361"/>
        <v>2466</v>
      </c>
      <c r="J2472" s="6">
        <f t="array" aca="1" ref="J2472:N2472" ca="1">TRANSPOSE(ols(OFFSET($C$2:$C$10,I2472,0),OFFSET($D$2:$H$10,I2472,0)))</f>
        <v>14.952380952380736</v>
      </c>
      <c r="K2472" s="6">
        <f ca="1"/>
        <v>-3.4285714285713667</v>
      </c>
      <c r="L2472" s="6">
        <f ca="1"/>
        <v>-5.0476190476189373</v>
      </c>
      <c r="M2472" s="6">
        <f ca="1"/>
        <v>2.5238095238095077</v>
      </c>
      <c r="N2472" s="6">
        <f ca="1"/>
        <v>-2.6190476190475931E-2</v>
      </c>
      <c r="O2472" s="6">
        <f t="shared" ca="1" si="354"/>
        <v>5.8809523809523236</v>
      </c>
      <c r="P2472" t="str">
        <f t="shared" si="362"/>
        <v>NA</v>
      </c>
      <c r="Q2472" s="10">
        <f t="shared" ca="1" si="355"/>
        <v>3.2619047619047308</v>
      </c>
      <c r="R2472" s="10">
        <f t="shared" ca="1" si="356"/>
        <v>12.428571428571306</v>
      </c>
      <c r="S2472" s="10">
        <f t="shared" ca="1" si="357"/>
        <v>-9.1666666666665755</v>
      </c>
      <c r="T2472" s="10">
        <f t="shared" ca="1" si="358"/>
        <v>350</v>
      </c>
      <c r="U2472" s="10">
        <f t="shared" ca="1" si="359"/>
        <v>350</v>
      </c>
      <c r="V2472">
        <f t="shared" si="360"/>
        <v>6</v>
      </c>
    </row>
    <row r="2473" spans="1:22" x14ac:dyDescent="0.25">
      <c r="A2473">
        <v>275</v>
      </c>
      <c r="B2473">
        <v>6</v>
      </c>
      <c r="C2473">
        <v>2.5</v>
      </c>
      <c r="D2473">
        <v>1</v>
      </c>
      <c r="E2473">
        <v>0</v>
      </c>
      <c r="F2473">
        <v>1</v>
      </c>
      <c r="G2473">
        <v>1</v>
      </c>
      <c r="H2473">
        <v>350</v>
      </c>
      <c r="I2473">
        <f t="shared" si="361"/>
        <v>2466</v>
      </c>
      <c r="J2473" s="6">
        <f t="array" aca="1" ref="J2473:N2473" ca="1">TRANSPOSE(ols(OFFSET($C$2:$C$10,I2473,0),OFFSET($D$2:$H$10,I2473,0)))</f>
        <v>14.952380952380736</v>
      </c>
      <c r="K2473" s="6">
        <f ca="1"/>
        <v>-3.4285714285713667</v>
      </c>
      <c r="L2473" s="6">
        <f ca="1"/>
        <v>-5.0476190476189373</v>
      </c>
      <c r="M2473" s="6">
        <f ca="1"/>
        <v>2.5238095238095077</v>
      </c>
      <c r="N2473" s="6">
        <f ca="1"/>
        <v>-2.6190476190475931E-2</v>
      </c>
      <c r="O2473" s="6">
        <f t="shared" ca="1" si="354"/>
        <v>3.2619047619047308</v>
      </c>
      <c r="P2473">
        <f t="shared" ca="1" si="362"/>
        <v>3.2619047619047308</v>
      </c>
      <c r="Q2473" s="10">
        <f t="shared" ca="1" si="355"/>
        <v>3.2619047619047308</v>
      </c>
      <c r="R2473" s="10">
        <f t="shared" ca="1" si="356"/>
        <v>12.428571428571306</v>
      </c>
      <c r="S2473" s="10">
        <f t="shared" ca="1" si="357"/>
        <v>-9.1666666666665755</v>
      </c>
      <c r="T2473" s="10">
        <f t="shared" ca="1" si="358"/>
        <v>350</v>
      </c>
      <c r="U2473" s="10">
        <f t="shared" ca="1" si="359"/>
        <v>350</v>
      </c>
      <c r="V2473">
        <f t="shared" si="360"/>
        <v>6</v>
      </c>
    </row>
    <row r="2474" spans="1:22" x14ac:dyDescent="0.25">
      <c r="A2474">
        <v>275</v>
      </c>
      <c r="B2474">
        <v>7</v>
      </c>
      <c r="C2474">
        <v>0.5</v>
      </c>
      <c r="D2474">
        <v>1</v>
      </c>
      <c r="E2474">
        <v>1</v>
      </c>
      <c r="F2474">
        <v>0</v>
      </c>
      <c r="G2474">
        <v>1</v>
      </c>
      <c r="H2474">
        <v>450</v>
      </c>
      <c r="I2474">
        <f t="shared" si="361"/>
        <v>2466</v>
      </c>
      <c r="J2474" s="6">
        <f t="array" aca="1" ref="J2474:N2474" ca="1">TRANSPOSE(ols(OFFSET($C$2:$C$10,I2474,0),OFFSET($D$2:$H$10,I2474,0)))</f>
        <v>14.952380952380736</v>
      </c>
      <c r="K2474" s="6">
        <f ca="1"/>
        <v>-3.4285714285713667</v>
      </c>
      <c r="L2474" s="6">
        <f ca="1"/>
        <v>-5.0476190476189373</v>
      </c>
      <c r="M2474" s="6">
        <f ca="1"/>
        <v>2.5238095238095077</v>
      </c>
      <c r="N2474" s="6">
        <f ca="1"/>
        <v>-2.6190476190475931E-2</v>
      </c>
      <c r="O2474" s="6">
        <f t="shared" ca="1" si="354"/>
        <v>2.2619047619047077</v>
      </c>
      <c r="P2474" t="str">
        <f t="shared" si="362"/>
        <v>NA</v>
      </c>
      <c r="Q2474" s="10">
        <f t="shared" ca="1" si="355"/>
        <v>3.2619047619047308</v>
      </c>
      <c r="R2474" s="10">
        <f t="shared" ca="1" si="356"/>
        <v>14.047619047618877</v>
      </c>
      <c r="S2474" s="10">
        <f t="shared" ca="1" si="357"/>
        <v>-10.785714285714146</v>
      </c>
      <c r="T2474" s="10">
        <f t="shared" ca="1" si="358"/>
        <v>411.81818181818056</v>
      </c>
      <c r="U2474" s="10">
        <f t="shared" ca="1" si="359"/>
        <v>411.81818181818056</v>
      </c>
      <c r="V2474">
        <f t="shared" si="360"/>
        <v>5</v>
      </c>
    </row>
    <row r="2475" spans="1:22" x14ac:dyDescent="0.25">
      <c r="A2475">
        <v>275</v>
      </c>
      <c r="B2475">
        <v>8</v>
      </c>
      <c r="C2475">
        <v>0.5</v>
      </c>
      <c r="D2475">
        <v>1</v>
      </c>
      <c r="E2475">
        <v>1</v>
      </c>
      <c r="F2475">
        <v>0</v>
      </c>
      <c r="G2475">
        <v>1</v>
      </c>
      <c r="H2475">
        <v>550</v>
      </c>
      <c r="I2475">
        <f t="shared" si="361"/>
        <v>2466</v>
      </c>
      <c r="J2475" s="6">
        <f t="array" aca="1" ref="J2475:N2475" ca="1">TRANSPOSE(ols(OFFSET($C$2:$C$10,I2475,0),OFFSET($D$2:$H$10,I2475,0)))</f>
        <v>14.952380952380736</v>
      </c>
      <c r="K2475" s="6">
        <f ca="1"/>
        <v>-3.4285714285713667</v>
      </c>
      <c r="L2475" s="6">
        <f ca="1"/>
        <v>-5.0476190476189373</v>
      </c>
      <c r="M2475" s="6">
        <f ca="1"/>
        <v>2.5238095238095077</v>
      </c>
      <c r="N2475" s="6">
        <f ca="1"/>
        <v>-2.6190476190475931E-2</v>
      </c>
      <c r="O2475" s="6">
        <f t="shared" ca="1" si="354"/>
        <v>-0.3571428571428843</v>
      </c>
      <c r="P2475" t="str">
        <f t="shared" si="362"/>
        <v>NA</v>
      </c>
      <c r="Q2475" s="10">
        <f t="shared" ca="1" si="355"/>
        <v>3.2619047619047308</v>
      </c>
      <c r="R2475" s="10">
        <f t="shared" ca="1" si="356"/>
        <v>14.047619047618877</v>
      </c>
      <c r="S2475" s="10">
        <f t="shared" ca="1" si="357"/>
        <v>-10.785714285714146</v>
      </c>
      <c r="T2475" s="10">
        <f t="shared" ca="1" si="358"/>
        <v>411.81818181818056</v>
      </c>
      <c r="U2475" s="10">
        <f t="shared" ca="1" si="359"/>
        <v>411.81818181818056</v>
      </c>
      <c r="V2475">
        <f t="shared" si="360"/>
        <v>5</v>
      </c>
    </row>
    <row r="2476" spans="1:22" x14ac:dyDescent="0.25">
      <c r="A2476">
        <v>275</v>
      </c>
      <c r="B2476">
        <v>9</v>
      </c>
      <c r="C2476">
        <v>0.5</v>
      </c>
      <c r="D2476">
        <v>1</v>
      </c>
      <c r="E2476">
        <v>0</v>
      </c>
      <c r="F2476">
        <v>0</v>
      </c>
      <c r="G2476">
        <v>1</v>
      </c>
      <c r="H2476">
        <v>650</v>
      </c>
      <c r="I2476">
        <f t="shared" si="361"/>
        <v>2466</v>
      </c>
      <c r="J2476" s="6">
        <f t="array" aca="1" ref="J2476:N2476" ca="1">TRANSPOSE(ols(OFFSET($C$2:$C$10,I2476,0),OFFSET($D$2:$H$10,I2476,0)))</f>
        <v>14.952380952380736</v>
      </c>
      <c r="K2476" s="6">
        <f ca="1"/>
        <v>-3.4285714285713667</v>
      </c>
      <c r="L2476" s="6">
        <f ca="1"/>
        <v>-5.0476190476189373</v>
      </c>
      <c r="M2476" s="6">
        <f ca="1"/>
        <v>2.5238095238095077</v>
      </c>
      <c r="N2476" s="6">
        <f ca="1"/>
        <v>-2.6190476190475931E-2</v>
      </c>
      <c r="O2476" s="6">
        <f t="shared" ca="1" si="354"/>
        <v>0.4523809523808886</v>
      </c>
      <c r="P2476" t="str">
        <f t="shared" si="362"/>
        <v>NA</v>
      </c>
      <c r="Q2476" s="10">
        <f t="shared" ca="1" si="355"/>
        <v>3.2619047619047308</v>
      </c>
      <c r="R2476" s="10">
        <f t="shared" ca="1" si="356"/>
        <v>17.476190476190244</v>
      </c>
      <c r="S2476" s="10">
        <f t="shared" ca="1" si="357"/>
        <v>-14.214285714285513</v>
      </c>
      <c r="T2476" s="10">
        <f t="shared" ca="1" si="358"/>
        <v>542.72727272727036</v>
      </c>
      <c r="U2476" s="10">
        <f t="shared" ca="1" si="359"/>
        <v>542.72727272727036</v>
      </c>
      <c r="V2476">
        <f t="shared" si="360"/>
        <v>4</v>
      </c>
    </row>
    <row r="2477" spans="1:22" x14ac:dyDescent="0.25">
      <c r="A2477">
        <v>276</v>
      </c>
      <c r="B2477">
        <v>1</v>
      </c>
      <c r="C2477">
        <v>30</v>
      </c>
      <c r="D2477">
        <v>1</v>
      </c>
      <c r="E2477">
        <v>0</v>
      </c>
      <c r="F2477">
        <v>1</v>
      </c>
      <c r="G2477">
        <v>0</v>
      </c>
      <c r="H2477">
        <v>250</v>
      </c>
      <c r="I2477">
        <f t="shared" si="361"/>
        <v>2475</v>
      </c>
      <c r="J2477" s="6">
        <f t="array" aca="1" ref="J2477:N2477" ca="1">TRANSPOSE(ols(OFFSET($C$2:$C$10,I2477,0),OFFSET($D$2:$H$10,I2477,0)))</f>
        <v>49.16666666666606</v>
      </c>
      <c r="K2477" s="6">
        <f ca="1"/>
        <v>-9.9999999999998295</v>
      </c>
      <c r="L2477" s="6">
        <f ca="1"/>
        <v>-3.333333333333087</v>
      </c>
      <c r="M2477" s="6">
        <f ca="1"/>
        <v>1.666666666666643</v>
      </c>
      <c r="N2477" s="6">
        <f ca="1"/>
        <v>-8.3333333333332371E-2</v>
      </c>
      <c r="O2477" s="6">
        <f t="shared" ca="1" si="354"/>
        <v>24.999999999999879</v>
      </c>
      <c r="P2477" t="str">
        <f t="shared" si="362"/>
        <v>NA</v>
      </c>
      <c r="Q2477" s="10">
        <f t="shared" ca="1" si="355"/>
        <v>18.333333333333286</v>
      </c>
      <c r="R2477" s="10">
        <f t="shared" ca="1" si="356"/>
        <v>45.833333333332973</v>
      </c>
      <c r="S2477" s="10">
        <f t="shared" ca="1" si="357"/>
        <v>-27.499999999999687</v>
      </c>
      <c r="T2477" s="10">
        <f t="shared" ca="1" si="358"/>
        <v>330.00000000000006</v>
      </c>
      <c r="U2477" s="10">
        <f t="shared" ca="1" si="359"/>
        <v>330.00000000000006</v>
      </c>
      <c r="V2477">
        <f t="shared" si="360"/>
        <v>3</v>
      </c>
    </row>
    <row r="2478" spans="1:22" x14ac:dyDescent="0.25">
      <c r="A2478">
        <v>276</v>
      </c>
      <c r="B2478">
        <v>2</v>
      </c>
      <c r="C2478">
        <v>10</v>
      </c>
      <c r="D2478">
        <v>1</v>
      </c>
      <c r="E2478">
        <v>1</v>
      </c>
      <c r="F2478">
        <v>0</v>
      </c>
      <c r="G2478">
        <v>0</v>
      </c>
      <c r="H2478">
        <v>350</v>
      </c>
      <c r="I2478">
        <f t="shared" si="361"/>
        <v>2475</v>
      </c>
      <c r="J2478" s="6">
        <f t="array" aca="1" ref="J2478:N2478" ca="1">TRANSPOSE(ols(OFFSET($C$2:$C$10,I2478,0),OFFSET($D$2:$H$10,I2478,0)))</f>
        <v>49.16666666666606</v>
      </c>
      <c r="K2478" s="6">
        <f ca="1"/>
        <v>-9.9999999999998295</v>
      </c>
      <c r="L2478" s="6">
        <f ca="1"/>
        <v>-3.333333333333087</v>
      </c>
      <c r="M2478" s="6">
        <f ca="1"/>
        <v>1.666666666666643</v>
      </c>
      <c r="N2478" s="6">
        <f ca="1"/>
        <v>-8.3333333333332371E-2</v>
      </c>
      <c r="O2478" s="6">
        <f t="shared" ca="1" si="354"/>
        <v>9.9999999999999005</v>
      </c>
      <c r="P2478" t="str">
        <f t="shared" si="362"/>
        <v>NA</v>
      </c>
      <c r="Q2478" s="10">
        <f t="shared" ca="1" si="355"/>
        <v>18.333333333333286</v>
      </c>
      <c r="R2478" s="10">
        <f t="shared" ca="1" si="356"/>
        <v>39.166666666666231</v>
      </c>
      <c r="S2478" s="10">
        <f t="shared" ca="1" si="357"/>
        <v>-20.833333333332945</v>
      </c>
      <c r="T2478" s="10">
        <f t="shared" ca="1" si="358"/>
        <v>249.99999999999824</v>
      </c>
      <c r="U2478" s="10" t="str">
        <f t="shared" ca="1" si="359"/>
        <v>OR</v>
      </c>
      <c r="V2478">
        <f t="shared" si="360"/>
        <v>2</v>
      </c>
    </row>
    <row r="2479" spans="1:22" x14ac:dyDescent="0.25">
      <c r="A2479">
        <v>276</v>
      </c>
      <c r="B2479">
        <v>3</v>
      </c>
      <c r="C2479">
        <v>0</v>
      </c>
      <c r="D2479">
        <v>1</v>
      </c>
      <c r="E2479">
        <v>1</v>
      </c>
      <c r="F2479">
        <v>0</v>
      </c>
      <c r="G2479">
        <v>0</v>
      </c>
      <c r="H2479">
        <v>450</v>
      </c>
      <c r="I2479">
        <f t="shared" si="361"/>
        <v>2475</v>
      </c>
      <c r="J2479" s="6">
        <f t="array" aca="1" ref="J2479:N2479" ca="1">TRANSPOSE(ols(OFFSET($C$2:$C$10,I2479,0),OFFSET($D$2:$H$10,I2479,0)))</f>
        <v>49.16666666666606</v>
      </c>
      <c r="K2479" s="6">
        <f ca="1"/>
        <v>-9.9999999999998295</v>
      </c>
      <c r="L2479" s="6">
        <f ca="1"/>
        <v>-3.333333333333087</v>
      </c>
      <c r="M2479" s="6">
        <f ca="1"/>
        <v>1.666666666666643</v>
      </c>
      <c r="N2479" s="6">
        <f ca="1"/>
        <v>-8.3333333333332371E-2</v>
      </c>
      <c r="O2479" s="6">
        <f t="shared" ca="1" si="354"/>
        <v>1.6666666666666643</v>
      </c>
      <c r="P2479" t="str">
        <f t="shared" si="362"/>
        <v>NA</v>
      </c>
      <c r="Q2479" s="10">
        <f t="shared" ca="1" si="355"/>
        <v>18.333333333333286</v>
      </c>
      <c r="R2479" s="10">
        <f t="shared" ca="1" si="356"/>
        <v>39.166666666666231</v>
      </c>
      <c r="S2479" s="10">
        <f t="shared" ca="1" si="357"/>
        <v>-20.833333333332945</v>
      </c>
      <c r="T2479" s="10">
        <f t="shared" ca="1" si="358"/>
        <v>249.99999999999824</v>
      </c>
      <c r="U2479" s="10" t="str">
        <f t="shared" ca="1" si="359"/>
        <v>OR</v>
      </c>
      <c r="V2479">
        <f t="shared" si="360"/>
        <v>2</v>
      </c>
    </row>
    <row r="2480" spans="1:22" x14ac:dyDescent="0.25">
      <c r="A2480">
        <v>276</v>
      </c>
      <c r="B2480">
        <v>4</v>
      </c>
      <c r="C2480">
        <v>0</v>
      </c>
      <c r="D2480">
        <v>1</v>
      </c>
      <c r="E2480">
        <v>0</v>
      </c>
      <c r="F2480">
        <v>0</v>
      </c>
      <c r="G2480">
        <v>0</v>
      </c>
      <c r="H2480">
        <v>550</v>
      </c>
      <c r="I2480">
        <f t="shared" si="361"/>
        <v>2475</v>
      </c>
      <c r="J2480" s="6">
        <f t="array" aca="1" ref="J2480:N2480" ca="1">TRANSPOSE(ols(OFFSET($C$2:$C$10,I2480,0),OFFSET($D$2:$H$10,I2480,0)))</f>
        <v>49.16666666666606</v>
      </c>
      <c r="K2480" s="6">
        <f ca="1"/>
        <v>-9.9999999999998295</v>
      </c>
      <c r="L2480" s="6">
        <f ca="1"/>
        <v>-3.333333333333087</v>
      </c>
      <c r="M2480" s="6">
        <f ca="1"/>
        <v>1.666666666666643</v>
      </c>
      <c r="N2480" s="6">
        <f ca="1"/>
        <v>-8.3333333333332371E-2</v>
      </c>
      <c r="O2480" s="6">
        <f t="shared" ca="1" si="354"/>
        <v>3.3333333333332575</v>
      </c>
      <c r="P2480" t="str">
        <f t="shared" si="362"/>
        <v>NA</v>
      </c>
      <c r="Q2480" s="10">
        <f t="shared" ca="1" si="355"/>
        <v>18.333333333333286</v>
      </c>
      <c r="R2480" s="10">
        <f t="shared" ca="1" si="356"/>
        <v>49.16666666666606</v>
      </c>
      <c r="S2480" s="10">
        <f t="shared" ca="1" si="357"/>
        <v>-30.833333333332774</v>
      </c>
      <c r="T2480" s="10">
        <f t="shared" ca="1" si="358"/>
        <v>369.99999999999756</v>
      </c>
      <c r="U2480" s="10">
        <f t="shared" ca="1" si="359"/>
        <v>369.99999999999756</v>
      </c>
      <c r="V2480">
        <f t="shared" si="360"/>
        <v>1</v>
      </c>
    </row>
    <row r="2481" spans="1:22" x14ac:dyDescent="0.25">
      <c r="A2481">
        <v>276</v>
      </c>
      <c r="B2481">
        <v>5</v>
      </c>
      <c r="C2481">
        <v>30</v>
      </c>
      <c r="D2481">
        <v>1</v>
      </c>
      <c r="E2481">
        <v>0</v>
      </c>
      <c r="F2481">
        <v>1</v>
      </c>
      <c r="G2481">
        <v>1</v>
      </c>
      <c r="H2481">
        <v>250</v>
      </c>
      <c r="I2481">
        <f t="shared" si="361"/>
        <v>2475</v>
      </c>
      <c r="J2481" s="6">
        <f t="array" aca="1" ref="J2481:N2481" ca="1">TRANSPOSE(ols(OFFSET($C$2:$C$10,I2481,0),OFFSET($D$2:$H$10,I2481,0)))</f>
        <v>49.16666666666606</v>
      </c>
      <c r="K2481" s="6">
        <f ca="1"/>
        <v>-9.9999999999998295</v>
      </c>
      <c r="L2481" s="6">
        <f ca="1"/>
        <v>-3.333333333333087</v>
      </c>
      <c r="M2481" s="6">
        <f ca="1"/>
        <v>1.666666666666643</v>
      </c>
      <c r="N2481" s="6">
        <f ca="1"/>
        <v>-8.3333333333332371E-2</v>
      </c>
      <c r="O2481" s="6">
        <f t="shared" ca="1" si="354"/>
        <v>26.666666666666522</v>
      </c>
      <c r="P2481" t="str">
        <f t="shared" si="362"/>
        <v>NA</v>
      </c>
      <c r="Q2481" s="10">
        <f t="shared" ca="1" si="355"/>
        <v>18.333333333333286</v>
      </c>
      <c r="R2481" s="10">
        <f t="shared" ca="1" si="356"/>
        <v>47.499999999999616</v>
      </c>
      <c r="S2481" s="10">
        <f t="shared" ca="1" si="357"/>
        <v>-29.16666666666633</v>
      </c>
      <c r="T2481" s="10">
        <f t="shared" ca="1" si="358"/>
        <v>350</v>
      </c>
      <c r="U2481" s="10">
        <f t="shared" ca="1" si="359"/>
        <v>350</v>
      </c>
      <c r="V2481">
        <f t="shared" si="360"/>
        <v>6</v>
      </c>
    </row>
    <row r="2482" spans="1:22" x14ac:dyDescent="0.25">
      <c r="A2482">
        <v>276</v>
      </c>
      <c r="B2482">
        <v>6</v>
      </c>
      <c r="C2482">
        <v>10</v>
      </c>
      <c r="D2482">
        <v>1</v>
      </c>
      <c r="E2482">
        <v>0</v>
      </c>
      <c r="F2482">
        <v>1</v>
      </c>
      <c r="G2482">
        <v>1</v>
      </c>
      <c r="H2482">
        <v>350</v>
      </c>
      <c r="I2482">
        <f t="shared" si="361"/>
        <v>2475</v>
      </c>
      <c r="J2482" s="6">
        <f t="array" aca="1" ref="J2482:N2482" ca="1">TRANSPOSE(ols(OFFSET($C$2:$C$10,I2482,0),OFFSET($D$2:$H$10,I2482,0)))</f>
        <v>49.16666666666606</v>
      </c>
      <c r="K2482" s="6">
        <f ca="1"/>
        <v>-9.9999999999998295</v>
      </c>
      <c r="L2482" s="6">
        <f ca="1"/>
        <v>-3.333333333333087</v>
      </c>
      <c r="M2482" s="6">
        <f ca="1"/>
        <v>1.666666666666643</v>
      </c>
      <c r="N2482" s="6">
        <f ca="1"/>
        <v>-8.3333333333332371E-2</v>
      </c>
      <c r="O2482" s="6">
        <f t="shared" ca="1" si="354"/>
        <v>18.333333333333286</v>
      </c>
      <c r="P2482">
        <f t="shared" ca="1" si="362"/>
        <v>18.333333333333286</v>
      </c>
      <c r="Q2482" s="10">
        <f t="shared" ca="1" si="355"/>
        <v>18.333333333333286</v>
      </c>
      <c r="R2482" s="10">
        <f t="shared" ca="1" si="356"/>
        <v>47.499999999999616</v>
      </c>
      <c r="S2482" s="10">
        <f t="shared" ca="1" si="357"/>
        <v>-29.16666666666633</v>
      </c>
      <c r="T2482" s="10">
        <f t="shared" ca="1" si="358"/>
        <v>350</v>
      </c>
      <c r="U2482" s="10">
        <f t="shared" ca="1" si="359"/>
        <v>350</v>
      </c>
      <c r="V2482">
        <f t="shared" si="360"/>
        <v>6</v>
      </c>
    </row>
    <row r="2483" spans="1:22" x14ac:dyDescent="0.25">
      <c r="A2483">
        <v>276</v>
      </c>
      <c r="B2483">
        <v>7</v>
      </c>
      <c r="C2483">
        <v>0</v>
      </c>
      <c r="D2483">
        <v>1</v>
      </c>
      <c r="E2483">
        <v>1</v>
      </c>
      <c r="F2483">
        <v>0</v>
      </c>
      <c r="G2483">
        <v>1</v>
      </c>
      <c r="H2483">
        <v>450</v>
      </c>
      <c r="I2483">
        <f t="shared" si="361"/>
        <v>2475</v>
      </c>
      <c r="J2483" s="6">
        <f t="array" aca="1" ref="J2483:N2483" ca="1">TRANSPOSE(ols(OFFSET($C$2:$C$10,I2483,0),OFFSET($D$2:$H$10,I2483,0)))</f>
        <v>49.16666666666606</v>
      </c>
      <c r="K2483" s="6">
        <f ca="1"/>
        <v>-9.9999999999998295</v>
      </c>
      <c r="L2483" s="6">
        <f ca="1"/>
        <v>-3.333333333333087</v>
      </c>
      <c r="M2483" s="6">
        <f ca="1"/>
        <v>1.666666666666643</v>
      </c>
      <c r="N2483" s="6">
        <f ca="1"/>
        <v>-8.3333333333332371E-2</v>
      </c>
      <c r="O2483" s="6">
        <f t="shared" ca="1" si="354"/>
        <v>3.3333333333333073</v>
      </c>
      <c r="P2483" t="str">
        <f t="shared" si="362"/>
        <v>NA</v>
      </c>
      <c r="Q2483" s="10">
        <f t="shared" ca="1" si="355"/>
        <v>18.333333333333286</v>
      </c>
      <c r="R2483" s="10">
        <f t="shared" ca="1" si="356"/>
        <v>40.833333333332874</v>
      </c>
      <c r="S2483" s="10">
        <f t="shared" ca="1" si="357"/>
        <v>-22.499999999999588</v>
      </c>
      <c r="T2483" s="10">
        <f t="shared" ca="1" si="358"/>
        <v>269.99999999999818</v>
      </c>
      <c r="U2483" s="10">
        <f t="shared" ca="1" si="359"/>
        <v>269.99999999999818</v>
      </c>
      <c r="V2483">
        <f t="shared" si="360"/>
        <v>5</v>
      </c>
    </row>
    <row r="2484" spans="1:22" x14ac:dyDescent="0.25">
      <c r="A2484">
        <v>276</v>
      </c>
      <c r="B2484">
        <v>8</v>
      </c>
      <c r="C2484">
        <v>0</v>
      </c>
      <c r="D2484">
        <v>1</v>
      </c>
      <c r="E2484">
        <v>1</v>
      </c>
      <c r="F2484">
        <v>0</v>
      </c>
      <c r="G2484">
        <v>1</v>
      </c>
      <c r="H2484">
        <v>550</v>
      </c>
      <c r="I2484">
        <f t="shared" si="361"/>
        <v>2475</v>
      </c>
      <c r="J2484" s="6">
        <f t="array" aca="1" ref="J2484:N2484" ca="1">TRANSPOSE(ols(OFFSET($C$2:$C$10,I2484,0),OFFSET($D$2:$H$10,I2484,0)))</f>
        <v>49.16666666666606</v>
      </c>
      <c r="K2484" s="6">
        <f ca="1"/>
        <v>-9.9999999999998295</v>
      </c>
      <c r="L2484" s="6">
        <f ca="1"/>
        <v>-3.333333333333087</v>
      </c>
      <c r="M2484" s="6">
        <f ca="1"/>
        <v>1.666666666666643</v>
      </c>
      <c r="N2484" s="6">
        <f ca="1"/>
        <v>-8.3333333333332371E-2</v>
      </c>
      <c r="O2484" s="6">
        <f t="shared" ca="1" si="354"/>
        <v>-4.9999999999999289</v>
      </c>
      <c r="P2484" t="str">
        <f t="shared" si="362"/>
        <v>NA</v>
      </c>
      <c r="Q2484" s="10">
        <f t="shared" ca="1" si="355"/>
        <v>18.333333333333286</v>
      </c>
      <c r="R2484" s="10">
        <f t="shared" ca="1" si="356"/>
        <v>40.833333333332874</v>
      </c>
      <c r="S2484" s="10">
        <f t="shared" ca="1" si="357"/>
        <v>-22.499999999999588</v>
      </c>
      <c r="T2484" s="10">
        <f t="shared" ca="1" si="358"/>
        <v>269.99999999999818</v>
      </c>
      <c r="U2484" s="10">
        <f t="shared" ca="1" si="359"/>
        <v>269.99999999999818</v>
      </c>
      <c r="V2484">
        <f t="shared" si="360"/>
        <v>5</v>
      </c>
    </row>
    <row r="2485" spans="1:22" x14ac:dyDescent="0.25">
      <c r="A2485">
        <v>276</v>
      </c>
      <c r="B2485">
        <v>9</v>
      </c>
      <c r="C2485">
        <v>0</v>
      </c>
      <c r="D2485">
        <v>1</v>
      </c>
      <c r="E2485">
        <v>0</v>
      </c>
      <c r="F2485">
        <v>0</v>
      </c>
      <c r="G2485">
        <v>1</v>
      </c>
      <c r="H2485">
        <v>650</v>
      </c>
      <c r="I2485">
        <f t="shared" si="361"/>
        <v>2475</v>
      </c>
      <c r="J2485" s="6">
        <f t="array" aca="1" ref="J2485:N2485" ca="1">TRANSPOSE(ols(OFFSET($C$2:$C$10,I2485,0),OFFSET($D$2:$H$10,I2485,0)))</f>
        <v>49.16666666666606</v>
      </c>
      <c r="K2485" s="6">
        <f ca="1"/>
        <v>-9.9999999999998295</v>
      </c>
      <c r="L2485" s="6">
        <f ca="1"/>
        <v>-3.333333333333087</v>
      </c>
      <c r="M2485" s="6">
        <f ca="1"/>
        <v>1.666666666666643</v>
      </c>
      <c r="N2485" s="6">
        <f ca="1"/>
        <v>-8.3333333333332371E-2</v>
      </c>
      <c r="O2485" s="6">
        <f t="shared" ca="1" si="354"/>
        <v>-3.3333333333333357</v>
      </c>
      <c r="P2485" t="str">
        <f t="shared" si="362"/>
        <v>NA</v>
      </c>
      <c r="Q2485" s="10">
        <f t="shared" ca="1" si="355"/>
        <v>18.333333333333286</v>
      </c>
      <c r="R2485" s="10">
        <f t="shared" ca="1" si="356"/>
        <v>50.833333333332703</v>
      </c>
      <c r="S2485" s="10">
        <f t="shared" ca="1" si="357"/>
        <v>-32.499999999999417</v>
      </c>
      <c r="T2485" s="10">
        <f t="shared" ca="1" si="358"/>
        <v>389.9999999999975</v>
      </c>
      <c r="U2485" s="10">
        <f t="shared" ca="1" si="359"/>
        <v>389.9999999999975</v>
      </c>
      <c r="V2485">
        <f t="shared" si="360"/>
        <v>4</v>
      </c>
    </row>
    <row r="2486" spans="1:22" x14ac:dyDescent="0.25">
      <c r="A2486">
        <v>277</v>
      </c>
      <c r="B2486">
        <v>1</v>
      </c>
      <c r="C2486">
        <v>76</v>
      </c>
      <c r="D2486">
        <v>1</v>
      </c>
      <c r="E2486">
        <v>0</v>
      </c>
      <c r="F2486">
        <v>1</v>
      </c>
      <c r="G2486">
        <v>0</v>
      </c>
      <c r="H2486">
        <v>250</v>
      </c>
      <c r="I2486">
        <f t="shared" si="361"/>
        <v>2484</v>
      </c>
      <c r="J2486" s="6">
        <f t="array" aca="1" ref="J2486:N2486" ca="1">TRANSPOSE(ols(OFFSET($C$2:$C$10,I2486,0),OFFSET($D$2:$H$10,I2486,0)))</f>
        <v>137.86309523809359</v>
      </c>
      <c r="K2486" s="6">
        <f ca="1"/>
        <v>-7.3571428571426623</v>
      </c>
      <c r="L2486" s="6">
        <f ca="1"/>
        <v>-5.7619047619045887</v>
      </c>
      <c r="M2486" s="6">
        <f ca="1"/>
        <v>8.6309523809526354</v>
      </c>
      <c r="N2486" s="6">
        <f ca="1"/>
        <v>-0.21654761904762054</v>
      </c>
      <c r="O2486" s="6">
        <f t="shared" ca="1" si="354"/>
        <v>77.964285714283875</v>
      </c>
      <c r="P2486" t="str">
        <f t="shared" si="362"/>
        <v>NA</v>
      </c>
      <c r="Q2486" s="10">
        <f t="shared" ca="1" si="355"/>
        <v>64.940476190474442</v>
      </c>
      <c r="R2486" s="10">
        <f t="shared" ca="1" si="356"/>
        <v>132.101190476189</v>
      </c>
      <c r="S2486" s="10">
        <f t="shared" ca="1" si="357"/>
        <v>-67.160714285714562</v>
      </c>
      <c r="T2486" s="10">
        <f t="shared" ca="1" si="358"/>
        <v>310.14293567894362</v>
      </c>
      <c r="U2486" s="10">
        <f t="shared" ca="1" si="359"/>
        <v>310.14293567894362</v>
      </c>
      <c r="V2486">
        <f t="shared" si="360"/>
        <v>3</v>
      </c>
    </row>
    <row r="2487" spans="1:22" x14ac:dyDescent="0.25">
      <c r="A2487">
        <v>277</v>
      </c>
      <c r="B2487">
        <v>2</v>
      </c>
      <c r="C2487">
        <v>53</v>
      </c>
      <c r="D2487">
        <v>1</v>
      </c>
      <c r="E2487">
        <v>1</v>
      </c>
      <c r="F2487">
        <v>0</v>
      </c>
      <c r="G2487">
        <v>0</v>
      </c>
      <c r="H2487">
        <v>350</v>
      </c>
      <c r="I2487">
        <f t="shared" si="361"/>
        <v>2484</v>
      </c>
      <c r="J2487" s="6">
        <f t="array" aca="1" ref="J2487:N2487" ca="1">TRANSPOSE(ols(OFFSET($C$2:$C$10,I2487,0),OFFSET($D$2:$H$10,I2487,0)))</f>
        <v>137.86309523809359</v>
      </c>
      <c r="K2487" s="6">
        <f ca="1"/>
        <v>-7.3571428571426623</v>
      </c>
      <c r="L2487" s="6">
        <f ca="1"/>
        <v>-5.7619047619045887</v>
      </c>
      <c r="M2487" s="6">
        <f ca="1"/>
        <v>8.6309523809526354</v>
      </c>
      <c r="N2487" s="6">
        <f ca="1"/>
        <v>-0.21654761904762054</v>
      </c>
      <c r="O2487" s="6">
        <f t="shared" ca="1" si="354"/>
        <v>54.714285714283733</v>
      </c>
      <c r="P2487" t="str">
        <f t="shared" si="362"/>
        <v>NA</v>
      </c>
      <c r="Q2487" s="10">
        <f t="shared" ca="1" si="355"/>
        <v>64.940476190474442</v>
      </c>
      <c r="R2487" s="10">
        <f t="shared" ca="1" si="356"/>
        <v>130.50595238095093</v>
      </c>
      <c r="S2487" s="10">
        <f t="shared" ca="1" si="357"/>
        <v>-65.565476190476488</v>
      </c>
      <c r="T2487" s="10">
        <f t="shared" ca="1" si="358"/>
        <v>302.77625068719004</v>
      </c>
      <c r="U2487" s="10">
        <f t="shared" ca="1" si="359"/>
        <v>302.77625068719004</v>
      </c>
      <c r="V2487">
        <f t="shared" si="360"/>
        <v>2</v>
      </c>
    </row>
    <row r="2488" spans="1:22" x14ac:dyDescent="0.25">
      <c r="A2488">
        <v>277</v>
      </c>
      <c r="B2488">
        <v>3</v>
      </c>
      <c r="C2488">
        <v>31</v>
      </c>
      <c r="D2488">
        <v>1</v>
      </c>
      <c r="E2488">
        <v>1</v>
      </c>
      <c r="F2488">
        <v>0</v>
      </c>
      <c r="G2488">
        <v>0</v>
      </c>
      <c r="H2488">
        <v>450</v>
      </c>
      <c r="I2488">
        <f t="shared" si="361"/>
        <v>2484</v>
      </c>
      <c r="J2488" s="6">
        <f t="array" aca="1" ref="J2488:N2488" ca="1">TRANSPOSE(ols(OFFSET($C$2:$C$10,I2488,0),OFFSET($D$2:$H$10,I2488,0)))</f>
        <v>137.86309523809359</v>
      </c>
      <c r="K2488" s="6">
        <f ca="1"/>
        <v>-7.3571428571426623</v>
      </c>
      <c r="L2488" s="6">
        <f ca="1"/>
        <v>-5.7619047619045887</v>
      </c>
      <c r="M2488" s="6">
        <f ca="1"/>
        <v>8.6309523809526354</v>
      </c>
      <c r="N2488" s="6">
        <f ca="1"/>
        <v>-0.21654761904762054</v>
      </c>
      <c r="O2488" s="6">
        <f t="shared" ca="1" si="354"/>
        <v>33.059523809521693</v>
      </c>
      <c r="P2488" t="str">
        <f t="shared" si="362"/>
        <v>NA</v>
      </c>
      <c r="Q2488" s="10">
        <f t="shared" ca="1" si="355"/>
        <v>64.940476190474442</v>
      </c>
      <c r="R2488" s="10">
        <f t="shared" ca="1" si="356"/>
        <v>130.50595238095093</v>
      </c>
      <c r="S2488" s="10">
        <f t="shared" ca="1" si="357"/>
        <v>-65.565476190476488</v>
      </c>
      <c r="T2488" s="10">
        <f t="shared" ca="1" si="358"/>
        <v>302.77625068719004</v>
      </c>
      <c r="U2488" s="10">
        <f t="shared" ca="1" si="359"/>
        <v>302.77625068719004</v>
      </c>
      <c r="V2488">
        <f t="shared" si="360"/>
        <v>2</v>
      </c>
    </row>
    <row r="2489" spans="1:22" x14ac:dyDescent="0.25">
      <c r="A2489">
        <v>277</v>
      </c>
      <c r="B2489">
        <v>4</v>
      </c>
      <c r="C2489">
        <v>24.5</v>
      </c>
      <c r="D2489">
        <v>1</v>
      </c>
      <c r="E2489">
        <v>0</v>
      </c>
      <c r="F2489">
        <v>0</v>
      </c>
      <c r="G2489">
        <v>0</v>
      </c>
      <c r="H2489">
        <v>550</v>
      </c>
      <c r="I2489">
        <f t="shared" si="361"/>
        <v>2484</v>
      </c>
      <c r="J2489" s="6">
        <f t="array" aca="1" ref="J2489:N2489" ca="1">TRANSPOSE(ols(OFFSET($C$2:$C$10,I2489,0),OFFSET($D$2:$H$10,I2489,0)))</f>
        <v>137.86309523809359</v>
      </c>
      <c r="K2489" s="6">
        <f ca="1"/>
        <v>-7.3571428571426623</v>
      </c>
      <c r="L2489" s="6">
        <f ca="1"/>
        <v>-5.7619047619045887</v>
      </c>
      <c r="M2489" s="6">
        <f ca="1"/>
        <v>8.6309523809526354</v>
      </c>
      <c r="N2489" s="6">
        <f ca="1"/>
        <v>-0.21654761904762054</v>
      </c>
      <c r="O2489" s="6">
        <f t="shared" ca="1" si="354"/>
        <v>18.761904761902287</v>
      </c>
      <c r="P2489" t="str">
        <f t="shared" si="362"/>
        <v>NA</v>
      </c>
      <c r="Q2489" s="10">
        <f t="shared" ca="1" si="355"/>
        <v>64.940476190474442</v>
      </c>
      <c r="R2489" s="10">
        <f t="shared" ca="1" si="356"/>
        <v>137.86309523809359</v>
      </c>
      <c r="S2489" s="10">
        <f t="shared" ca="1" si="357"/>
        <v>-72.92261904761915</v>
      </c>
      <c r="T2489" s="10">
        <f t="shared" ca="1" si="358"/>
        <v>336.75096206706797</v>
      </c>
      <c r="U2489" s="10">
        <f t="shared" ca="1" si="359"/>
        <v>336.75096206706797</v>
      </c>
      <c r="V2489">
        <f t="shared" si="360"/>
        <v>1</v>
      </c>
    </row>
    <row r="2490" spans="1:22" x14ac:dyDescent="0.25">
      <c r="A2490">
        <v>277</v>
      </c>
      <c r="B2490">
        <v>5</v>
      </c>
      <c r="C2490">
        <v>85</v>
      </c>
      <c r="D2490">
        <v>1</v>
      </c>
      <c r="E2490">
        <v>0</v>
      </c>
      <c r="F2490">
        <v>1</v>
      </c>
      <c r="G2490">
        <v>1</v>
      </c>
      <c r="H2490">
        <v>250</v>
      </c>
      <c r="I2490">
        <f t="shared" si="361"/>
        <v>2484</v>
      </c>
      <c r="J2490" s="6">
        <f t="array" aca="1" ref="J2490:N2490" ca="1">TRANSPOSE(ols(OFFSET($C$2:$C$10,I2490,0),OFFSET($D$2:$H$10,I2490,0)))</f>
        <v>137.86309523809359</v>
      </c>
      <c r="K2490" s="6">
        <f ca="1"/>
        <v>-7.3571428571426623</v>
      </c>
      <c r="L2490" s="6">
        <f ca="1"/>
        <v>-5.7619047619045887</v>
      </c>
      <c r="M2490" s="6">
        <f ca="1"/>
        <v>8.6309523809526354</v>
      </c>
      <c r="N2490" s="6">
        <f ca="1"/>
        <v>-0.21654761904762054</v>
      </c>
      <c r="O2490" s="6">
        <f t="shared" ca="1" si="354"/>
        <v>86.59523809523651</v>
      </c>
      <c r="P2490" t="str">
        <f t="shared" si="362"/>
        <v>NA</v>
      </c>
      <c r="Q2490" s="10">
        <f t="shared" ca="1" si="355"/>
        <v>64.940476190474442</v>
      </c>
      <c r="R2490" s="10">
        <f t="shared" ca="1" si="356"/>
        <v>140.73214285714164</v>
      </c>
      <c r="S2490" s="10">
        <f t="shared" ca="1" si="357"/>
        <v>-75.791666666667197</v>
      </c>
      <c r="T2490" s="10">
        <f t="shared" ca="1" si="358"/>
        <v>350.00000000000006</v>
      </c>
      <c r="U2490" s="10">
        <f t="shared" ca="1" si="359"/>
        <v>350.00000000000006</v>
      </c>
      <c r="V2490">
        <f t="shared" si="360"/>
        <v>6</v>
      </c>
    </row>
    <row r="2491" spans="1:22" x14ac:dyDescent="0.25">
      <c r="A2491">
        <v>277</v>
      </c>
      <c r="B2491">
        <v>6</v>
      </c>
      <c r="C2491">
        <v>68.5</v>
      </c>
      <c r="D2491">
        <v>1</v>
      </c>
      <c r="E2491">
        <v>0</v>
      </c>
      <c r="F2491">
        <v>1</v>
      </c>
      <c r="G2491">
        <v>1</v>
      </c>
      <c r="H2491">
        <v>350</v>
      </c>
      <c r="I2491">
        <f t="shared" si="361"/>
        <v>2484</v>
      </c>
      <c r="J2491" s="6">
        <f t="array" aca="1" ref="J2491:N2491" ca="1">TRANSPOSE(ols(OFFSET($C$2:$C$10,I2491,0),OFFSET($D$2:$H$10,I2491,0)))</f>
        <v>137.86309523809359</v>
      </c>
      <c r="K2491" s="6">
        <f ca="1"/>
        <v>-7.3571428571426623</v>
      </c>
      <c r="L2491" s="6">
        <f ca="1"/>
        <v>-5.7619047619045887</v>
      </c>
      <c r="M2491" s="6">
        <f ca="1"/>
        <v>8.6309523809526354</v>
      </c>
      <c r="N2491" s="6">
        <f ca="1"/>
        <v>-0.21654761904762054</v>
      </c>
      <c r="O2491" s="6">
        <f t="shared" ca="1" si="354"/>
        <v>64.940476190474442</v>
      </c>
      <c r="P2491">
        <f t="shared" ca="1" si="362"/>
        <v>64.940476190474442</v>
      </c>
      <c r="Q2491" s="10">
        <f t="shared" ca="1" si="355"/>
        <v>64.940476190474442</v>
      </c>
      <c r="R2491" s="10">
        <f t="shared" ca="1" si="356"/>
        <v>140.73214285714164</v>
      </c>
      <c r="S2491" s="10">
        <f t="shared" ca="1" si="357"/>
        <v>-75.791666666667197</v>
      </c>
      <c r="T2491" s="10">
        <f t="shared" ca="1" si="358"/>
        <v>350.00000000000006</v>
      </c>
      <c r="U2491" s="10">
        <f t="shared" ca="1" si="359"/>
        <v>350.00000000000006</v>
      </c>
      <c r="V2491">
        <f t="shared" si="360"/>
        <v>6</v>
      </c>
    </row>
    <row r="2492" spans="1:22" x14ac:dyDescent="0.25">
      <c r="A2492">
        <v>277</v>
      </c>
      <c r="B2492">
        <v>7</v>
      </c>
      <c r="C2492">
        <v>45</v>
      </c>
      <c r="D2492">
        <v>1</v>
      </c>
      <c r="E2492">
        <v>1</v>
      </c>
      <c r="F2492">
        <v>0</v>
      </c>
      <c r="G2492">
        <v>1</v>
      </c>
      <c r="H2492">
        <v>450</v>
      </c>
      <c r="I2492">
        <f t="shared" si="361"/>
        <v>2484</v>
      </c>
      <c r="J2492" s="6">
        <f t="array" aca="1" ref="J2492:N2492" ca="1">TRANSPOSE(ols(OFFSET($C$2:$C$10,I2492,0),OFFSET($D$2:$H$10,I2492,0)))</f>
        <v>137.86309523809359</v>
      </c>
      <c r="K2492" s="6">
        <f ca="1"/>
        <v>-7.3571428571426623</v>
      </c>
      <c r="L2492" s="6">
        <f ca="1"/>
        <v>-5.7619047619045887</v>
      </c>
      <c r="M2492" s="6">
        <f ca="1"/>
        <v>8.6309523809526354</v>
      </c>
      <c r="N2492" s="6">
        <f ca="1"/>
        <v>-0.21654761904762054</v>
      </c>
      <c r="O2492" s="6">
        <f t="shared" ca="1" si="354"/>
        <v>41.690476190474328</v>
      </c>
      <c r="P2492" t="str">
        <f t="shared" si="362"/>
        <v>NA</v>
      </c>
      <c r="Q2492" s="10">
        <f t="shared" ca="1" si="355"/>
        <v>64.940476190474442</v>
      </c>
      <c r="R2492" s="10">
        <f t="shared" ca="1" si="356"/>
        <v>139.13690476190357</v>
      </c>
      <c r="S2492" s="10">
        <f t="shared" ca="1" si="357"/>
        <v>-74.196428571429124</v>
      </c>
      <c r="T2492" s="10">
        <f t="shared" ca="1" si="358"/>
        <v>342.63331500824648</v>
      </c>
      <c r="U2492" s="10">
        <f t="shared" ca="1" si="359"/>
        <v>342.63331500824648</v>
      </c>
      <c r="V2492">
        <f t="shared" si="360"/>
        <v>5</v>
      </c>
    </row>
    <row r="2493" spans="1:22" x14ac:dyDescent="0.25">
      <c r="A2493">
        <v>277</v>
      </c>
      <c r="B2493">
        <v>8</v>
      </c>
      <c r="C2493">
        <v>20.5</v>
      </c>
      <c r="D2493">
        <v>1</v>
      </c>
      <c r="E2493">
        <v>1</v>
      </c>
      <c r="F2493">
        <v>0</v>
      </c>
      <c r="G2493">
        <v>1</v>
      </c>
      <c r="H2493">
        <v>550</v>
      </c>
      <c r="I2493">
        <f t="shared" si="361"/>
        <v>2484</v>
      </c>
      <c r="J2493" s="6">
        <f t="array" aca="1" ref="J2493:N2493" ca="1">TRANSPOSE(ols(OFFSET($C$2:$C$10,I2493,0),OFFSET($D$2:$H$10,I2493,0)))</f>
        <v>137.86309523809359</v>
      </c>
      <c r="K2493" s="6">
        <f ca="1"/>
        <v>-7.3571428571426623</v>
      </c>
      <c r="L2493" s="6">
        <f ca="1"/>
        <v>-5.7619047619045887</v>
      </c>
      <c r="M2493" s="6">
        <f ca="1"/>
        <v>8.6309523809526354</v>
      </c>
      <c r="N2493" s="6">
        <f ca="1"/>
        <v>-0.21654761904762054</v>
      </c>
      <c r="O2493" s="6">
        <f t="shared" ca="1" si="354"/>
        <v>20.03571428571226</v>
      </c>
      <c r="P2493" t="str">
        <f t="shared" si="362"/>
        <v>NA</v>
      </c>
      <c r="Q2493" s="10">
        <f t="shared" ca="1" si="355"/>
        <v>64.940476190474442</v>
      </c>
      <c r="R2493" s="10">
        <f t="shared" ca="1" si="356"/>
        <v>139.13690476190357</v>
      </c>
      <c r="S2493" s="10">
        <f t="shared" ca="1" si="357"/>
        <v>-74.196428571429124</v>
      </c>
      <c r="T2493" s="10">
        <f t="shared" ca="1" si="358"/>
        <v>342.63331500824648</v>
      </c>
      <c r="U2493" s="10">
        <f t="shared" ca="1" si="359"/>
        <v>342.63331500824648</v>
      </c>
      <c r="V2493">
        <f t="shared" si="360"/>
        <v>5</v>
      </c>
    </row>
    <row r="2494" spans="1:22" x14ac:dyDescent="0.25">
      <c r="A2494">
        <v>277</v>
      </c>
      <c r="B2494">
        <v>9</v>
      </c>
      <c r="C2494">
        <v>0</v>
      </c>
      <c r="D2494">
        <v>1</v>
      </c>
      <c r="E2494">
        <v>0</v>
      </c>
      <c r="F2494">
        <v>0</v>
      </c>
      <c r="G2494">
        <v>1</v>
      </c>
      <c r="H2494">
        <v>650</v>
      </c>
      <c r="I2494">
        <f t="shared" si="361"/>
        <v>2484</v>
      </c>
      <c r="J2494" s="6">
        <f t="array" aca="1" ref="J2494:N2494" ca="1">TRANSPOSE(ols(OFFSET($C$2:$C$10,I2494,0),OFFSET($D$2:$H$10,I2494,0)))</f>
        <v>137.86309523809359</v>
      </c>
      <c r="K2494" s="6">
        <f ca="1"/>
        <v>-7.3571428571426623</v>
      </c>
      <c r="L2494" s="6">
        <f ca="1"/>
        <v>-5.7619047619045887</v>
      </c>
      <c r="M2494" s="6">
        <f ca="1"/>
        <v>8.6309523809526354</v>
      </c>
      <c r="N2494" s="6">
        <f ca="1"/>
        <v>-0.21654761904762054</v>
      </c>
      <c r="O2494" s="6">
        <f t="shared" ca="1" si="354"/>
        <v>5.7380952380928818</v>
      </c>
      <c r="P2494" t="str">
        <f t="shared" si="362"/>
        <v>NA</v>
      </c>
      <c r="Q2494" s="10">
        <f t="shared" ca="1" si="355"/>
        <v>64.940476190474442</v>
      </c>
      <c r="R2494" s="10">
        <f t="shared" ca="1" si="356"/>
        <v>146.49404761904623</v>
      </c>
      <c r="S2494" s="10">
        <f t="shared" ca="1" si="357"/>
        <v>-81.553571428571786</v>
      </c>
      <c r="T2494" s="10">
        <f t="shared" ca="1" si="358"/>
        <v>376.60802638812442</v>
      </c>
      <c r="U2494" s="10">
        <f t="shared" ca="1" si="359"/>
        <v>376.60802638812442</v>
      </c>
      <c r="V2494">
        <f t="shared" si="360"/>
        <v>4</v>
      </c>
    </row>
    <row r="2495" spans="1:22" x14ac:dyDescent="0.25">
      <c r="A2495">
        <v>278</v>
      </c>
      <c r="B2495">
        <v>1</v>
      </c>
      <c r="C2495">
        <v>7.5</v>
      </c>
      <c r="D2495">
        <v>1</v>
      </c>
      <c r="E2495">
        <v>0</v>
      </c>
      <c r="F2495">
        <v>1</v>
      </c>
      <c r="G2495">
        <v>0</v>
      </c>
      <c r="H2495">
        <v>250</v>
      </c>
      <c r="I2495">
        <f t="shared" si="361"/>
        <v>2493</v>
      </c>
      <c r="J2495" s="6">
        <f t="array" aca="1" ref="J2495:N2495" ca="1">TRANSPOSE(ols(OFFSET($C$2:$C$10,I2495,0),OFFSET($D$2:$H$10,I2495,0)))</f>
        <v>20.922619047618753</v>
      </c>
      <c r="K2495" s="6">
        <f ca="1"/>
        <v>-3.5714285714284841</v>
      </c>
      <c r="L2495" s="6">
        <f ca="1"/>
        <v>-3.4523809523807927</v>
      </c>
      <c r="M2495" s="6">
        <f ca="1"/>
        <v>1.7261904761904603</v>
      </c>
      <c r="N2495" s="6">
        <f ca="1"/>
        <v>-3.630952380952357E-2</v>
      </c>
      <c r="O2495" s="6">
        <f t="shared" ca="1" si="354"/>
        <v>8.3928571428570677</v>
      </c>
      <c r="P2495" t="str">
        <f t="shared" si="362"/>
        <v>NA</v>
      </c>
      <c r="Q2495" s="10">
        <f t="shared" ca="1" si="355"/>
        <v>6.4880952380951715</v>
      </c>
      <c r="R2495" s="10">
        <f t="shared" ca="1" si="356"/>
        <v>17.47023809523796</v>
      </c>
      <c r="S2495" s="10">
        <f t="shared" ca="1" si="357"/>
        <v>-10.982142857142788</v>
      </c>
      <c r="T2495" s="10">
        <f t="shared" ca="1" si="358"/>
        <v>302.45901639344271</v>
      </c>
      <c r="U2495" s="10">
        <f t="shared" ca="1" si="359"/>
        <v>302.45901639344271</v>
      </c>
      <c r="V2495">
        <f t="shared" si="360"/>
        <v>3</v>
      </c>
    </row>
    <row r="2496" spans="1:22" x14ac:dyDescent="0.25">
      <c r="A2496">
        <v>278</v>
      </c>
      <c r="B2496">
        <v>2</v>
      </c>
      <c r="C2496">
        <v>7.5</v>
      </c>
      <c r="D2496">
        <v>1</v>
      </c>
      <c r="E2496">
        <v>1</v>
      </c>
      <c r="F2496">
        <v>0</v>
      </c>
      <c r="G2496">
        <v>0</v>
      </c>
      <c r="H2496">
        <v>350</v>
      </c>
      <c r="I2496">
        <f t="shared" si="361"/>
        <v>2493</v>
      </c>
      <c r="J2496" s="6">
        <f t="array" aca="1" ref="J2496:N2496" ca="1">TRANSPOSE(ols(OFFSET($C$2:$C$10,I2496,0),OFFSET($D$2:$H$10,I2496,0)))</f>
        <v>20.922619047618753</v>
      </c>
      <c r="K2496" s="6">
        <f ca="1"/>
        <v>-3.5714285714284841</v>
      </c>
      <c r="L2496" s="6">
        <f ca="1"/>
        <v>-3.4523809523807927</v>
      </c>
      <c r="M2496" s="6">
        <f ca="1"/>
        <v>1.7261904761904603</v>
      </c>
      <c r="N2496" s="6">
        <f ca="1"/>
        <v>-3.630952380952357E-2</v>
      </c>
      <c r="O2496" s="6">
        <f t="shared" ca="1" si="354"/>
        <v>4.6428571428570198</v>
      </c>
      <c r="P2496" t="str">
        <f t="shared" si="362"/>
        <v>NA</v>
      </c>
      <c r="Q2496" s="10">
        <f t="shared" ca="1" si="355"/>
        <v>6.4880952380951715</v>
      </c>
      <c r="R2496" s="10">
        <f t="shared" ca="1" si="356"/>
        <v>17.351190476190268</v>
      </c>
      <c r="S2496" s="10">
        <f t="shared" ca="1" si="357"/>
        <v>-10.863095238095097</v>
      </c>
      <c r="T2496" s="10">
        <f t="shared" ca="1" si="358"/>
        <v>299.18032786885055</v>
      </c>
      <c r="U2496" s="10">
        <f t="shared" ca="1" si="359"/>
        <v>299.18032786885055</v>
      </c>
      <c r="V2496">
        <f t="shared" si="360"/>
        <v>2</v>
      </c>
    </row>
    <row r="2497" spans="1:22" x14ac:dyDescent="0.25">
      <c r="A2497">
        <v>278</v>
      </c>
      <c r="B2497">
        <v>3</v>
      </c>
      <c r="C2497">
        <v>0</v>
      </c>
      <c r="D2497">
        <v>1</v>
      </c>
      <c r="E2497">
        <v>1</v>
      </c>
      <c r="F2497">
        <v>0</v>
      </c>
      <c r="G2497">
        <v>0</v>
      </c>
      <c r="H2497">
        <v>450</v>
      </c>
      <c r="I2497">
        <f t="shared" si="361"/>
        <v>2493</v>
      </c>
      <c r="J2497" s="6">
        <f t="array" aca="1" ref="J2497:N2497" ca="1">TRANSPOSE(ols(OFFSET($C$2:$C$10,I2497,0),OFFSET($D$2:$H$10,I2497,0)))</f>
        <v>20.922619047618753</v>
      </c>
      <c r="K2497" s="6">
        <f ca="1"/>
        <v>-3.5714285714284841</v>
      </c>
      <c r="L2497" s="6">
        <f ca="1"/>
        <v>-3.4523809523807927</v>
      </c>
      <c r="M2497" s="6">
        <f ca="1"/>
        <v>1.7261904761904603</v>
      </c>
      <c r="N2497" s="6">
        <f ca="1"/>
        <v>-3.630952380952357E-2</v>
      </c>
      <c r="O2497" s="6">
        <f t="shared" ca="1" si="354"/>
        <v>1.0119047619046633</v>
      </c>
      <c r="P2497" t="str">
        <f t="shared" si="362"/>
        <v>NA</v>
      </c>
      <c r="Q2497" s="10">
        <f t="shared" ca="1" si="355"/>
        <v>6.4880952380951715</v>
      </c>
      <c r="R2497" s="10">
        <f t="shared" ca="1" si="356"/>
        <v>17.351190476190268</v>
      </c>
      <c r="S2497" s="10">
        <f t="shared" ca="1" si="357"/>
        <v>-10.863095238095097</v>
      </c>
      <c r="T2497" s="10">
        <f t="shared" ca="1" si="358"/>
        <v>299.18032786885055</v>
      </c>
      <c r="U2497" s="10">
        <f t="shared" ca="1" si="359"/>
        <v>299.18032786885055</v>
      </c>
      <c r="V2497">
        <f t="shared" si="360"/>
        <v>2</v>
      </c>
    </row>
    <row r="2498" spans="1:22" x14ac:dyDescent="0.25">
      <c r="A2498">
        <v>278</v>
      </c>
      <c r="B2498">
        <v>4</v>
      </c>
      <c r="C2498">
        <v>0</v>
      </c>
      <c r="D2498">
        <v>1</v>
      </c>
      <c r="E2498">
        <v>0</v>
      </c>
      <c r="F2498">
        <v>0</v>
      </c>
      <c r="G2498">
        <v>0</v>
      </c>
      <c r="H2498">
        <v>550</v>
      </c>
      <c r="I2498">
        <f t="shared" si="361"/>
        <v>2493</v>
      </c>
      <c r="J2498" s="6">
        <f t="array" aca="1" ref="J2498:N2498" ca="1">TRANSPOSE(ols(OFFSET($C$2:$C$10,I2498,0),OFFSET($D$2:$H$10,I2498,0)))</f>
        <v>20.922619047618753</v>
      </c>
      <c r="K2498" s="6">
        <f ca="1"/>
        <v>-3.5714285714284841</v>
      </c>
      <c r="L2498" s="6">
        <f ca="1"/>
        <v>-3.4523809523807927</v>
      </c>
      <c r="M2498" s="6">
        <f ca="1"/>
        <v>1.7261904761904603</v>
      </c>
      <c r="N2498" s="6">
        <f ca="1"/>
        <v>-3.630952380952357E-2</v>
      </c>
      <c r="O2498" s="6">
        <f t="shared" ca="1" si="354"/>
        <v>0.95238095238078913</v>
      </c>
      <c r="P2498" t="str">
        <f t="shared" si="362"/>
        <v>NA</v>
      </c>
      <c r="Q2498" s="10">
        <f t="shared" ca="1" si="355"/>
        <v>6.4880952380951715</v>
      </c>
      <c r="R2498" s="10">
        <f t="shared" ca="1" si="356"/>
        <v>20.922619047618753</v>
      </c>
      <c r="S2498" s="10">
        <f t="shared" ca="1" si="357"/>
        <v>-14.434523809523581</v>
      </c>
      <c r="T2498" s="10">
        <f t="shared" ca="1" si="358"/>
        <v>397.54098360655371</v>
      </c>
      <c r="U2498" s="10">
        <f t="shared" ca="1" si="359"/>
        <v>397.54098360655371</v>
      </c>
      <c r="V2498">
        <f t="shared" si="360"/>
        <v>1</v>
      </c>
    </row>
    <row r="2499" spans="1:22" x14ac:dyDescent="0.25">
      <c r="A2499">
        <v>278</v>
      </c>
      <c r="B2499">
        <v>5</v>
      </c>
      <c r="C2499">
        <v>10</v>
      </c>
      <c r="D2499">
        <v>1</v>
      </c>
      <c r="E2499">
        <v>0</v>
      </c>
      <c r="F2499">
        <v>1</v>
      </c>
      <c r="G2499">
        <v>1</v>
      </c>
      <c r="H2499">
        <v>250</v>
      </c>
      <c r="I2499">
        <f t="shared" si="361"/>
        <v>2493</v>
      </c>
      <c r="J2499" s="6">
        <f t="array" aca="1" ref="J2499:N2499" ca="1">TRANSPOSE(ols(OFFSET($C$2:$C$10,I2499,0),OFFSET($D$2:$H$10,I2499,0)))</f>
        <v>20.922619047618753</v>
      </c>
      <c r="K2499" s="6">
        <f ca="1"/>
        <v>-3.5714285714284841</v>
      </c>
      <c r="L2499" s="6">
        <f ca="1"/>
        <v>-3.4523809523807927</v>
      </c>
      <c r="M2499" s="6">
        <f ca="1"/>
        <v>1.7261904761904603</v>
      </c>
      <c r="N2499" s="6">
        <f ca="1"/>
        <v>-3.630952380952357E-2</v>
      </c>
      <c r="O2499" s="6">
        <f t="shared" ref="O2499:O2562" ca="1" si="363">SUMPRODUCT(J2499:N2499,D2499:H2499)</f>
        <v>10.119047619047528</v>
      </c>
      <c r="P2499" t="str">
        <f t="shared" si="362"/>
        <v>NA</v>
      </c>
      <c r="Q2499" s="10">
        <f t="shared" ref="Q2499:Q2562" ca="1" si="364">AVERAGEIF($A$2:$A$5383,A2499,$P$2:$P$5383)</f>
        <v>6.4880952380951715</v>
      </c>
      <c r="R2499" s="10">
        <f t="shared" ref="R2499:R2562" ca="1" si="365">O2499-N2499*H2499</f>
        <v>19.19642857142842</v>
      </c>
      <c r="S2499" s="10">
        <f t="shared" ref="S2499:S2562" ca="1" si="366">Q2499-R2499</f>
        <v>-12.708333333333249</v>
      </c>
      <c r="T2499" s="10">
        <f t="shared" ref="T2499:T2562" ca="1" si="367">S2499/N2499</f>
        <v>350</v>
      </c>
      <c r="U2499" s="10">
        <f t="shared" ref="U2499:U2562" ca="1" si="368">IF(OR(T2499&lt;250,T2499&gt;650),"OR",T2499)</f>
        <v>350</v>
      </c>
      <c r="V2499">
        <f t="shared" ref="V2499:V2562" si="369">IF(AND(E2499=1,G2499=0),2,IF(AND(F2499=1,G2499=0),3,IF(AND(E2499=1,G2499=1),5,IF(AND(F2499=1,G2499=1),6,IF(G2499=0,1,IF(G2499=1,4))))))</f>
        <v>6</v>
      </c>
    </row>
    <row r="2500" spans="1:22" x14ac:dyDescent="0.25">
      <c r="A2500">
        <v>278</v>
      </c>
      <c r="B2500">
        <v>6</v>
      </c>
      <c r="C2500">
        <v>7.5</v>
      </c>
      <c r="D2500">
        <v>1</v>
      </c>
      <c r="E2500">
        <v>0</v>
      </c>
      <c r="F2500">
        <v>1</v>
      </c>
      <c r="G2500">
        <v>1</v>
      </c>
      <c r="H2500">
        <v>350</v>
      </c>
      <c r="I2500">
        <f t="shared" si="361"/>
        <v>2493</v>
      </c>
      <c r="J2500" s="6">
        <f t="array" aca="1" ref="J2500:N2500" ca="1">TRANSPOSE(ols(OFFSET($C$2:$C$10,I2500,0),OFFSET($D$2:$H$10,I2500,0)))</f>
        <v>20.922619047618753</v>
      </c>
      <c r="K2500" s="6">
        <f ca="1"/>
        <v>-3.5714285714284841</v>
      </c>
      <c r="L2500" s="6">
        <f ca="1"/>
        <v>-3.4523809523807927</v>
      </c>
      <c r="M2500" s="6">
        <f ca="1"/>
        <v>1.7261904761904603</v>
      </c>
      <c r="N2500" s="6">
        <f ca="1"/>
        <v>-3.630952380952357E-2</v>
      </c>
      <c r="O2500" s="6">
        <f t="shared" ca="1" si="363"/>
        <v>6.4880952380951715</v>
      </c>
      <c r="P2500">
        <f t="shared" ca="1" si="362"/>
        <v>6.4880952380951715</v>
      </c>
      <c r="Q2500" s="10">
        <f t="shared" ca="1" si="364"/>
        <v>6.4880952380951715</v>
      </c>
      <c r="R2500" s="10">
        <f t="shared" ca="1" si="365"/>
        <v>19.19642857142842</v>
      </c>
      <c r="S2500" s="10">
        <f t="shared" ca="1" si="366"/>
        <v>-12.708333333333249</v>
      </c>
      <c r="T2500" s="10">
        <f t="shared" ca="1" si="367"/>
        <v>350</v>
      </c>
      <c r="U2500" s="10">
        <f t="shared" ca="1" si="368"/>
        <v>350</v>
      </c>
      <c r="V2500">
        <f t="shared" si="369"/>
        <v>6</v>
      </c>
    </row>
    <row r="2501" spans="1:22" x14ac:dyDescent="0.25">
      <c r="A2501">
        <v>278</v>
      </c>
      <c r="B2501">
        <v>7</v>
      </c>
      <c r="C2501">
        <v>0</v>
      </c>
      <c r="D2501">
        <v>1</v>
      </c>
      <c r="E2501">
        <v>1</v>
      </c>
      <c r="F2501">
        <v>0</v>
      </c>
      <c r="G2501">
        <v>1</v>
      </c>
      <c r="H2501">
        <v>450</v>
      </c>
      <c r="I2501">
        <f t="shared" si="361"/>
        <v>2493</v>
      </c>
      <c r="J2501" s="6">
        <f t="array" aca="1" ref="J2501:N2501" ca="1">TRANSPOSE(ols(OFFSET($C$2:$C$10,I2501,0),OFFSET($D$2:$H$10,I2501,0)))</f>
        <v>20.922619047618753</v>
      </c>
      <c r="K2501" s="6">
        <f ca="1"/>
        <v>-3.5714285714284841</v>
      </c>
      <c r="L2501" s="6">
        <f ca="1"/>
        <v>-3.4523809523807927</v>
      </c>
      <c r="M2501" s="6">
        <f ca="1"/>
        <v>1.7261904761904603</v>
      </c>
      <c r="N2501" s="6">
        <f ca="1"/>
        <v>-3.630952380952357E-2</v>
      </c>
      <c r="O2501" s="6">
        <f t="shared" ca="1" si="363"/>
        <v>2.7380952380951236</v>
      </c>
      <c r="P2501" t="str">
        <f t="shared" si="362"/>
        <v>NA</v>
      </c>
      <c r="Q2501" s="10">
        <f t="shared" ca="1" si="364"/>
        <v>6.4880952380951715</v>
      </c>
      <c r="R2501" s="10">
        <f t="shared" ca="1" si="365"/>
        <v>19.077380952380729</v>
      </c>
      <c r="S2501" s="10">
        <f t="shared" ca="1" si="366"/>
        <v>-12.589285714285557</v>
      </c>
      <c r="T2501" s="10">
        <f t="shared" ca="1" si="367"/>
        <v>346.72131147540779</v>
      </c>
      <c r="U2501" s="10">
        <f t="shared" ca="1" si="368"/>
        <v>346.72131147540779</v>
      </c>
      <c r="V2501">
        <f t="shared" si="369"/>
        <v>5</v>
      </c>
    </row>
    <row r="2502" spans="1:22" x14ac:dyDescent="0.25">
      <c r="A2502">
        <v>278</v>
      </c>
      <c r="B2502">
        <v>8</v>
      </c>
      <c r="C2502">
        <v>0</v>
      </c>
      <c r="D2502">
        <v>1</v>
      </c>
      <c r="E2502">
        <v>1</v>
      </c>
      <c r="F2502">
        <v>0</v>
      </c>
      <c r="G2502">
        <v>1</v>
      </c>
      <c r="H2502">
        <v>550</v>
      </c>
      <c r="I2502">
        <f t="shared" si="361"/>
        <v>2493</v>
      </c>
      <c r="J2502" s="6">
        <f t="array" aca="1" ref="J2502:N2502" ca="1">TRANSPOSE(ols(OFFSET($C$2:$C$10,I2502,0),OFFSET($D$2:$H$10,I2502,0)))</f>
        <v>20.922619047618753</v>
      </c>
      <c r="K2502" s="6">
        <f ca="1"/>
        <v>-3.5714285714284841</v>
      </c>
      <c r="L2502" s="6">
        <f ca="1"/>
        <v>-3.4523809523807927</v>
      </c>
      <c r="M2502" s="6">
        <f ca="1"/>
        <v>1.7261904761904603</v>
      </c>
      <c r="N2502" s="6">
        <f ca="1"/>
        <v>-3.630952380952357E-2</v>
      </c>
      <c r="O2502" s="6">
        <f t="shared" ca="1" si="363"/>
        <v>-0.89285714285723472</v>
      </c>
      <c r="P2502" t="str">
        <f t="shared" si="362"/>
        <v>NA</v>
      </c>
      <c r="Q2502" s="10">
        <f t="shared" ca="1" si="364"/>
        <v>6.4880952380951715</v>
      </c>
      <c r="R2502" s="10">
        <f t="shared" ca="1" si="365"/>
        <v>19.077380952380729</v>
      </c>
      <c r="S2502" s="10">
        <f t="shared" ca="1" si="366"/>
        <v>-12.589285714285557</v>
      </c>
      <c r="T2502" s="10">
        <f t="shared" ca="1" si="367"/>
        <v>346.72131147540779</v>
      </c>
      <c r="U2502" s="10">
        <f t="shared" ca="1" si="368"/>
        <v>346.72131147540779</v>
      </c>
      <c r="V2502">
        <f t="shared" si="369"/>
        <v>5</v>
      </c>
    </row>
    <row r="2503" spans="1:22" x14ac:dyDescent="0.25">
      <c r="A2503">
        <v>278</v>
      </c>
      <c r="B2503">
        <v>9</v>
      </c>
      <c r="C2503">
        <v>0</v>
      </c>
      <c r="D2503">
        <v>1</v>
      </c>
      <c r="E2503">
        <v>0</v>
      </c>
      <c r="F2503">
        <v>0</v>
      </c>
      <c r="G2503">
        <v>1</v>
      </c>
      <c r="H2503">
        <v>650</v>
      </c>
      <c r="I2503">
        <f t="shared" si="361"/>
        <v>2493</v>
      </c>
      <c r="J2503" s="6">
        <f t="array" aca="1" ref="J2503:N2503" ca="1">TRANSPOSE(ols(OFFSET($C$2:$C$10,I2503,0),OFFSET($D$2:$H$10,I2503,0)))</f>
        <v>20.922619047618753</v>
      </c>
      <c r="K2503" s="6">
        <f ca="1"/>
        <v>-3.5714285714284841</v>
      </c>
      <c r="L2503" s="6">
        <f ca="1"/>
        <v>-3.4523809523807927</v>
      </c>
      <c r="M2503" s="6">
        <f ca="1"/>
        <v>1.7261904761904603</v>
      </c>
      <c r="N2503" s="6">
        <f ca="1"/>
        <v>-3.630952380952357E-2</v>
      </c>
      <c r="O2503" s="6">
        <f t="shared" ca="1" si="363"/>
        <v>-0.95238095238110887</v>
      </c>
      <c r="P2503" t="str">
        <f t="shared" si="362"/>
        <v>NA</v>
      </c>
      <c r="Q2503" s="10">
        <f t="shared" ca="1" si="364"/>
        <v>6.4880952380951715</v>
      </c>
      <c r="R2503" s="10">
        <f t="shared" ca="1" si="365"/>
        <v>22.648809523809213</v>
      </c>
      <c r="S2503" s="10">
        <f t="shared" ca="1" si="366"/>
        <v>-16.160714285714043</v>
      </c>
      <c r="T2503" s="10">
        <f t="shared" ca="1" si="367"/>
        <v>445.081967213111</v>
      </c>
      <c r="U2503" s="10">
        <f t="shared" ca="1" si="368"/>
        <v>445.081967213111</v>
      </c>
      <c r="V2503">
        <f t="shared" si="369"/>
        <v>4</v>
      </c>
    </row>
    <row r="2504" spans="1:22" x14ac:dyDescent="0.25">
      <c r="A2504">
        <v>279</v>
      </c>
      <c r="B2504">
        <v>1</v>
      </c>
      <c r="C2504">
        <v>15</v>
      </c>
      <c r="D2504">
        <v>1</v>
      </c>
      <c r="E2504">
        <v>0</v>
      </c>
      <c r="F2504">
        <v>1</v>
      </c>
      <c r="G2504">
        <v>0</v>
      </c>
      <c r="H2504">
        <v>250</v>
      </c>
      <c r="I2504">
        <f t="shared" si="361"/>
        <v>2502</v>
      </c>
      <c r="J2504" s="6">
        <f t="array" aca="1" ref="J2504:N2504" ca="1">TRANSPOSE(ols(OFFSET($C$2:$C$10,I2504,0),OFFSET($D$2:$H$10,I2504,0)))</f>
        <v>60.565476190475238</v>
      </c>
      <c r="K2504" s="6">
        <f ca="1"/>
        <v>1.9642857142858929</v>
      </c>
      <c r="L2504" s="6">
        <f ca="1"/>
        <v>-13.809523809523398</v>
      </c>
      <c r="M2504" s="6">
        <f ca="1"/>
        <v>8.1547619047619264</v>
      </c>
      <c r="N2504" s="6">
        <f ca="1"/>
        <v>-0.10773809523809419</v>
      </c>
      <c r="O2504" s="6">
        <f t="shared" ca="1" si="363"/>
        <v>19.821428571428292</v>
      </c>
      <c r="P2504" t="str">
        <f t="shared" si="362"/>
        <v>NA</v>
      </c>
      <c r="Q2504" s="10">
        <f t="shared" ca="1" si="364"/>
        <v>17.2023809523808</v>
      </c>
      <c r="R2504" s="10">
        <f t="shared" ca="1" si="365"/>
        <v>46.75595238095184</v>
      </c>
      <c r="S2504" s="10">
        <f t="shared" ca="1" si="366"/>
        <v>-29.55357142857104</v>
      </c>
      <c r="T2504" s="10">
        <f t="shared" ca="1" si="367"/>
        <v>274.30939226519246</v>
      </c>
      <c r="U2504" s="10">
        <f t="shared" ca="1" si="368"/>
        <v>274.30939226519246</v>
      </c>
      <c r="V2504">
        <f t="shared" si="369"/>
        <v>3</v>
      </c>
    </row>
    <row r="2505" spans="1:22" x14ac:dyDescent="0.25">
      <c r="A2505">
        <v>279</v>
      </c>
      <c r="B2505">
        <v>2</v>
      </c>
      <c r="C2505">
        <v>25</v>
      </c>
      <c r="D2505">
        <v>1</v>
      </c>
      <c r="E2505">
        <v>1</v>
      </c>
      <c r="F2505">
        <v>0</v>
      </c>
      <c r="G2505">
        <v>0</v>
      </c>
      <c r="H2505">
        <v>350</v>
      </c>
      <c r="I2505">
        <f t="shared" si="361"/>
        <v>2502</v>
      </c>
      <c r="J2505" s="6">
        <f t="array" aca="1" ref="J2505:N2505" ca="1">TRANSPOSE(ols(OFFSET($C$2:$C$10,I2505,0),OFFSET($D$2:$H$10,I2505,0)))</f>
        <v>60.565476190475238</v>
      </c>
      <c r="K2505" s="6">
        <f ca="1"/>
        <v>1.9642857142858929</v>
      </c>
      <c r="L2505" s="6">
        <f ca="1"/>
        <v>-13.809523809523398</v>
      </c>
      <c r="M2505" s="6">
        <f ca="1"/>
        <v>8.1547619047619264</v>
      </c>
      <c r="N2505" s="6">
        <f ca="1"/>
        <v>-0.10773809523809419</v>
      </c>
      <c r="O2505" s="6">
        <f t="shared" ca="1" si="363"/>
        <v>24.821428571428164</v>
      </c>
      <c r="P2505" t="str">
        <f t="shared" si="362"/>
        <v>NA</v>
      </c>
      <c r="Q2505" s="10">
        <f t="shared" ca="1" si="364"/>
        <v>17.2023809523808</v>
      </c>
      <c r="R2505" s="10">
        <f t="shared" ca="1" si="365"/>
        <v>62.529761904761131</v>
      </c>
      <c r="S2505" s="10">
        <f t="shared" ca="1" si="366"/>
        <v>-45.327380952380331</v>
      </c>
      <c r="T2505" s="10">
        <f t="shared" ca="1" si="367"/>
        <v>420.71823204419724</v>
      </c>
      <c r="U2505" s="10">
        <f t="shared" ca="1" si="368"/>
        <v>420.71823204419724</v>
      </c>
      <c r="V2505">
        <f t="shared" si="369"/>
        <v>2</v>
      </c>
    </row>
    <row r="2506" spans="1:22" x14ac:dyDescent="0.25">
      <c r="A2506">
        <v>279</v>
      </c>
      <c r="B2506">
        <v>3</v>
      </c>
      <c r="C2506">
        <v>20</v>
      </c>
      <c r="D2506">
        <v>1</v>
      </c>
      <c r="E2506">
        <v>1</v>
      </c>
      <c r="F2506">
        <v>0</v>
      </c>
      <c r="G2506">
        <v>0</v>
      </c>
      <c r="H2506">
        <v>450</v>
      </c>
      <c r="I2506">
        <f t="shared" si="361"/>
        <v>2502</v>
      </c>
      <c r="J2506" s="6">
        <f t="array" aca="1" ref="J2506:N2506" ca="1">TRANSPOSE(ols(OFFSET($C$2:$C$10,I2506,0),OFFSET($D$2:$H$10,I2506,0)))</f>
        <v>60.565476190475238</v>
      </c>
      <c r="K2506" s="6">
        <f ca="1"/>
        <v>1.9642857142858929</v>
      </c>
      <c r="L2506" s="6">
        <f ca="1"/>
        <v>-13.809523809523398</v>
      </c>
      <c r="M2506" s="6">
        <f ca="1"/>
        <v>8.1547619047619264</v>
      </c>
      <c r="N2506" s="6">
        <f ca="1"/>
        <v>-0.10773809523809419</v>
      </c>
      <c r="O2506" s="6">
        <f t="shared" ca="1" si="363"/>
        <v>14.047619047618745</v>
      </c>
      <c r="P2506" t="str">
        <f t="shared" si="362"/>
        <v>NA</v>
      </c>
      <c r="Q2506" s="10">
        <f t="shared" ca="1" si="364"/>
        <v>17.2023809523808</v>
      </c>
      <c r="R2506" s="10">
        <f t="shared" ca="1" si="365"/>
        <v>62.529761904761131</v>
      </c>
      <c r="S2506" s="10">
        <f t="shared" ca="1" si="366"/>
        <v>-45.327380952380331</v>
      </c>
      <c r="T2506" s="10">
        <f t="shared" ca="1" si="367"/>
        <v>420.71823204419724</v>
      </c>
      <c r="U2506" s="10">
        <f t="shared" ca="1" si="368"/>
        <v>420.71823204419724</v>
      </c>
      <c r="V2506">
        <f t="shared" si="369"/>
        <v>2</v>
      </c>
    </row>
    <row r="2507" spans="1:22" x14ac:dyDescent="0.25">
      <c r="A2507">
        <v>279</v>
      </c>
      <c r="B2507">
        <v>4</v>
      </c>
      <c r="C2507">
        <v>0</v>
      </c>
      <c r="D2507">
        <v>1</v>
      </c>
      <c r="E2507">
        <v>0</v>
      </c>
      <c r="F2507">
        <v>0</v>
      </c>
      <c r="G2507">
        <v>0</v>
      </c>
      <c r="H2507">
        <v>550</v>
      </c>
      <c r="I2507">
        <f t="shared" si="361"/>
        <v>2502</v>
      </c>
      <c r="J2507" s="6">
        <f t="array" aca="1" ref="J2507:N2507" ca="1">TRANSPOSE(ols(OFFSET($C$2:$C$10,I2507,0),OFFSET($D$2:$H$10,I2507,0)))</f>
        <v>60.565476190475238</v>
      </c>
      <c r="K2507" s="6">
        <f ca="1"/>
        <v>1.9642857142858929</v>
      </c>
      <c r="L2507" s="6">
        <f ca="1"/>
        <v>-13.809523809523398</v>
      </c>
      <c r="M2507" s="6">
        <f ca="1"/>
        <v>8.1547619047619264</v>
      </c>
      <c r="N2507" s="6">
        <f ca="1"/>
        <v>-0.10773809523809419</v>
      </c>
      <c r="O2507" s="6">
        <f t="shared" ca="1" si="363"/>
        <v>1.3095238095234336</v>
      </c>
      <c r="P2507" t="str">
        <f t="shared" si="362"/>
        <v>NA</v>
      </c>
      <c r="Q2507" s="10">
        <f t="shared" ca="1" si="364"/>
        <v>17.2023809523808</v>
      </c>
      <c r="R2507" s="10">
        <f t="shared" ca="1" si="365"/>
        <v>60.565476190475238</v>
      </c>
      <c r="S2507" s="10">
        <f t="shared" ca="1" si="366"/>
        <v>-43.363095238094438</v>
      </c>
      <c r="T2507" s="10">
        <f t="shared" ca="1" si="367"/>
        <v>402.48618784530038</v>
      </c>
      <c r="U2507" s="10">
        <f t="shared" ca="1" si="368"/>
        <v>402.48618784530038</v>
      </c>
      <c r="V2507">
        <f t="shared" si="369"/>
        <v>1</v>
      </c>
    </row>
    <row r="2508" spans="1:22" x14ac:dyDescent="0.25">
      <c r="A2508">
        <v>279</v>
      </c>
      <c r="B2508">
        <v>5</v>
      </c>
      <c r="C2508">
        <v>30</v>
      </c>
      <c r="D2508">
        <v>1</v>
      </c>
      <c r="E2508">
        <v>0</v>
      </c>
      <c r="F2508">
        <v>1</v>
      </c>
      <c r="G2508">
        <v>1</v>
      </c>
      <c r="H2508">
        <v>250</v>
      </c>
      <c r="I2508">
        <f t="shared" ref="I2508:I2571" si="370">IF(A2508&gt;A2507,I2507+9,I2507)</f>
        <v>2502</v>
      </c>
      <c r="J2508" s="6">
        <f t="array" aca="1" ref="J2508:N2508" ca="1">TRANSPOSE(ols(OFFSET($C$2:$C$10,I2508,0),OFFSET($D$2:$H$10,I2508,0)))</f>
        <v>60.565476190475238</v>
      </c>
      <c r="K2508" s="6">
        <f ca="1"/>
        <v>1.9642857142858929</v>
      </c>
      <c r="L2508" s="6">
        <f ca="1"/>
        <v>-13.809523809523398</v>
      </c>
      <c r="M2508" s="6">
        <f ca="1"/>
        <v>8.1547619047619264</v>
      </c>
      <c r="N2508" s="6">
        <f ca="1"/>
        <v>-0.10773809523809419</v>
      </c>
      <c r="O2508" s="6">
        <f t="shared" ca="1" si="363"/>
        <v>27.976190476190219</v>
      </c>
      <c r="P2508" t="str">
        <f t="shared" si="362"/>
        <v>NA</v>
      </c>
      <c r="Q2508" s="10">
        <f t="shared" ca="1" si="364"/>
        <v>17.2023809523808</v>
      </c>
      <c r="R2508" s="10">
        <f t="shared" ca="1" si="365"/>
        <v>54.910714285713766</v>
      </c>
      <c r="S2508" s="10">
        <f t="shared" ca="1" si="366"/>
        <v>-37.708333333332966</v>
      </c>
      <c r="T2508" s="10">
        <f t="shared" ca="1" si="367"/>
        <v>350</v>
      </c>
      <c r="U2508" s="10">
        <f t="shared" ca="1" si="368"/>
        <v>350</v>
      </c>
      <c r="V2508">
        <f t="shared" si="369"/>
        <v>6</v>
      </c>
    </row>
    <row r="2509" spans="1:22" x14ac:dyDescent="0.25">
      <c r="A2509">
        <v>279</v>
      </c>
      <c r="B2509">
        <v>6</v>
      </c>
      <c r="C2509">
        <v>20</v>
      </c>
      <c r="D2509">
        <v>1</v>
      </c>
      <c r="E2509">
        <v>0</v>
      </c>
      <c r="F2509">
        <v>1</v>
      </c>
      <c r="G2509">
        <v>1</v>
      </c>
      <c r="H2509">
        <v>350</v>
      </c>
      <c r="I2509">
        <f t="shared" si="370"/>
        <v>2502</v>
      </c>
      <c r="J2509" s="6">
        <f t="array" aca="1" ref="J2509:N2509" ca="1">TRANSPOSE(ols(OFFSET($C$2:$C$10,I2509,0),OFFSET($D$2:$H$10,I2509,0)))</f>
        <v>60.565476190475238</v>
      </c>
      <c r="K2509" s="6">
        <f ca="1"/>
        <v>1.9642857142858929</v>
      </c>
      <c r="L2509" s="6">
        <f ca="1"/>
        <v>-13.809523809523398</v>
      </c>
      <c r="M2509" s="6">
        <f ca="1"/>
        <v>8.1547619047619264</v>
      </c>
      <c r="N2509" s="6">
        <f ca="1"/>
        <v>-0.10773809523809419</v>
      </c>
      <c r="O2509" s="6">
        <f t="shared" ca="1" si="363"/>
        <v>17.2023809523808</v>
      </c>
      <c r="P2509">
        <f t="shared" ca="1" si="362"/>
        <v>17.2023809523808</v>
      </c>
      <c r="Q2509" s="10">
        <f t="shared" ca="1" si="364"/>
        <v>17.2023809523808</v>
      </c>
      <c r="R2509" s="10">
        <f t="shared" ca="1" si="365"/>
        <v>54.910714285713766</v>
      </c>
      <c r="S2509" s="10">
        <f t="shared" ca="1" si="366"/>
        <v>-37.708333333332966</v>
      </c>
      <c r="T2509" s="10">
        <f t="shared" ca="1" si="367"/>
        <v>350</v>
      </c>
      <c r="U2509" s="10">
        <f t="shared" ca="1" si="368"/>
        <v>350</v>
      </c>
      <c r="V2509">
        <f t="shared" si="369"/>
        <v>6</v>
      </c>
    </row>
    <row r="2510" spans="1:22" x14ac:dyDescent="0.25">
      <c r="A2510">
        <v>279</v>
      </c>
      <c r="B2510">
        <v>7</v>
      </c>
      <c r="C2510">
        <v>20</v>
      </c>
      <c r="D2510">
        <v>1</v>
      </c>
      <c r="E2510">
        <v>1</v>
      </c>
      <c r="F2510">
        <v>0</v>
      </c>
      <c r="G2510">
        <v>1</v>
      </c>
      <c r="H2510">
        <v>450</v>
      </c>
      <c r="I2510">
        <f t="shared" si="370"/>
        <v>2502</v>
      </c>
      <c r="J2510" s="6">
        <f t="array" aca="1" ref="J2510:N2510" ca="1">TRANSPOSE(ols(OFFSET($C$2:$C$10,I2510,0),OFFSET($D$2:$H$10,I2510,0)))</f>
        <v>60.565476190475238</v>
      </c>
      <c r="K2510" s="6">
        <f ca="1"/>
        <v>1.9642857142858929</v>
      </c>
      <c r="L2510" s="6">
        <f ca="1"/>
        <v>-13.809523809523398</v>
      </c>
      <c r="M2510" s="6">
        <f ca="1"/>
        <v>8.1547619047619264</v>
      </c>
      <c r="N2510" s="6">
        <f ca="1"/>
        <v>-0.10773809523809419</v>
      </c>
      <c r="O2510" s="6">
        <f t="shared" ca="1" si="363"/>
        <v>22.202380952380672</v>
      </c>
      <c r="P2510" t="str">
        <f t="shared" si="362"/>
        <v>NA</v>
      </c>
      <c r="Q2510" s="10">
        <f t="shared" ca="1" si="364"/>
        <v>17.2023809523808</v>
      </c>
      <c r="R2510" s="10">
        <f t="shared" ca="1" si="365"/>
        <v>70.684523809523057</v>
      </c>
      <c r="S2510" s="10">
        <f t="shared" ca="1" si="366"/>
        <v>-53.482142857142257</v>
      </c>
      <c r="T2510" s="10">
        <f t="shared" ca="1" si="367"/>
        <v>496.40883977900478</v>
      </c>
      <c r="U2510" s="10">
        <f t="shared" ca="1" si="368"/>
        <v>496.40883977900478</v>
      </c>
      <c r="V2510">
        <f t="shared" si="369"/>
        <v>5</v>
      </c>
    </row>
    <row r="2511" spans="1:22" x14ac:dyDescent="0.25">
      <c r="A2511">
        <v>279</v>
      </c>
      <c r="B2511">
        <v>8</v>
      </c>
      <c r="C2511">
        <v>7.5</v>
      </c>
      <c r="D2511">
        <v>1</v>
      </c>
      <c r="E2511">
        <v>1</v>
      </c>
      <c r="F2511">
        <v>0</v>
      </c>
      <c r="G2511">
        <v>1</v>
      </c>
      <c r="H2511">
        <v>550</v>
      </c>
      <c r="I2511">
        <f t="shared" si="370"/>
        <v>2502</v>
      </c>
      <c r="J2511" s="6">
        <f t="array" aca="1" ref="J2511:N2511" ca="1">TRANSPOSE(ols(OFFSET($C$2:$C$10,I2511,0),OFFSET($D$2:$H$10,I2511,0)))</f>
        <v>60.565476190475238</v>
      </c>
      <c r="K2511" s="6">
        <f ca="1"/>
        <v>1.9642857142858929</v>
      </c>
      <c r="L2511" s="6">
        <f ca="1"/>
        <v>-13.809523809523398</v>
      </c>
      <c r="M2511" s="6">
        <f ca="1"/>
        <v>8.1547619047619264</v>
      </c>
      <c r="N2511" s="6">
        <f ca="1"/>
        <v>-0.10773809523809419</v>
      </c>
      <c r="O2511" s="6">
        <f t="shared" ca="1" si="363"/>
        <v>11.428571428571253</v>
      </c>
      <c r="P2511" t="str">
        <f t="shared" si="362"/>
        <v>NA</v>
      </c>
      <c r="Q2511" s="10">
        <f t="shared" ca="1" si="364"/>
        <v>17.2023809523808</v>
      </c>
      <c r="R2511" s="10">
        <f t="shared" ca="1" si="365"/>
        <v>70.684523809523057</v>
      </c>
      <c r="S2511" s="10">
        <f t="shared" ca="1" si="366"/>
        <v>-53.482142857142257</v>
      </c>
      <c r="T2511" s="10">
        <f t="shared" ca="1" si="367"/>
        <v>496.40883977900478</v>
      </c>
      <c r="U2511" s="10">
        <f t="shared" ca="1" si="368"/>
        <v>496.40883977900478</v>
      </c>
      <c r="V2511">
        <f t="shared" si="369"/>
        <v>5</v>
      </c>
    </row>
    <row r="2512" spans="1:22" x14ac:dyDescent="0.25">
      <c r="A2512">
        <v>279</v>
      </c>
      <c r="B2512">
        <v>9</v>
      </c>
      <c r="C2512">
        <v>0</v>
      </c>
      <c r="D2512">
        <v>1</v>
      </c>
      <c r="E2512">
        <v>0</v>
      </c>
      <c r="F2512">
        <v>0</v>
      </c>
      <c r="G2512">
        <v>1</v>
      </c>
      <c r="H2512">
        <v>650</v>
      </c>
      <c r="I2512">
        <f t="shared" si="370"/>
        <v>2502</v>
      </c>
      <c r="J2512" s="6">
        <f t="array" aca="1" ref="J2512:N2512" ca="1">TRANSPOSE(ols(OFFSET($C$2:$C$10,I2512,0),OFFSET($D$2:$H$10,I2512,0)))</f>
        <v>60.565476190475238</v>
      </c>
      <c r="K2512" s="6">
        <f ca="1"/>
        <v>1.9642857142858929</v>
      </c>
      <c r="L2512" s="6">
        <f ca="1"/>
        <v>-13.809523809523398</v>
      </c>
      <c r="M2512" s="6">
        <f ca="1"/>
        <v>8.1547619047619264</v>
      </c>
      <c r="N2512" s="6">
        <f ca="1"/>
        <v>-0.10773809523809419</v>
      </c>
      <c r="O2512" s="6">
        <f t="shared" ca="1" si="363"/>
        <v>-1.3095238095240518</v>
      </c>
      <c r="P2512" t="str">
        <f t="shared" si="362"/>
        <v>NA</v>
      </c>
      <c r="Q2512" s="10">
        <f t="shared" ca="1" si="364"/>
        <v>17.2023809523808</v>
      </c>
      <c r="R2512" s="10">
        <f t="shared" ca="1" si="365"/>
        <v>68.720238095237164</v>
      </c>
      <c r="S2512" s="10">
        <f t="shared" ca="1" si="366"/>
        <v>-51.517857142856364</v>
      </c>
      <c r="T2512" s="10">
        <f t="shared" ca="1" si="367"/>
        <v>478.17679558010792</v>
      </c>
      <c r="U2512" s="10">
        <f t="shared" ca="1" si="368"/>
        <v>478.17679558010792</v>
      </c>
      <c r="V2512">
        <f t="shared" si="369"/>
        <v>4</v>
      </c>
    </row>
    <row r="2513" spans="1:22" x14ac:dyDescent="0.25">
      <c r="A2513">
        <v>280</v>
      </c>
      <c r="B2513">
        <v>1</v>
      </c>
      <c r="C2513">
        <v>100</v>
      </c>
      <c r="D2513">
        <v>1</v>
      </c>
      <c r="E2513">
        <v>0</v>
      </c>
      <c r="F2513">
        <v>1</v>
      </c>
      <c r="G2513">
        <v>0</v>
      </c>
      <c r="H2513">
        <v>250</v>
      </c>
      <c r="I2513">
        <f t="shared" si="370"/>
        <v>2511</v>
      </c>
      <c r="J2513" s="6">
        <f t="array" aca="1" ref="J2513:N2513" ca="1">TRANSPOSE(ols(OFFSET($C$2:$C$10,I2513,0),OFFSET($D$2:$H$10,I2513,0)))</f>
        <v>244.34523809523398</v>
      </c>
      <c r="K2513" s="6">
        <f ca="1"/>
        <v>-7.1428571428564283</v>
      </c>
      <c r="L2513" s="6">
        <f ca="1"/>
        <v>-36.904761904761017</v>
      </c>
      <c r="M2513" s="6">
        <f ca="1"/>
        <v>18.452380952380963</v>
      </c>
      <c r="N2513" s="6">
        <f ca="1"/>
        <v>-0.4226190476190439</v>
      </c>
      <c r="O2513" s="6">
        <f t="shared" ca="1" si="363"/>
        <v>101.78571428571199</v>
      </c>
      <c r="P2513" t="str">
        <f t="shared" si="362"/>
        <v>NA</v>
      </c>
      <c r="Q2513" s="10">
        <f t="shared" ca="1" si="364"/>
        <v>77.976190476188549</v>
      </c>
      <c r="R2513" s="10">
        <f t="shared" ca="1" si="365"/>
        <v>207.44047619047296</v>
      </c>
      <c r="S2513" s="10">
        <f t="shared" ca="1" si="366"/>
        <v>-129.46428571428442</v>
      </c>
      <c r="T2513" s="10">
        <f t="shared" ca="1" si="367"/>
        <v>306.33802816901368</v>
      </c>
      <c r="U2513" s="10">
        <f t="shared" ca="1" si="368"/>
        <v>306.33802816901368</v>
      </c>
      <c r="V2513">
        <f t="shared" si="369"/>
        <v>3</v>
      </c>
    </row>
    <row r="2514" spans="1:22" x14ac:dyDescent="0.25">
      <c r="A2514">
        <v>280</v>
      </c>
      <c r="B2514">
        <v>2</v>
      </c>
      <c r="C2514">
        <v>100</v>
      </c>
      <c r="D2514">
        <v>1</v>
      </c>
      <c r="E2514">
        <v>1</v>
      </c>
      <c r="F2514">
        <v>0</v>
      </c>
      <c r="G2514">
        <v>0</v>
      </c>
      <c r="H2514">
        <v>350</v>
      </c>
      <c r="I2514">
        <f t="shared" si="370"/>
        <v>2511</v>
      </c>
      <c r="J2514" s="6">
        <f t="array" aca="1" ref="J2514:N2514" ca="1">TRANSPOSE(ols(OFFSET($C$2:$C$10,I2514,0),OFFSET($D$2:$H$10,I2514,0)))</f>
        <v>244.34523809523398</v>
      </c>
      <c r="K2514" s="6">
        <f ca="1"/>
        <v>-7.1428571428564283</v>
      </c>
      <c r="L2514" s="6">
        <f ca="1"/>
        <v>-36.904761904761017</v>
      </c>
      <c r="M2514" s="6">
        <f ca="1"/>
        <v>18.452380952380963</v>
      </c>
      <c r="N2514" s="6">
        <f ca="1"/>
        <v>-0.4226190476190439</v>
      </c>
      <c r="O2514" s="6">
        <f t="shared" ca="1" si="363"/>
        <v>89.285714285712174</v>
      </c>
      <c r="P2514" t="str">
        <f t="shared" si="362"/>
        <v>NA</v>
      </c>
      <c r="Q2514" s="10">
        <f t="shared" ca="1" si="364"/>
        <v>77.976190476188549</v>
      </c>
      <c r="R2514" s="10">
        <f t="shared" ca="1" si="365"/>
        <v>237.20238095237755</v>
      </c>
      <c r="S2514" s="10">
        <f t="shared" ca="1" si="366"/>
        <v>-159.226190476189</v>
      </c>
      <c r="T2514" s="10">
        <f t="shared" ca="1" si="367"/>
        <v>376.7605633802815</v>
      </c>
      <c r="U2514" s="10">
        <f t="shared" ca="1" si="368"/>
        <v>376.7605633802815</v>
      </c>
      <c r="V2514">
        <f t="shared" si="369"/>
        <v>2</v>
      </c>
    </row>
    <row r="2515" spans="1:22" x14ac:dyDescent="0.25">
      <c r="A2515">
        <v>280</v>
      </c>
      <c r="B2515">
        <v>3</v>
      </c>
      <c r="C2515">
        <v>50</v>
      </c>
      <c r="D2515">
        <v>1</v>
      </c>
      <c r="E2515">
        <v>1</v>
      </c>
      <c r="F2515">
        <v>0</v>
      </c>
      <c r="G2515">
        <v>0</v>
      </c>
      <c r="H2515">
        <v>450</v>
      </c>
      <c r="I2515">
        <f t="shared" si="370"/>
        <v>2511</v>
      </c>
      <c r="J2515" s="6">
        <f t="array" aca="1" ref="J2515:N2515" ca="1">TRANSPOSE(ols(OFFSET($C$2:$C$10,I2515,0),OFFSET($D$2:$H$10,I2515,0)))</f>
        <v>244.34523809523398</v>
      </c>
      <c r="K2515" s="6">
        <f ca="1"/>
        <v>-7.1428571428564283</v>
      </c>
      <c r="L2515" s="6">
        <f ca="1"/>
        <v>-36.904761904761017</v>
      </c>
      <c r="M2515" s="6">
        <f ca="1"/>
        <v>18.452380952380963</v>
      </c>
      <c r="N2515" s="6">
        <f ca="1"/>
        <v>-0.4226190476190439</v>
      </c>
      <c r="O2515" s="6">
        <f t="shared" ca="1" si="363"/>
        <v>47.023809523807813</v>
      </c>
      <c r="P2515" t="str">
        <f t="shared" si="362"/>
        <v>NA</v>
      </c>
      <c r="Q2515" s="10">
        <f t="shared" ca="1" si="364"/>
        <v>77.976190476188549</v>
      </c>
      <c r="R2515" s="10">
        <f t="shared" ca="1" si="365"/>
        <v>237.20238095237755</v>
      </c>
      <c r="S2515" s="10">
        <f t="shared" ca="1" si="366"/>
        <v>-159.226190476189</v>
      </c>
      <c r="T2515" s="10">
        <f t="shared" ca="1" si="367"/>
        <v>376.7605633802815</v>
      </c>
      <c r="U2515" s="10">
        <f t="shared" ca="1" si="368"/>
        <v>376.7605633802815</v>
      </c>
      <c r="V2515">
        <f t="shared" si="369"/>
        <v>2</v>
      </c>
    </row>
    <row r="2516" spans="1:22" x14ac:dyDescent="0.25">
      <c r="A2516">
        <v>280</v>
      </c>
      <c r="B2516">
        <v>4</v>
      </c>
      <c r="C2516">
        <v>0</v>
      </c>
      <c r="D2516">
        <v>1</v>
      </c>
      <c r="E2516">
        <v>0</v>
      </c>
      <c r="F2516">
        <v>0</v>
      </c>
      <c r="G2516">
        <v>0</v>
      </c>
      <c r="H2516">
        <v>550</v>
      </c>
      <c r="I2516">
        <f t="shared" si="370"/>
        <v>2511</v>
      </c>
      <c r="J2516" s="6">
        <f t="array" aca="1" ref="J2516:N2516" ca="1">TRANSPOSE(ols(OFFSET($C$2:$C$10,I2516,0),OFFSET($D$2:$H$10,I2516,0)))</f>
        <v>244.34523809523398</v>
      </c>
      <c r="K2516" s="6">
        <f ca="1"/>
        <v>-7.1428571428564283</v>
      </c>
      <c r="L2516" s="6">
        <f ca="1"/>
        <v>-36.904761904761017</v>
      </c>
      <c r="M2516" s="6">
        <f ca="1"/>
        <v>18.452380952380963</v>
      </c>
      <c r="N2516" s="6">
        <f ca="1"/>
        <v>-0.4226190476190439</v>
      </c>
      <c r="O2516" s="6">
        <f t="shared" ca="1" si="363"/>
        <v>11.904761904759823</v>
      </c>
      <c r="P2516" t="str">
        <f t="shared" si="362"/>
        <v>NA</v>
      </c>
      <c r="Q2516" s="10">
        <f t="shared" ca="1" si="364"/>
        <v>77.976190476188549</v>
      </c>
      <c r="R2516" s="10">
        <f t="shared" ca="1" si="365"/>
        <v>244.34523809523398</v>
      </c>
      <c r="S2516" s="10">
        <f t="shared" ca="1" si="366"/>
        <v>-166.36904761904543</v>
      </c>
      <c r="T2516" s="10">
        <f t="shared" ca="1" si="367"/>
        <v>393.66197183098421</v>
      </c>
      <c r="U2516" s="10">
        <f t="shared" ca="1" si="368"/>
        <v>393.66197183098421</v>
      </c>
      <c r="V2516">
        <f t="shared" si="369"/>
        <v>1</v>
      </c>
    </row>
    <row r="2517" spans="1:22" x14ac:dyDescent="0.25">
      <c r="A2517">
        <v>280</v>
      </c>
      <c r="B2517">
        <v>5</v>
      </c>
      <c r="C2517">
        <v>100</v>
      </c>
      <c r="D2517">
        <v>1</v>
      </c>
      <c r="E2517">
        <v>0</v>
      </c>
      <c r="F2517">
        <v>1</v>
      </c>
      <c r="G2517">
        <v>1</v>
      </c>
      <c r="H2517">
        <v>250</v>
      </c>
      <c r="I2517">
        <f t="shared" si="370"/>
        <v>2511</v>
      </c>
      <c r="J2517" s="6">
        <f t="array" aca="1" ref="J2517:N2517" ca="1">TRANSPOSE(ols(OFFSET($C$2:$C$10,I2517,0),OFFSET($D$2:$H$10,I2517,0)))</f>
        <v>244.34523809523398</v>
      </c>
      <c r="K2517" s="6">
        <f ca="1"/>
        <v>-7.1428571428564283</v>
      </c>
      <c r="L2517" s="6">
        <f ca="1"/>
        <v>-36.904761904761017</v>
      </c>
      <c r="M2517" s="6">
        <f ca="1"/>
        <v>18.452380952380963</v>
      </c>
      <c r="N2517" s="6">
        <f ca="1"/>
        <v>-0.4226190476190439</v>
      </c>
      <c r="O2517" s="6">
        <f t="shared" ca="1" si="363"/>
        <v>120.23809523809295</v>
      </c>
      <c r="P2517" t="str">
        <f t="shared" si="362"/>
        <v>NA</v>
      </c>
      <c r="Q2517" s="10">
        <f t="shared" ca="1" si="364"/>
        <v>77.976190476188549</v>
      </c>
      <c r="R2517" s="10">
        <f t="shared" ca="1" si="365"/>
        <v>225.89285714285393</v>
      </c>
      <c r="S2517" s="10">
        <f t="shared" ca="1" si="366"/>
        <v>-147.91666666666538</v>
      </c>
      <c r="T2517" s="10">
        <f t="shared" ca="1" si="367"/>
        <v>350.00000000000006</v>
      </c>
      <c r="U2517" s="10">
        <f t="shared" ca="1" si="368"/>
        <v>350.00000000000006</v>
      </c>
      <c r="V2517">
        <f t="shared" si="369"/>
        <v>6</v>
      </c>
    </row>
    <row r="2518" spans="1:22" x14ac:dyDescent="0.25">
      <c r="A2518">
        <v>280</v>
      </c>
      <c r="B2518">
        <v>6</v>
      </c>
      <c r="C2518">
        <v>100</v>
      </c>
      <c r="D2518">
        <v>1</v>
      </c>
      <c r="E2518">
        <v>0</v>
      </c>
      <c r="F2518">
        <v>1</v>
      </c>
      <c r="G2518">
        <v>1</v>
      </c>
      <c r="H2518">
        <v>350</v>
      </c>
      <c r="I2518">
        <f t="shared" si="370"/>
        <v>2511</v>
      </c>
      <c r="J2518" s="6">
        <f t="array" aca="1" ref="J2518:N2518" ca="1">TRANSPOSE(ols(OFFSET($C$2:$C$10,I2518,0),OFFSET($D$2:$H$10,I2518,0)))</f>
        <v>244.34523809523398</v>
      </c>
      <c r="K2518" s="6">
        <f ca="1"/>
        <v>-7.1428571428564283</v>
      </c>
      <c r="L2518" s="6">
        <f ca="1"/>
        <v>-36.904761904761017</v>
      </c>
      <c r="M2518" s="6">
        <f ca="1"/>
        <v>18.452380952380963</v>
      </c>
      <c r="N2518" s="6">
        <f ca="1"/>
        <v>-0.4226190476190439</v>
      </c>
      <c r="O2518" s="6">
        <f t="shared" ca="1" si="363"/>
        <v>77.976190476188549</v>
      </c>
      <c r="P2518">
        <f t="shared" ca="1" si="362"/>
        <v>77.976190476188549</v>
      </c>
      <c r="Q2518" s="10">
        <f t="shared" ca="1" si="364"/>
        <v>77.976190476188549</v>
      </c>
      <c r="R2518" s="10">
        <f t="shared" ca="1" si="365"/>
        <v>225.89285714285393</v>
      </c>
      <c r="S2518" s="10">
        <f t="shared" ca="1" si="366"/>
        <v>-147.91666666666538</v>
      </c>
      <c r="T2518" s="10">
        <f t="shared" ca="1" si="367"/>
        <v>350.00000000000006</v>
      </c>
      <c r="U2518" s="10">
        <f t="shared" ca="1" si="368"/>
        <v>350.00000000000006</v>
      </c>
      <c r="V2518">
        <f t="shared" si="369"/>
        <v>6</v>
      </c>
    </row>
    <row r="2519" spans="1:22" x14ac:dyDescent="0.25">
      <c r="A2519">
        <v>280</v>
      </c>
      <c r="B2519">
        <v>7</v>
      </c>
      <c r="C2519">
        <v>75</v>
      </c>
      <c r="D2519">
        <v>1</v>
      </c>
      <c r="E2519">
        <v>1</v>
      </c>
      <c r="F2519">
        <v>0</v>
      </c>
      <c r="G2519">
        <v>1</v>
      </c>
      <c r="H2519">
        <v>450</v>
      </c>
      <c r="I2519">
        <f t="shared" si="370"/>
        <v>2511</v>
      </c>
      <c r="J2519" s="6">
        <f t="array" aca="1" ref="J2519:N2519" ca="1">TRANSPOSE(ols(OFFSET($C$2:$C$10,I2519,0),OFFSET($D$2:$H$10,I2519,0)))</f>
        <v>244.34523809523398</v>
      </c>
      <c r="K2519" s="6">
        <f ca="1"/>
        <v>-7.1428571428564283</v>
      </c>
      <c r="L2519" s="6">
        <f ca="1"/>
        <v>-36.904761904761017</v>
      </c>
      <c r="M2519" s="6">
        <f ca="1"/>
        <v>18.452380952380963</v>
      </c>
      <c r="N2519" s="6">
        <f ca="1"/>
        <v>-0.4226190476190439</v>
      </c>
      <c r="O2519" s="6">
        <f t="shared" ca="1" si="363"/>
        <v>65.476190476188776</v>
      </c>
      <c r="P2519" t="str">
        <f t="shared" si="362"/>
        <v>NA</v>
      </c>
      <c r="Q2519" s="10">
        <f t="shared" ca="1" si="364"/>
        <v>77.976190476188549</v>
      </c>
      <c r="R2519" s="10">
        <f t="shared" ca="1" si="365"/>
        <v>255.65476190475852</v>
      </c>
      <c r="S2519" s="10">
        <f t="shared" ca="1" si="366"/>
        <v>-177.67857142856997</v>
      </c>
      <c r="T2519" s="10">
        <f t="shared" ca="1" si="367"/>
        <v>420.42253521126787</v>
      </c>
      <c r="U2519" s="10">
        <f t="shared" ca="1" si="368"/>
        <v>420.42253521126787</v>
      </c>
      <c r="V2519">
        <f t="shared" si="369"/>
        <v>5</v>
      </c>
    </row>
    <row r="2520" spans="1:22" x14ac:dyDescent="0.25">
      <c r="A2520">
        <v>280</v>
      </c>
      <c r="B2520">
        <v>8</v>
      </c>
      <c r="C2520">
        <v>0</v>
      </c>
      <c r="D2520">
        <v>1</v>
      </c>
      <c r="E2520">
        <v>1</v>
      </c>
      <c r="F2520">
        <v>0</v>
      </c>
      <c r="G2520">
        <v>1</v>
      </c>
      <c r="H2520">
        <v>550</v>
      </c>
      <c r="I2520">
        <f t="shared" si="370"/>
        <v>2511</v>
      </c>
      <c r="J2520" s="6">
        <f t="array" aca="1" ref="J2520:N2520" ca="1">TRANSPOSE(ols(OFFSET($C$2:$C$10,I2520,0),OFFSET($D$2:$H$10,I2520,0)))</f>
        <v>244.34523809523398</v>
      </c>
      <c r="K2520" s="6">
        <f ca="1"/>
        <v>-7.1428571428564283</v>
      </c>
      <c r="L2520" s="6">
        <f ca="1"/>
        <v>-36.904761904761017</v>
      </c>
      <c r="M2520" s="6">
        <f ca="1"/>
        <v>18.452380952380963</v>
      </c>
      <c r="N2520" s="6">
        <f ca="1"/>
        <v>-0.4226190476190439</v>
      </c>
      <c r="O2520" s="6">
        <f t="shared" ca="1" si="363"/>
        <v>23.214285714284358</v>
      </c>
      <c r="P2520" t="str">
        <f t="shared" si="362"/>
        <v>NA</v>
      </c>
      <c r="Q2520" s="10">
        <f t="shared" ca="1" si="364"/>
        <v>77.976190476188549</v>
      </c>
      <c r="R2520" s="10">
        <f t="shared" ca="1" si="365"/>
        <v>255.65476190475852</v>
      </c>
      <c r="S2520" s="10">
        <f t="shared" ca="1" si="366"/>
        <v>-177.67857142856997</v>
      </c>
      <c r="T2520" s="10">
        <f t="shared" ca="1" si="367"/>
        <v>420.42253521126787</v>
      </c>
      <c r="U2520" s="10">
        <f t="shared" ca="1" si="368"/>
        <v>420.42253521126787</v>
      </c>
      <c r="V2520">
        <f t="shared" si="369"/>
        <v>5</v>
      </c>
    </row>
    <row r="2521" spans="1:22" x14ac:dyDescent="0.25">
      <c r="A2521">
        <v>280</v>
      </c>
      <c r="B2521">
        <v>9</v>
      </c>
      <c r="C2521">
        <v>0</v>
      </c>
      <c r="D2521">
        <v>1</v>
      </c>
      <c r="E2521">
        <v>0</v>
      </c>
      <c r="F2521">
        <v>0</v>
      </c>
      <c r="G2521">
        <v>1</v>
      </c>
      <c r="H2521">
        <v>650</v>
      </c>
      <c r="I2521">
        <f t="shared" si="370"/>
        <v>2511</v>
      </c>
      <c r="J2521" s="6">
        <f t="array" aca="1" ref="J2521:N2521" ca="1">TRANSPOSE(ols(OFFSET($C$2:$C$10,I2521,0),OFFSET($D$2:$H$10,I2521,0)))</f>
        <v>244.34523809523398</v>
      </c>
      <c r="K2521" s="6">
        <f ca="1"/>
        <v>-7.1428571428564283</v>
      </c>
      <c r="L2521" s="6">
        <f ca="1"/>
        <v>-36.904761904761017</v>
      </c>
      <c r="M2521" s="6">
        <f ca="1"/>
        <v>18.452380952380963</v>
      </c>
      <c r="N2521" s="6">
        <f ca="1"/>
        <v>-0.4226190476190439</v>
      </c>
      <c r="O2521" s="6">
        <f t="shared" ca="1" si="363"/>
        <v>-11.904761904763575</v>
      </c>
      <c r="P2521" t="str">
        <f t="shared" si="362"/>
        <v>NA</v>
      </c>
      <c r="Q2521" s="10">
        <f t="shared" ca="1" si="364"/>
        <v>77.976190476188549</v>
      </c>
      <c r="R2521" s="10">
        <f t="shared" ca="1" si="365"/>
        <v>262.79761904761494</v>
      </c>
      <c r="S2521" s="10">
        <f t="shared" ca="1" si="366"/>
        <v>-184.8214285714264</v>
      </c>
      <c r="T2521" s="10">
        <f t="shared" ca="1" si="367"/>
        <v>437.32394366197053</v>
      </c>
      <c r="U2521" s="10">
        <f t="shared" ca="1" si="368"/>
        <v>437.32394366197053</v>
      </c>
      <c r="V2521">
        <f t="shared" si="369"/>
        <v>4</v>
      </c>
    </row>
    <row r="2522" spans="1:22" x14ac:dyDescent="0.25">
      <c r="A2522">
        <v>281</v>
      </c>
      <c r="B2522">
        <v>1</v>
      </c>
      <c r="C2522">
        <v>15</v>
      </c>
      <c r="D2522">
        <v>1</v>
      </c>
      <c r="E2522">
        <v>0</v>
      </c>
      <c r="F2522">
        <v>1</v>
      </c>
      <c r="G2522">
        <v>0</v>
      </c>
      <c r="H2522">
        <v>250</v>
      </c>
      <c r="I2522">
        <f t="shared" si="370"/>
        <v>2520</v>
      </c>
      <c r="J2522" s="6">
        <f t="array" aca="1" ref="J2522:N2522" ca="1">TRANSPOSE(ols(OFFSET($C$2:$C$10,I2522,0),OFFSET($D$2:$H$10,I2522,0)))</f>
        <v>30.714285714285552</v>
      </c>
      <c r="K2522" s="6">
        <f ca="1"/>
        <v>-1.0714285714284415</v>
      </c>
      <c r="L2522" s="6">
        <f ca="1"/>
        <v>0.71428571428600662</v>
      </c>
      <c r="M2522" s="6">
        <f ca="1"/>
        <v>7.1428571428571388</v>
      </c>
      <c r="N2522" s="6">
        <f ca="1"/>
        <v>-5.714285714285694E-2</v>
      </c>
      <c r="O2522" s="6">
        <f t="shared" ca="1" si="363"/>
        <v>17.142857142857324</v>
      </c>
      <c r="P2522" t="str">
        <f t="shared" si="362"/>
        <v>NA</v>
      </c>
      <c r="Q2522" s="10">
        <f t="shared" ca="1" si="364"/>
        <v>18.571428571428768</v>
      </c>
      <c r="R2522" s="10">
        <f t="shared" ca="1" si="365"/>
        <v>31.428571428571558</v>
      </c>
      <c r="S2522" s="10">
        <f t="shared" ca="1" si="366"/>
        <v>-12.85714285714279</v>
      </c>
      <c r="T2522" s="10">
        <f t="shared" ca="1" si="367"/>
        <v>224.99999999999963</v>
      </c>
      <c r="U2522" s="10" t="str">
        <f t="shared" ca="1" si="368"/>
        <v>OR</v>
      </c>
      <c r="V2522">
        <f t="shared" si="369"/>
        <v>3</v>
      </c>
    </row>
    <row r="2523" spans="1:22" x14ac:dyDescent="0.25">
      <c r="A2523">
        <v>281</v>
      </c>
      <c r="B2523">
        <v>2</v>
      </c>
      <c r="C2523">
        <v>10</v>
      </c>
      <c r="D2523">
        <v>1</v>
      </c>
      <c r="E2523">
        <v>1</v>
      </c>
      <c r="F2523">
        <v>0</v>
      </c>
      <c r="G2523">
        <v>0</v>
      </c>
      <c r="H2523">
        <v>350</v>
      </c>
      <c r="I2523">
        <f t="shared" si="370"/>
        <v>2520</v>
      </c>
      <c r="J2523" s="6">
        <f t="array" aca="1" ref="J2523:N2523" ca="1">TRANSPOSE(ols(OFFSET($C$2:$C$10,I2523,0),OFFSET($D$2:$H$10,I2523,0)))</f>
        <v>30.714285714285552</v>
      </c>
      <c r="K2523" s="6">
        <f ca="1"/>
        <v>-1.0714285714284415</v>
      </c>
      <c r="L2523" s="6">
        <f ca="1"/>
        <v>0.71428571428600662</v>
      </c>
      <c r="M2523" s="6">
        <f ca="1"/>
        <v>7.1428571428571388</v>
      </c>
      <c r="N2523" s="6">
        <f ca="1"/>
        <v>-5.714285714285694E-2</v>
      </c>
      <c r="O2523" s="6">
        <f t="shared" ca="1" si="363"/>
        <v>9.6428571428571814</v>
      </c>
      <c r="P2523" t="str">
        <f t="shared" si="362"/>
        <v>NA</v>
      </c>
      <c r="Q2523" s="10">
        <f t="shared" ca="1" si="364"/>
        <v>18.571428571428768</v>
      </c>
      <c r="R2523" s="10">
        <f t="shared" ca="1" si="365"/>
        <v>29.64285714285711</v>
      </c>
      <c r="S2523" s="10">
        <f t="shared" ca="1" si="366"/>
        <v>-11.071428571428342</v>
      </c>
      <c r="T2523" s="10">
        <f t="shared" ca="1" si="367"/>
        <v>193.74999999999667</v>
      </c>
      <c r="U2523" s="10" t="str">
        <f t="shared" ca="1" si="368"/>
        <v>OR</v>
      </c>
      <c r="V2523">
        <f t="shared" si="369"/>
        <v>2</v>
      </c>
    </row>
    <row r="2524" spans="1:22" x14ac:dyDescent="0.25">
      <c r="A2524">
        <v>281</v>
      </c>
      <c r="B2524">
        <v>3</v>
      </c>
      <c r="C2524">
        <v>5</v>
      </c>
      <c r="D2524">
        <v>1</v>
      </c>
      <c r="E2524">
        <v>1</v>
      </c>
      <c r="F2524">
        <v>0</v>
      </c>
      <c r="G2524">
        <v>0</v>
      </c>
      <c r="H2524">
        <v>450</v>
      </c>
      <c r="I2524">
        <f t="shared" si="370"/>
        <v>2520</v>
      </c>
      <c r="J2524" s="6">
        <f t="array" aca="1" ref="J2524:N2524" ca="1">TRANSPOSE(ols(OFFSET($C$2:$C$10,I2524,0),OFFSET($D$2:$H$10,I2524,0)))</f>
        <v>30.714285714285552</v>
      </c>
      <c r="K2524" s="6">
        <f ca="1"/>
        <v>-1.0714285714284415</v>
      </c>
      <c r="L2524" s="6">
        <f ca="1"/>
        <v>0.71428571428600662</v>
      </c>
      <c r="M2524" s="6">
        <f ca="1"/>
        <v>7.1428571428571388</v>
      </c>
      <c r="N2524" s="6">
        <f ca="1"/>
        <v>-5.714285714285694E-2</v>
      </c>
      <c r="O2524" s="6">
        <f t="shared" ca="1" si="363"/>
        <v>3.9285714285714874</v>
      </c>
      <c r="P2524" t="str">
        <f t="shared" si="362"/>
        <v>NA</v>
      </c>
      <c r="Q2524" s="10">
        <f t="shared" ca="1" si="364"/>
        <v>18.571428571428768</v>
      </c>
      <c r="R2524" s="10">
        <f t="shared" ca="1" si="365"/>
        <v>29.64285714285711</v>
      </c>
      <c r="S2524" s="10">
        <f t="shared" ca="1" si="366"/>
        <v>-11.071428571428342</v>
      </c>
      <c r="T2524" s="10">
        <f t="shared" ca="1" si="367"/>
        <v>193.74999999999667</v>
      </c>
      <c r="U2524" s="10" t="str">
        <f t="shared" ca="1" si="368"/>
        <v>OR</v>
      </c>
      <c r="V2524">
        <f t="shared" si="369"/>
        <v>2</v>
      </c>
    </row>
    <row r="2525" spans="1:22" x14ac:dyDescent="0.25">
      <c r="A2525">
        <v>281</v>
      </c>
      <c r="B2525">
        <v>4</v>
      </c>
      <c r="C2525">
        <v>0</v>
      </c>
      <c r="D2525">
        <v>1</v>
      </c>
      <c r="E2525">
        <v>0</v>
      </c>
      <c r="F2525">
        <v>0</v>
      </c>
      <c r="G2525">
        <v>0</v>
      </c>
      <c r="H2525">
        <v>550</v>
      </c>
      <c r="I2525">
        <f t="shared" si="370"/>
        <v>2520</v>
      </c>
      <c r="J2525" s="6">
        <f t="array" aca="1" ref="J2525:N2525" ca="1">TRANSPOSE(ols(OFFSET($C$2:$C$10,I2525,0),OFFSET($D$2:$H$10,I2525,0)))</f>
        <v>30.714285714285552</v>
      </c>
      <c r="K2525" s="6">
        <f ca="1"/>
        <v>-1.0714285714284415</v>
      </c>
      <c r="L2525" s="6">
        <f ca="1"/>
        <v>0.71428571428600662</v>
      </c>
      <c r="M2525" s="6">
        <f ca="1"/>
        <v>7.1428571428571388</v>
      </c>
      <c r="N2525" s="6">
        <f ca="1"/>
        <v>-5.714285714285694E-2</v>
      </c>
      <c r="O2525" s="6">
        <f t="shared" ca="1" si="363"/>
        <v>-0.71428571428576504</v>
      </c>
      <c r="P2525" t="str">
        <f t="shared" si="362"/>
        <v>NA</v>
      </c>
      <c r="Q2525" s="10">
        <f t="shared" ca="1" si="364"/>
        <v>18.571428571428768</v>
      </c>
      <c r="R2525" s="10">
        <f t="shared" ca="1" si="365"/>
        <v>30.714285714285552</v>
      </c>
      <c r="S2525" s="10">
        <f t="shared" ca="1" si="366"/>
        <v>-12.142857142856784</v>
      </c>
      <c r="T2525" s="10">
        <f t="shared" ca="1" si="367"/>
        <v>212.49999999999446</v>
      </c>
      <c r="U2525" s="10" t="str">
        <f t="shared" ca="1" si="368"/>
        <v>OR</v>
      </c>
      <c r="V2525">
        <f t="shared" si="369"/>
        <v>1</v>
      </c>
    </row>
    <row r="2526" spans="1:22" x14ac:dyDescent="0.25">
      <c r="A2526">
        <v>281</v>
      </c>
      <c r="B2526">
        <v>5</v>
      </c>
      <c r="C2526">
        <v>25</v>
      </c>
      <c r="D2526">
        <v>1</v>
      </c>
      <c r="E2526">
        <v>0</v>
      </c>
      <c r="F2526">
        <v>1</v>
      </c>
      <c r="G2526">
        <v>1</v>
      </c>
      <c r="H2526">
        <v>250</v>
      </c>
      <c r="I2526">
        <f t="shared" si="370"/>
        <v>2520</v>
      </c>
      <c r="J2526" s="6">
        <f t="array" aca="1" ref="J2526:N2526" ca="1">TRANSPOSE(ols(OFFSET($C$2:$C$10,I2526,0),OFFSET($D$2:$H$10,I2526,0)))</f>
        <v>30.714285714285552</v>
      </c>
      <c r="K2526" s="6">
        <f ca="1"/>
        <v>-1.0714285714284415</v>
      </c>
      <c r="L2526" s="6">
        <f ca="1"/>
        <v>0.71428571428600662</v>
      </c>
      <c r="M2526" s="6">
        <f ca="1"/>
        <v>7.1428571428571388</v>
      </c>
      <c r="N2526" s="6">
        <f ca="1"/>
        <v>-5.714285714285694E-2</v>
      </c>
      <c r="O2526" s="6">
        <f t="shared" ca="1" si="363"/>
        <v>24.285714285714462</v>
      </c>
      <c r="P2526" t="str">
        <f t="shared" ref="P2526:P2589" si="371">IF(AND(F2526=1,G2526=1,H2526=350),O2526,"NA")</f>
        <v>NA</v>
      </c>
      <c r="Q2526" s="10">
        <f t="shared" ca="1" si="364"/>
        <v>18.571428571428768</v>
      </c>
      <c r="R2526" s="10">
        <f t="shared" ca="1" si="365"/>
        <v>38.571428571428697</v>
      </c>
      <c r="S2526" s="10">
        <f t="shared" ca="1" si="366"/>
        <v>-19.999999999999929</v>
      </c>
      <c r="T2526" s="10">
        <f t="shared" ca="1" si="367"/>
        <v>350</v>
      </c>
      <c r="U2526" s="10">
        <f t="shared" ca="1" si="368"/>
        <v>350</v>
      </c>
      <c r="V2526">
        <f t="shared" si="369"/>
        <v>6</v>
      </c>
    </row>
    <row r="2527" spans="1:22" x14ac:dyDescent="0.25">
      <c r="A2527">
        <v>281</v>
      </c>
      <c r="B2527">
        <v>6</v>
      </c>
      <c r="C2527">
        <v>20</v>
      </c>
      <c r="D2527">
        <v>1</v>
      </c>
      <c r="E2527">
        <v>0</v>
      </c>
      <c r="F2527">
        <v>1</v>
      </c>
      <c r="G2527">
        <v>1</v>
      </c>
      <c r="H2527">
        <v>350</v>
      </c>
      <c r="I2527">
        <f t="shared" si="370"/>
        <v>2520</v>
      </c>
      <c r="J2527" s="6">
        <f t="array" aca="1" ref="J2527:N2527" ca="1">TRANSPOSE(ols(OFFSET($C$2:$C$10,I2527,0),OFFSET($D$2:$H$10,I2527,0)))</f>
        <v>30.714285714285552</v>
      </c>
      <c r="K2527" s="6">
        <f ca="1"/>
        <v>-1.0714285714284415</v>
      </c>
      <c r="L2527" s="6">
        <f ca="1"/>
        <v>0.71428571428600662</v>
      </c>
      <c r="M2527" s="6">
        <f ca="1"/>
        <v>7.1428571428571388</v>
      </c>
      <c r="N2527" s="6">
        <f ca="1"/>
        <v>-5.714285714285694E-2</v>
      </c>
      <c r="O2527" s="6">
        <f t="shared" ca="1" si="363"/>
        <v>18.571428571428768</v>
      </c>
      <c r="P2527">
        <f t="shared" ca="1" si="371"/>
        <v>18.571428571428768</v>
      </c>
      <c r="Q2527" s="10">
        <f t="shared" ca="1" si="364"/>
        <v>18.571428571428768</v>
      </c>
      <c r="R2527" s="10">
        <f t="shared" ca="1" si="365"/>
        <v>38.571428571428697</v>
      </c>
      <c r="S2527" s="10">
        <f t="shared" ca="1" si="366"/>
        <v>-19.999999999999929</v>
      </c>
      <c r="T2527" s="10">
        <f t="shared" ca="1" si="367"/>
        <v>350</v>
      </c>
      <c r="U2527" s="10">
        <f t="shared" ca="1" si="368"/>
        <v>350</v>
      </c>
      <c r="V2527">
        <f t="shared" si="369"/>
        <v>6</v>
      </c>
    </row>
    <row r="2528" spans="1:22" x14ac:dyDescent="0.25">
      <c r="A2528">
        <v>281</v>
      </c>
      <c r="B2528">
        <v>7</v>
      </c>
      <c r="C2528">
        <v>10</v>
      </c>
      <c r="D2528">
        <v>1</v>
      </c>
      <c r="E2528">
        <v>1</v>
      </c>
      <c r="F2528">
        <v>0</v>
      </c>
      <c r="G2528">
        <v>1</v>
      </c>
      <c r="H2528">
        <v>450</v>
      </c>
      <c r="I2528">
        <f t="shared" si="370"/>
        <v>2520</v>
      </c>
      <c r="J2528" s="6">
        <f t="array" aca="1" ref="J2528:N2528" ca="1">TRANSPOSE(ols(OFFSET($C$2:$C$10,I2528,0),OFFSET($D$2:$H$10,I2528,0)))</f>
        <v>30.714285714285552</v>
      </c>
      <c r="K2528" s="6">
        <f ca="1"/>
        <v>-1.0714285714284415</v>
      </c>
      <c r="L2528" s="6">
        <f ca="1"/>
        <v>0.71428571428600662</v>
      </c>
      <c r="M2528" s="6">
        <f ca="1"/>
        <v>7.1428571428571388</v>
      </c>
      <c r="N2528" s="6">
        <f ca="1"/>
        <v>-5.714285714285694E-2</v>
      </c>
      <c r="O2528" s="6">
        <f t="shared" ca="1" si="363"/>
        <v>11.071428571428626</v>
      </c>
      <c r="P2528" t="str">
        <f t="shared" si="371"/>
        <v>NA</v>
      </c>
      <c r="Q2528" s="10">
        <f t="shared" ca="1" si="364"/>
        <v>18.571428571428768</v>
      </c>
      <c r="R2528" s="10">
        <f t="shared" ca="1" si="365"/>
        <v>36.785714285714249</v>
      </c>
      <c r="S2528" s="10">
        <f t="shared" ca="1" si="366"/>
        <v>-18.214285714285481</v>
      </c>
      <c r="T2528" s="10">
        <f t="shared" ca="1" si="367"/>
        <v>318.74999999999704</v>
      </c>
      <c r="U2528" s="10">
        <f t="shared" ca="1" si="368"/>
        <v>318.74999999999704</v>
      </c>
      <c r="V2528">
        <f t="shared" si="369"/>
        <v>5</v>
      </c>
    </row>
    <row r="2529" spans="1:22" x14ac:dyDescent="0.25">
      <c r="A2529">
        <v>281</v>
      </c>
      <c r="B2529">
        <v>8</v>
      </c>
      <c r="C2529">
        <v>5</v>
      </c>
      <c r="D2529">
        <v>1</v>
      </c>
      <c r="E2529">
        <v>1</v>
      </c>
      <c r="F2529">
        <v>0</v>
      </c>
      <c r="G2529">
        <v>1</v>
      </c>
      <c r="H2529">
        <v>550</v>
      </c>
      <c r="I2529">
        <f t="shared" si="370"/>
        <v>2520</v>
      </c>
      <c r="J2529" s="6">
        <f t="array" aca="1" ref="J2529:N2529" ca="1">TRANSPOSE(ols(OFFSET($C$2:$C$10,I2529,0),OFFSET($D$2:$H$10,I2529,0)))</f>
        <v>30.714285714285552</v>
      </c>
      <c r="K2529" s="6">
        <f ca="1"/>
        <v>-1.0714285714284415</v>
      </c>
      <c r="L2529" s="6">
        <f ca="1"/>
        <v>0.71428571428600662</v>
      </c>
      <c r="M2529" s="6">
        <f ca="1"/>
        <v>7.1428571428571388</v>
      </c>
      <c r="N2529" s="6">
        <f ca="1"/>
        <v>-5.714285714285694E-2</v>
      </c>
      <c r="O2529" s="6">
        <f t="shared" ca="1" si="363"/>
        <v>5.3571428571429323</v>
      </c>
      <c r="P2529" t="str">
        <f t="shared" si="371"/>
        <v>NA</v>
      </c>
      <c r="Q2529" s="10">
        <f t="shared" ca="1" si="364"/>
        <v>18.571428571428768</v>
      </c>
      <c r="R2529" s="10">
        <f t="shared" ca="1" si="365"/>
        <v>36.785714285714249</v>
      </c>
      <c r="S2529" s="10">
        <f t="shared" ca="1" si="366"/>
        <v>-18.214285714285481</v>
      </c>
      <c r="T2529" s="10">
        <f t="shared" ca="1" si="367"/>
        <v>318.74999999999704</v>
      </c>
      <c r="U2529" s="10">
        <f t="shared" ca="1" si="368"/>
        <v>318.74999999999704</v>
      </c>
      <c r="V2529">
        <f t="shared" si="369"/>
        <v>5</v>
      </c>
    </row>
    <row r="2530" spans="1:22" x14ac:dyDescent="0.25">
      <c r="A2530">
        <v>281</v>
      </c>
      <c r="B2530">
        <v>9</v>
      </c>
      <c r="C2530">
        <v>0</v>
      </c>
      <c r="D2530">
        <v>1</v>
      </c>
      <c r="E2530">
        <v>0</v>
      </c>
      <c r="F2530">
        <v>0</v>
      </c>
      <c r="G2530">
        <v>1</v>
      </c>
      <c r="H2530">
        <v>650</v>
      </c>
      <c r="I2530">
        <f t="shared" si="370"/>
        <v>2520</v>
      </c>
      <c r="J2530" s="6">
        <f t="array" aca="1" ref="J2530:N2530" ca="1">TRANSPOSE(ols(OFFSET($C$2:$C$10,I2530,0),OFFSET($D$2:$H$10,I2530,0)))</f>
        <v>30.714285714285552</v>
      </c>
      <c r="K2530" s="6">
        <f ca="1"/>
        <v>-1.0714285714284415</v>
      </c>
      <c r="L2530" s="6">
        <f ca="1"/>
        <v>0.71428571428600662</v>
      </c>
      <c r="M2530" s="6">
        <f ca="1"/>
        <v>7.1428571428571388</v>
      </c>
      <c r="N2530" s="6">
        <f ca="1"/>
        <v>-5.714285714285694E-2</v>
      </c>
      <c r="O2530" s="6">
        <f t="shared" ca="1" si="363"/>
        <v>0.71428571428567977</v>
      </c>
      <c r="P2530" t="str">
        <f t="shared" si="371"/>
        <v>NA</v>
      </c>
      <c r="Q2530" s="10">
        <f t="shared" ca="1" si="364"/>
        <v>18.571428571428768</v>
      </c>
      <c r="R2530" s="10">
        <f t="shared" ca="1" si="365"/>
        <v>37.857142857142691</v>
      </c>
      <c r="S2530" s="10">
        <f t="shared" ca="1" si="366"/>
        <v>-19.285714285713922</v>
      </c>
      <c r="T2530" s="10">
        <f t="shared" ca="1" si="367"/>
        <v>337.49999999999483</v>
      </c>
      <c r="U2530" s="10">
        <f t="shared" ca="1" si="368"/>
        <v>337.49999999999483</v>
      </c>
      <c r="V2530">
        <f t="shared" si="369"/>
        <v>4</v>
      </c>
    </row>
    <row r="2531" spans="1:22" x14ac:dyDescent="0.25">
      <c r="A2531">
        <v>282</v>
      </c>
      <c r="B2531">
        <v>1</v>
      </c>
      <c r="C2531">
        <v>90</v>
      </c>
      <c r="D2531">
        <v>1</v>
      </c>
      <c r="E2531">
        <v>0</v>
      </c>
      <c r="F2531">
        <v>1</v>
      </c>
      <c r="G2531">
        <v>0</v>
      </c>
      <c r="H2531">
        <v>250</v>
      </c>
      <c r="I2531">
        <f t="shared" si="370"/>
        <v>2529</v>
      </c>
      <c r="J2531" s="6">
        <f t="array" aca="1" ref="J2531:N2531" ca="1">TRANSPOSE(ols(OFFSET($C$2:$C$10,I2531,0),OFFSET($D$2:$H$10,I2531,0)))</f>
        <v>111.84523809523671</v>
      </c>
      <c r="K2531" s="6">
        <f ca="1"/>
        <v>32.85714285714289</v>
      </c>
      <c r="L2531" s="6">
        <f ca="1"/>
        <v>28.095238095238528</v>
      </c>
      <c r="M2531" s="6">
        <f ca="1"/>
        <v>-1.5476190476188094</v>
      </c>
      <c r="N2531" s="6">
        <f ca="1"/>
        <v>-0.17261904761904567</v>
      </c>
      <c r="O2531" s="6">
        <f t="shared" ca="1" si="363"/>
        <v>96.785714285713823</v>
      </c>
      <c r="P2531" t="str">
        <f t="shared" si="371"/>
        <v>NA</v>
      </c>
      <c r="Q2531" s="10">
        <f t="shared" ca="1" si="364"/>
        <v>77.976190476190439</v>
      </c>
      <c r="R2531" s="10">
        <f t="shared" ca="1" si="365"/>
        <v>139.94047619047524</v>
      </c>
      <c r="S2531" s="10">
        <f t="shared" ca="1" si="366"/>
        <v>-61.964285714284799</v>
      </c>
      <c r="T2531" s="10">
        <f t="shared" ca="1" si="367"/>
        <v>358.96551724137805</v>
      </c>
      <c r="U2531" s="10">
        <f t="shared" ca="1" si="368"/>
        <v>358.96551724137805</v>
      </c>
      <c r="V2531">
        <f t="shared" si="369"/>
        <v>3</v>
      </c>
    </row>
    <row r="2532" spans="1:22" x14ac:dyDescent="0.25">
      <c r="A2532">
        <v>282</v>
      </c>
      <c r="B2532">
        <v>2</v>
      </c>
      <c r="C2532">
        <v>90</v>
      </c>
      <c r="D2532">
        <v>1</v>
      </c>
      <c r="E2532">
        <v>1</v>
      </c>
      <c r="F2532">
        <v>0</v>
      </c>
      <c r="G2532">
        <v>0</v>
      </c>
      <c r="H2532">
        <v>350</v>
      </c>
      <c r="I2532">
        <f t="shared" si="370"/>
        <v>2529</v>
      </c>
      <c r="J2532" s="6">
        <f t="array" aca="1" ref="J2532:N2532" ca="1">TRANSPOSE(ols(OFFSET($C$2:$C$10,I2532,0),OFFSET($D$2:$H$10,I2532,0)))</f>
        <v>111.84523809523671</v>
      </c>
      <c r="K2532" s="6">
        <f ca="1"/>
        <v>32.85714285714289</v>
      </c>
      <c r="L2532" s="6">
        <f ca="1"/>
        <v>28.095238095238528</v>
      </c>
      <c r="M2532" s="6">
        <f ca="1"/>
        <v>-1.5476190476188094</v>
      </c>
      <c r="N2532" s="6">
        <f ca="1"/>
        <v>-0.17261904761904567</v>
      </c>
      <c r="O2532" s="6">
        <f t="shared" ca="1" si="363"/>
        <v>84.28571428571361</v>
      </c>
      <c r="P2532" t="str">
        <f t="shared" si="371"/>
        <v>NA</v>
      </c>
      <c r="Q2532" s="10">
        <f t="shared" ca="1" si="364"/>
        <v>77.976190476190439</v>
      </c>
      <c r="R2532" s="10">
        <f t="shared" ca="1" si="365"/>
        <v>144.7023809523796</v>
      </c>
      <c r="S2532" s="10">
        <f t="shared" ca="1" si="366"/>
        <v>-66.72619047618916</v>
      </c>
      <c r="T2532" s="10">
        <f t="shared" ca="1" si="367"/>
        <v>386.55172413792775</v>
      </c>
      <c r="U2532" s="10">
        <f t="shared" ca="1" si="368"/>
        <v>386.55172413792775</v>
      </c>
      <c r="V2532">
        <f t="shared" si="369"/>
        <v>2</v>
      </c>
    </row>
    <row r="2533" spans="1:22" x14ac:dyDescent="0.25">
      <c r="A2533">
        <v>282</v>
      </c>
      <c r="B2533">
        <v>3</v>
      </c>
      <c r="C2533">
        <v>70</v>
      </c>
      <c r="D2533">
        <v>1</v>
      </c>
      <c r="E2533">
        <v>1</v>
      </c>
      <c r="F2533">
        <v>0</v>
      </c>
      <c r="G2533">
        <v>0</v>
      </c>
      <c r="H2533">
        <v>450</v>
      </c>
      <c r="I2533">
        <f t="shared" si="370"/>
        <v>2529</v>
      </c>
      <c r="J2533" s="6">
        <f t="array" aca="1" ref="J2533:N2533" ca="1">TRANSPOSE(ols(OFFSET($C$2:$C$10,I2533,0),OFFSET($D$2:$H$10,I2533,0)))</f>
        <v>111.84523809523671</v>
      </c>
      <c r="K2533" s="6">
        <f ca="1"/>
        <v>32.85714285714289</v>
      </c>
      <c r="L2533" s="6">
        <f ca="1"/>
        <v>28.095238095238528</v>
      </c>
      <c r="M2533" s="6">
        <f ca="1"/>
        <v>-1.5476190476188094</v>
      </c>
      <c r="N2533" s="6">
        <f ca="1"/>
        <v>-0.17261904761904567</v>
      </c>
      <c r="O2533" s="6">
        <f t="shared" ca="1" si="363"/>
        <v>67.023809523809049</v>
      </c>
      <c r="P2533" t="str">
        <f t="shared" si="371"/>
        <v>NA</v>
      </c>
      <c r="Q2533" s="10">
        <f t="shared" ca="1" si="364"/>
        <v>77.976190476190439</v>
      </c>
      <c r="R2533" s="10">
        <f t="shared" ca="1" si="365"/>
        <v>144.7023809523796</v>
      </c>
      <c r="S2533" s="10">
        <f t="shared" ca="1" si="366"/>
        <v>-66.72619047618916</v>
      </c>
      <c r="T2533" s="10">
        <f t="shared" ca="1" si="367"/>
        <v>386.55172413792775</v>
      </c>
      <c r="U2533" s="10">
        <f t="shared" ca="1" si="368"/>
        <v>386.55172413792775</v>
      </c>
      <c r="V2533">
        <f t="shared" si="369"/>
        <v>2</v>
      </c>
    </row>
    <row r="2534" spans="1:22" x14ac:dyDescent="0.25">
      <c r="A2534">
        <v>282</v>
      </c>
      <c r="B2534">
        <v>4</v>
      </c>
      <c r="C2534">
        <v>15</v>
      </c>
      <c r="D2534">
        <v>1</v>
      </c>
      <c r="E2534">
        <v>0</v>
      </c>
      <c r="F2534">
        <v>0</v>
      </c>
      <c r="G2534">
        <v>0</v>
      </c>
      <c r="H2534">
        <v>550</v>
      </c>
      <c r="I2534">
        <f t="shared" si="370"/>
        <v>2529</v>
      </c>
      <c r="J2534" s="6">
        <f t="array" aca="1" ref="J2534:N2534" ca="1">TRANSPOSE(ols(OFFSET($C$2:$C$10,I2534,0),OFFSET($D$2:$H$10,I2534,0)))</f>
        <v>111.84523809523671</v>
      </c>
      <c r="K2534" s="6">
        <f ca="1"/>
        <v>32.85714285714289</v>
      </c>
      <c r="L2534" s="6">
        <f ca="1"/>
        <v>28.095238095238528</v>
      </c>
      <c r="M2534" s="6">
        <f ca="1"/>
        <v>-1.5476190476188094</v>
      </c>
      <c r="N2534" s="6">
        <f ca="1"/>
        <v>-0.17261904761904567</v>
      </c>
      <c r="O2534" s="6">
        <f t="shared" ca="1" si="363"/>
        <v>16.904761904761585</v>
      </c>
      <c r="P2534" t="str">
        <f t="shared" si="371"/>
        <v>NA</v>
      </c>
      <c r="Q2534" s="10">
        <f t="shared" ca="1" si="364"/>
        <v>77.976190476190439</v>
      </c>
      <c r="R2534" s="10">
        <f t="shared" ca="1" si="365"/>
        <v>111.84523809523671</v>
      </c>
      <c r="S2534" s="10">
        <f t="shared" ca="1" si="366"/>
        <v>-33.86904761904627</v>
      </c>
      <c r="T2534" s="10">
        <f t="shared" ca="1" si="367"/>
        <v>196.20689655171853</v>
      </c>
      <c r="U2534" s="10" t="str">
        <f t="shared" ca="1" si="368"/>
        <v>OR</v>
      </c>
      <c r="V2534">
        <f t="shared" si="369"/>
        <v>1</v>
      </c>
    </row>
    <row r="2535" spans="1:22" x14ac:dyDescent="0.25">
      <c r="A2535">
        <v>282</v>
      </c>
      <c r="B2535">
        <v>5</v>
      </c>
      <c r="C2535">
        <v>90</v>
      </c>
      <c r="D2535">
        <v>1</v>
      </c>
      <c r="E2535">
        <v>0</v>
      </c>
      <c r="F2535">
        <v>1</v>
      </c>
      <c r="G2535">
        <v>1</v>
      </c>
      <c r="H2535">
        <v>250</v>
      </c>
      <c r="I2535">
        <f t="shared" si="370"/>
        <v>2529</v>
      </c>
      <c r="J2535" s="6">
        <f t="array" aca="1" ref="J2535:N2535" ca="1">TRANSPOSE(ols(OFFSET($C$2:$C$10,I2535,0),OFFSET($D$2:$H$10,I2535,0)))</f>
        <v>111.84523809523671</v>
      </c>
      <c r="K2535" s="6">
        <f ca="1"/>
        <v>32.85714285714289</v>
      </c>
      <c r="L2535" s="6">
        <f ca="1"/>
        <v>28.095238095238528</v>
      </c>
      <c r="M2535" s="6">
        <f ca="1"/>
        <v>-1.5476190476188094</v>
      </c>
      <c r="N2535" s="6">
        <f ca="1"/>
        <v>-0.17261904761904567</v>
      </c>
      <c r="O2535" s="6">
        <f t="shared" ca="1" si="363"/>
        <v>95.238095238095013</v>
      </c>
      <c r="P2535" t="str">
        <f t="shared" si="371"/>
        <v>NA</v>
      </c>
      <c r="Q2535" s="10">
        <f t="shared" ca="1" si="364"/>
        <v>77.976190476190439</v>
      </c>
      <c r="R2535" s="10">
        <f t="shared" ca="1" si="365"/>
        <v>138.39285714285643</v>
      </c>
      <c r="S2535" s="10">
        <f t="shared" ca="1" si="366"/>
        <v>-60.416666666665989</v>
      </c>
      <c r="T2535" s="10">
        <f t="shared" ca="1" si="367"/>
        <v>350</v>
      </c>
      <c r="U2535" s="10">
        <f t="shared" ca="1" si="368"/>
        <v>350</v>
      </c>
      <c r="V2535">
        <f t="shared" si="369"/>
        <v>6</v>
      </c>
    </row>
    <row r="2536" spans="1:22" x14ac:dyDescent="0.25">
      <c r="A2536">
        <v>282</v>
      </c>
      <c r="B2536">
        <v>6</v>
      </c>
      <c r="C2536">
        <v>90</v>
      </c>
      <c r="D2536">
        <v>1</v>
      </c>
      <c r="E2536">
        <v>0</v>
      </c>
      <c r="F2536">
        <v>1</v>
      </c>
      <c r="G2536">
        <v>1</v>
      </c>
      <c r="H2536">
        <v>350</v>
      </c>
      <c r="I2536">
        <f t="shared" si="370"/>
        <v>2529</v>
      </c>
      <c r="J2536" s="6">
        <f t="array" aca="1" ref="J2536:N2536" ca="1">TRANSPOSE(ols(OFFSET($C$2:$C$10,I2536,0),OFFSET($D$2:$H$10,I2536,0)))</f>
        <v>111.84523809523671</v>
      </c>
      <c r="K2536" s="6">
        <f ca="1"/>
        <v>32.85714285714289</v>
      </c>
      <c r="L2536" s="6">
        <f ca="1"/>
        <v>28.095238095238528</v>
      </c>
      <c r="M2536" s="6">
        <f ca="1"/>
        <v>-1.5476190476188094</v>
      </c>
      <c r="N2536" s="6">
        <f ca="1"/>
        <v>-0.17261904761904567</v>
      </c>
      <c r="O2536" s="6">
        <f t="shared" ca="1" si="363"/>
        <v>77.976190476190439</v>
      </c>
      <c r="P2536">
        <f t="shared" ca="1" si="371"/>
        <v>77.976190476190439</v>
      </c>
      <c r="Q2536" s="10">
        <f t="shared" ca="1" si="364"/>
        <v>77.976190476190439</v>
      </c>
      <c r="R2536" s="10">
        <f t="shared" ca="1" si="365"/>
        <v>138.39285714285643</v>
      </c>
      <c r="S2536" s="10">
        <f t="shared" ca="1" si="366"/>
        <v>-60.416666666665989</v>
      </c>
      <c r="T2536" s="10">
        <f t="shared" ca="1" si="367"/>
        <v>350</v>
      </c>
      <c r="U2536" s="10">
        <f t="shared" ca="1" si="368"/>
        <v>350</v>
      </c>
      <c r="V2536">
        <f t="shared" si="369"/>
        <v>6</v>
      </c>
    </row>
    <row r="2537" spans="1:22" x14ac:dyDescent="0.25">
      <c r="A2537">
        <v>282</v>
      </c>
      <c r="B2537">
        <v>7</v>
      </c>
      <c r="C2537">
        <v>65</v>
      </c>
      <c r="D2537">
        <v>1</v>
      </c>
      <c r="E2537">
        <v>1</v>
      </c>
      <c r="F2537">
        <v>0</v>
      </c>
      <c r="G2537">
        <v>1</v>
      </c>
      <c r="H2537">
        <v>450</v>
      </c>
      <c r="I2537">
        <f t="shared" si="370"/>
        <v>2529</v>
      </c>
      <c r="J2537" s="6">
        <f t="array" aca="1" ref="J2537:N2537" ca="1">TRANSPOSE(ols(OFFSET($C$2:$C$10,I2537,0),OFFSET($D$2:$H$10,I2537,0)))</f>
        <v>111.84523809523671</v>
      </c>
      <c r="K2537" s="6">
        <f ca="1"/>
        <v>32.85714285714289</v>
      </c>
      <c r="L2537" s="6">
        <f ca="1"/>
        <v>28.095238095238528</v>
      </c>
      <c r="M2537" s="6">
        <f ca="1"/>
        <v>-1.5476190476188094</v>
      </c>
      <c r="N2537" s="6">
        <f ca="1"/>
        <v>-0.17261904761904567</v>
      </c>
      <c r="O2537" s="6">
        <f t="shared" ca="1" si="363"/>
        <v>65.47619047619024</v>
      </c>
      <c r="P2537" t="str">
        <f t="shared" si="371"/>
        <v>NA</v>
      </c>
      <c r="Q2537" s="10">
        <f t="shared" ca="1" si="364"/>
        <v>77.976190476190439</v>
      </c>
      <c r="R2537" s="10">
        <f t="shared" ca="1" si="365"/>
        <v>143.15476190476079</v>
      </c>
      <c r="S2537" s="10">
        <f t="shared" ca="1" si="366"/>
        <v>-65.178571428570351</v>
      </c>
      <c r="T2537" s="10">
        <f t="shared" ca="1" si="367"/>
        <v>377.58620689654975</v>
      </c>
      <c r="U2537" s="10">
        <f t="shared" ca="1" si="368"/>
        <v>377.58620689654975</v>
      </c>
      <c r="V2537">
        <f t="shared" si="369"/>
        <v>5</v>
      </c>
    </row>
    <row r="2538" spans="1:22" x14ac:dyDescent="0.25">
      <c r="A2538">
        <v>282</v>
      </c>
      <c r="B2538">
        <v>8</v>
      </c>
      <c r="C2538">
        <v>40</v>
      </c>
      <c r="D2538">
        <v>1</v>
      </c>
      <c r="E2538">
        <v>1</v>
      </c>
      <c r="F2538">
        <v>0</v>
      </c>
      <c r="G2538">
        <v>1</v>
      </c>
      <c r="H2538">
        <v>550</v>
      </c>
      <c r="I2538">
        <f t="shared" si="370"/>
        <v>2529</v>
      </c>
      <c r="J2538" s="6">
        <f t="array" aca="1" ref="J2538:N2538" ca="1">TRANSPOSE(ols(OFFSET($C$2:$C$10,I2538,0),OFFSET($D$2:$H$10,I2538,0)))</f>
        <v>111.84523809523671</v>
      </c>
      <c r="K2538" s="6">
        <f ca="1"/>
        <v>32.85714285714289</v>
      </c>
      <c r="L2538" s="6">
        <f ca="1"/>
        <v>28.095238095238528</v>
      </c>
      <c r="M2538" s="6">
        <f ca="1"/>
        <v>-1.5476190476188094</v>
      </c>
      <c r="N2538" s="6">
        <f ca="1"/>
        <v>-0.17261904761904567</v>
      </c>
      <c r="O2538" s="6">
        <f t="shared" ca="1" si="363"/>
        <v>48.214285714285666</v>
      </c>
      <c r="P2538" t="str">
        <f t="shared" si="371"/>
        <v>NA</v>
      </c>
      <c r="Q2538" s="10">
        <f t="shared" ca="1" si="364"/>
        <v>77.976190476190439</v>
      </c>
      <c r="R2538" s="10">
        <f t="shared" ca="1" si="365"/>
        <v>143.15476190476079</v>
      </c>
      <c r="S2538" s="10">
        <f t="shared" ca="1" si="366"/>
        <v>-65.178571428570351</v>
      </c>
      <c r="T2538" s="10">
        <f t="shared" ca="1" si="367"/>
        <v>377.58620689654975</v>
      </c>
      <c r="U2538" s="10">
        <f t="shared" ca="1" si="368"/>
        <v>377.58620689654975</v>
      </c>
      <c r="V2538">
        <f t="shared" si="369"/>
        <v>5</v>
      </c>
    </row>
    <row r="2539" spans="1:22" x14ac:dyDescent="0.25">
      <c r="A2539">
        <v>282</v>
      </c>
      <c r="B2539">
        <v>9</v>
      </c>
      <c r="C2539">
        <v>0</v>
      </c>
      <c r="D2539">
        <v>1</v>
      </c>
      <c r="E2539">
        <v>0</v>
      </c>
      <c r="F2539">
        <v>0</v>
      </c>
      <c r="G2539">
        <v>1</v>
      </c>
      <c r="H2539">
        <v>650</v>
      </c>
      <c r="I2539">
        <f t="shared" si="370"/>
        <v>2529</v>
      </c>
      <c r="J2539" s="6">
        <f t="array" aca="1" ref="J2539:N2539" ca="1">TRANSPOSE(ols(OFFSET($C$2:$C$10,I2539,0),OFFSET($D$2:$H$10,I2539,0)))</f>
        <v>111.84523809523671</v>
      </c>
      <c r="K2539" s="6">
        <f ca="1"/>
        <v>32.85714285714289</v>
      </c>
      <c r="L2539" s="6">
        <f ca="1"/>
        <v>28.095238095238528</v>
      </c>
      <c r="M2539" s="6">
        <f ca="1"/>
        <v>-1.5476190476188094</v>
      </c>
      <c r="N2539" s="6">
        <f ca="1"/>
        <v>-0.17261904761904567</v>
      </c>
      <c r="O2539" s="6">
        <f t="shared" ca="1" si="363"/>
        <v>-1.9047619047617843</v>
      </c>
      <c r="P2539" t="str">
        <f t="shared" si="371"/>
        <v>NA</v>
      </c>
      <c r="Q2539" s="10">
        <f t="shared" ca="1" si="364"/>
        <v>77.976190476190439</v>
      </c>
      <c r="R2539" s="10">
        <f t="shared" ca="1" si="365"/>
        <v>110.2976190476179</v>
      </c>
      <c r="S2539" s="10">
        <f t="shared" ca="1" si="366"/>
        <v>-32.321428571427461</v>
      </c>
      <c r="T2539" s="10">
        <f t="shared" ca="1" si="367"/>
        <v>187.24137931034051</v>
      </c>
      <c r="U2539" s="10" t="str">
        <f t="shared" ca="1" si="368"/>
        <v>OR</v>
      </c>
      <c r="V2539">
        <f t="shared" si="369"/>
        <v>4</v>
      </c>
    </row>
    <row r="2540" spans="1:22" x14ac:dyDescent="0.25">
      <c r="A2540">
        <v>283</v>
      </c>
      <c r="B2540">
        <v>1</v>
      </c>
      <c r="C2540">
        <v>2.5</v>
      </c>
      <c r="D2540">
        <v>1</v>
      </c>
      <c r="E2540">
        <v>0</v>
      </c>
      <c r="F2540">
        <v>1</v>
      </c>
      <c r="G2540">
        <v>0</v>
      </c>
      <c r="H2540">
        <v>250</v>
      </c>
      <c r="I2540">
        <f t="shared" si="370"/>
        <v>2538</v>
      </c>
      <c r="J2540" s="6">
        <f t="array" aca="1" ref="J2540:N2540" ca="1">TRANSPOSE(ols(OFFSET($C$2:$C$10,I2540,0),OFFSET($D$2:$H$10,I2540,0)))</f>
        <v>14.678571428571331</v>
      </c>
      <c r="K2540" s="6">
        <f ca="1"/>
        <v>-3.1428571428571672</v>
      </c>
      <c r="L2540" s="6">
        <f ca="1"/>
        <v>-5.0714285714285552</v>
      </c>
      <c r="M2540" s="6">
        <f ca="1"/>
        <v>9.7857142857143344</v>
      </c>
      <c r="N2540" s="6">
        <f ca="1"/>
        <v>-1.9285714285714128E-2</v>
      </c>
      <c r="O2540" s="6">
        <f t="shared" ca="1" si="363"/>
        <v>4.7857142857142438</v>
      </c>
      <c r="P2540" t="str">
        <f t="shared" si="371"/>
        <v>NA</v>
      </c>
      <c r="Q2540" s="10">
        <f t="shared" ca="1" si="364"/>
        <v>12.642857142857165</v>
      </c>
      <c r="R2540" s="10">
        <f t="shared" ca="1" si="365"/>
        <v>9.6071428571427759</v>
      </c>
      <c r="S2540" s="10">
        <f t="shared" ca="1" si="366"/>
        <v>3.0357142857143895</v>
      </c>
      <c r="T2540" s="10">
        <f t="shared" ca="1" si="367"/>
        <v>-157.40740740741407</v>
      </c>
      <c r="U2540" s="10" t="str">
        <f t="shared" ca="1" si="368"/>
        <v>OR</v>
      </c>
      <c r="V2540">
        <f t="shared" si="369"/>
        <v>3</v>
      </c>
    </row>
    <row r="2541" spans="1:22" x14ac:dyDescent="0.25">
      <c r="A2541">
        <v>283</v>
      </c>
      <c r="B2541">
        <v>2</v>
      </c>
      <c r="C2541">
        <v>4.5</v>
      </c>
      <c r="D2541">
        <v>1</v>
      </c>
      <c r="E2541">
        <v>1</v>
      </c>
      <c r="F2541">
        <v>0</v>
      </c>
      <c r="G2541">
        <v>0</v>
      </c>
      <c r="H2541">
        <v>350</v>
      </c>
      <c r="I2541">
        <f t="shared" si="370"/>
        <v>2538</v>
      </c>
      <c r="J2541" s="6">
        <f t="array" aca="1" ref="J2541:N2541" ca="1">TRANSPOSE(ols(OFFSET($C$2:$C$10,I2541,0),OFFSET($D$2:$H$10,I2541,0)))</f>
        <v>14.678571428571331</v>
      </c>
      <c r="K2541" s="6">
        <f ca="1"/>
        <v>-3.1428571428571672</v>
      </c>
      <c r="L2541" s="6">
        <f ca="1"/>
        <v>-5.0714285714285552</v>
      </c>
      <c r="M2541" s="6">
        <f ca="1"/>
        <v>9.7857142857143344</v>
      </c>
      <c r="N2541" s="6">
        <f ca="1"/>
        <v>-1.9285714285714128E-2</v>
      </c>
      <c r="O2541" s="6">
        <f t="shared" ca="1" si="363"/>
        <v>4.785714285714219</v>
      </c>
      <c r="P2541" t="str">
        <f t="shared" si="371"/>
        <v>NA</v>
      </c>
      <c r="Q2541" s="10">
        <f t="shared" ca="1" si="364"/>
        <v>12.642857142857165</v>
      </c>
      <c r="R2541" s="10">
        <f t="shared" ca="1" si="365"/>
        <v>11.535714285714164</v>
      </c>
      <c r="S2541" s="10">
        <f t="shared" ca="1" si="366"/>
        <v>1.1071428571430015</v>
      </c>
      <c r="T2541" s="10">
        <f t="shared" ca="1" si="367"/>
        <v>-57.407407407415363</v>
      </c>
      <c r="U2541" s="10" t="str">
        <f t="shared" ca="1" si="368"/>
        <v>OR</v>
      </c>
      <c r="V2541">
        <f t="shared" si="369"/>
        <v>2</v>
      </c>
    </row>
    <row r="2542" spans="1:22" x14ac:dyDescent="0.25">
      <c r="A2542">
        <v>283</v>
      </c>
      <c r="B2542">
        <v>3</v>
      </c>
      <c r="C2542">
        <v>3.5</v>
      </c>
      <c r="D2542">
        <v>1</v>
      </c>
      <c r="E2542">
        <v>1</v>
      </c>
      <c r="F2542">
        <v>0</v>
      </c>
      <c r="G2542">
        <v>0</v>
      </c>
      <c r="H2542">
        <v>450</v>
      </c>
      <c r="I2542">
        <f t="shared" si="370"/>
        <v>2538</v>
      </c>
      <c r="J2542" s="6">
        <f t="array" aca="1" ref="J2542:N2542" ca="1">TRANSPOSE(ols(OFFSET($C$2:$C$10,I2542,0),OFFSET($D$2:$H$10,I2542,0)))</f>
        <v>14.678571428571331</v>
      </c>
      <c r="K2542" s="6">
        <f ca="1"/>
        <v>-3.1428571428571672</v>
      </c>
      <c r="L2542" s="6">
        <f ca="1"/>
        <v>-5.0714285714285552</v>
      </c>
      <c r="M2542" s="6">
        <f ca="1"/>
        <v>9.7857142857143344</v>
      </c>
      <c r="N2542" s="6">
        <f ca="1"/>
        <v>-1.9285714285714128E-2</v>
      </c>
      <c r="O2542" s="6">
        <f t="shared" ca="1" si="363"/>
        <v>2.8571428571428061</v>
      </c>
      <c r="P2542" t="str">
        <f t="shared" si="371"/>
        <v>NA</v>
      </c>
      <c r="Q2542" s="10">
        <f t="shared" ca="1" si="364"/>
        <v>12.642857142857165</v>
      </c>
      <c r="R2542" s="10">
        <f t="shared" ca="1" si="365"/>
        <v>11.535714285714164</v>
      </c>
      <c r="S2542" s="10">
        <f t="shared" ca="1" si="366"/>
        <v>1.1071428571430015</v>
      </c>
      <c r="T2542" s="10">
        <f t="shared" ca="1" si="367"/>
        <v>-57.407407407415363</v>
      </c>
      <c r="U2542" s="10" t="str">
        <f t="shared" ca="1" si="368"/>
        <v>OR</v>
      </c>
      <c r="V2542">
        <f t="shared" si="369"/>
        <v>2</v>
      </c>
    </row>
    <row r="2543" spans="1:22" x14ac:dyDescent="0.25">
      <c r="A2543">
        <v>283</v>
      </c>
      <c r="B2543">
        <v>4</v>
      </c>
      <c r="C2543">
        <v>6</v>
      </c>
      <c r="D2543">
        <v>1</v>
      </c>
      <c r="E2543">
        <v>0</v>
      </c>
      <c r="F2543">
        <v>0</v>
      </c>
      <c r="G2543">
        <v>0</v>
      </c>
      <c r="H2543">
        <v>550</v>
      </c>
      <c r="I2543">
        <f t="shared" si="370"/>
        <v>2538</v>
      </c>
      <c r="J2543" s="6">
        <f t="array" aca="1" ref="J2543:N2543" ca="1">TRANSPOSE(ols(OFFSET($C$2:$C$10,I2543,0),OFFSET($D$2:$H$10,I2543,0)))</f>
        <v>14.678571428571331</v>
      </c>
      <c r="K2543" s="6">
        <f ca="1"/>
        <v>-3.1428571428571672</v>
      </c>
      <c r="L2543" s="6">
        <f ca="1"/>
        <v>-5.0714285714285552</v>
      </c>
      <c r="M2543" s="6">
        <f ca="1"/>
        <v>9.7857142857143344</v>
      </c>
      <c r="N2543" s="6">
        <f ca="1"/>
        <v>-1.9285714285714128E-2</v>
      </c>
      <c r="O2543" s="6">
        <f t="shared" ca="1" si="363"/>
        <v>4.0714285714285605</v>
      </c>
      <c r="P2543" t="str">
        <f t="shared" si="371"/>
        <v>NA</v>
      </c>
      <c r="Q2543" s="10">
        <f t="shared" ca="1" si="364"/>
        <v>12.642857142857165</v>
      </c>
      <c r="R2543" s="10">
        <f t="shared" ca="1" si="365"/>
        <v>14.678571428571331</v>
      </c>
      <c r="S2543" s="10">
        <f t="shared" ca="1" si="366"/>
        <v>-2.0357142857141657</v>
      </c>
      <c r="T2543" s="10">
        <f t="shared" ca="1" si="367"/>
        <v>105.5555555555502</v>
      </c>
      <c r="U2543" s="10" t="str">
        <f t="shared" ca="1" si="368"/>
        <v>OR</v>
      </c>
      <c r="V2543">
        <f t="shared" si="369"/>
        <v>1</v>
      </c>
    </row>
    <row r="2544" spans="1:22" x14ac:dyDescent="0.25">
      <c r="A2544">
        <v>283</v>
      </c>
      <c r="B2544">
        <v>5</v>
      </c>
      <c r="C2544">
        <v>15</v>
      </c>
      <c r="D2544">
        <v>1</v>
      </c>
      <c r="E2544">
        <v>0</v>
      </c>
      <c r="F2544">
        <v>1</v>
      </c>
      <c r="G2544">
        <v>1</v>
      </c>
      <c r="H2544">
        <v>250</v>
      </c>
      <c r="I2544">
        <f t="shared" si="370"/>
        <v>2538</v>
      </c>
      <c r="J2544" s="6">
        <f t="array" aca="1" ref="J2544:N2544" ca="1">TRANSPOSE(ols(OFFSET($C$2:$C$10,I2544,0),OFFSET($D$2:$H$10,I2544,0)))</f>
        <v>14.678571428571331</v>
      </c>
      <c r="K2544" s="6">
        <f ca="1"/>
        <v>-3.1428571428571672</v>
      </c>
      <c r="L2544" s="6">
        <f ca="1"/>
        <v>-5.0714285714285552</v>
      </c>
      <c r="M2544" s="6">
        <f ca="1"/>
        <v>9.7857142857143344</v>
      </c>
      <c r="N2544" s="6">
        <f ca="1"/>
        <v>-1.9285714285714128E-2</v>
      </c>
      <c r="O2544" s="6">
        <f t="shared" ca="1" si="363"/>
        <v>14.571428571428578</v>
      </c>
      <c r="P2544" t="str">
        <f t="shared" si="371"/>
        <v>NA</v>
      </c>
      <c r="Q2544" s="10">
        <f t="shared" ca="1" si="364"/>
        <v>12.642857142857165</v>
      </c>
      <c r="R2544" s="10">
        <f t="shared" ca="1" si="365"/>
        <v>19.39285714285711</v>
      </c>
      <c r="S2544" s="10">
        <f t="shared" ca="1" si="366"/>
        <v>-6.7499999999999449</v>
      </c>
      <c r="T2544" s="10">
        <f t="shared" ca="1" si="367"/>
        <v>350</v>
      </c>
      <c r="U2544" s="10">
        <f t="shared" ca="1" si="368"/>
        <v>350</v>
      </c>
      <c r="V2544">
        <f t="shared" si="369"/>
        <v>6</v>
      </c>
    </row>
    <row r="2545" spans="1:22" x14ac:dyDescent="0.25">
      <c r="A2545">
        <v>283</v>
      </c>
      <c r="B2545">
        <v>6</v>
      </c>
      <c r="C2545">
        <v>14.5</v>
      </c>
      <c r="D2545">
        <v>1</v>
      </c>
      <c r="E2545">
        <v>0</v>
      </c>
      <c r="F2545">
        <v>1</v>
      </c>
      <c r="G2545">
        <v>1</v>
      </c>
      <c r="H2545">
        <v>350</v>
      </c>
      <c r="I2545">
        <f t="shared" si="370"/>
        <v>2538</v>
      </c>
      <c r="J2545" s="6">
        <f t="array" aca="1" ref="J2545:N2545" ca="1">TRANSPOSE(ols(OFFSET($C$2:$C$10,I2545,0),OFFSET($D$2:$H$10,I2545,0)))</f>
        <v>14.678571428571331</v>
      </c>
      <c r="K2545" s="6">
        <f ca="1"/>
        <v>-3.1428571428571672</v>
      </c>
      <c r="L2545" s="6">
        <f ca="1"/>
        <v>-5.0714285714285552</v>
      </c>
      <c r="M2545" s="6">
        <f ca="1"/>
        <v>9.7857142857143344</v>
      </c>
      <c r="N2545" s="6">
        <f ca="1"/>
        <v>-1.9285714285714128E-2</v>
      </c>
      <c r="O2545" s="6">
        <f t="shared" ca="1" si="363"/>
        <v>12.642857142857165</v>
      </c>
      <c r="P2545">
        <f t="shared" ca="1" si="371"/>
        <v>12.642857142857165</v>
      </c>
      <c r="Q2545" s="10">
        <f t="shared" ca="1" si="364"/>
        <v>12.642857142857165</v>
      </c>
      <c r="R2545" s="10">
        <f t="shared" ca="1" si="365"/>
        <v>19.39285714285711</v>
      </c>
      <c r="S2545" s="10">
        <f t="shared" ca="1" si="366"/>
        <v>-6.7499999999999449</v>
      </c>
      <c r="T2545" s="10">
        <f t="shared" ca="1" si="367"/>
        <v>350</v>
      </c>
      <c r="U2545" s="10">
        <f t="shared" ca="1" si="368"/>
        <v>350</v>
      </c>
      <c r="V2545">
        <f t="shared" si="369"/>
        <v>6</v>
      </c>
    </row>
    <row r="2546" spans="1:22" x14ac:dyDescent="0.25">
      <c r="A2546">
        <v>283</v>
      </c>
      <c r="B2546">
        <v>7</v>
      </c>
      <c r="C2546">
        <v>12.5</v>
      </c>
      <c r="D2546">
        <v>1</v>
      </c>
      <c r="E2546">
        <v>1</v>
      </c>
      <c r="F2546">
        <v>0</v>
      </c>
      <c r="G2546">
        <v>1</v>
      </c>
      <c r="H2546">
        <v>450</v>
      </c>
      <c r="I2546">
        <f t="shared" si="370"/>
        <v>2538</v>
      </c>
      <c r="J2546" s="6">
        <f t="array" aca="1" ref="J2546:N2546" ca="1">TRANSPOSE(ols(OFFSET($C$2:$C$10,I2546,0),OFFSET($D$2:$H$10,I2546,0)))</f>
        <v>14.678571428571331</v>
      </c>
      <c r="K2546" s="6">
        <f ca="1"/>
        <v>-3.1428571428571672</v>
      </c>
      <c r="L2546" s="6">
        <f ca="1"/>
        <v>-5.0714285714285552</v>
      </c>
      <c r="M2546" s="6">
        <f ca="1"/>
        <v>9.7857142857143344</v>
      </c>
      <c r="N2546" s="6">
        <f ca="1"/>
        <v>-1.9285714285714128E-2</v>
      </c>
      <c r="O2546" s="6">
        <f t="shared" ca="1" si="363"/>
        <v>12.642857142857141</v>
      </c>
      <c r="P2546" t="str">
        <f t="shared" si="371"/>
        <v>NA</v>
      </c>
      <c r="Q2546" s="10">
        <f t="shared" ca="1" si="364"/>
        <v>12.642857142857165</v>
      </c>
      <c r="R2546" s="10">
        <f t="shared" ca="1" si="365"/>
        <v>21.321428571428498</v>
      </c>
      <c r="S2546" s="10">
        <f t="shared" ca="1" si="366"/>
        <v>-8.6785714285713329</v>
      </c>
      <c r="T2546" s="10">
        <f t="shared" ca="1" si="367"/>
        <v>449.99999999999869</v>
      </c>
      <c r="U2546" s="10">
        <f t="shared" ca="1" si="368"/>
        <v>449.99999999999869</v>
      </c>
      <c r="V2546">
        <f t="shared" si="369"/>
        <v>5</v>
      </c>
    </row>
    <row r="2547" spans="1:22" x14ac:dyDescent="0.25">
      <c r="A2547">
        <v>283</v>
      </c>
      <c r="B2547">
        <v>8</v>
      </c>
      <c r="C2547">
        <v>10.5</v>
      </c>
      <c r="D2547">
        <v>1</v>
      </c>
      <c r="E2547">
        <v>1</v>
      </c>
      <c r="F2547">
        <v>0</v>
      </c>
      <c r="G2547">
        <v>1</v>
      </c>
      <c r="H2547">
        <v>550</v>
      </c>
      <c r="I2547">
        <f t="shared" si="370"/>
        <v>2538</v>
      </c>
      <c r="J2547" s="6">
        <f t="array" aca="1" ref="J2547:N2547" ca="1">TRANSPOSE(ols(OFFSET($C$2:$C$10,I2547,0),OFFSET($D$2:$H$10,I2547,0)))</f>
        <v>14.678571428571331</v>
      </c>
      <c r="K2547" s="6">
        <f ca="1"/>
        <v>-3.1428571428571672</v>
      </c>
      <c r="L2547" s="6">
        <f ca="1"/>
        <v>-5.0714285714285552</v>
      </c>
      <c r="M2547" s="6">
        <f ca="1"/>
        <v>9.7857142857143344</v>
      </c>
      <c r="N2547" s="6">
        <f ca="1"/>
        <v>-1.9285714285714128E-2</v>
      </c>
      <c r="O2547" s="6">
        <f t="shared" ca="1" si="363"/>
        <v>10.714285714285728</v>
      </c>
      <c r="P2547" t="str">
        <f t="shared" si="371"/>
        <v>NA</v>
      </c>
      <c r="Q2547" s="10">
        <f t="shared" ca="1" si="364"/>
        <v>12.642857142857165</v>
      </c>
      <c r="R2547" s="10">
        <f t="shared" ca="1" si="365"/>
        <v>21.321428571428498</v>
      </c>
      <c r="S2547" s="10">
        <f t="shared" ca="1" si="366"/>
        <v>-8.6785714285713329</v>
      </c>
      <c r="T2547" s="10">
        <f t="shared" ca="1" si="367"/>
        <v>449.99999999999869</v>
      </c>
      <c r="U2547" s="10">
        <f t="shared" ca="1" si="368"/>
        <v>449.99999999999869</v>
      </c>
      <c r="V2547">
        <f t="shared" si="369"/>
        <v>5</v>
      </c>
    </row>
    <row r="2548" spans="1:22" x14ac:dyDescent="0.25">
      <c r="A2548">
        <v>283</v>
      </c>
      <c r="B2548">
        <v>9</v>
      </c>
      <c r="C2548">
        <v>10</v>
      </c>
      <c r="D2548">
        <v>1</v>
      </c>
      <c r="E2548">
        <v>0</v>
      </c>
      <c r="F2548">
        <v>0</v>
      </c>
      <c r="G2548">
        <v>1</v>
      </c>
      <c r="H2548">
        <v>650</v>
      </c>
      <c r="I2548">
        <f t="shared" si="370"/>
        <v>2538</v>
      </c>
      <c r="J2548" s="6">
        <f t="array" aca="1" ref="J2548:N2548" ca="1">TRANSPOSE(ols(OFFSET($C$2:$C$10,I2548,0),OFFSET($D$2:$H$10,I2548,0)))</f>
        <v>14.678571428571331</v>
      </c>
      <c r="K2548" s="6">
        <f ca="1"/>
        <v>-3.1428571428571672</v>
      </c>
      <c r="L2548" s="6">
        <f ca="1"/>
        <v>-5.0714285714285552</v>
      </c>
      <c r="M2548" s="6">
        <f ca="1"/>
        <v>9.7857142857143344</v>
      </c>
      <c r="N2548" s="6">
        <f ca="1"/>
        <v>-1.9285714285714128E-2</v>
      </c>
      <c r="O2548" s="6">
        <f t="shared" ca="1" si="363"/>
        <v>11.928571428571482</v>
      </c>
      <c r="P2548" t="str">
        <f t="shared" si="371"/>
        <v>NA</v>
      </c>
      <c r="Q2548" s="10">
        <f t="shared" ca="1" si="364"/>
        <v>12.642857142857165</v>
      </c>
      <c r="R2548" s="10">
        <f t="shared" ca="1" si="365"/>
        <v>24.464285714285666</v>
      </c>
      <c r="S2548" s="10">
        <f t="shared" ca="1" si="366"/>
        <v>-11.8214285714285</v>
      </c>
      <c r="T2548" s="10">
        <f t="shared" ca="1" si="367"/>
        <v>612.9629629629643</v>
      </c>
      <c r="U2548" s="10">
        <f t="shared" ca="1" si="368"/>
        <v>612.9629629629643</v>
      </c>
      <c r="V2548">
        <f t="shared" si="369"/>
        <v>4</v>
      </c>
    </row>
    <row r="2549" spans="1:22" x14ac:dyDescent="0.25">
      <c r="A2549">
        <v>284</v>
      </c>
      <c r="B2549">
        <v>1</v>
      </c>
      <c r="C2549">
        <v>80</v>
      </c>
      <c r="D2549">
        <v>1</v>
      </c>
      <c r="E2549">
        <v>0</v>
      </c>
      <c r="F2549">
        <v>1</v>
      </c>
      <c r="G2549">
        <v>0</v>
      </c>
      <c r="H2549">
        <v>250</v>
      </c>
      <c r="I2549">
        <f t="shared" si="370"/>
        <v>2547</v>
      </c>
      <c r="J2549" s="6">
        <f t="array" aca="1" ref="J2549:N2549" ca="1">TRANSPOSE(ols(OFFSET($C$2:$C$10,I2549,0),OFFSET($D$2:$H$10,I2549,0)))</f>
        <v>164.16666666666424</v>
      </c>
      <c r="K2549" s="6">
        <f ca="1"/>
        <v>-24.999999999999432</v>
      </c>
      <c r="L2549" s="6">
        <f ca="1"/>
        <v>-8.333333333332348</v>
      </c>
      <c r="M2549" s="6">
        <f ca="1"/>
        <v>11.666666666666629</v>
      </c>
      <c r="N2549" s="6">
        <f ca="1"/>
        <v>-0.28333333333333144</v>
      </c>
      <c r="O2549" s="6">
        <f t="shared" ca="1" si="363"/>
        <v>84.999999999999034</v>
      </c>
      <c r="P2549" t="str">
        <f t="shared" si="371"/>
        <v>NA</v>
      </c>
      <c r="Q2549" s="10">
        <f t="shared" ca="1" si="364"/>
        <v>68.333333333332519</v>
      </c>
      <c r="R2549" s="10">
        <f t="shared" ca="1" si="365"/>
        <v>155.83333333333189</v>
      </c>
      <c r="S2549" s="10">
        <f t="shared" ca="1" si="366"/>
        <v>-87.499999999999375</v>
      </c>
      <c r="T2549" s="10">
        <f t="shared" ca="1" si="367"/>
        <v>308.82352941176458</v>
      </c>
      <c r="U2549" s="10">
        <f t="shared" ca="1" si="368"/>
        <v>308.82352941176458</v>
      </c>
      <c r="V2549">
        <f t="shared" si="369"/>
        <v>3</v>
      </c>
    </row>
    <row r="2550" spans="1:22" x14ac:dyDescent="0.25">
      <c r="A2550">
        <v>284</v>
      </c>
      <c r="B2550">
        <v>2</v>
      </c>
      <c r="C2550">
        <v>65</v>
      </c>
      <c r="D2550">
        <v>1</v>
      </c>
      <c r="E2550">
        <v>1</v>
      </c>
      <c r="F2550">
        <v>0</v>
      </c>
      <c r="G2550">
        <v>0</v>
      </c>
      <c r="H2550">
        <v>350</v>
      </c>
      <c r="I2550">
        <f t="shared" si="370"/>
        <v>2547</v>
      </c>
      <c r="J2550" s="6">
        <f t="array" aca="1" ref="J2550:N2550" ca="1">TRANSPOSE(ols(OFFSET($C$2:$C$10,I2550,0),OFFSET($D$2:$H$10,I2550,0)))</f>
        <v>164.16666666666424</v>
      </c>
      <c r="K2550" s="6">
        <f ca="1"/>
        <v>-24.999999999999432</v>
      </c>
      <c r="L2550" s="6">
        <f ca="1"/>
        <v>-8.333333333332348</v>
      </c>
      <c r="M2550" s="6">
        <f ca="1"/>
        <v>11.666666666666629</v>
      </c>
      <c r="N2550" s="6">
        <f ca="1"/>
        <v>-0.28333333333333144</v>
      </c>
      <c r="O2550" s="6">
        <f t="shared" ca="1" si="363"/>
        <v>39.999999999998806</v>
      </c>
      <c r="P2550" t="str">
        <f t="shared" si="371"/>
        <v>NA</v>
      </c>
      <c r="Q2550" s="10">
        <f t="shared" ca="1" si="364"/>
        <v>68.333333333332519</v>
      </c>
      <c r="R2550" s="10">
        <f t="shared" ca="1" si="365"/>
        <v>139.16666666666481</v>
      </c>
      <c r="S2550" s="10">
        <f t="shared" ca="1" si="366"/>
        <v>-70.833333333332291</v>
      </c>
      <c r="T2550" s="10">
        <f t="shared" ca="1" si="367"/>
        <v>249.99999999999798</v>
      </c>
      <c r="U2550" s="10" t="str">
        <f t="shared" ca="1" si="368"/>
        <v>OR</v>
      </c>
      <c r="V2550">
        <f t="shared" si="369"/>
        <v>2</v>
      </c>
    </row>
    <row r="2551" spans="1:22" x14ac:dyDescent="0.25">
      <c r="A2551">
        <v>284</v>
      </c>
      <c r="B2551">
        <v>3</v>
      </c>
      <c r="C2551">
        <v>0</v>
      </c>
      <c r="D2551">
        <v>1</v>
      </c>
      <c r="E2551">
        <v>1</v>
      </c>
      <c r="F2551">
        <v>0</v>
      </c>
      <c r="G2551">
        <v>0</v>
      </c>
      <c r="H2551">
        <v>450</v>
      </c>
      <c r="I2551">
        <f t="shared" si="370"/>
        <v>2547</v>
      </c>
      <c r="J2551" s="6">
        <f t="array" aca="1" ref="J2551:N2551" ca="1">TRANSPOSE(ols(OFFSET($C$2:$C$10,I2551,0),OFFSET($D$2:$H$10,I2551,0)))</f>
        <v>164.16666666666424</v>
      </c>
      <c r="K2551" s="6">
        <f ca="1"/>
        <v>-24.999999999999432</v>
      </c>
      <c r="L2551" s="6">
        <f ca="1"/>
        <v>-8.333333333332348</v>
      </c>
      <c r="M2551" s="6">
        <f ca="1"/>
        <v>11.666666666666629</v>
      </c>
      <c r="N2551" s="6">
        <f ca="1"/>
        <v>-0.28333333333333144</v>
      </c>
      <c r="O2551" s="6">
        <f t="shared" ca="1" si="363"/>
        <v>11.666666666665662</v>
      </c>
      <c r="P2551" t="str">
        <f t="shared" si="371"/>
        <v>NA</v>
      </c>
      <c r="Q2551" s="10">
        <f t="shared" ca="1" si="364"/>
        <v>68.333333333332519</v>
      </c>
      <c r="R2551" s="10">
        <f t="shared" ca="1" si="365"/>
        <v>139.16666666666481</v>
      </c>
      <c r="S2551" s="10">
        <f t="shared" ca="1" si="366"/>
        <v>-70.833333333332291</v>
      </c>
      <c r="T2551" s="10">
        <f t="shared" ca="1" si="367"/>
        <v>249.99999999999798</v>
      </c>
      <c r="U2551" s="10" t="str">
        <f t="shared" ca="1" si="368"/>
        <v>OR</v>
      </c>
      <c r="V2551">
        <f t="shared" si="369"/>
        <v>2</v>
      </c>
    </row>
    <row r="2552" spans="1:22" x14ac:dyDescent="0.25">
      <c r="A2552">
        <v>284</v>
      </c>
      <c r="B2552">
        <v>4</v>
      </c>
      <c r="C2552">
        <v>0</v>
      </c>
      <c r="D2552">
        <v>1</v>
      </c>
      <c r="E2552">
        <v>0</v>
      </c>
      <c r="F2552">
        <v>0</v>
      </c>
      <c r="G2552">
        <v>0</v>
      </c>
      <c r="H2552">
        <v>550</v>
      </c>
      <c r="I2552">
        <f t="shared" si="370"/>
        <v>2547</v>
      </c>
      <c r="J2552" s="6">
        <f t="array" aca="1" ref="J2552:N2552" ca="1">TRANSPOSE(ols(OFFSET($C$2:$C$10,I2552,0),OFFSET($D$2:$H$10,I2552,0)))</f>
        <v>164.16666666666424</v>
      </c>
      <c r="K2552" s="6">
        <f ca="1"/>
        <v>-24.999999999999432</v>
      </c>
      <c r="L2552" s="6">
        <f ca="1"/>
        <v>-8.333333333332348</v>
      </c>
      <c r="M2552" s="6">
        <f ca="1"/>
        <v>11.666666666666629</v>
      </c>
      <c r="N2552" s="6">
        <f ca="1"/>
        <v>-0.28333333333333144</v>
      </c>
      <c r="O2552" s="6">
        <f t="shared" ca="1" si="363"/>
        <v>8.3333333333319501</v>
      </c>
      <c r="P2552" t="str">
        <f t="shared" si="371"/>
        <v>NA</v>
      </c>
      <c r="Q2552" s="10">
        <f t="shared" ca="1" si="364"/>
        <v>68.333333333332519</v>
      </c>
      <c r="R2552" s="10">
        <f t="shared" ca="1" si="365"/>
        <v>164.16666666666424</v>
      </c>
      <c r="S2552" s="10">
        <f t="shared" ca="1" si="366"/>
        <v>-95.833333333331723</v>
      </c>
      <c r="T2552" s="10">
        <f t="shared" ca="1" si="367"/>
        <v>338.23529411764366</v>
      </c>
      <c r="U2552" s="10">
        <f t="shared" ca="1" si="368"/>
        <v>338.23529411764366</v>
      </c>
      <c r="V2552">
        <f t="shared" si="369"/>
        <v>1</v>
      </c>
    </row>
    <row r="2553" spans="1:22" x14ac:dyDescent="0.25">
      <c r="A2553">
        <v>284</v>
      </c>
      <c r="B2553">
        <v>5</v>
      </c>
      <c r="C2553">
        <v>90</v>
      </c>
      <c r="D2553">
        <v>1</v>
      </c>
      <c r="E2553">
        <v>0</v>
      </c>
      <c r="F2553">
        <v>1</v>
      </c>
      <c r="G2553">
        <v>1</v>
      </c>
      <c r="H2553">
        <v>250</v>
      </c>
      <c r="I2553">
        <f t="shared" si="370"/>
        <v>2547</v>
      </c>
      <c r="J2553" s="6">
        <f t="array" aca="1" ref="J2553:N2553" ca="1">TRANSPOSE(ols(OFFSET($C$2:$C$10,I2553,0),OFFSET($D$2:$H$10,I2553,0)))</f>
        <v>164.16666666666424</v>
      </c>
      <c r="K2553" s="6">
        <f ca="1"/>
        <v>-24.999999999999432</v>
      </c>
      <c r="L2553" s="6">
        <f ca="1"/>
        <v>-8.333333333332348</v>
      </c>
      <c r="M2553" s="6">
        <f ca="1"/>
        <v>11.666666666666629</v>
      </c>
      <c r="N2553" s="6">
        <f ca="1"/>
        <v>-0.28333333333333144</v>
      </c>
      <c r="O2553" s="6">
        <f t="shared" ca="1" si="363"/>
        <v>96.666666666665662</v>
      </c>
      <c r="P2553" t="str">
        <f t="shared" si="371"/>
        <v>NA</v>
      </c>
      <c r="Q2553" s="10">
        <f t="shared" ca="1" si="364"/>
        <v>68.333333333332519</v>
      </c>
      <c r="R2553" s="10">
        <f t="shared" ca="1" si="365"/>
        <v>167.49999999999852</v>
      </c>
      <c r="S2553" s="10">
        <f t="shared" ca="1" si="366"/>
        <v>-99.166666666666003</v>
      </c>
      <c r="T2553" s="10">
        <f t="shared" ca="1" si="367"/>
        <v>350</v>
      </c>
      <c r="U2553" s="10">
        <f t="shared" ca="1" si="368"/>
        <v>350</v>
      </c>
      <c r="V2553">
        <f t="shared" si="369"/>
        <v>6</v>
      </c>
    </row>
    <row r="2554" spans="1:22" x14ac:dyDescent="0.25">
      <c r="A2554">
        <v>284</v>
      </c>
      <c r="B2554">
        <v>6</v>
      </c>
      <c r="C2554">
        <v>80</v>
      </c>
      <c r="D2554">
        <v>1</v>
      </c>
      <c r="E2554">
        <v>0</v>
      </c>
      <c r="F2554">
        <v>1</v>
      </c>
      <c r="G2554">
        <v>1</v>
      </c>
      <c r="H2554">
        <v>350</v>
      </c>
      <c r="I2554">
        <f t="shared" si="370"/>
        <v>2547</v>
      </c>
      <c r="J2554" s="6">
        <f t="array" aca="1" ref="J2554:N2554" ca="1">TRANSPOSE(ols(OFFSET($C$2:$C$10,I2554,0),OFFSET($D$2:$H$10,I2554,0)))</f>
        <v>164.16666666666424</v>
      </c>
      <c r="K2554" s="6">
        <f ca="1"/>
        <v>-24.999999999999432</v>
      </c>
      <c r="L2554" s="6">
        <f ca="1"/>
        <v>-8.333333333332348</v>
      </c>
      <c r="M2554" s="6">
        <f ca="1"/>
        <v>11.666666666666629</v>
      </c>
      <c r="N2554" s="6">
        <f ca="1"/>
        <v>-0.28333333333333144</v>
      </c>
      <c r="O2554" s="6">
        <f t="shared" ca="1" si="363"/>
        <v>68.333333333332519</v>
      </c>
      <c r="P2554">
        <f t="shared" ca="1" si="371"/>
        <v>68.333333333332519</v>
      </c>
      <c r="Q2554" s="10">
        <f t="shared" ca="1" si="364"/>
        <v>68.333333333332519</v>
      </c>
      <c r="R2554" s="10">
        <f t="shared" ca="1" si="365"/>
        <v>167.49999999999852</v>
      </c>
      <c r="S2554" s="10">
        <f t="shared" ca="1" si="366"/>
        <v>-99.166666666666003</v>
      </c>
      <c r="T2554" s="10">
        <f t="shared" ca="1" si="367"/>
        <v>350</v>
      </c>
      <c r="U2554" s="10">
        <f t="shared" ca="1" si="368"/>
        <v>350</v>
      </c>
      <c r="V2554">
        <f t="shared" si="369"/>
        <v>6</v>
      </c>
    </row>
    <row r="2555" spans="1:22" x14ac:dyDescent="0.25">
      <c r="A2555">
        <v>284</v>
      </c>
      <c r="B2555">
        <v>7</v>
      </c>
      <c r="C2555">
        <v>5</v>
      </c>
      <c r="D2555">
        <v>1</v>
      </c>
      <c r="E2555">
        <v>1</v>
      </c>
      <c r="F2555">
        <v>0</v>
      </c>
      <c r="G2555">
        <v>1</v>
      </c>
      <c r="H2555">
        <v>450</v>
      </c>
      <c r="I2555">
        <f t="shared" si="370"/>
        <v>2547</v>
      </c>
      <c r="J2555" s="6">
        <f t="array" aca="1" ref="J2555:N2555" ca="1">TRANSPOSE(ols(OFFSET($C$2:$C$10,I2555,0),OFFSET($D$2:$H$10,I2555,0)))</f>
        <v>164.16666666666424</v>
      </c>
      <c r="K2555" s="6">
        <f ca="1"/>
        <v>-24.999999999999432</v>
      </c>
      <c r="L2555" s="6">
        <f ca="1"/>
        <v>-8.333333333332348</v>
      </c>
      <c r="M2555" s="6">
        <f ca="1"/>
        <v>11.666666666666629</v>
      </c>
      <c r="N2555" s="6">
        <f ca="1"/>
        <v>-0.28333333333333144</v>
      </c>
      <c r="O2555" s="6">
        <f t="shared" ca="1" si="363"/>
        <v>23.333333333332291</v>
      </c>
      <c r="P2555" t="str">
        <f t="shared" si="371"/>
        <v>NA</v>
      </c>
      <c r="Q2555" s="10">
        <f t="shared" ca="1" si="364"/>
        <v>68.333333333332519</v>
      </c>
      <c r="R2555" s="10">
        <f t="shared" ca="1" si="365"/>
        <v>150.83333333333144</v>
      </c>
      <c r="S2555" s="10">
        <f t="shared" ca="1" si="366"/>
        <v>-82.49999999999892</v>
      </c>
      <c r="T2555" s="10">
        <f t="shared" ca="1" si="367"/>
        <v>291.17647058823343</v>
      </c>
      <c r="U2555" s="10">
        <f t="shared" ca="1" si="368"/>
        <v>291.17647058823343</v>
      </c>
      <c r="V2555">
        <f t="shared" si="369"/>
        <v>5</v>
      </c>
    </row>
    <row r="2556" spans="1:22" x14ac:dyDescent="0.25">
      <c r="A2556">
        <v>284</v>
      </c>
      <c r="B2556">
        <v>8</v>
      </c>
      <c r="C2556">
        <v>0</v>
      </c>
      <c r="D2556">
        <v>1</v>
      </c>
      <c r="E2556">
        <v>1</v>
      </c>
      <c r="F2556">
        <v>0</v>
      </c>
      <c r="G2556">
        <v>1</v>
      </c>
      <c r="H2556">
        <v>550</v>
      </c>
      <c r="I2556">
        <f t="shared" si="370"/>
        <v>2547</v>
      </c>
      <c r="J2556" s="6">
        <f t="array" aca="1" ref="J2556:N2556" ca="1">TRANSPOSE(ols(OFFSET($C$2:$C$10,I2556,0),OFFSET($D$2:$H$10,I2556,0)))</f>
        <v>164.16666666666424</v>
      </c>
      <c r="K2556" s="6">
        <f ca="1"/>
        <v>-24.999999999999432</v>
      </c>
      <c r="L2556" s="6">
        <f ca="1"/>
        <v>-8.333333333332348</v>
      </c>
      <c r="M2556" s="6">
        <f ca="1"/>
        <v>11.666666666666629</v>
      </c>
      <c r="N2556" s="6">
        <f ca="1"/>
        <v>-0.28333333333333144</v>
      </c>
      <c r="O2556" s="6">
        <f t="shared" ca="1" si="363"/>
        <v>-5.0000000000008527</v>
      </c>
      <c r="P2556" t="str">
        <f t="shared" si="371"/>
        <v>NA</v>
      </c>
      <c r="Q2556" s="10">
        <f t="shared" ca="1" si="364"/>
        <v>68.333333333332519</v>
      </c>
      <c r="R2556" s="10">
        <f t="shared" ca="1" si="365"/>
        <v>150.83333333333144</v>
      </c>
      <c r="S2556" s="10">
        <f t="shared" ca="1" si="366"/>
        <v>-82.49999999999892</v>
      </c>
      <c r="T2556" s="10">
        <f t="shared" ca="1" si="367"/>
        <v>291.17647058823343</v>
      </c>
      <c r="U2556" s="10">
        <f t="shared" ca="1" si="368"/>
        <v>291.17647058823343</v>
      </c>
      <c r="V2556">
        <f t="shared" si="369"/>
        <v>5</v>
      </c>
    </row>
    <row r="2557" spans="1:22" x14ac:dyDescent="0.25">
      <c r="A2557">
        <v>284</v>
      </c>
      <c r="B2557">
        <v>9</v>
      </c>
      <c r="C2557">
        <v>0</v>
      </c>
      <c r="D2557">
        <v>1</v>
      </c>
      <c r="E2557">
        <v>0</v>
      </c>
      <c r="F2557">
        <v>0</v>
      </c>
      <c r="G2557">
        <v>1</v>
      </c>
      <c r="H2557">
        <v>650</v>
      </c>
      <c r="I2557">
        <f t="shared" si="370"/>
        <v>2547</v>
      </c>
      <c r="J2557" s="6">
        <f t="array" aca="1" ref="J2557:N2557" ca="1">TRANSPOSE(ols(OFFSET($C$2:$C$10,I2557,0),OFFSET($D$2:$H$10,I2557,0)))</f>
        <v>164.16666666666424</v>
      </c>
      <c r="K2557" s="6">
        <f ca="1"/>
        <v>-24.999999999999432</v>
      </c>
      <c r="L2557" s="6">
        <f ca="1"/>
        <v>-8.333333333332348</v>
      </c>
      <c r="M2557" s="6">
        <f ca="1"/>
        <v>11.666666666666629</v>
      </c>
      <c r="N2557" s="6">
        <f ca="1"/>
        <v>-0.28333333333333144</v>
      </c>
      <c r="O2557" s="6">
        <f t="shared" ca="1" si="363"/>
        <v>-8.3333333333345649</v>
      </c>
      <c r="P2557" t="str">
        <f t="shared" si="371"/>
        <v>NA</v>
      </c>
      <c r="Q2557" s="10">
        <f t="shared" ca="1" si="364"/>
        <v>68.333333333332519</v>
      </c>
      <c r="R2557" s="10">
        <f t="shared" ca="1" si="365"/>
        <v>175.83333333333087</v>
      </c>
      <c r="S2557" s="10">
        <f t="shared" ca="1" si="366"/>
        <v>-107.49999999999835</v>
      </c>
      <c r="T2557" s="10">
        <f t="shared" ca="1" si="367"/>
        <v>379.41176470587908</v>
      </c>
      <c r="U2557" s="10">
        <f t="shared" ca="1" si="368"/>
        <v>379.41176470587908</v>
      </c>
      <c r="V2557">
        <f t="shared" si="369"/>
        <v>4</v>
      </c>
    </row>
    <row r="2558" spans="1:22" x14ac:dyDescent="0.25">
      <c r="A2558">
        <v>285</v>
      </c>
      <c r="B2558">
        <v>1</v>
      </c>
      <c r="C2558">
        <v>100</v>
      </c>
      <c r="D2558">
        <v>1</v>
      </c>
      <c r="E2558">
        <v>0</v>
      </c>
      <c r="F2558">
        <v>1</v>
      </c>
      <c r="G2558">
        <v>0</v>
      </c>
      <c r="H2558">
        <v>250</v>
      </c>
      <c r="I2558">
        <f t="shared" si="370"/>
        <v>2556</v>
      </c>
      <c r="J2558" s="6">
        <f t="array" aca="1" ref="J2558:N2558" ca="1">TRANSPOSE(ols(OFFSET($C$2:$C$10,I2558,0),OFFSET($D$2:$H$10,I2558,0)))</f>
        <v>138.92857142856883</v>
      </c>
      <c r="K2558" s="6">
        <f ca="1"/>
        <v>27.857142857142662</v>
      </c>
      <c r="L2558" s="6">
        <f ca="1"/>
        <v>11.42857142856974</v>
      </c>
      <c r="M2558" s="6">
        <f ca="1"/>
        <v>-5.7142857142850971</v>
      </c>
      <c r="N2558" s="6">
        <f ca="1"/>
        <v>-0.1642857142857217</v>
      </c>
      <c r="O2558" s="6">
        <f t="shared" ca="1" si="363"/>
        <v>109.28571428570814</v>
      </c>
      <c r="P2558" t="str">
        <f t="shared" si="371"/>
        <v>NA</v>
      </c>
      <c r="Q2558" s="10">
        <f t="shared" ca="1" si="364"/>
        <v>87.142857142850886</v>
      </c>
      <c r="R2558" s="10">
        <f t="shared" ca="1" si="365"/>
        <v>150.35714285713857</v>
      </c>
      <c r="S2558" s="10">
        <f t="shared" ca="1" si="366"/>
        <v>-63.214285714287684</v>
      </c>
      <c r="T2558" s="10">
        <f t="shared" ca="1" si="367"/>
        <v>384.78260869564679</v>
      </c>
      <c r="U2558" s="10">
        <f t="shared" ca="1" si="368"/>
        <v>384.78260869564679</v>
      </c>
      <c r="V2558">
        <f t="shared" si="369"/>
        <v>3</v>
      </c>
    </row>
    <row r="2559" spans="1:22" x14ac:dyDescent="0.25">
      <c r="A2559">
        <v>285</v>
      </c>
      <c r="B2559">
        <v>2</v>
      </c>
      <c r="C2559">
        <v>100</v>
      </c>
      <c r="D2559">
        <v>1</v>
      </c>
      <c r="E2559">
        <v>1</v>
      </c>
      <c r="F2559">
        <v>0</v>
      </c>
      <c r="G2559">
        <v>0</v>
      </c>
      <c r="H2559">
        <v>350</v>
      </c>
      <c r="I2559">
        <f t="shared" si="370"/>
        <v>2556</v>
      </c>
      <c r="J2559" s="6">
        <f t="array" aca="1" ref="J2559:N2559" ca="1">TRANSPOSE(ols(OFFSET($C$2:$C$10,I2559,0),OFFSET($D$2:$H$10,I2559,0)))</f>
        <v>138.92857142856883</v>
      </c>
      <c r="K2559" s="6">
        <f ca="1"/>
        <v>27.857142857142662</v>
      </c>
      <c r="L2559" s="6">
        <f ca="1"/>
        <v>11.42857142856974</v>
      </c>
      <c r="M2559" s="6">
        <f ca="1"/>
        <v>-5.7142857142850971</v>
      </c>
      <c r="N2559" s="6">
        <f ca="1"/>
        <v>-0.1642857142857217</v>
      </c>
      <c r="O2559" s="6">
        <f t="shared" ca="1" si="363"/>
        <v>109.28571428570891</v>
      </c>
      <c r="P2559" t="str">
        <f t="shared" si="371"/>
        <v>NA</v>
      </c>
      <c r="Q2559" s="10">
        <f t="shared" ca="1" si="364"/>
        <v>87.142857142850886</v>
      </c>
      <c r="R2559" s="10">
        <f t="shared" ca="1" si="365"/>
        <v>166.78571428571149</v>
      </c>
      <c r="S2559" s="10">
        <f t="shared" ca="1" si="366"/>
        <v>-79.642857142860606</v>
      </c>
      <c r="T2559" s="10">
        <f t="shared" ca="1" si="367"/>
        <v>484.78260869565139</v>
      </c>
      <c r="U2559" s="10">
        <f t="shared" ca="1" si="368"/>
        <v>484.78260869565139</v>
      </c>
      <c r="V2559">
        <f t="shared" si="369"/>
        <v>2</v>
      </c>
    </row>
    <row r="2560" spans="1:22" x14ac:dyDescent="0.25">
      <c r="A2560">
        <v>285</v>
      </c>
      <c r="B2560">
        <v>3</v>
      </c>
      <c r="C2560">
        <v>100</v>
      </c>
      <c r="D2560">
        <v>1</v>
      </c>
      <c r="E2560">
        <v>1</v>
      </c>
      <c r="F2560">
        <v>0</v>
      </c>
      <c r="G2560">
        <v>0</v>
      </c>
      <c r="H2560">
        <v>450</v>
      </c>
      <c r="I2560">
        <f t="shared" si="370"/>
        <v>2556</v>
      </c>
      <c r="J2560" s="6">
        <f t="array" aca="1" ref="J2560:N2560" ca="1">TRANSPOSE(ols(OFFSET($C$2:$C$10,I2560,0),OFFSET($D$2:$H$10,I2560,0)))</f>
        <v>138.92857142856883</v>
      </c>
      <c r="K2560" s="6">
        <f ca="1"/>
        <v>27.857142857142662</v>
      </c>
      <c r="L2560" s="6">
        <f ca="1"/>
        <v>11.42857142856974</v>
      </c>
      <c r="M2560" s="6">
        <f ca="1"/>
        <v>-5.7142857142850971</v>
      </c>
      <c r="N2560" s="6">
        <f ca="1"/>
        <v>-0.1642857142857217</v>
      </c>
      <c r="O2560" s="6">
        <f t="shared" ca="1" si="363"/>
        <v>92.857142857136722</v>
      </c>
      <c r="P2560" t="str">
        <f t="shared" si="371"/>
        <v>NA</v>
      </c>
      <c r="Q2560" s="10">
        <f t="shared" ca="1" si="364"/>
        <v>87.142857142850886</v>
      </c>
      <c r="R2560" s="10">
        <f t="shared" ca="1" si="365"/>
        <v>166.78571428571149</v>
      </c>
      <c r="S2560" s="10">
        <f t="shared" ca="1" si="366"/>
        <v>-79.642857142860606</v>
      </c>
      <c r="T2560" s="10">
        <f t="shared" ca="1" si="367"/>
        <v>484.78260869565139</v>
      </c>
      <c r="U2560" s="10">
        <f t="shared" ca="1" si="368"/>
        <v>484.78260869565139</v>
      </c>
      <c r="V2560">
        <f t="shared" si="369"/>
        <v>2</v>
      </c>
    </row>
    <row r="2561" spans="1:22" x14ac:dyDescent="0.25">
      <c r="A2561">
        <v>285</v>
      </c>
      <c r="B2561">
        <v>4</v>
      </c>
      <c r="C2561">
        <v>60</v>
      </c>
      <c r="D2561">
        <v>1</v>
      </c>
      <c r="E2561">
        <v>0</v>
      </c>
      <c r="F2561">
        <v>0</v>
      </c>
      <c r="G2561">
        <v>0</v>
      </c>
      <c r="H2561">
        <v>550</v>
      </c>
      <c r="I2561">
        <f t="shared" si="370"/>
        <v>2556</v>
      </c>
      <c r="J2561" s="6">
        <f t="array" aca="1" ref="J2561:N2561" ca="1">TRANSPOSE(ols(OFFSET($C$2:$C$10,I2561,0),OFFSET($D$2:$H$10,I2561,0)))</f>
        <v>138.92857142856883</v>
      </c>
      <c r="K2561" s="6">
        <f ca="1"/>
        <v>27.857142857142662</v>
      </c>
      <c r="L2561" s="6">
        <f ca="1"/>
        <v>11.42857142856974</v>
      </c>
      <c r="M2561" s="6">
        <f ca="1"/>
        <v>-5.7142857142850971</v>
      </c>
      <c r="N2561" s="6">
        <f ca="1"/>
        <v>-0.1642857142857217</v>
      </c>
      <c r="O2561" s="6">
        <f t="shared" ca="1" si="363"/>
        <v>48.571428571421905</v>
      </c>
      <c r="P2561" t="str">
        <f t="shared" si="371"/>
        <v>NA</v>
      </c>
      <c r="Q2561" s="10">
        <f t="shared" ca="1" si="364"/>
        <v>87.142857142850886</v>
      </c>
      <c r="R2561" s="10">
        <f t="shared" ca="1" si="365"/>
        <v>138.92857142856883</v>
      </c>
      <c r="S2561" s="10">
        <f t="shared" ca="1" si="366"/>
        <v>-51.785714285717944</v>
      </c>
      <c r="T2561" s="10">
        <f t="shared" ca="1" si="367"/>
        <v>315.21739130435589</v>
      </c>
      <c r="U2561" s="10">
        <f t="shared" ca="1" si="368"/>
        <v>315.21739130435589</v>
      </c>
      <c r="V2561">
        <f t="shared" si="369"/>
        <v>1</v>
      </c>
    </row>
    <row r="2562" spans="1:22" x14ac:dyDescent="0.25">
      <c r="A2562">
        <v>285</v>
      </c>
      <c r="B2562">
        <v>5</v>
      </c>
      <c r="C2562">
        <v>100</v>
      </c>
      <c r="D2562">
        <v>1</v>
      </c>
      <c r="E2562">
        <v>0</v>
      </c>
      <c r="F2562">
        <v>1</v>
      </c>
      <c r="G2562">
        <v>1</v>
      </c>
      <c r="H2562">
        <v>250</v>
      </c>
      <c r="I2562">
        <f t="shared" si="370"/>
        <v>2556</v>
      </c>
      <c r="J2562" s="6">
        <f t="array" aca="1" ref="J2562:N2562" ca="1">TRANSPOSE(ols(OFFSET($C$2:$C$10,I2562,0),OFFSET($D$2:$H$10,I2562,0)))</f>
        <v>138.92857142856883</v>
      </c>
      <c r="K2562" s="6">
        <f ca="1"/>
        <v>27.857142857142662</v>
      </c>
      <c r="L2562" s="6">
        <f ca="1"/>
        <v>11.42857142856974</v>
      </c>
      <c r="M2562" s="6">
        <f ca="1"/>
        <v>-5.7142857142850971</v>
      </c>
      <c r="N2562" s="6">
        <f ca="1"/>
        <v>-0.1642857142857217</v>
      </c>
      <c r="O2562" s="6">
        <f t="shared" ca="1" si="363"/>
        <v>103.57142857142304</v>
      </c>
      <c r="P2562" t="str">
        <f t="shared" si="371"/>
        <v>NA</v>
      </c>
      <c r="Q2562" s="10">
        <f t="shared" ca="1" si="364"/>
        <v>87.142857142850886</v>
      </c>
      <c r="R2562" s="10">
        <f t="shared" ca="1" si="365"/>
        <v>144.64285714285347</v>
      </c>
      <c r="S2562" s="10">
        <f t="shared" ca="1" si="366"/>
        <v>-57.500000000002586</v>
      </c>
      <c r="T2562" s="10">
        <f t="shared" ca="1" si="367"/>
        <v>349.99999999999994</v>
      </c>
      <c r="U2562" s="10">
        <f t="shared" ca="1" si="368"/>
        <v>349.99999999999994</v>
      </c>
      <c r="V2562">
        <f t="shared" si="369"/>
        <v>6</v>
      </c>
    </row>
    <row r="2563" spans="1:22" x14ac:dyDescent="0.25">
      <c r="A2563">
        <v>285</v>
      </c>
      <c r="B2563">
        <v>6</v>
      </c>
      <c r="C2563">
        <v>100</v>
      </c>
      <c r="D2563">
        <v>1</v>
      </c>
      <c r="E2563">
        <v>0</v>
      </c>
      <c r="F2563">
        <v>1</v>
      </c>
      <c r="G2563">
        <v>1</v>
      </c>
      <c r="H2563">
        <v>350</v>
      </c>
      <c r="I2563">
        <f t="shared" si="370"/>
        <v>2556</v>
      </c>
      <c r="J2563" s="6">
        <f t="array" aca="1" ref="J2563:N2563" ca="1">TRANSPOSE(ols(OFFSET($C$2:$C$10,I2563,0),OFFSET($D$2:$H$10,I2563,0)))</f>
        <v>138.92857142856883</v>
      </c>
      <c r="K2563" s="6">
        <f ca="1"/>
        <v>27.857142857142662</v>
      </c>
      <c r="L2563" s="6">
        <f ca="1"/>
        <v>11.42857142856974</v>
      </c>
      <c r="M2563" s="6">
        <f ca="1"/>
        <v>-5.7142857142850971</v>
      </c>
      <c r="N2563" s="6">
        <f ca="1"/>
        <v>-0.1642857142857217</v>
      </c>
      <c r="O2563" s="6">
        <f t="shared" ref="O2563:O2626" ca="1" si="372">SUMPRODUCT(J2563:N2563,D2563:H2563)</f>
        <v>87.142857142850886</v>
      </c>
      <c r="P2563">
        <f t="shared" ca="1" si="371"/>
        <v>87.142857142850886</v>
      </c>
      <c r="Q2563" s="10">
        <f t="shared" ref="Q2563:Q2626" ca="1" si="373">AVERAGEIF($A$2:$A$5383,A2563,$P$2:$P$5383)</f>
        <v>87.142857142850886</v>
      </c>
      <c r="R2563" s="10">
        <f t="shared" ref="R2563:R2626" ca="1" si="374">O2563-N2563*H2563</f>
        <v>144.64285714285347</v>
      </c>
      <c r="S2563" s="10">
        <f t="shared" ref="S2563:S2626" ca="1" si="375">Q2563-R2563</f>
        <v>-57.500000000002586</v>
      </c>
      <c r="T2563" s="10">
        <f t="shared" ref="T2563:T2626" ca="1" si="376">S2563/N2563</f>
        <v>349.99999999999994</v>
      </c>
      <c r="U2563" s="10">
        <f t="shared" ref="U2563:U2626" ca="1" si="377">IF(OR(T2563&lt;250,T2563&gt;650),"OR",T2563)</f>
        <v>349.99999999999994</v>
      </c>
      <c r="V2563">
        <f t="shared" ref="V2563:V2626" si="378">IF(AND(E2563=1,G2563=0),2,IF(AND(F2563=1,G2563=0),3,IF(AND(E2563=1,G2563=1),5,IF(AND(F2563=1,G2563=1),6,IF(G2563=0,1,IF(G2563=1,4))))))</f>
        <v>6</v>
      </c>
    </row>
    <row r="2564" spans="1:22" x14ac:dyDescent="0.25">
      <c r="A2564">
        <v>285</v>
      </c>
      <c r="B2564">
        <v>7</v>
      </c>
      <c r="C2564">
        <v>100</v>
      </c>
      <c r="D2564">
        <v>1</v>
      </c>
      <c r="E2564">
        <v>1</v>
      </c>
      <c r="F2564">
        <v>0</v>
      </c>
      <c r="G2564">
        <v>1</v>
      </c>
      <c r="H2564">
        <v>450</v>
      </c>
      <c r="I2564">
        <f t="shared" si="370"/>
        <v>2556</v>
      </c>
      <c r="J2564" s="6">
        <f t="array" aca="1" ref="J2564:N2564" ca="1">TRANSPOSE(ols(OFFSET($C$2:$C$10,I2564,0),OFFSET($D$2:$H$10,I2564,0)))</f>
        <v>138.92857142856883</v>
      </c>
      <c r="K2564" s="6">
        <f ca="1"/>
        <v>27.857142857142662</v>
      </c>
      <c r="L2564" s="6">
        <f ca="1"/>
        <v>11.42857142856974</v>
      </c>
      <c r="M2564" s="6">
        <f ca="1"/>
        <v>-5.7142857142850971</v>
      </c>
      <c r="N2564" s="6">
        <f ca="1"/>
        <v>-0.1642857142857217</v>
      </c>
      <c r="O2564" s="6">
        <f t="shared" ca="1" si="372"/>
        <v>87.142857142851625</v>
      </c>
      <c r="P2564" t="str">
        <f t="shared" si="371"/>
        <v>NA</v>
      </c>
      <c r="Q2564" s="10">
        <f t="shared" ca="1" si="373"/>
        <v>87.142857142850886</v>
      </c>
      <c r="R2564" s="10">
        <f t="shared" ca="1" si="374"/>
        <v>161.0714285714264</v>
      </c>
      <c r="S2564" s="10">
        <f t="shared" ca="1" si="375"/>
        <v>-73.928571428575509</v>
      </c>
      <c r="T2564" s="10">
        <f t="shared" ca="1" si="376"/>
        <v>450.00000000000455</v>
      </c>
      <c r="U2564" s="10">
        <f t="shared" ca="1" si="377"/>
        <v>450.00000000000455</v>
      </c>
      <c r="V2564">
        <f t="shared" si="378"/>
        <v>5</v>
      </c>
    </row>
    <row r="2565" spans="1:22" x14ac:dyDescent="0.25">
      <c r="A2565">
        <v>285</v>
      </c>
      <c r="B2565">
        <v>8</v>
      </c>
      <c r="C2565">
        <v>60</v>
      </c>
      <c r="D2565">
        <v>1</v>
      </c>
      <c r="E2565">
        <v>1</v>
      </c>
      <c r="F2565">
        <v>0</v>
      </c>
      <c r="G2565">
        <v>1</v>
      </c>
      <c r="H2565">
        <v>550</v>
      </c>
      <c r="I2565">
        <f t="shared" si="370"/>
        <v>2556</v>
      </c>
      <c r="J2565" s="6">
        <f t="array" aca="1" ref="J2565:N2565" ca="1">TRANSPOSE(ols(OFFSET($C$2:$C$10,I2565,0),OFFSET($D$2:$H$10,I2565,0)))</f>
        <v>138.92857142856883</v>
      </c>
      <c r="K2565" s="6">
        <f ca="1"/>
        <v>27.857142857142662</v>
      </c>
      <c r="L2565" s="6">
        <f ca="1"/>
        <v>11.42857142856974</v>
      </c>
      <c r="M2565" s="6">
        <f ca="1"/>
        <v>-5.7142857142850971</v>
      </c>
      <c r="N2565" s="6">
        <f ca="1"/>
        <v>-0.1642857142857217</v>
      </c>
      <c r="O2565" s="6">
        <f t="shared" ca="1" si="372"/>
        <v>70.71428571427947</v>
      </c>
      <c r="P2565" t="str">
        <f t="shared" si="371"/>
        <v>NA</v>
      </c>
      <c r="Q2565" s="10">
        <f t="shared" ca="1" si="373"/>
        <v>87.142857142850886</v>
      </c>
      <c r="R2565" s="10">
        <f t="shared" ca="1" si="374"/>
        <v>161.0714285714264</v>
      </c>
      <c r="S2565" s="10">
        <f t="shared" ca="1" si="375"/>
        <v>-73.928571428575509</v>
      </c>
      <c r="T2565" s="10">
        <f t="shared" ca="1" si="376"/>
        <v>450.00000000000455</v>
      </c>
      <c r="U2565" s="10">
        <f t="shared" ca="1" si="377"/>
        <v>450.00000000000455</v>
      </c>
      <c r="V2565">
        <f t="shared" si="378"/>
        <v>5</v>
      </c>
    </row>
    <row r="2566" spans="1:22" x14ac:dyDescent="0.25">
      <c r="A2566">
        <v>285</v>
      </c>
      <c r="B2566">
        <v>9</v>
      </c>
      <c r="C2566">
        <v>15</v>
      </c>
      <c r="D2566">
        <v>1</v>
      </c>
      <c r="E2566">
        <v>0</v>
      </c>
      <c r="F2566">
        <v>0</v>
      </c>
      <c r="G2566">
        <v>1</v>
      </c>
      <c r="H2566">
        <v>650</v>
      </c>
      <c r="I2566">
        <f t="shared" si="370"/>
        <v>2556</v>
      </c>
      <c r="J2566" s="6">
        <f t="array" aca="1" ref="J2566:N2566" ca="1">TRANSPOSE(ols(OFFSET($C$2:$C$10,I2566,0),OFFSET($D$2:$H$10,I2566,0)))</f>
        <v>138.92857142856883</v>
      </c>
      <c r="K2566" s="6">
        <f ca="1"/>
        <v>27.857142857142662</v>
      </c>
      <c r="L2566" s="6">
        <f ca="1"/>
        <v>11.42857142856974</v>
      </c>
      <c r="M2566" s="6">
        <f ca="1"/>
        <v>-5.7142857142850971</v>
      </c>
      <c r="N2566" s="6">
        <f ca="1"/>
        <v>-0.1642857142857217</v>
      </c>
      <c r="O2566" s="6">
        <f t="shared" ca="1" si="372"/>
        <v>26.428571428564624</v>
      </c>
      <c r="P2566" t="str">
        <f t="shared" si="371"/>
        <v>NA</v>
      </c>
      <c r="Q2566" s="10">
        <f t="shared" ca="1" si="373"/>
        <v>87.142857142850886</v>
      </c>
      <c r="R2566" s="10">
        <f t="shared" ca="1" si="374"/>
        <v>133.21428571428373</v>
      </c>
      <c r="S2566" s="10">
        <f t="shared" ca="1" si="375"/>
        <v>-46.071428571432847</v>
      </c>
      <c r="T2566" s="10">
        <f t="shared" ca="1" si="376"/>
        <v>280.43478260870904</v>
      </c>
      <c r="U2566" s="10">
        <f t="shared" ca="1" si="377"/>
        <v>280.43478260870904</v>
      </c>
      <c r="V2566">
        <f t="shared" si="378"/>
        <v>4</v>
      </c>
    </row>
    <row r="2567" spans="1:22" x14ac:dyDescent="0.25">
      <c r="A2567">
        <v>286</v>
      </c>
      <c r="B2567">
        <v>1</v>
      </c>
      <c r="C2567">
        <v>70</v>
      </c>
      <c r="D2567">
        <v>1</v>
      </c>
      <c r="E2567">
        <v>0</v>
      </c>
      <c r="F2567">
        <v>1</v>
      </c>
      <c r="G2567">
        <v>0</v>
      </c>
      <c r="H2567">
        <v>250</v>
      </c>
      <c r="I2567">
        <f t="shared" si="370"/>
        <v>2565</v>
      </c>
      <c r="J2567" s="6">
        <f t="array" aca="1" ref="J2567:N2567" ca="1">TRANSPOSE(ols(OFFSET($C$2:$C$10,I2567,0),OFFSET($D$2:$H$10,I2567,0)))</f>
        <v>113.09523809523762</v>
      </c>
      <c r="K2567" s="6">
        <f ca="1"/>
        <v>0.357142857143117</v>
      </c>
      <c r="L2567" s="6">
        <f ca="1"/>
        <v>-1.9047619047619264</v>
      </c>
      <c r="M2567" s="6">
        <f ca="1"/>
        <v>5.9523809523810769</v>
      </c>
      <c r="N2567" s="6">
        <f ca="1"/>
        <v>-0.14761904761904709</v>
      </c>
      <c r="O2567" s="6">
        <f t="shared" ca="1" si="372"/>
        <v>74.285714285713922</v>
      </c>
      <c r="P2567" t="str">
        <f t="shared" si="371"/>
        <v>NA</v>
      </c>
      <c r="Q2567" s="10">
        <f t="shared" ca="1" si="373"/>
        <v>65.476190476190283</v>
      </c>
      <c r="R2567" s="10">
        <f t="shared" ca="1" si="374"/>
        <v>111.19047619047569</v>
      </c>
      <c r="S2567" s="10">
        <f t="shared" ca="1" si="375"/>
        <v>-45.71428571428541</v>
      </c>
      <c r="T2567" s="10">
        <f t="shared" ca="1" si="376"/>
        <v>309.67741935483775</v>
      </c>
      <c r="U2567" s="10">
        <f t="shared" ca="1" si="377"/>
        <v>309.67741935483775</v>
      </c>
      <c r="V2567">
        <f t="shared" si="378"/>
        <v>3</v>
      </c>
    </row>
    <row r="2568" spans="1:22" x14ac:dyDescent="0.25">
      <c r="A2568">
        <v>286</v>
      </c>
      <c r="B2568">
        <v>2</v>
      </c>
      <c r="C2568">
        <v>60</v>
      </c>
      <c r="D2568">
        <v>1</v>
      </c>
      <c r="E2568">
        <v>1</v>
      </c>
      <c r="F2568">
        <v>0</v>
      </c>
      <c r="G2568">
        <v>0</v>
      </c>
      <c r="H2568">
        <v>350</v>
      </c>
      <c r="I2568">
        <f t="shared" si="370"/>
        <v>2565</v>
      </c>
      <c r="J2568" s="6">
        <f t="array" aca="1" ref="J2568:N2568" ca="1">TRANSPOSE(ols(OFFSET($C$2:$C$10,I2568,0),OFFSET($D$2:$H$10,I2568,0)))</f>
        <v>113.09523809523762</v>
      </c>
      <c r="K2568" s="6">
        <f ca="1"/>
        <v>0.357142857143117</v>
      </c>
      <c r="L2568" s="6">
        <f ca="1"/>
        <v>-1.9047619047619264</v>
      </c>
      <c r="M2568" s="6">
        <f ca="1"/>
        <v>5.9523809523810769</v>
      </c>
      <c r="N2568" s="6">
        <f ca="1"/>
        <v>-0.14761904761904709</v>
      </c>
      <c r="O2568" s="6">
        <f t="shared" ca="1" si="372"/>
        <v>61.785714285714249</v>
      </c>
      <c r="P2568" t="str">
        <f t="shared" si="371"/>
        <v>NA</v>
      </c>
      <c r="Q2568" s="10">
        <f t="shared" ca="1" si="373"/>
        <v>65.476190476190283</v>
      </c>
      <c r="R2568" s="10">
        <f t="shared" ca="1" si="374"/>
        <v>113.45238095238074</v>
      </c>
      <c r="S2568" s="10">
        <f t="shared" ca="1" si="375"/>
        <v>-47.976190476190453</v>
      </c>
      <c r="T2568" s="10">
        <f t="shared" ca="1" si="376"/>
        <v>325.00000000000102</v>
      </c>
      <c r="U2568" s="10">
        <f t="shared" ca="1" si="377"/>
        <v>325.00000000000102</v>
      </c>
      <c r="V2568">
        <f t="shared" si="378"/>
        <v>2</v>
      </c>
    </row>
    <row r="2569" spans="1:22" x14ac:dyDescent="0.25">
      <c r="A2569">
        <v>286</v>
      </c>
      <c r="B2569">
        <v>3</v>
      </c>
      <c r="C2569">
        <v>50</v>
      </c>
      <c r="D2569">
        <v>1</v>
      </c>
      <c r="E2569">
        <v>1</v>
      </c>
      <c r="F2569">
        <v>0</v>
      </c>
      <c r="G2569">
        <v>0</v>
      </c>
      <c r="H2569">
        <v>450</v>
      </c>
      <c r="I2569">
        <f t="shared" si="370"/>
        <v>2565</v>
      </c>
      <c r="J2569" s="6">
        <f t="array" aca="1" ref="J2569:N2569" ca="1">TRANSPOSE(ols(OFFSET($C$2:$C$10,I2569,0),OFFSET($D$2:$H$10,I2569,0)))</f>
        <v>113.09523809523762</v>
      </c>
      <c r="K2569" s="6">
        <f ca="1"/>
        <v>0.357142857143117</v>
      </c>
      <c r="L2569" s="6">
        <f ca="1"/>
        <v>-1.9047619047619264</v>
      </c>
      <c r="M2569" s="6">
        <f ca="1"/>
        <v>5.9523809523810769</v>
      </c>
      <c r="N2569" s="6">
        <f ca="1"/>
        <v>-0.14761904761904709</v>
      </c>
      <c r="O2569" s="6">
        <f t="shared" ca="1" si="372"/>
        <v>47.023809523809547</v>
      </c>
      <c r="P2569" t="str">
        <f t="shared" si="371"/>
        <v>NA</v>
      </c>
      <c r="Q2569" s="10">
        <f t="shared" ca="1" si="373"/>
        <v>65.476190476190283</v>
      </c>
      <c r="R2569" s="10">
        <f t="shared" ca="1" si="374"/>
        <v>113.45238095238074</v>
      </c>
      <c r="S2569" s="10">
        <f t="shared" ca="1" si="375"/>
        <v>-47.976190476190453</v>
      </c>
      <c r="T2569" s="10">
        <f t="shared" ca="1" si="376"/>
        <v>325.00000000000102</v>
      </c>
      <c r="U2569" s="10">
        <f t="shared" ca="1" si="377"/>
        <v>325.00000000000102</v>
      </c>
      <c r="V2569">
        <f t="shared" si="378"/>
        <v>2</v>
      </c>
    </row>
    <row r="2570" spans="1:22" x14ac:dyDescent="0.25">
      <c r="A2570">
        <v>286</v>
      </c>
      <c r="B2570">
        <v>4</v>
      </c>
      <c r="C2570">
        <v>35</v>
      </c>
      <c r="D2570">
        <v>1</v>
      </c>
      <c r="E2570">
        <v>0</v>
      </c>
      <c r="F2570">
        <v>0</v>
      </c>
      <c r="G2570">
        <v>0</v>
      </c>
      <c r="H2570">
        <v>550</v>
      </c>
      <c r="I2570">
        <f t="shared" si="370"/>
        <v>2565</v>
      </c>
      <c r="J2570" s="6">
        <f t="array" aca="1" ref="J2570:N2570" ca="1">TRANSPOSE(ols(OFFSET($C$2:$C$10,I2570,0),OFFSET($D$2:$H$10,I2570,0)))</f>
        <v>113.09523809523762</v>
      </c>
      <c r="K2570" s="6">
        <f ca="1"/>
        <v>0.357142857143117</v>
      </c>
      <c r="L2570" s="6">
        <f ca="1"/>
        <v>-1.9047619047619264</v>
      </c>
      <c r="M2570" s="6">
        <f ca="1"/>
        <v>5.9523809523810769</v>
      </c>
      <c r="N2570" s="6">
        <f ca="1"/>
        <v>-0.14761904761904709</v>
      </c>
      <c r="O2570" s="6">
        <f t="shared" ca="1" si="372"/>
        <v>31.904761904761713</v>
      </c>
      <c r="P2570" t="str">
        <f t="shared" si="371"/>
        <v>NA</v>
      </c>
      <c r="Q2570" s="10">
        <f t="shared" ca="1" si="373"/>
        <v>65.476190476190283</v>
      </c>
      <c r="R2570" s="10">
        <f t="shared" ca="1" si="374"/>
        <v>113.09523809523762</v>
      </c>
      <c r="S2570" s="10">
        <f t="shared" ca="1" si="375"/>
        <v>-47.619047619047336</v>
      </c>
      <c r="T2570" s="10">
        <f t="shared" ca="1" si="376"/>
        <v>322.58064516128957</v>
      </c>
      <c r="U2570" s="10">
        <f t="shared" ca="1" si="377"/>
        <v>322.58064516128957</v>
      </c>
      <c r="V2570">
        <f t="shared" si="378"/>
        <v>1</v>
      </c>
    </row>
    <row r="2571" spans="1:22" x14ac:dyDescent="0.25">
      <c r="A2571">
        <v>286</v>
      </c>
      <c r="B2571">
        <v>5</v>
      </c>
      <c r="C2571">
        <v>80</v>
      </c>
      <c r="D2571">
        <v>1</v>
      </c>
      <c r="E2571">
        <v>0</v>
      </c>
      <c r="F2571">
        <v>1</v>
      </c>
      <c r="G2571">
        <v>1</v>
      </c>
      <c r="H2571">
        <v>250</v>
      </c>
      <c r="I2571">
        <f t="shared" si="370"/>
        <v>2565</v>
      </c>
      <c r="J2571" s="6">
        <f t="array" aca="1" ref="J2571:N2571" ca="1">TRANSPOSE(ols(OFFSET($C$2:$C$10,I2571,0),OFFSET($D$2:$H$10,I2571,0)))</f>
        <v>113.09523809523762</v>
      </c>
      <c r="K2571" s="6">
        <f ca="1"/>
        <v>0.357142857143117</v>
      </c>
      <c r="L2571" s="6">
        <f ca="1"/>
        <v>-1.9047619047619264</v>
      </c>
      <c r="M2571" s="6">
        <f ca="1"/>
        <v>5.9523809523810769</v>
      </c>
      <c r="N2571" s="6">
        <f ca="1"/>
        <v>-0.14761904761904709</v>
      </c>
      <c r="O2571" s="6">
        <f t="shared" ca="1" si="372"/>
        <v>80.238095238094999</v>
      </c>
      <c r="P2571" t="str">
        <f t="shared" si="371"/>
        <v>NA</v>
      </c>
      <c r="Q2571" s="10">
        <f t="shared" ca="1" si="373"/>
        <v>65.476190476190283</v>
      </c>
      <c r="R2571" s="10">
        <f t="shared" ca="1" si="374"/>
        <v>117.14285714285677</v>
      </c>
      <c r="S2571" s="10">
        <f t="shared" ca="1" si="375"/>
        <v>-51.666666666666487</v>
      </c>
      <c r="T2571" s="10">
        <f t="shared" ca="1" si="376"/>
        <v>350</v>
      </c>
      <c r="U2571" s="10">
        <f t="shared" ca="1" si="377"/>
        <v>350</v>
      </c>
      <c r="V2571">
        <f t="shared" si="378"/>
        <v>6</v>
      </c>
    </row>
    <row r="2572" spans="1:22" x14ac:dyDescent="0.25">
      <c r="A2572">
        <v>286</v>
      </c>
      <c r="B2572">
        <v>6</v>
      </c>
      <c r="C2572">
        <v>70</v>
      </c>
      <c r="D2572">
        <v>1</v>
      </c>
      <c r="E2572">
        <v>0</v>
      </c>
      <c r="F2572">
        <v>1</v>
      </c>
      <c r="G2572">
        <v>1</v>
      </c>
      <c r="H2572">
        <v>350</v>
      </c>
      <c r="I2572">
        <f t="shared" ref="I2572:I2635" si="379">IF(A2572&gt;A2571,I2571+9,I2571)</f>
        <v>2565</v>
      </c>
      <c r="J2572" s="6">
        <f t="array" aca="1" ref="J2572:N2572" ca="1">TRANSPOSE(ols(OFFSET($C$2:$C$10,I2572,0),OFFSET($D$2:$H$10,I2572,0)))</f>
        <v>113.09523809523762</v>
      </c>
      <c r="K2572" s="6">
        <f ca="1"/>
        <v>0.357142857143117</v>
      </c>
      <c r="L2572" s="6">
        <f ca="1"/>
        <v>-1.9047619047619264</v>
      </c>
      <c r="M2572" s="6">
        <f ca="1"/>
        <v>5.9523809523810769</v>
      </c>
      <c r="N2572" s="6">
        <f ca="1"/>
        <v>-0.14761904761904709</v>
      </c>
      <c r="O2572" s="6">
        <f t="shared" ca="1" si="372"/>
        <v>65.476190476190283</v>
      </c>
      <c r="P2572">
        <f t="shared" ca="1" si="371"/>
        <v>65.476190476190283</v>
      </c>
      <c r="Q2572" s="10">
        <f t="shared" ca="1" si="373"/>
        <v>65.476190476190283</v>
      </c>
      <c r="R2572" s="10">
        <f t="shared" ca="1" si="374"/>
        <v>117.14285714285677</v>
      </c>
      <c r="S2572" s="10">
        <f t="shared" ca="1" si="375"/>
        <v>-51.666666666666487</v>
      </c>
      <c r="T2572" s="10">
        <f t="shared" ca="1" si="376"/>
        <v>350</v>
      </c>
      <c r="U2572" s="10">
        <f t="shared" ca="1" si="377"/>
        <v>350</v>
      </c>
      <c r="V2572">
        <f t="shared" si="378"/>
        <v>6</v>
      </c>
    </row>
    <row r="2573" spans="1:22" x14ac:dyDescent="0.25">
      <c r="A2573">
        <v>286</v>
      </c>
      <c r="B2573">
        <v>7</v>
      </c>
      <c r="C2573">
        <v>55</v>
      </c>
      <c r="D2573">
        <v>1</v>
      </c>
      <c r="E2573">
        <v>1</v>
      </c>
      <c r="F2573">
        <v>0</v>
      </c>
      <c r="G2573">
        <v>1</v>
      </c>
      <c r="H2573">
        <v>450</v>
      </c>
      <c r="I2573">
        <f t="shared" si="379"/>
        <v>2565</v>
      </c>
      <c r="J2573" s="6">
        <f t="array" aca="1" ref="J2573:N2573" ca="1">TRANSPOSE(ols(OFFSET($C$2:$C$10,I2573,0),OFFSET($D$2:$H$10,I2573,0)))</f>
        <v>113.09523809523762</v>
      </c>
      <c r="K2573" s="6">
        <f ca="1"/>
        <v>0.357142857143117</v>
      </c>
      <c r="L2573" s="6">
        <f ca="1"/>
        <v>-1.9047619047619264</v>
      </c>
      <c r="M2573" s="6">
        <f ca="1"/>
        <v>5.9523809523810769</v>
      </c>
      <c r="N2573" s="6">
        <f ca="1"/>
        <v>-0.14761904761904709</v>
      </c>
      <c r="O2573" s="6">
        <f t="shared" ca="1" si="372"/>
        <v>52.976190476190624</v>
      </c>
      <c r="P2573" t="str">
        <f t="shared" si="371"/>
        <v>NA</v>
      </c>
      <c r="Q2573" s="10">
        <f t="shared" ca="1" si="373"/>
        <v>65.476190476190283</v>
      </c>
      <c r="R2573" s="10">
        <f t="shared" ca="1" si="374"/>
        <v>119.40476190476181</v>
      </c>
      <c r="S2573" s="10">
        <f t="shared" ca="1" si="375"/>
        <v>-53.92857142857153</v>
      </c>
      <c r="T2573" s="10">
        <f t="shared" ca="1" si="376"/>
        <v>365.32258064516327</v>
      </c>
      <c r="U2573" s="10">
        <f t="shared" ca="1" si="377"/>
        <v>365.32258064516327</v>
      </c>
      <c r="V2573">
        <f t="shared" si="378"/>
        <v>5</v>
      </c>
    </row>
    <row r="2574" spans="1:22" x14ac:dyDescent="0.25">
      <c r="A2574">
        <v>286</v>
      </c>
      <c r="B2574">
        <v>8</v>
      </c>
      <c r="C2574">
        <v>35</v>
      </c>
      <c r="D2574">
        <v>1</v>
      </c>
      <c r="E2574">
        <v>1</v>
      </c>
      <c r="F2574">
        <v>0</v>
      </c>
      <c r="G2574">
        <v>1</v>
      </c>
      <c r="H2574">
        <v>550</v>
      </c>
      <c r="I2574">
        <f t="shared" si="379"/>
        <v>2565</v>
      </c>
      <c r="J2574" s="6">
        <f t="array" aca="1" ref="J2574:N2574" ca="1">TRANSPOSE(ols(OFFSET($C$2:$C$10,I2574,0),OFFSET($D$2:$H$10,I2574,0)))</f>
        <v>113.09523809523762</v>
      </c>
      <c r="K2574" s="6">
        <f ca="1"/>
        <v>0.357142857143117</v>
      </c>
      <c r="L2574" s="6">
        <f ca="1"/>
        <v>-1.9047619047619264</v>
      </c>
      <c r="M2574" s="6">
        <f ca="1"/>
        <v>5.9523809523810769</v>
      </c>
      <c r="N2574" s="6">
        <f ca="1"/>
        <v>-0.14761904761904709</v>
      </c>
      <c r="O2574" s="6">
        <f t="shared" ca="1" si="372"/>
        <v>38.214285714285907</v>
      </c>
      <c r="P2574" t="str">
        <f t="shared" si="371"/>
        <v>NA</v>
      </c>
      <c r="Q2574" s="10">
        <f t="shared" ca="1" si="373"/>
        <v>65.476190476190283</v>
      </c>
      <c r="R2574" s="10">
        <f t="shared" ca="1" si="374"/>
        <v>119.40476190476181</v>
      </c>
      <c r="S2574" s="10">
        <f t="shared" ca="1" si="375"/>
        <v>-53.92857142857153</v>
      </c>
      <c r="T2574" s="10">
        <f t="shared" ca="1" si="376"/>
        <v>365.32258064516327</v>
      </c>
      <c r="U2574" s="10">
        <f t="shared" ca="1" si="377"/>
        <v>365.32258064516327</v>
      </c>
      <c r="V2574">
        <f t="shared" si="378"/>
        <v>5</v>
      </c>
    </row>
    <row r="2575" spans="1:22" x14ac:dyDescent="0.25">
      <c r="A2575">
        <v>286</v>
      </c>
      <c r="B2575">
        <v>9</v>
      </c>
      <c r="C2575">
        <v>20</v>
      </c>
      <c r="D2575">
        <v>1</v>
      </c>
      <c r="E2575">
        <v>0</v>
      </c>
      <c r="F2575">
        <v>0</v>
      </c>
      <c r="G2575">
        <v>1</v>
      </c>
      <c r="H2575">
        <v>650</v>
      </c>
      <c r="I2575">
        <f t="shared" si="379"/>
        <v>2565</v>
      </c>
      <c r="J2575" s="6">
        <f t="array" aca="1" ref="J2575:N2575" ca="1">TRANSPOSE(ols(OFFSET($C$2:$C$10,I2575,0),OFFSET($D$2:$H$10,I2575,0)))</f>
        <v>113.09523809523762</v>
      </c>
      <c r="K2575" s="6">
        <f ca="1"/>
        <v>0.357142857143117</v>
      </c>
      <c r="L2575" s="6">
        <f ca="1"/>
        <v>-1.9047619047619264</v>
      </c>
      <c r="M2575" s="6">
        <f ca="1"/>
        <v>5.9523809523810769</v>
      </c>
      <c r="N2575" s="6">
        <f ca="1"/>
        <v>-0.14761904761904709</v>
      </c>
      <c r="O2575" s="6">
        <f t="shared" ca="1" si="372"/>
        <v>23.095238095238088</v>
      </c>
      <c r="P2575" t="str">
        <f t="shared" si="371"/>
        <v>NA</v>
      </c>
      <c r="Q2575" s="10">
        <f t="shared" ca="1" si="373"/>
        <v>65.476190476190283</v>
      </c>
      <c r="R2575" s="10">
        <f t="shared" ca="1" si="374"/>
        <v>119.0476190476187</v>
      </c>
      <c r="S2575" s="10">
        <f t="shared" ca="1" si="375"/>
        <v>-53.571428571428413</v>
      </c>
      <c r="T2575" s="10">
        <f t="shared" ca="1" si="376"/>
        <v>362.90322580645181</v>
      </c>
      <c r="U2575" s="10">
        <f t="shared" ca="1" si="377"/>
        <v>362.90322580645181</v>
      </c>
      <c r="V2575">
        <f t="shared" si="378"/>
        <v>4</v>
      </c>
    </row>
    <row r="2576" spans="1:22" x14ac:dyDescent="0.25">
      <c r="A2576">
        <v>287</v>
      </c>
      <c r="B2576">
        <v>1</v>
      </c>
      <c r="C2576">
        <v>15</v>
      </c>
      <c r="D2576">
        <v>1</v>
      </c>
      <c r="E2576">
        <v>0</v>
      </c>
      <c r="F2576">
        <v>1</v>
      </c>
      <c r="G2576">
        <v>0</v>
      </c>
      <c r="H2576">
        <v>250</v>
      </c>
      <c r="I2576">
        <f t="shared" si="379"/>
        <v>2574</v>
      </c>
      <c r="J2576" s="6">
        <f t="array" aca="1" ref="J2576:N2576" ca="1">TRANSPOSE(ols(OFFSET($C$2:$C$10,I2576,0),OFFSET($D$2:$H$10,I2576,0)))</f>
        <v>71.369047619046341</v>
      </c>
      <c r="K2576" s="6">
        <f ca="1"/>
        <v>-6.4285714285711038</v>
      </c>
      <c r="L2576" s="6">
        <f ca="1"/>
        <v>-27.38095238095184</v>
      </c>
      <c r="M2576" s="6">
        <f ca="1"/>
        <v>23.69047619047609</v>
      </c>
      <c r="N2576" s="6">
        <f ca="1"/>
        <v>-0.13452380952380771</v>
      </c>
      <c r="O2576" s="6">
        <f t="shared" ca="1" si="372"/>
        <v>10.357142857142577</v>
      </c>
      <c r="P2576" t="str">
        <f t="shared" si="371"/>
        <v>NA</v>
      </c>
      <c r="Q2576" s="10">
        <f t="shared" ca="1" si="373"/>
        <v>20.595238095237889</v>
      </c>
      <c r="R2576" s="10">
        <f t="shared" ca="1" si="374"/>
        <v>43.988095238094502</v>
      </c>
      <c r="S2576" s="10">
        <f t="shared" ca="1" si="375"/>
        <v>-23.392857142856613</v>
      </c>
      <c r="T2576" s="10">
        <f t="shared" ca="1" si="376"/>
        <v>173.89380530973293</v>
      </c>
      <c r="U2576" s="10" t="str">
        <f t="shared" ca="1" si="377"/>
        <v>OR</v>
      </c>
      <c r="V2576">
        <f t="shared" si="378"/>
        <v>3</v>
      </c>
    </row>
    <row r="2577" spans="1:22" x14ac:dyDescent="0.25">
      <c r="A2577">
        <v>287</v>
      </c>
      <c r="B2577">
        <v>2</v>
      </c>
      <c r="C2577">
        <v>5</v>
      </c>
      <c r="D2577">
        <v>1</v>
      </c>
      <c r="E2577">
        <v>1</v>
      </c>
      <c r="F2577">
        <v>0</v>
      </c>
      <c r="G2577">
        <v>0</v>
      </c>
      <c r="H2577">
        <v>350</v>
      </c>
      <c r="I2577">
        <f t="shared" si="379"/>
        <v>2574</v>
      </c>
      <c r="J2577" s="6">
        <f t="array" aca="1" ref="J2577:N2577" ca="1">TRANSPOSE(ols(OFFSET($C$2:$C$10,I2577,0),OFFSET($D$2:$H$10,I2577,0)))</f>
        <v>71.369047619046341</v>
      </c>
      <c r="K2577" s="6">
        <f ca="1"/>
        <v>-6.4285714285711038</v>
      </c>
      <c r="L2577" s="6">
        <f ca="1"/>
        <v>-27.38095238095184</v>
      </c>
      <c r="M2577" s="6">
        <f ca="1"/>
        <v>23.69047619047609</v>
      </c>
      <c r="N2577" s="6">
        <f ca="1"/>
        <v>-0.13452380952380771</v>
      </c>
      <c r="O2577" s="6">
        <f t="shared" ca="1" si="372"/>
        <v>17.857142857142534</v>
      </c>
      <c r="P2577" t="str">
        <f t="shared" si="371"/>
        <v>NA</v>
      </c>
      <c r="Q2577" s="10">
        <f t="shared" ca="1" si="373"/>
        <v>20.595238095237889</v>
      </c>
      <c r="R2577" s="10">
        <f t="shared" ca="1" si="374"/>
        <v>64.940476190475238</v>
      </c>
      <c r="S2577" s="10">
        <f t="shared" ca="1" si="375"/>
        <v>-44.345238095237349</v>
      </c>
      <c r="T2577" s="10">
        <f t="shared" ca="1" si="376"/>
        <v>329.64601769911394</v>
      </c>
      <c r="U2577" s="10">
        <f t="shared" ca="1" si="377"/>
        <v>329.64601769911394</v>
      </c>
      <c r="V2577">
        <f t="shared" si="378"/>
        <v>2</v>
      </c>
    </row>
    <row r="2578" spans="1:22" x14ac:dyDescent="0.25">
      <c r="A2578">
        <v>287</v>
      </c>
      <c r="B2578">
        <v>3</v>
      </c>
      <c r="C2578">
        <v>5</v>
      </c>
      <c r="D2578">
        <v>1</v>
      </c>
      <c r="E2578">
        <v>1</v>
      </c>
      <c r="F2578">
        <v>0</v>
      </c>
      <c r="G2578">
        <v>0</v>
      </c>
      <c r="H2578">
        <v>450</v>
      </c>
      <c r="I2578">
        <f t="shared" si="379"/>
        <v>2574</v>
      </c>
      <c r="J2578" s="6">
        <f t="array" aca="1" ref="J2578:N2578" ca="1">TRANSPOSE(ols(OFFSET($C$2:$C$10,I2578,0),OFFSET($D$2:$H$10,I2578,0)))</f>
        <v>71.369047619046341</v>
      </c>
      <c r="K2578" s="6">
        <f ca="1"/>
        <v>-6.4285714285711038</v>
      </c>
      <c r="L2578" s="6">
        <f ca="1"/>
        <v>-27.38095238095184</v>
      </c>
      <c r="M2578" s="6">
        <f ca="1"/>
        <v>23.69047619047609</v>
      </c>
      <c r="N2578" s="6">
        <f ca="1"/>
        <v>-0.13452380952380771</v>
      </c>
      <c r="O2578" s="6">
        <f t="shared" ca="1" si="372"/>
        <v>4.4047619047617701</v>
      </c>
      <c r="P2578" t="str">
        <f t="shared" si="371"/>
        <v>NA</v>
      </c>
      <c r="Q2578" s="10">
        <f t="shared" ca="1" si="373"/>
        <v>20.595238095237889</v>
      </c>
      <c r="R2578" s="10">
        <f t="shared" ca="1" si="374"/>
        <v>64.940476190475238</v>
      </c>
      <c r="S2578" s="10">
        <f t="shared" ca="1" si="375"/>
        <v>-44.345238095237349</v>
      </c>
      <c r="T2578" s="10">
        <f t="shared" ca="1" si="376"/>
        <v>329.64601769911394</v>
      </c>
      <c r="U2578" s="10">
        <f t="shared" ca="1" si="377"/>
        <v>329.64601769911394</v>
      </c>
      <c r="V2578">
        <f t="shared" si="378"/>
        <v>2</v>
      </c>
    </row>
    <row r="2579" spans="1:22" x14ac:dyDescent="0.25">
      <c r="A2579">
        <v>287</v>
      </c>
      <c r="B2579">
        <v>4</v>
      </c>
      <c r="C2579">
        <v>5</v>
      </c>
      <c r="D2579">
        <v>1</v>
      </c>
      <c r="E2579">
        <v>0</v>
      </c>
      <c r="F2579">
        <v>0</v>
      </c>
      <c r="G2579">
        <v>0</v>
      </c>
      <c r="H2579">
        <v>550</v>
      </c>
      <c r="I2579">
        <f t="shared" si="379"/>
        <v>2574</v>
      </c>
      <c r="J2579" s="6">
        <f t="array" aca="1" ref="J2579:N2579" ca="1">TRANSPOSE(ols(OFFSET($C$2:$C$10,I2579,0),OFFSET($D$2:$H$10,I2579,0)))</f>
        <v>71.369047619046341</v>
      </c>
      <c r="K2579" s="6">
        <f ca="1"/>
        <v>-6.4285714285711038</v>
      </c>
      <c r="L2579" s="6">
        <f ca="1"/>
        <v>-27.38095238095184</v>
      </c>
      <c r="M2579" s="6">
        <f ca="1"/>
        <v>23.69047619047609</v>
      </c>
      <c r="N2579" s="6">
        <f ca="1"/>
        <v>-0.13452380952380771</v>
      </c>
      <c r="O2579" s="6">
        <f t="shared" ca="1" si="372"/>
        <v>-2.6190476190479046</v>
      </c>
      <c r="P2579" t="str">
        <f t="shared" si="371"/>
        <v>NA</v>
      </c>
      <c r="Q2579" s="10">
        <f t="shared" ca="1" si="373"/>
        <v>20.595238095237889</v>
      </c>
      <c r="R2579" s="10">
        <f t="shared" ca="1" si="374"/>
        <v>71.369047619046341</v>
      </c>
      <c r="S2579" s="10">
        <f t="shared" ca="1" si="375"/>
        <v>-50.773809523808453</v>
      </c>
      <c r="T2579" s="10">
        <f t="shared" ca="1" si="376"/>
        <v>377.43362831858121</v>
      </c>
      <c r="U2579" s="10">
        <f t="shared" ca="1" si="377"/>
        <v>377.43362831858121</v>
      </c>
      <c r="V2579">
        <f t="shared" si="378"/>
        <v>1</v>
      </c>
    </row>
    <row r="2580" spans="1:22" x14ac:dyDescent="0.25">
      <c r="A2580">
        <v>287</v>
      </c>
      <c r="B2580">
        <v>5</v>
      </c>
      <c r="C2580">
        <v>25</v>
      </c>
      <c r="D2580">
        <v>1</v>
      </c>
      <c r="E2580">
        <v>0</v>
      </c>
      <c r="F2580">
        <v>1</v>
      </c>
      <c r="G2580">
        <v>1</v>
      </c>
      <c r="H2580">
        <v>250</v>
      </c>
      <c r="I2580">
        <f t="shared" si="379"/>
        <v>2574</v>
      </c>
      <c r="J2580" s="6">
        <f t="array" aca="1" ref="J2580:N2580" ca="1">TRANSPOSE(ols(OFFSET($C$2:$C$10,I2580,0),OFFSET($D$2:$H$10,I2580,0)))</f>
        <v>71.369047619046341</v>
      </c>
      <c r="K2580" s="6">
        <f ca="1"/>
        <v>-6.4285714285711038</v>
      </c>
      <c r="L2580" s="6">
        <f ca="1"/>
        <v>-27.38095238095184</v>
      </c>
      <c r="M2580" s="6">
        <f ca="1"/>
        <v>23.69047619047609</v>
      </c>
      <c r="N2580" s="6">
        <f ca="1"/>
        <v>-0.13452380952380771</v>
      </c>
      <c r="O2580" s="6">
        <f t="shared" ca="1" si="372"/>
        <v>34.047619047618667</v>
      </c>
      <c r="P2580" t="str">
        <f t="shared" si="371"/>
        <v>NA</v>
      </c>
      <c r="Q2580" s="10">
        <f t="shared" ca="1" si="373"/>
        <v>20.595238095237889</v>
      </c>
      <c r="R2580" s="10">
        <f t="shared" ca="1" si="374"/>
        <v>67.678571428570592</v>
      </c>
      <c r="S2580" s="10">
        <f t="shared" ca="1" si="375"/>
        <v>-47.083333333332703</v>
      </c>
      <c r="T2580" s="10">
        <f t="shared" ca="1" si="376"/>
        <v>350</v>
      </c>
      <c r="U2580" s="10">
        <f t="shared" ca="1" si="377"/>
        <v>350</v>
      </c>
      <c r="V2580">
        <f t="shared" si="378"/>
        <v>6</v>
      </c>
    </row>
    <row r="2581" spans="1:22" x14ac:dyDescent="0.25">
      <c r="A2581">
        <v>287</v>
      </c>
      <c r="B2581">
        <v>6</v>
      </c>
      <c r="C2581">
        <v>25</v>
      </c>
      <c r="D2581">
        <v>1</v>
      </c>
      <c r="E2581">
        <v>0</v>
      </c>
      <c r="F2581">
        <v>1</v>
      </c>
      <c r="G2581">
        <v>1</v>
      </c>
      <c r="H2581">
        <v>350</v>
      </c>
      <c r="I2581">
        <f t="shared" si="379"/>
        <v>2574</v>
      </c>
      <c r="J2581" s="6">
        <f t="array" aca="1" ref="J2581:N2581" ca="1">TRANSPOSE(ols(OFFSET($C$2:$C$10,I2581,0),OFFSET($D$2:$H$10,I2581,0)))</f>
        <v>71.369047619046341</v>
      </c>
      <c r="K2581" s="6">
        <f ca="1"/>
        <v>-6.4285714285711038</v>
      </c>
      <c r="L2581" s="6">
        <f ca="1"/>
        <v>-27.38095238095184</v>
      </c>
      <c r="M2581" s="6">
        <f ca="1"/>
        <v>23.69047619047609</v>
      </c>
      <c r="N2581" s="6">
        <f ca="1"/>
        <v>-0.13452380952380771</v>
      </c>
      <c r="O2581" s="6">
        <f t="shared" ca="1" si="372"/>
        <v>20.595238095237889</v>
      </c>
      <c r="P2581">
        <f t="shared" ca="1" si="371"/>
        <v>20.595238095237889</v>
      </c>
      <c r="Q2581" s="10">
        <f t="shared" ca="1" si="373"/>
        <v>20.595238095237889</v>
      </c>
      <c r="R2581" s="10">
        <f t="shared" ca="1" si="374"/>
        <v>67.678571428570592</v>
      </c>
      <c r="S2581" s="10">
        <f t="shared" ca="1" si="375"/>
        <v>-47.083333333332703</v>
      </c>
      <c r="T2581" s="10">
        <f t="shared" ca="1" si="376"/>
        <v>350</v>
      </c>
      <c r="U2581" s="10">
        <f t="shared" ca="1" si="377"/>
        <v>350</v>
      </c>
      <c r="V2581">
        <f t="shared" si="378"/>
        <v>6</v>
      </c>
    </row>
    <row r="2582" spans="1:22" x14ac:dyDescent="0.25">
      <c r="A2582">
        <v>287</v>
      </c>
      <c r="B2582">
        <v>7</v>
      </c>
      <c r="C2582">
        <v>50</v>
      </c>
      <c r="D2582">
        <v>1</v>
      </c>
      <c r="E2582">
        <v>1</v>
      </c>
      <c r="F2582">
        <v>0</v>
      </c>
      <c r="G2582">
        <v>1</v>
      </c>
      <c r="H2582">
        <v>450</v>
      </c>
      <c r="I2582">
        <f t="shared" si="379"/>
        <v>2574</v>
      </c>
      <c r="J2582" s="6">
        <f t="array" aca="1" ref="J2582:N2582" ca="1">TRANSPOSE(ols(OFFSET($C$2:$C$10,I2582,0),OFFSET($D$2:$H$10,I2582,0)))</f>
        <v>71.369047619046341</v>
      </c>
      <c r="K2582" s="6">
        <f ca="1"/>
        <v>-6.4285714285711038</v>
      </c>
      <c r="L2582" s="6">
        <f ca="1"/>
        <v>-27.38095238095184</v>
      </c>
      <c r="M2582" s="6">
        <f ca="1"/>
        <v>23.69047619047609</v>
      </c>
      <c r="N2582" s="6">
        <f ca="1"/>
        <v>-0.13452380952380771</v>
      </c>
      <c r="O2582" s="6">
        <f t="shared" ca="1" si="372"/>
        <v>28.09523809523786</v>
      </c>
      <c r="P2582" t="str">
        <f t="shared" si="371"/>
        <v>NA</v>
      </c>
      <c r="Q2582" s="10">
        <f t="shared" ca="1" si="373"/>
        <v>20.595238095237889</v>
      </c>
      <c r="R2582" s="10">
        <f t="shared" ca="1" si="374"/>
        <v>88.630952380951328</v>
      </c>
      <c r="S2582" s="10">
        <f t="shared" ca="1" si="375"/>
        <v>-68.035714285713439</v>
      </c>
      <c r="T2582" s="10">
        <f t="shared" ca="1" si="376"/>
        <v>505.75221238938104</v>
      </c>
      <c r="U2582" s="10">
        <f t="shared" ca="1" si="377"/>
        <v>505.75221238938104</v>
      </c>
      <c r="V2582">
        <f t="shared" si="378"/>
        <v>5</v>
      </c>
    </row>
    <row r="2583" spans="1:22" x14ac:dyDescent="0.25">
      <c r="A2583">
        <v>287</v>
      </c>
      <c r="B2583">
        <v>8</v>
      </c>
      <c r="C2583">
        <v>5</v>
      </c>
      <c r="D2583">
        <v>1</v>
      </c>
      <c r="E2583">
        <v>1</v>
      </c>
      <c r="F2583">
        <v>0</v>
      </c>
      <c r="G2583">
        <v>1</v>
      </c>
      <c r="H2583">
        <v>550</v>
      </c>
      <c r="I2583">
        <f t="shared" si="379"/>
        <v>2574</v>
      </c>
      <c r="J2583" s="6">
        <f t="array" aca="1" ref="J2583:N2583" ca="1">TRANSPOSE(ols(OFFSET($C$2:$C$10,I2583,0),OFFSET($D$2:$H$10,I2583,0)))</f>
        <v>71.369047619046341</v>
      </c>
      <c r="K2583" s="6">
        <f ca="1"/>
        <v>-6.4285714285711038</v>
      </c>
      <c r="L2583" s="6">
        <f ca="1"/>
        <v>-27.38095238095184</v>
      </c>
      <c r="M2583" s="6">
        <f ca="1"/>
        <v>23.69047619047609</v>
      </c>
      <c r="N2583" s="6">
        <f ca="1"/>
        <v>-0.13452380952380771</v>
      </c>
      <c r="O2583" s="6">
        <f t="shared" ca="1" si="372"/>
        <v>14.642857142857082</v>
      </c>
      <c r="P2583" t="str">
        <f t="shared" si="371"/>
        <v>NA</v>
      </c>
      <c r="Q2583" s="10">
        <f t="shared" ca="1" si="373"/>
        <v>20.595238095237889</v>
      </c>
      <c r="R2583" s="10">
        <f t="shared" ca="1" si="374"/>
        <v>88.630952380951328</v>
      </c>
      <c r="S2583" s="10">
        <f t="shared" ca="1" si="375"/>
        <v>-68.035714285713439</v>
      </c>
      <c r="T2583" s="10">
        <f t="shared" ca="1" si="376"/>
        <v>505.75221238938104</v>
      </c>
      <c r="U2583" s="10">
        <f t="shared" ca="1" si="377"/>
        <v>505.75221238938104</v>
      </c>
      <c r="V2583">
        <f t="shared" si="378"/>
        <v>5</v>
      </c>
    </row>
    <row r="2584" spans="1:22" x14ac:dyDescent="0.25">
      <c r="A2584">
        <v>287</v>
      </c>
      <c r="B2584">
        <v>9</v>
      </c>
      <c r="C2584">
        <v>0</v>
      </c>
      <c r="D2584">
        <v>1</v>
      </c>
      <c r="E2584">
        <v>0</v>
      </c>
      <c r="F2584">
        <v>0</v>
      </c>
      <c r="G2584">
        <v>1</v>
      </c>
      <c r="H2584">
        <v>650</v>
      </c>
      <c r="I2584">
        <f t="shared" si="379"/>
        <v>2574</v>
      </c>
      <c r="J2584" s="6">
        <f t="array" aca="1" ref="J2584:N2584" ca="1">TRANSPOSE(ols(OFFSET($C$2:$C$10,I2584,0),OFFSET($D$2:$H$10,I2584,0)))</f>
        <v>71.369047619046341</v>
      </c>
      <c r="K2584" s="6">
        <f ca="1"/>
        <v>-6.4285714285711038</v>
      </c>
      <c r="L2584" s="6">
        <f ca="1"/>
        <v>-27.38095238095184</v>
      </c>
      <c r="M2584" s="6">
        <f ca="1"/>
        <v>23.69047619047609</v>
      </c>
      <c r="N2584" s="6">
        <f ca="1"/>
        <v>-0.13452380952380771</v>
      </c>
      <c r="O2584" s="6">
        <f t="shared" ca="1" si="372"/>
        <v>7.6190476190474214</v>
      </c>
      <c r="P2584" t="str">
        <f t="shared" si="371"/>
        <v>NA</v>
      </c>
      <c r="Q2584" s="10">
        <f t="shared" ca="1" si="373"/>
        <v>20.595238095237889</v>
      </c>
      <c r="R2584" s="10">
        <f t="shared" ca="1" si="374"/>
        <v>95.059523809522432</v>
      </c>
      <c r="S2584" s="10">
        <f t="shared" ca="1" si="375"/>
        <v>-74.464285714284543</v>
      </c>
      <c r="T2584" s="10">
        <f t="shared" ca="1" si="376"/>
        <v>553.53982300884832</v>
      </c>
      <c r="U2584" s="10">
        <f t="shared" ca="1" si="377"/>
        <v>553.53982300884832</v>
      </c>
      <c r="V2584">
        <f t="shared" si="378"/>
        <v>4</v>
      </c>
    </row>
    <row r="2585" spans="1:22" x14ac:dyDescent="0.25">
      <c r="A2585">
        <v>288</v>
      </c>
      <c r="B2585">
        <v>1</v>
      </c>
      <c r="C2585">
        <v>15</v>
      </c>
      <c r="D2585">
        <v>1</v>
      </c>
      <c r="E2585">
        <v>0</v>
      </c>
      <c r="F2585">
        <v>1</v>
      </c>
      <c r="G2585">
        <v>0</v>
      </c>
      <c r="H2585">
        <v>250</v>
      </c>
      <c r="I2585">
        <f t="shared" si="379"/>
        <v>2583</v>
      </c>
      <c r="J2585" s="6">
        <f t="array" aca="1" ref="J2585:N2585" ca="1">TRANSPOSE(ols(OFFSET($C$2:$C$10,I2585,0),OFFSET($D$2:$H$10,I2585,0)))</f>
        <v>115.60714285714084</v>
      </c>
      <c r="K2585" s="6">
        <f ca="1"/>
        <v>-16.535714285713766</v>
      </c>
      <c r="L2585" s="6">
        <f ca="1"/>
        <v>-40.142857142856428</v>
      </c>
      <c r="M2585" s="6">
        <f ca="1"/>
        <v>35.071428571428498</v>
      </c>
      <c r="N2585" s="6">
        <f ca="1"/>
        <v>-0.21357142857142719</v>
      </c>
      <c r="O2585" s="6">
        <f t="shared" ca="1" si="372"/>
        <v>22.071428571427617</v>
      </c>
      <c r="P2585" t="str">
        <f t="shared" si="371"/>
        <v>NA</v>
      </c>
      <c r="Q2585" s="10">
        <f t="shared" ca="1" si="373"/>
        <v>35.785714285713397</v>
      </c>
      <c r="R2585" s="10">
        <f t="shared" ca="1" si="374"/>
        <v>75.464285714284415</v>
      </c>
      <c r="S2585" s="10">
        <f t="shared" ca="1" si="375"/>
        <v>-39.678571428571018</v>
      </c>
      <c r="T2585" s="10">
        <f t="shared" ca="1" si="376"/>
        <v>185.7859531772568</v>
      </c>
      <c r="U2585" s="10" t="str">
        <f t="shared" ca="1" si="377"/>
        <v>OR</v>
      </c>
      <c r="V2585">
        <f t="shared" si="378"/>
        <v>3</v>
      </c>
    </row>
    <row r="2586" spans="1:22" x14ac:dyDescent="0.25">
      <c r="A2586">
        <v>288</v>
      </c>
      <c r="B2586">
        <v>2</v>
      </c>
      <c r="C2586">
        <v>20</v>
      </c>
      <c r="D2586">
        <v>1</v>
      </c>
      <c r="E2586">
        <v>1</v>
      </c>
      <c r="F2586">
        <v>0</v>
      </c>
      <c r="G2586">
        <v>0</v>
      </c>
      <c r="H2586">
        <v>350</v>
      </c>
      <c r="I2586">
        <f t="shared" si="379"/>
        <v>2583</v>
      </c>
      <c r="J2586" s="6">
        <f t="array" aca="1" ref="J2586:N2586" ca="1">TRANSPOSE(ols(OFFSET($C$2:$C$10,I2586,0),OFFSET($D$2:$H$10,I2586,0)))</f>
        <v>115.60714285714084</v>
      </c>
      <c r="K2586" s="6">
        <f ca="1"/>
        <v>-16.535714285713766</v>
      </c>
      <c r="L2586" s="6">
        <f ca="1"/>
        <v>-40.142857142856428</v>
      </c>
      <c r="M2586" s="6">
        <f ca="1"/>
        <v>35.071428571428498</v>
      </c>
      <c r="N2586" s="6">
        <f ca="1"/>
        <v>-0.21357142857142719</v>
      </c>
      <c r="O2586" s="6">
        <f t="shared" ca="1" si="372"/>
        <v>24.32142857142756</v>
      </c>
      <c r="P2586" t="str">
        <f t="shared" si="371"/>
        <v>NA</v>
      </c>
      <c r="Q2586" s="10">
        <f t="shared" ca="1" si="373"/>
        <v>35.785714285713397</v>
      </c>
      <c r="R2586" s="10">
        <f t="shared" ca="1" si="374"/>
        <v>99.071428571427077</v>
      </c>
      <c r="S2586" s="10">
        <f t="shared" ca="1" si="375"/>
        <v>-63.285714285713681</v>
      </c>
      <c r="T2586" s="10">
        <f t="shared" ca="1" si="376"/>
        <v>296.32107023411277</v>
      </c>
      <c r="U2586" s="10">
        <f t="shared" ca="1" si="377"/>
        <v>296.32107023411277</v>
      </c>
      <c r="V2586">
        <f t="shared" si="378"/>
        <v>2</v>
      </c>
    </row>
    <row r="2587" spans="1:22" x14ac:dyDescent="0.25">
      <c r="A2587">
        <v>288</v>
      </c>
      <c r="B2587">
        <v>3</v>
      </c>
      <c r="C2587">
        <v>7.5</v>
      </c>
      <c r="D2587">
        <v>1</v>
      </c>
      <c r="E2587">
        <v>1</v>
      </c>
      <c r="F2587">
        <v>0</v>
      </c>
      <c r="G2587">
        <v>0</v>
      </c>
      <c r="H2587">
        <v>450</v>
      </c>
      <c r="I2587">
        <f t="shared" si="379"/>
        <v>2583</v>
      </c>
      <c r="J2587" s="6">
        <f t="array" aca="1" ref="J2587:N2587" ca="1">TRANSPOSE(ols(OFFSET($C$2:$C$10,I2587,0),OFFSET($D$2:$H$10,I2587,0)))</f>
        <v>115.60714285714084</v>
      </c>
      <c r="K2587" s="6">
        <f ca="1"/>
        <v>-16.535714285713766</v>
      </c>
      <c r="L2587" s="6">
        <f ca="1"/>
        <v>-40.142857142856428</v>
      </c>
      <c r="M2587" s="6">
        <f ca="1"/>
        <v>35.071428571428498</v>
      </c>
      <c r="N2587" s="6">
        <f ca="1"/>
        <v>-0.21357142857142719</v>
      </c>
      <c r="O2587" s="6">
        <f t="shared" ca="1" si="372"/>
        <v>2.9642857142848413</v>
      </c>
      <c r="P2587" t="str">
        <f t="shared" si="371"/>
        <v>NA</v>
      </c>
      <c r="Q2587" s="10">
        <f t="shared" ca="1" si="373"/>
        <v>35.785714285713397</v>
      </c>
      <c r="R2587" s="10">
        <f t="shared" ca="1" si="374"/>
        <v>99.071428571427077</v>
      </c>
      <c r="S2587" s="10">
        <f t="shared" ca="1" si="375"/>
        <v>-63.285714285713681</v>
      </c>
      <c r="T2587" s="10">
        <f t="shared" ca="1" si="376"/>
        <v>296.32107023411277</v>
      </c>
      <c r="U2587" s="10">
        <f t="shared" ca="1" si="377"/>
        <v>296.32107023411277</v>
      </c>
      <c r="V2587">
        <f t="shared" si="378"/>
        <v>2</v>
      </c>
    </row>
    <row r="2588" spans="1:22" x14ac:dyDescent="0.25">
      <c r="A2588">
        <v>288</v>
      </c>
      <c r="B2588">
        <v>4</v>
      </c>
      <c r="C2588">
        <v>5</v>
      </c>
      <c r="D2588">
        <v>1</v>
      </c>
      <c r="E2588">
        <v>0</v>
      </c>
      <c r="F2588">
        <v>0</v>
      </c>
      <c r="G2588">
        <v>0</v>
      </c>
      <c r="H2588">
        <v>550</v>
      </c>
      <c r="I2588">
        <f t="shared" si="379"/>
        <v>2583</v>
      </c>
      <c r="J2588" s="6">
        <f t="array" aca="1" ref="J2588:N2588" ca="1">TRANSPOSE(ols(OFFSET($C$2:$C$10,I2588,0),OFFSET($D$2:$H$10,I2588,0)))</f>
        <v>115.60714285714084</v>
      </c>
      <c r="K2588" s="6">
        <f ca="1"/>
        <v>-16.535714285713766</v>
      </c>
      <c r="L2588" s="6">
        <f ca="1"/>
        <v>-40.142857142856428</v>
      </c>
      <c r="M2588" s="6">
        <f ca="1"/>
        <v>35.071428571428498</v>
      </c>
      <c r="N2588" s="6">
        <f ca="1"/>
        <v>-0.21357142857142719</v>
      </c>
      <c r="O2588" s="6">
        <f t="shared" ca="1" si="372"/>
        <v>-1.8571428571441118</v>
      </c>
      <c r="P2588" t="str">
        <f t="shared" si="371"/>
        <v>NA</v>
      </c>
      <c r="Q2588" s="10">
        <f t="shared" ca="1" si="373"/>
        <v>35.785714285713397</v>
      </c>
      <c r="R2588" s="10">
        <f t="shared" ca="1" si="374"/>
        <v>115.60714285714084</v>
      </c>
      <c r="S2588" s="10">
        <f t="shared" ca="1" si="375"/>
        <v>-79.821428571427447</v>
      </c>
      <c r="T2588" s="10">
        <f t="shared" ca="1" si="376"/>
        <v>373.74581939799049</v>
      </c>
      <c r="U2588" s="10">
        <f t="shared" ca="1" si="377"/>
        <v>373.74581939799049</v>
      </c>
      <c r="V2588">
        <f t="shared" si="378"/>
        <v>1</v>
      </c>
    </row>
    <row r="2589" spans="1:22" x14ac:dyDescent="0.25">
      <c r="A2589">
        <v>288</v>
      </c>
      <c r="B2589">
        <v>5</v>
      </c>
      <c r="C2589">
        <v>50</v>
      </c>
      <c r="D2589">
        <v>1</v>
      </c>
      <c r="E2589">
        <v>0</v>
      </c>
      <c r="F2589">
        <v>1</v>
      </c>
      <c r="G2589">
        <v>1</v>
      </c>
      <c r="H2589">
        <v>250</v>
      </c>
      <c r="I2589">
        <f t="shared" si="379"/>
        <v>2583</v>
      </c>
      <c r="J2589" s="6">
        <f t="array" aca="1" ref="J2589:N2589" ca="1">TRANSPOSE(ols(OFFSET($C$2:$C$10,I2589,0),OFFSET($D$2:$H$10,I2589,0)))</f>
        <v>115.60714285714084</v>
      </c>
      <c r="K2589" s="6">
        <f ca="1"/>
        <v>-16.535714285713766</v>
      </c>
      <c r="L2589" s="6">
        <f ca="1"/>
        <v>-40.142857142856428</v>
      </c>
      <c r="M2589" s="6">
        <f ca="1"/>
        <v>35.071428571428498</v>
      </c>
      <c r="N2589" s="6">
        <f ca="1"/>
        <v>-0.21357142857142719</v>
      </c>
      <c r="O2589" s="6">
        <f t="shared" ca="1" si="372"/>
        <v>57.142857142856116</v>
      </c>
      <c r="P2589" t="str">
        <f t="shared" si="371"/>
        <v>NA</v>
      </c>
      <c r="Q2589" s="10">
        <f t="shared" ca="1" si="373"/>
        <v>35.785714285713397</v>
      </c>
      <c r="R2589" s="10">
        <f t="shared" ca="1" si="374"/>
        <v>110.53571428571291</v>
      </c>
      <c r="S2589" s="10">
        <f t="shared" ca="1" si="375"/>
        <v>-74.749999999999517</v>
      </c>
      <c r="T2589" s="10">
        <f t="shared" ca="1" si="376"/>
        <v>350</v>
      </c>
      <c r="U2589" s="10">
        <f t="shared" ca="1" si="377"/>
        <v>350</v>
      </c>
      <c r="V2589">
        <f t="shared" si="378"/>
        <v>6</v>
      </c>
    </row>
    <row r="2590" spans="1:22" x14ac:dyDescent="0.25">
      <c r="A2590">
        <v>288</v>
      </c>
      <c r="B2590">
        <v>6</v>
      </c>
      <c r="C2590">
        <v>50</v>
      </c>
      <c r="D2590">
        <v>1</v>
      </c>
      <c r="E2590">
        <v>0</v>
      </c>
      <c r="F2590">
        <v>1</v>
      </c>
      <c r="G2590">
        <v>1</v>
      </c>
      <c r="H2590">
        <v>350</v>
      </c>
      <c r="I2590">
        <f t="shared" si="379"/>
        <v>2583</v>
      </c>
      <c r="J2590" s="6">
        <f t="array" aca="1" ref="J2590:N2590" ca="1">TRANSPOSE(ols(OFFSET($C$2:$C$10,I2590,0),OFFSET($D$2:$H$10,I2590,0)))</f>
        <v>115.60714285714084</v>
      </c>
      <c r="K2590" s="6">
        <f ca="1"/>
        <v>-16.535714285713766</v>
      </c>
      <c r="L2590" s="6">
        <f ca="1"/>
        <v>-40.142857142856428</v>
      </c>
      <c r="M2590" s="6">
        <f ca="1"/>
        <v>35.071428571428498</v>
      </c>
      <c r="N2590" s="6">
        <f ca="1"/>
        <v>-0.21357142857142719</v>
      </c>
      <c r="O2590" s="6">
        <f t="shared" ca="1" si="372"/>
        <v>35.785714285713397</v>
      </c>
      <c r="P2590">
        <f t="shared" ref="P2590:P2653" ca="1" si="380">IF(AND(F2590=1,G2590=1,H2590=350),O2590,"NA")</f>
        <v>35.785714285713397</v>
      </c>
      <c r="Q2590" s="10">
        <f t="shared" ca="1" si="373"/>
        <v>35.785714285713397</v>
      </c>
      <c r="R2590" s="10">
        <f t="shared" ca="1" si="374"/>
        <v>110.53571428571291</v>
      </c>
      <c r="S2590" s="10">
        <f t="shared" ca="1" si="375"/>
        <v>-74.749999999999517</v>
      </c>
      <c r="T2590" s="10">
        <f t="shared" ca="1" si="376"/>
        <v>350</v>
      </c>
      <c r="U2590" s="10">
        <f t="shared" ca="1" si="377"/>
        <v>350</v>
      </c>
      <c r="V2590">
        <f t="shared" si="378"/>
        <v>6</v>
      </c>
    </row>
    <row r="2591" spans="1:22" x14ac:dyDescent="0.25">
      <c r="A2591">
        <v>288</v>
      </c>
      <c r="B2591">
        <v>7</v>
      </c>
      <c r="C2591">
        <v>49.5</v>
      </c>
      <c r="D2591">
        <v>1</v>
      </c>
      <c r="E2591">
        <v>1</v>
      </c>
      <c r="F2591">
        <v>0</v>
      </c>
      <c r="G2591">
        <v>1</v>
      </c>
      <c r="H2591">
        <v>450</v>
      </c>
      <c r="I2591">
        <f t="shared" si="379"/>
        <v>2583</v>
      </c>
      <c r="J2591" s="6">
        <f t="array" aca="1" ref="J2591:N2591" ca="1">TRANSPOSE(ols(OFFSET($C$2:$C$10,I2591,0),OFFSET($D$2:$H$10,I2591,0)))</f>
        <v>115.60714285714084</v>
      </c>
      <c r="K2591" s="6">
        <f ca="1"/>
        <v>-16.535714285713766</v>
      </c>
      <c r="L2591" s="6">
        <f ca="1"/>
        <v>-40.142857142856428</v>
      </c>
      <c r="M2591" s="6">
        <f ca="1"/>
        <v>35.071428571428498</v>
      </c>
      <c r="N2591" s="6">
        <f ca="1"/>
        <v>-0.21357142857142719</v>
      </c>
      <c r="O2591" s="6">
        <f t="shared" ca="1" si="372"/>
        <v>38.03571428571334</v>
      </c>
      <c r="P2591" t="str">
        <f t="shared" si="380"/>
        <v>NA</v>
      </c>
      <c r="Q2591" s="10">
        <f t="shared" ca="1" si="373"/>
        <v>35.785714285713397</v>
      </c>
      <c r="R2591" s="10">
        <f t="shared" ca="1" si="374"/>
        <v>134.14285714285558</v>
      </c>
      <c r="S2591" s="10">
        <f t="shared" ca="1" si="375"/>
        <v>-98.357142857142179</v>
      </c>
      <c r="T2591" s="10">
        <f t="shared" ca="1" si="376"/>
        <v>460.535117056856</v>
      </c>
      <c r="U2591" s="10">
        <f t="shared" ca="1" si="377"/>
        <v>460.535117056856</v>
      </c>
      <c r="V2591">
        <f t="shared" si="378"/>
        <v>5</v>
      </c>
    </row>
    <row r="2592" spans="1:22" x14ac:dyDescent="0.25">
      <c r="A2592">
        <v>288</v>
      </c>
      <c r="B2592">
        <v>8</v>
      </c>
      <c r="C2592">
        <v>5</v>
      </c>
      <c r="D2592">
        <v>1</v>
      </c>
      <c r="E2592">
        <v>1</v>
      </c>
      <c r="F2592">
        <v>0</v>
      </c>
      <c r="G2592">
        <v>1</v>
      </c>
      <c r="H2592">
        <v>550</v>
      </c>
      <c r="I2592">
        <f t="shared" si="379"/>
        <v>2583</v>
      </c>
      <c r="J2592" s="6">
        <f t="array" aca="1" ref="J2592:N2592" ca="1">TRANSPOSE(ols(OFFSET($C$2:$C$10,I2592,0),OFFSET($D$2:$H$10,I2592,0)))</f>
        <v>115.60714285714084</v>
      </c>
      <c r="K2592" s="6">
        <f ca="1"/>
        <v>-16.535714285713766</v>
      </c>
      <c r="L2592" s="6">
        <f ca="1"/>
        <v>-40.142857142856428</v>
      </c>
      <c r="M2592" s="6">
        <f ca="1"/>
        <v>35.071428571428498</v>
      </c>
      <c r="N2592" s="6">
        <f ca="1"/>
        <v>-0.21357142857142719</v>
      </c>
      <c r="O2592" s="6">
        <f t="shared" ca="1" si="372"/>
        <v>16.678571428570621</v>
      </c>
      <c r="P2592" t="str">
        <f t="shared" si="380"/>
        <v>NA</v>
      </c>
      <c r="Q2592" s="10">
        <f t="shared" ca="1" si="373"/>
        <v>35.785714285713397</v>
      </c>
      <c r="R2592" s="10">
        <f t="shared" ca="1" si="374"/>
        <v>134.14285714285558</v>
      </c>
      <c r="S2592" s="10">
        <f t="shared" ca="1" si="375"/>
        <v>-98.357142857142179</v>
      </c>
      <c r="T2592" s="10">
        <f t="shared" ca="1" si="376"/>
        <v>460.535117056856</v>
      </c>
      <c r="U2592" s="10">
        <f t="shared" ca="1" si="377"/>
        <v>460.535117056856</v>
      </c>
      <c r="V2592">
        <f t="shared" si="378"/>
        <v>5</v>
      </c>
    </row>
    <row r="2593" spans="1:22" x14ac:dyDescent="0.25">
      <c r="A2593">
        <v>288</v>
      </c>
      <c r="B2593">
        <v>9</v>
      </c>
      <c r="C2593">
        <v>5</v>
      </c>
      <c r="D2593">
        <v>1</v>
      </c>
      <c r="E2593">
        <v>0</v>
      </c>
      <c r="F2593">
        <v>0</v>
      </c>
      <c r="G2593">
        <v>1</v>
      </c>
      <c r="H2593">
        <v>650</v>
      </c>
      <c r="I2593">
        <f t="shared" si="379"/>
        <v>2583</v>
      </c>
      <c r="J2593" s="6">
        <f t="array" aca="1" ref="J2593:N2593" ca="1">TRANSPOSE(ols(OFFSET($C$2:$C$10,I2593,0),OFFSET($D$2:$H$10,I2593,0)))</f>
        <v>115.60714285714084</v>
      </c>
      <c r="K2593" s="6">
        <f ca="1"/>
        <v>-16.535714285713766</v>
      </c>
      <c r="L2593" s="6">
        <f ca="1"/>
        <v>-40.142857142856428</v>
      </c>
      <c r="M2593" s="6">
        <f ca="1"/>
        <v>35.071428571428498</v>
      </c>
      <c r="N2593" s="6">
        <f ca="1"/>
        <v>-0.21357142857142719</v>
      </c>
      <c r="O2593" s="6">
        <f t="shared" ca="1" si="372"/>
        <v>11.857142857141667</v>
      </c>
      <c r="P2593" t="str">
        <f t="shared" si="380"/>
        <v>NA</v>
      </c>
      <c r="Q2593" s="10">
        <f t="shared" ca="1" si="373"/>
        <v>35.785714285713397</v>
      </c>
      <c r="R2593" s="10">
        <f t="shared" ca="1" si="374"/>
        <v>150.67857142856934</v>
      </c>
      <c r="S2593" s="10">
        <f t="shared" ca="1" si="375"/>
        <v>-114.89285714285595</v>
      </c>
      <c r="T2593" s="10">
        <f t="shared" ca="1" si="376"/>
        <v>537.9598662207336</v>
      </c>
      <c r="U2593" s="10">
        <f t="shared" ca="1" si="377"/>
        <v>537.9598662207336</v>
      </c>
      <c r="V2593">
        <f t="shared" si="378"/>
        <v>4</v>
      </c>
    </row>
    <row r="2594" spans="1:22" x14ac:dyDescent="0.25">
      <c r="A2594">
        <v>289</v>
      </c>
      <c r="B2594">
        <v>1</v>
      </c>
      <c r="C2594">
        <v>50</v>
      </c>
      <c r="D2594">
        <v>1</v>
      </c>
      <c r="E2594">
        <v>0</v>
      </c>
      <c r="F2594">
        <v>1</v>
      </c>
      <c r="G2594">
        <v>0</v>
      </c>
      <c r="H2594">
        <v>250</v>
      </c>
      <c r="I2594">
        <f t="shared" si="379"/>
        <v>2592</v>
      </c>
      <c r="J2594" s="6">
        <f t="array" aca="1" ref="J2594:N2594" ca="1">TRANSPOSE(ols(OFFSET($C$2:$C$10,I2594,0),OFFSET($D$2:$H$10,I2594,0)))</f>
        <v>121.78571428571331</v>
      </c>
      <c r="K2594" s="6">
        <f ca="1"/>
        <v>-6.4285714285711038</v>
      </c>
      <c r="L2594" s="6">
        <f ca="1"/>
        <v>-15.71428571428487</v>
      </c>
      <c r="M2594" s="6">
        <f ca="1"/>
        <v>2.8571428571427759</v>
      </c>
      <c r="N2594" s="6">
        <f ca="1"/>
        <v>-0.19285714285714306</v>
      </c>
      <c r="O2594" s="6">
        <f t="shared" ca="1" si="372"/>
        <v>57.857142857142676</v>
      </c>
      <c r="P2594" t="str">
        <f t="shared" si="380"/>
        <v>NA</v>
      </c>
      <c r="Q2594" s="10">
        <f t="shared" ca="1" si="373"/>
        <v>41.428571428571146</v>
      </c>
      <c r="R2594" s="10">
        <f t="shared" ca="1" si="374"/>
        <v>106.07142857142844</v>
      </c>
      <c r="S2594" s="10">
        <f t="shared" ca="1" si="375"/>
        <v>-64.642857142857295</v>
      </c>
      <c r="T2594" s="10">
        <f t="shared" ca="1" si="376"/>
        <v>335.18518518518562</v>
      </c>
      <c r="U2594" s="10">
        <f t="shared" ca="1" si="377"/>
        <v>335.18518518518562</v>
      </c>
      <c r="V2594">
        <f t="shared" si="378"/>
        <v>3</v>
      </c>
    </row>
    <row r="2595" spans="1:22" x14ac:dyDescent="0.25">
      <c r="A2595">
        <v>289</v>
      </c>
      <c r="B2595">
        <v>2</v>
      </c>
      <c r="C2595">
        <v>50</v>
      </c>
      <c r="D2595">
        <v>1</v>
      </c>
      <c r="E2595">
        <v>1</v>
      </c>
      <c r="F2595">
        <v>0</v>
      </c>
      <c r="G2595">
        <v>0</v>
      </c>
      <c r="H2595">
        <v>350</v>
      </c>
      <c r="I2595">
        <f t="shared" si="379"/>
        <v>2592</v>
      </c>
      <c r="J2595" s="6">
        <f t="array" aca="1" ref="J2595:N2595" ca="1">TRANSPOSE(ols(OFFSET($C$2:$C$10,I2595,0),OFFSET($D$2:$H$10,I2595,0)))</f>
        <v>121.78571428571331</v>
      </c>
      <c r="K2595" s="6">
        <f ca="1"/>
        <v>-6.4285714285711038</v>
      </c>
      <c r="L2595" s="6">
        <f ca="1"/>
        <v>-15.71428571428487</v>
      </c>
      <c r="M2595" s="6">
        <f ca="1"/>
        <v>2.8571428571427759</v>
      </c>
      <c r="N2595" s="6">
        <f ca="1"/>
        <v>-0.19285714285714306</v>
      </c>
      <c r="O2595" s="6">
        <f t="shared" ca="1" si="372"/>
        <v>47.857142857142136</v>
      </c>
      <c r="P2595" t="str">
        <f t="shared" si="380"/>
        <v>NA</v>
      </c>
      <c r="Q2595" s="10">
        <f t="shared" ca="1" si="373"/>
        <v>41.428571428571146</v>
      </c>
      <c r="R2595" s="10">
        <f t="shared" ca="1" si="374"/>
        <v>115.35714285714221</v>
      </c>
      <c r="S2595" s="10">
        <f t="shared" ca="1" si="375"/>
        <v>-73.928571428571061</v>
      </c>
      <c r="T2595" s="10">
        <f t="shared" ca="1" si="376"/>
        <v>383.33333333333104</v>
      </c>
      <c r="U2595" s="10">
        <f t="shared" ca="1" si="377"/>
        <v>383.33333333333104</v>
      </c>
      <c r="V2595">
        <f t="shared" si="378"/>
        <v>2</v>
      </c>
    </row>
    <row r="2596" spans="1:22" x14ac:dyDescent="0.25">
      <c r="A2596">
        <v>289</v>
      </c>
      <c r="B2596">
        <v>3</v>
      </c>
      <c r="C2596">
        <v>35</v>
      </c>
      <c r="D2596">
        <v>1</v>
      </c>
      <c r="E2596">
        <v>1</v>
      </c>
      <c r="F2596">
        <v>0</v>
      </c>
      <c r="G2596">
        <v>0</v>
      </c>
      <c r="H2596">
        <v>450</v>
      </c>
      <c r="I2596">
        <f t="shared" si="379"/>
        <v>2592</v>
      </c>
      <c r="J2596" s="6">
        <f t="array" aca="1" ref="J2596:N2596" ca="1">TRANSPOSE(ols(OFFSET($C$2:$C$10,I2596,0),OFFSET($D$2:$H$10,I2596,0)))</f>
        <v>121.78571428571331</v>
      </c>
      <c r="K2596" s="6">
        <f ca="1"/>
        <v>-6.4285714285711038</v>
      </c>
      <c r="L2596" s="6">
        <f ca="1"/>
        <v>-15.71428571428487</v>
      </c>
      <c r="M2596" s="6">
        <f ca="1"/>
        <v>2.8571428571427759</v>
      </c>
      <c r="N2596" s="6">
        <f ca="1"/>
        <v>-0.19285714285714306</v>
      </c>
      <c r="O2596" s="6">
        <f t="shared" ca="1" si="372"/>
        <v>28.57142857142783</v>
      </c>
      <c r="P2596" t="str">
        <f t="shared" si="380"/>
        <v>NA</v>
      </c>
      <c r="Q2596" s="10">
        <f t="shared" ca="1" si="373"/>
        <v>41.428571428571146</v>
      </c>
      <c r="R2596" s="10">
        <f t="shared" ca="1" si="374"/>
        <v>115.35714285714221</v>
      </c>
      <c r="S2596" s="10">
        <f t="shared" ca="1" si="375"/>
        <v>-73.928571428571061</v>
      </c>
      <c r="T2596" s="10">
        <f t="shared" ca="1" si="376"/>
        <v>383.33333333333104</v>
      </c>
      <c r="U2596" s="10">
        <f t="shared" ca="1" si="377"/>
        <v>383.33333333333104</v>
      </c>
      <c r="V2596">
        <f t="shared" si="378"/>
        <v>2</v>
      </c>
    </row>
    <row r="2597" spans="1:22" x14ac:dyDescent="0.25">
      <c r="A2597">
        <v>289</v>
      </c>
      <c r="B2597">
        <v>4</v>
      </c>
      <c r="C2597">
        <v>15</v>
      </c>
      <c r="D2597">
        <v>1</v>
      </c>
      <c r="E2597">
        <v>0</v>
      </c>
      <c r="F2597">
        <v>0</v>
      </c>
      <c r="G2597">
        <v>0</v>
      </c>
      <c r="H2597">
        <v>550</v>
      </c>
      <c r="I2597">
        <f t="shared" si="379"/>
        <v>2592</v>
      </c>
      <c r="J2597" s="6">
        <f t="array" aca="1" ref="J2597:N2597" ca="1">TRANSPOSE(ols(OFFSET($C$2:$C$10,I2597,0),OFFSET($D$2:$H$10,I2597,0)))</f>
        <v>121.78571428571331</v>
      </c>
      <c r="K2597" s="6">
        <f ca="1"/>
        <v>-6.4285714285711038</v>
      </c>
      <c r="L2597" s="6">
        <f ca="1"/>
        <v>-15.71428571428487</v>
      </c>
      <c r="M2597" s="6">
        <f ca="1"/>
        <v>2.8571428571427759</v>
      </c>
      <c r="N2597" s="6">
        <f ca="1"/>
        <v>-0.19285714285714306</v>
      </c>
      <c r="O2597" s="6">
        <f t="shared" ca="1" si="372"/>
        <v>15.714285714284628</v>
      </c>
      <c r="P2597" t="str">
        <f t="shared" si="380"/>
        <v>NA</v>
      </c>
      <c r="Q2597" s="10">
        <f t="shared" ca="1" si="373"/>
        <v>41.428571428571146</v>
      </c>
      <c r="R2597" s="10">
        <f t="shared" ca="1" si="374"/>
        <v>121.78571428571331</v>
      </c>
      <c r="S2597" s="10">
        <f t="shared" ca="1" si="375"/>
        <v>-80.357142857142165</v>
      </c>
      <c r="T2597" s="10">
        <f t="shared" ca="1" si="376"/>
        <v>416.66666666666265</v>
      </c>
      <c r="U2597" s="10">
        <f t="shared" ca="1" si="377"/>
        <v>416.66666666666265</v>
      </c>
      <c r="V2597">
        <f t="shared" si="378"/>
        <v>1</v>
      </c>
    </row>
    <row r="2598" spans="1:22" x14ac:dyDescent="0.25">
      <c r="A2598">
        <v>289</v>
      </c>
      <c r="B2598">
        <v>5</v>
      </c>
      <c r="C2598">
        <v>55</v>
      </c>
      <c r="D2598">
        <v>1</v>
      </c>
      <c r="E2598">
        <v>0</v>
      </c>
      <c r="F2598">
        <v>1</v>
      </c>
      <c r="G2598">
        <v>1</v>
      </c>
      <c r="H2598">
        <v>250</v>
      </c>
      <c r="I2598">
        <f t="shared" si="379"/>
        <v>2592</v>
      </c>
      <c r="J2598" s="6">
        <f t="array" aca="1" ref="J2598:N2598" ca="1">TRANSPOSE(ols(OFFSET($C$2:$C$10,I2598,0),OFFSET($D$2:$H$10,I2598,0)))</f>
        <v>121.78571428571331</v>
      </c>
      <c r="K2598" s="6">
        <f ca="1"/>
        <v>-6.4285714285711038</v>
      </c>
      <c r="L2598" s="6">
        <f ca="1"/>
        <v>-15.71428571428487</v>
      </c>
      <c r="M2598" s="6">
        <f ca="1"/>
        <v>2.8571428571427759</v>
      </c>
      <c r="N2598" s="6">
        <f ca="1"/>
        <v>-0.19285714285714306</v>
      </c>
      <c r="O2598" s="6">
        <f t="shared" ca="1" si="372"/>
        <v>60.714285714285452</v>
      </c>
      <c r="P2598" t="str">
        <f t="shared" si="380"/>
        <v>NA</v>
      </c>
      <c r="Q2598" s="10">
        <f t="shared" ca="1" si="373"/>
        <v>41.428571428571146</v>
      </c>
      <c r="R2598" s="10">
        <f t="shared" ca="1" si="374"/>
        <v>108.92857142857122</v>
      </c>
      <c r="S2598" s="10">
        <f t="shared" ca="1" si="375"/>
        <v>-67.500000000000071</v>
      </c>
      <c r="T2598" s="10">
        <f t="shared" ca="1" si="376"/>
        <v>350</v>
      </c>
      <c r="U2598" s="10">
        <f t="shared" ca="1" si="377"/>
        <v>350</v>
      </c>
      <c r="V2598">
        <f t="shared" si="378"/>
        <v>6</v>
      </c>
    </row>
    <row r="2599" spans="1:22" x14ac:dyDescent="0.25">
      <c r="A2599">
        <v>289</v>
      </c>
      <c r="B2599">
        <v>6</v>
      </c>
      <c r="C2599">
        <v>55</v>
      </c>
      <c r="D2599">
        <v>1</v>
      </c>
      <c r="E2599">
        <v>0</v>
      </c>
      <c r="F2599">
        <v>1</v>
      </c>
      <c r="G2599">
        <v>1</v>
      </c>
      <c r="H2599">
        <v>350</v>
      </c>
      <c r="I2599">
        <f t="shared" si="379"/>
        <v>2592</v>
      </c>
      <c r="J2599" s="6">
        <f t="array" aca="1" ref="J2599:N2599" ca="1">TRANSPOSE(ols(OFFSET($C$2:$C$10,I2599,0),OFFSET($D$2:$H$10,I2599,0)))</f>
        <v>121.78571428571331</v>
      </c>
      <c r="K2599" s="6">
        <f ca="1"/>
        <v>-6.4285714285711038</v>
      </c>
      <c r="L2599" s="6">
        <f ca="1"/>
        <v>-15.71428571428487</v>
      </c>
      <c r="M2599" s="6">
        <f ca="1"/>
        <v>2.8571428571427759</v>
      </c>
      <c r="N2599" s="6">
        <f ca="1"/>
        <v>-0.19285714285714306</v>
      </c>
      <c r="O2599" s="6">
        <f t="shared" ca="1" si="372"/>
        <v>41.428571428571146</v>
      </c>
      <c r="P2599">
        <f t="shared" ca="1" si="380"/>
        <v>41.428571428571146</v>
      </c>
      <c r="Q2599" s="10">
        <f t="shared" ca="1" si="373"/>
        <v>41.428571428571146</v>
      </c>
      <c r="R2599" s="10">
        <f t="shared" ca="1" si="374"/>
        <v>108.92857142857122</v>
      </c>
      <c r="S2599" s="10">
        <f t="shared" ca="1" si="375"/>
        <v>-67.500000000000071</v>
      </c>
      <c r="T2599" s="10">
        <f t="shared" ca="1" si="376"/>
        <v>350</v>
      </c>
      <c r="U2599" s="10">
        <f t="shared" ca="1" si="377"/>
        <v>350</v>
      </c>
      <c r="V2599">
        <f t="shared" si="378"/>
        <v>6</v>
      </c>
    </row>
    <row r="2600" spans="1:22" x14ac:dyDescent="0.25">
      <c r="A2600">
        <v>289</v>
      </c>
      <c r="B2600">
        <v>7</v>
      </c>
      <c r="C2600">
        <v>35</v>
      </c>
      <c r="D2600">
        <v>1</v>
      </c>
      <c r="E2600">
        <v>1</v>
      </c>
      <c r="F2600">
        <v>0</v>
      </c>
      <c r="G2600">
        <v>1</v>
      </c>
      <c r="H2600">
        <v>450</v>
      </c>
      <c r="I2600">
        <f t="shared" si="379"/>
        <v>2592</v>
      </c>
      <c r="J2600" s="6">
        <f t="array" aca="1" ref="J2600:N2600" ca="1">TRANSPOSE(ols(OFFSET($C$2:$C$10,I2600,0),OFFSET($D$2:$H$10,I2600,0)))</f>
        <v>121.78571428571331</v>
      </c>
      <c r="K2600" s="6">
        <f ca="1"/>
        <v>-6.4285714285711038</v>
      </c>
      <c r="L2600" s="6">
        <f ca="1"/>
        <v>-15.71428571428487</v>
      </c>
      <c r="M2600" s="6">
        <f ca="1"/>
        <v>2.8571428571427759</v>
      </c>
      <c r="N2600" s="6">
        <f ca="1"/>
        <v>-0.19285714285714306</v>
      </c>
      <c r="O2600" s="6">
        <f t="shared" ca="1" si="372"/>
        <v>31.428571428570606</v>
      </c>
      <c r="P2600" t="str">
        <f t="shared" si="380"/>
        <v>NA</v>
      </c>
      <c r="Q2600" s="10">
        <f t="shared" ca="1" si="373"/>
        <v>41.428571428571146</v>
      </c>
      <c r="R2600" s="10">
        <f t="shared" ca="1" si="374"/>
        <v>118.21428571428498</v>
      </c>
      <c r="S2600" s="10">
        <f t="shared" ca="1" si="375"/>
        <v>-76.785714285713837</v>
      </c>
      <c r="T2600" s="10">
        <f t="shared" ca="1" si="376"/>
        <v>398.14814814814542</v>
      </c>
      <c r="U2600" s="10">
        <f t="shared" ca="1" si="377"/>
        <v>398.14814814814542</v>
      </c>
      <c r="V2600">
        <f t="shared" si="378"/>
        <v>5</v>
      </c>
    </row>
    <row r="2601" spans="1:22" x14ac:dyDescent="0.25">
      <c r="A2601">
        <v>289</v>
      </c>
      <c r="B2601">
        <v>8</v>
      </c>
      <c r="C2601">
        <v>0</v>
      </c>
      <c r="D2601">
        <v>1</v>
      </c>
      <c r="E2601">
        <v>1</v>
      </c>
      <c r="F2601">
        <v>0</v>
      </c>
      <c r="G2601">
        <v>1</v>
      </c>
      <c r="H2601">
        <v>550</v>
      </c>
      <c r="I2601">
        <f t="shared" si="379"/>
        <v>2592</v>
      </c>
      <c r="J2601" s="6">
        <f t="array" aca="1" ref="J2601:N2601" ca="1">TRANSPOSE(ols(OFFSET($C$2:$C$10,I2601,0),OFFSET($D$2:$H$10,I2601,0)))</f>
        <v>121.78571428571331</v>
      </c>
      <c r="K2601" s="6">
        <f ca="1"/>
        <v>-6.4285714285711038</v>
      </c>
      <c r="L2601" s="6">
        <f ca="1"/>
        <v>-15.71428571428487</v>
      </c>
      <c r="M2601" s="6">
        <f ca="1"/>
        <v>2.8571428571427759</v>
      </c>
      <c r="N2601" s="6">
        <f ca="1"/>
        <v>-0.19285714285714306</v>
      </c>
      <c r="O2601" s="6">
        <f t="shared" ca="1" si="372"/>
        <v>12.1428571428563</v>
      </c>
      <c r="P2601" t="str">
        <f t="shared" si="380"/>
        <v>NA</v>
      </c>
      <c r="Q2601" s="10">
        <f t="shared" ca="1" si="373"/>
        <v>41.428571428571146</v>
      </c>
      <c r="R2601" s="10">
        <f t="shared" ca="1" si="374"/>
        <v>118.21428571428498</v>
      </c>
      <c r="S2601" s="10">
        <f t="shared" ca="1" si="375"/>
        <v>-76.785714285713837</v>
      </c>
      <c r="T2601" s="10">
        <f t="shared" ca="1" si="376"/>
        <v>398.14814814814542</v>
      </c>
      <c r="U2601" s="10">
        <f t="shared" ca="1" si="377"/>
        <v>398.14814814814542</v>
      </c>
      <c r="V2601">
        <f t="shared" si="378"/>
        <v>5</v>
      </c>
    </row>
    <row r="2602" spans="1:22" x14ac:dyDescent="0.25">
      <c r="A2602">
        <v>289</v>
      </c>
      <c r="B2602">
        <v>9</v>
      </c>
      <c r="C2602">
        <v>0</v>
      </c>
      <c r="D2602">
        <v>1</v>
      </c>
      <c r="E2602">
        <v>0</v>
      </c>
      <c r="F2602">
        <v>0</v>
      </c>
      <c r="G2602">
        <v>1</v>
      </c>
      <c r="H2602">
        <v>650</v>
      </c>
      <c r="I2602">
        <f t="shared" si="379"/>
        <v>2592</v>
      </c>
      <c r="J2602" s="6">
        <f t="array" aca="1" ref="J2602:N2602" ca="1">TRANSPOSE(ols(OFFSET($C$2:$C$10,I2602,0),OFFSET($D$2:$H$10,I2602,0)))</f>
        <v>121.78571428571331</v>
      </c>
      <c r="K2602" s="6">
        <f ca="1"/>
        <v>-6.4285714285711038</v>
      </c>
      <c r="L2602" s="6">
        <f ca="1"/>
        <v>-15.71428571428487</v>
      </c>
      <c r="M2602" s="6">
        <f ca="1"/>
        <v>2.8571428571427759</v>
      </c>
      <c r="N2602" s="6">
        <f ca="1"/>
        <v>-0.19285714285714306</v>
      </c>
      <c r="O2602" s="6">
        <f t="shared" ca="1" si="372"/>
        <v>-0.71428571428690191</v>
      </c>
      <c r="P2602" t="str">
        <f t="shared" si="380"/>
        <v>NA</v>
      </c>
      <c r="Q2602" s="10">
        <f t="shared" ca="1" si="373"/>
        <v>41.428571428571146</v>
      </c>
      <c r="R2602" s="10">
        <f t="shared" ca="1" si="374"/>
        <v>124.64285714285609</v>
      </c>
      <c r="S2602" s="10">
        <f t="shared" ca="1" si="375"/>
        <v>-83.214285714284941</v>
      </c>
      <c r="T2602" s="10">
        <f t="shared" ca="1" si="376"/>
        <v>431.48148148147703</v>
      </c>
      <c r="U2602" s="10">
        <f t="shared" ca="1" si="377"/>
        <v>431.48148148147703</v>
      </c>
      <c r="V2602">
        <f t="shared" si="378"/>
        <v>4</v>
      </c>
    </row>
    <row r="2603" spans="1:22" x14ac:dyDescent="0.25">
      <c r="A2603">
        <v>290</v>
      </c>
      <c r="B2603">
        <v>1</v>
      </c>
      <c r="C2603">
        <v>70</v>
      </c>
      <c r="D2603">
        <v>1</v>
      </c>
      <c r="E2603">
        <v>0</v>
      </c>
      <c r="F2603">
        <v>1</v>
      </c>
      <c r="G2603">
        <v>0</v>
      </c>
      <c r="H2603">
        <v>250</v>
      </c>
      <c r="I2603">
        <f t="shared" si="379"/>
        <v>2601</v>
      </c>
      <c r="J2603" s="6">
        <f t="array" aca="1" ref="J2603:N2603" ca="1">TRANSPOSE(ols(OFFSET($C$2:$C$10,I2603,0),OFFSET($D$2:$H$10,I2603,0)))</f>
        <v>133.45238095237937</v>
      </c>
      <c r="K2603" s="6">
        <f ca="1"/>
        <v>-6.4285714285711038</v>
      </c>
      <c r="L2603" s="6">
        <f ca="1"/>
        <v>-9.0476190476178999</v>
      </c>
      <c r="M2603" s="6">
        <f ca="1"/>
        <v>4.5238095238095184</v>
      </c>
      <c r="N2603" s="6">
        <f ca="1"/>
        <v>-0.22619047619047628</v>
      </c>
      <c r="O2603" s="6">
        <f t="shared" ca="1" si="372"/>
        <v>67.857142857142406</v>
      </c>
      <c r="P2603" t="str">
        <f t="shared" si="380"/>
        <v>NA</v>
      </c>
      <c r="Q2603" s="10">
        <f t="shared" ca="1" si="373"/>
        <v>49.76190476190429</v>
      </c>
      <c r="R2603" s="10">
        <f t="shared" ca="1" si="374"/>
        <v>124.40476190476147</v>
      </c>
      <c r="S2603" s="10">
        <f t="shared" ca="1" si="375"/>
        <v>-74.642857142857181</v>
      </c>
      <c r="T2603" s="10">
        <f t="shared" ca="1" si="376"/>
        <v>330.00000000000006</v>
      </c>
      <c r="U2603" s="10">
        <f t="shared" ca="1" si="377"/>
        <v>330.00000000000006</v>
      </c>
      <c r="V2603">
        <f t="shared" si="378"/>
        <v>3</v>
      </c>
    </row>
    <row r="2604" spans="1:22" x14ac:dyDescent="0.25">
      <c r="A2604">
        <v>290</v>
      </c>
      <c r="B2604">
        <v>2</v>
      </c>
      <c r="C2604">
        <v>50</v>
      </c>
      <c r="D2604">
        <v>1</v>
      </c>
      <c r="E2604">
        <v>1</v>
      </c>
      <c r="F2604">
        <v>0</v>
      </c>
      <c r="G2604">
        <v>0</v>
      </c>
      <c r="H2604">
        <v>350</v>
      </c>
      <c r="I2604">
        <f t="shared" si="379"/>
        <v>2601</v>
      </c>
      <c r="J2604" s="6">
        <f t="array" aca="1" ref="J2604:N2604" ca="1">TRANSPOSE(ols(OFFSET($C$2:$C$10,I2604,0),OFFSET($D$2:$H$10,I2604,0)))</f>
        <v>133.45238095237937</v>
      </c>
      <c r="K2604" s="6">
        <f ca="1"/>
        <v>-6.4285714285711038</v>
      </c>
      <c r="L2604" s="6">
        <f ca="1"/>
        <v>-9.0476190476178999</v>
      </c>
      <c r="M2604" s="6">
        <f ca="1"/>
        <v>4.5238095238095184</v>
      </c>
      <c r="N2604" s="6">
        <f ca="1"/>
        <v>-0.22619047619047628</v>
      </c>
      <c r="O2604" s="6">
        <f t="shared" ca="1" si="372"/>
        <v>47.857142857141568</v>
      </c>
      <c r="P2604" t="str">
        <f t="shared" si="380"/>
        <v>NA</v>
      </c>
      <c r="Q2604" s="10">
        <f t="shared" ca="1" si="373"/>
        <v>49.76190476190429</v>
      </c>
      <c r="R2604" s="10">
        <f t="shared" ca="1" si="374"/>
        <v>127.02380952380827</v>
      </c>
      <c r="S2604" s="10">
        <f t="shared" ca="1" si="375"/>
        <v>-77.261904761903978</v>
      </c>
      <c r="T2604" s="10">
        <f t="shared" ca="1" si="376"/>
        <v>341.57894736841746</v>
      </c>
      <c r="U2604" s="10">
        <f t="shared" ca="1" si="377"/>
        <v>341.57894736841746</v>
      </c>
      <c r="V2604">
        <f t="shared" si="378"/>
        <v>2</v>
      </c>
    </row>
    <row r="2605" spans="1:22" x14ac:dyDescent="0.25">
      <c r="A2605">
        <v>290</v>
      </c>
      <c r="B2605">
        <v>3</v>
      </c>
      <c r="C2605">
        <v>30</v>
      </c>
      <c r="D2605">
        <v>1</v>
      </c>
      <c r="E2605">
        <v>1</v>
      </c>
      <c r="F2605">
        <v>0</v>
      </c>
      <c r="G2605">
        <v>0</v>
      </c>
      <c r="H2605">
        <v>450</v>
      </c>
      <c r="I2605">
        <f t="shared" si="379"/>
        <v>2601</v>
      </c>
      <c r="J2605" s="6">
        <f t="array" aca="1" ref="J2605:N2605" ca="1">TRANSPOSE(ols(OFFSET($C$2:$C$10,I2605,0),OFFSET($D$2:$H$10,I2605,0)))</f>
        <v>133.45238095237937</v>
      </c>
      <c r="K2605" s="6">
        <f ca="1"/>
        <v>-6.4285714285711038</v>
      </c>
      <c r="L2605" s="6">
        <f ca="1"/>
        <v>-9.0476190476178999</v>
      </c>
      <c r="M2605" s="6">
        <f ca="1"/>
        <v>4.5238095238095184</v>
      </c>
      <c r="N2605" s="6">
        <f ca="1"/>
        <v>-0.22619047619047628</v>
      </c>
      <c r="O2605" s="6">
        <f t="shared" ca="1" si="372"/>
        <v>25.238095238093948</v>
      </c>
      <c r="P2605" t="str">
        <f t="shared" si="380"/>
        <v>NA</v>
      </c>
      <c r="Q2605" s="10">
        <f t="shared" ca="1" si="373"/>
        <v>49.76190476190429</v>
      </c>
      <c r="R2605" s="10">
        <f t="shared" ca="1" si="374"/>
        <v>127.02380952380827</v>
      </c>
      <c r="S2605" s="10">
        <f t="shared" ca="1" si="375"/>
        <v>-77.261904761903978</v>
      </c>
      <c r="T2605" s="10">
        <f t="shared" ca="1" si="376"/>
        <v>341.57894736841746</v>
      </c>
      <c r="U2605" s="10">
        <f t="shared" ca="1" si="377"/>
        <v>341.57894736841746</v>
      </c>
      <c r="V2605">
        <f t="shared" si="378"/>
        <v>2</v>
      </c>
    </row>
    <row r="2606" spans="1:22" x14ac:dyDescent="0.25">
      <c r="A2606">
        <v>290</v>
      </c>
      <c r="B2606">
        <v>4</v>
      </c>
      <c r="C2606">
        <v>0</v>
      </c>
      <c r="D2606">
        <v>1</v>
      </c>
      <c r="E2606">
        <v>0</v>
      </c>
      <c r="F2606">
        <v>0</v>
      </c>
      <c r="G2606">
        <v>0</v>
      </c>
      <c r="H2606">
        <v>550</v>
      </c>
      <c r="I2606">
        <f t="shared" si="379"/>
        <v>2601</v>
      </c>
      <c r="J2606" s="6">
        <f t="array" aca="1" ref="J2606:N2606" ca="1">TRANSPOSE(ols(OFFSET($C$2:$C$10,I2606,0),OFFSET($D$2:$H$10,I2606,0)))</f>
        <v>133.45238095237937</v>
      </c>
      <c r="K2606" s="6">
        <f ca="1"/>
        <v>-6.4285714285711038</v>
      </c>
      <c r="L2606" s="6">
        <f ca="1"/>
        <v>-9.0476190476178999</v>
      </c>
      <c r="M2606" s="6">
        <f ca="1"/>
        <v>4.5238095238095184</v>
      </c>
      <c r="N2606" s="6">
        <f ca="1"/>
        <v>-0.22619047619047628</v>
      </c>
      <c r="O2606" s="6">
        <f t="shared" ca="1" si="372"/>
        <v>9.0476190476174168</v>
      </c>
      <c r="P2606" t="str">
        <f t="shared" si="380"/>
        <v>NA</v>
      </c>
      <c r="Q2606" s="10">
        <f t="shared" ca="1" si="373"/>
        <v>49.76190476190429</v>
      </c>
      <c r="R2606" s="10">
        <f t="shared" ca="1" si="374"/>
        <v>133.45238095237937</v>
      </c>
      <c r="S2606" s="10">
        <f t="shared" ca="1" si="375"/>
        <v>-83.690476190475081</v>
      </c>
      <c r="T2606" s="10">
        <f t="shared" ca="1" si="376"/>
        <v>369.99999999999494</v>
      </c>
      <c r="U2606" s="10">
        <f t="shared" ca="1" si="377"/>
        <v>369.99999999999494</v>
      </c>
      <c r="V2606">
        <f t="shared" si="378"/>
        <v>1</v>
      </c>
    </row>
    <row r="2607" spans="1:22" x14ac:dyDescent="0.25">
      <c r="A2607">
        <v>290</v>
      </c>
      <c r="B2607">
        <v>5</v>
      </c>
      <c r="C2607">
        <v>70</v>
      </c>
      <c r="D2607">
        <v>1</v>
      </c>
      <c r="E2607">
        <v>0</v>
      </c>
      <c r="F2607">
        <v>1</v>
      </c>
      <c r="G2607">
        <v>1</v>
      </c>
      <c r="H2607">
        <v>250</v>
      </c>
      <c r="I2607">
        <f t="shared" si="379"/>
        <v>2601</v>
      </c>
      <c r="J2607" s="6">
        <f t="array" aca="1" ref="J2607:N2607" ca="1">TRANSPOSE(ols(OFFSET($C$2:$C$10,I2607,0),OFFSET($D$2:$H$10,I2607,0)))</f>
        <v>133.45238095237937</v>
      </c>
      <c r="K2607" s="6">
        <f ca="1"/>
        <v>-6.4285714285711038</v>
      </c>
      <c r="L2607" s="6">
        <f ca="1"/>
        <v>-9.0476190476178999</v>
      </c>
      <c r="M2607" s="6">
        <f ca="1"/>
        <v>4.5238095238095184</v>
      </c>
      <c r="N2607" s="6">
        <f ca="1"/>
        <v>-0.22619047619047628</v>
      </c>
      <c r="O2607" s="6">
        <f t="shared" ca="1" si="372"/>
        <v>72.380952380951925</v>
      </c>
      <c r="P2607" t="str">
        <f t="shared" si="380"/>
        <v>NA</v>
      </c>
      <c r="Q2607" s="10">
        <f t="shared" ca="1" si="373"/>
        <v>49.76190476190429</v>
      </c>
      <c r="R2607" s="10">
        <f t="shared" ca="1" si="374"/>
        <v>128.92857142857099</v>
      </c>
      <c r="S2607" s="10">
        <f t="shared" ca="1" si="375"/>
        <v>-79.1666666666667</v>
      </c>
      <c r="T2607" s="10">
        <f t="shared" ca="1" si="376"/>
        <v>350</v>
      </c>
      <c r="U2607" s="10">
        <f t="shared" ca="1" si="377"/>
        <v>350</v>
      </c>
      <c r="V2607">
        <f t="shared" si="378"/>
        <v>6</v>
      </c>
    </row>
    <row r="2608" spans="1:22" x14ac:dyDescent="0.25">
      <c r="A2608">
        <v>290</v>
      </c>
      <c r="B2608">
        <v>6</v>
      </c>
      <c r="C2608">
        <v>50</v>
      </c>
      <c r="D2608">
        <v>1</v>
      </c>
      <c r="E2608">
        <v>0</v>
      </c>
      <c r="F2608">
        <v>1</v>
      </c>
      <c r="G2608">
        <v>1</v>
      </c>
      <c r="H2608">
        <v>350</v>
      </c>
      <c r="I2608">
        <f t="shared" si="379"/>
        <v>2601</v>
      </c>
      <c r="J2608" s="6">
        <f t="array" aca="1" ref="J2608:N2608" ca="1">TRANSPOSE(ols(OFFSET($C$2:$C$10,I2608,0),OFFSET($D$2:$H$10,I2608,0)))</f>
        <v>133.45238095237937</v>
      </c>
      <c r="K2608" s="6">
        <f ca="1"/>
        <v>-6.4285714285711038</v>
      </c>
      <c r="L2608" s="6">
        <f ca="1"/>
        <v>-9.0476190476178999</v>
      </c>
      <c r="M2608" s="6">
        <f ca="1"/>
        <v>4.5238095238095184</v>
      </c>
      <c r="N2608" s="6">
        <f ca="1"/>
        <v>-0.22619047619047628</v>
      </c>
      <c r="O2608" s="6">
        <f t="shared" ca="1" si="372"/>
        <v>49.76190476190429</v>
      </c>
      <c r="P2608">
        <f t="shared" ca="1" si="380"/>
        <v>49.76190476190429</v>
      </c>
      <c r="Q2608" s="10">
        <f t="shared" ca="1" si="373"/>
        <v>49.76190476190429</v>
      </c>
      <c r="R2608" s="10">
        <f t="shared" ca="1" si="374"/>
        <v>128.92857142857099</v>
      </c>
      <c r="S2608" s="10">
        <f t="shared" ca="1" si="375"/>
        <v>-79.1666666666667</v>
      </c>
      <c r="T2608" s="10">
        <f t="shared" ca="1" si="376"/>
        <v>350</v>
      </c>
      <c r="U2608" s="10">
        <f t="shared" ca="1" si="377"/>
        <v>350</v>
      </c>
      <c r="V2608">
        <f t="shared" si="378"/>
        <v>6</v>
      </c>
    </row>
    <row r="2609" spans="1:22" x14ac:dyDescent="0.25">
      <c r="A2609">
        <v>290</v>
      </c>
      <c r="B2609">
        <v>7</v>
      </c>
      <c r="C2609">
        <v>30</v>
      </c>
      <c r="D2609">
        <v>1</v>
      </c>
      <c r="E2609">
        <v>1</v>
      </c>
      <c r="F2609">
        <v>0</v>
      </c>
      <c r="G2609">
        <v>1</v>
      </c>
      <c r="H2609">
        <v>450</v>
      </c>
      <c r="I2609">
        <f t="shared" si="379"/>
        <v>2601</v>
      </c>
      <c r="J2609" s="6">
        <f t="array" aca="1" ref="J2609:N2609" ca="1">TRANSPOSE(ols(OFFSET($C$2:$C$10,I2609,0),OFFSET($D$2:$H$10,I2609,0)))</f>
        <v>133.45238095237937</v>
      </c>
      <c r="K2609" s="6">
        <f ca="1"/>
        <v>-6.4285714285711038</v>
      </c>
      <c r="L2609" s="6">
        <f ca="1"/>
        <v>-9.0476190476178999</v>
      </c>
      <c r="M2609" s="6">
        <f ca="1"/>
        <v>4.5238095238095184</v>
      </c>
      <c r="N2609" s="6">
        <f ca="1"/>
        <v>-0.22619047619047628</v>
      </c>
      <c r="O2609" s="6">
        <f t="shared" ca="1" si="372"/>
        <v>29.761904761903466</v>
      </c>
      <c r="P2609" t="str">
        <f t="shared" si="380"/>
        <v>NA</v>
      </c>
      <c r="Q2609" s="10">
        <f t="shared" ca="1" si="373"/>
        <v>49.76190476190429</v>
      </c>
      <c r="R2609" s="10">
        <f t="shared" ca="1" si="374"/>
        <v>131.54761904761779</v>
      </c>
      <c r="S2609" s="10">
        <f t="shared" ca="1" si="375"/>
        <v>-81.785714285713496</v>
      </c>
      <c r="T2609" s="10">
        <f t="shared" ca="1" si="376"/>
        <v>361.5789473684174</v>
      </c>
      <c r="U2609" s="10">
        <f t="shared" ca="1" si="377"/>
        <v>361.5789473684174</v>
      </c>
      <c r="V2609">
        <f t="shared" si="378"/>
        <v>5</v>
      </c>
    </row>
    <row r="2610" spans="1:22" x14ac:dyDescent="0.25">
      <c r="A2610">
        <v>290</v>
      </c>
      <c r="B2610">
        <v>8</v>
      </c>
      <c r="C2610">
        <v>0</v>
      </c>
      <c r="D2610">
        <v>1</v>
      </c>
      <c r="E2610">
        <v>1</v>
      </c>
      <c r="F2610">
        <v>0</v>
      </c>
      <c r="G2610">
        <v>1</v>
      </c>
      <c r="H2610">
        <v>550</v>
      </c>
      <c r="I2610">
        <f t="shared" si="379"/>
        <v>2601</v>
      </c>
      <c r="J2610" s="6">
        <f t="array" aca="1" ref="J2610:N2610" ca="1">TRANSPOSE(ols(OFFSET($C$2:$C$10,I2610,0),OFFSET($D$2:$H$10,I2610,0)))</f>
        <v>133.45238095237937</v>
      </c>
      <c r="K2610" s="6">
        <f ca="1"/>
        <v>-6.4285714285711038</v>
      </c>
      <c r="L2610" s="6">
        <f ca="1"/>
        <v>-9.0476190476178999</v>
      </c>
      <c r="M2610" s="6">
        <f ca="1"/>
        <v>4.5238095238095184</v>
      </c>
      <c r="N2610" s="6">
        <f ca="1"/>
        <v>-0.22619047619047628</v>
      </c>
      <c r="O2610" s="6">
        <f t="shared" ca="1" si="372"/>
        <v>7.1428571428558314</v>
      </c>
      <c r="P2610" t="str">
        <f t="shared" si="380"/>
        <v>NA</v>
      </c>
      <c r="Q2610" s="10">
        <f t="shared" ca="1" si="373"/>
        <v>49.76190476190429</v>
      </c>
      <c r="R2610" s="10">
        <f t="shared" ca="1" si="374"/>
        <v>131.54761904761779</v>
      </c>
      <c r="S2610" s="10">
        <f t="shared" ca="1" si="375"/>
        <v>-81.785714285713496</v>
      </c>
      <c r="T2610" s="10">
        <f t="shared" ca="1" si="376"/>
        <v>361.5789473684174</v>
      </c>
      <c r="U2610" s="10">
        <f t="shared" ca="1" si="377"/>
        <v>361.5789473684174</v>
      </c>
      <c r="V2610">
        <f t="shared" si="378"/>
        <v>5</v>
      </c>
    </row>
    <row r="2611" spans="1:22" x14ac:dyDescent="0.25">
      <c r="A2611">
        <v>290</v>
      </c>
      <c r="B2611">
        <v>9</v>
      </c>
      <c r="C2611">
        <v>0</v>
      </c>
      <c r="D2611">
        <v>1</v>
      </c>
      <c r="E2611">
        <v>0</v>
      </c>
      <c r="F2611">
        <v>0</v>
      </c>
      <c r="G2611">
        <v>1</v>
      </c>
      <c r="H2611">
        <v>650</v>
      </c>
      <c r="I2611">
        <f t="shared" si="379"/>
        <v>2601</v>
      </c>
      <c r="J2611" s="6">
        <f t="array" aca="1" ref="J2611:N2611" ca="1">TRANSPOSE(ols(OFFSET($C$2:$C$10,I2611,0),OFFSET($D$2:$H$10,I2611,0)))</f>
        <v>133.45238095237937</v>
      </c>
      <c r="K2611" s="6">
        <f ca="1"/>
        <v>-6.4285714285711038</v>
      </c>
      <c r="L2611" s="6">
        <f ca="1"/>
        <v>-9.0476190476178999</v>
      </c>
      <c r="M2611" s="6">
        <f ca="1"/>
        <v>4.5238095238095184</v>
      </c>
      <c r="N2611" s="6">
        <f ca="1"/>
        <v>-0.22619047619047628</v>
      </c>
      <c r="O2611" s="6">
        <f t="shared" ca="1" si="372"/>
        <v>-9.0476190476206853</v>
      </c>
      <c r="P2611" t="str">
        <f t="shared" si="380"/>
        <v>NA</v>
      </c>
      <c r="Q2611" s="10">
        <f t="shared" ca="1" si="373"/>
        <v>49.76190476190429</v>
      </c>
      <c r="R2611" s="10">
        <f t="shared" ca="1" si="374"/>
        <v>137.97619047618889</v>
      </c>
      <c r="S2611" s="10">
        <f t="shared" ca="1" si="375"/>
        <v>-88.2142857142846</v>
      </c>
      <c r="T2611" s="10">
        <f t="shared" ca="1" si="376"/>
        <v>389.99999999999494</v>
      </c>
      <c r="U2611" s="10">
        <f t="shared" ca="1" si="377"/>
        <v>389.99999999999494</v>
      </c>
      <c r="V2611">
        <f t="shared" si="378"/>
        <v>4</v>
      </c>
    </row>
    <row r="2612" spans="1:22" x14ac:dyDescent="0.25">
      <c r="A2612">
        <v>291</v>
      </c>
      <c r="B2612">
        <v>1</v>
      </c>
      <c r="C2612">
        <v>5</v>
      </c>
      <c r="D2612">
        <v>1</v>
      </c>
      <c r="E2612">
        <v>0</v>
      </c>
      <c r="F2612">
        <v>1</v>
      </c>
      <c r="G2612">
        <v>0</v>
      </c>
      <c r="H2612">
        <v>250</v>
      </c>
      <c r="I2612">
        <f t="shared" si="379"/>
        <v>2610</v>
      </c>
      <c r="J2612" s="6">
        <f t="array" aca="1" ref="J2612:N2612" ca="1">TRANSPOSE(ols(OFFSET($C$2:$C$10,I2612,0),OFFSET($D$2:$H$10,I2612,0)))</f>
        <v>-0.59523809523807358</v>
      </c>
      <c r="K2612" s="6">
        <f ca="1"/>
        <v>-0.35714285714287541</v>
      </c>
      <c r="L2612" s="6">
        <f ca="1"/>
        <v>11.90476190476187</v>
      </c>
      <c r="M2612" s="6">
        <f ca="1"/>
        <v>4.0476190476190723</v>
      </c>
      <c r="N2612" s="6">
        <f ca="1"/>
        <v>-2.3809523809524835E-3</v>
      </c>
      <c r="O2612" s="6">
        <f t="shared" ca="1" si="372"/>
        <v>10.714285714285674</v>
      </c>
      <c r="P2612" t="str">
        <f t="shared" si="380"/>
        <v>NA</v>
      </c>
      <c r="Q2612" s="10">
        <f t="shared" ca="1" si="373"/>
        <v>14.523809523809499</v>
      </c>
      <c r="R2612" s="10">
        <f t="shared" ca="1" si="374"/>
        <v>11.309523809523796</v>
      </c>
      <c r="S2612" s="10">
        <f t="shared" ca="1" si="375"/>
        <v>3.2142857142857029</v>
      </c>
      <c r="T2612" s="10">
        <f t="shared" ca="1" si="376"/>
        <v>-1349.999999999937</v>
      </c>
      <c r="U2612" s="10" t="str">
        <f t="shared" ca="1" si="377"/>
        <v>OR</v>
      </c>
      <c r="V2612">
        <f t="shared" si="378"/>
        <v>3</v>
      </c>
    </row>
    <row r="2613" spans="1:22" x14ac:dyDescent="0.25">
      <c r="A2613">
        <v>291</v>
      </c>
      <c r="B2613">
        <v>2</v>
      </c>
      <c r="C2613">
        <v>0</v>
      </c>
      <c r="D2613">
        <v>1</v>
      </c>
      <c r="E2613">
        <v>1</v>
      </c>
      <c r="F2613">
        <v>0</v>
      </c>
      <c r="G2613">
        <v>0</v>
      </c>
      <c r="H2613">
        <v>350</v>
      </c>
      <c r="I2613">
        <f t="shared" si="379"/>
        <v>2610</v>
      </c>
      <c r="J2613" s="6">
        <f t="array" aca="1" ref="J2613:N2613" ca="1">TRANSPOSE(ols(OFFSET($C$2:$C$10,I2613,0),OFFSET($D$2:$H$10,I2613,0)))</f>
        <v>-0.59523809523807358</v>
      </c>
      <c r="K2613" s="6">
        <f ca="1"/>
        <v>-0.35714285714287541</v>
      </c>
      <c r="L2613" s="6">
        <f ca="1"/>
        <v>11.90476190476187</v>
      </c>
      <c r="M2613" s="6">
        <f ca="1"/>
        <v>4.0476190476190723</v>
      </c>
      <c r="N2613" s="6">
        <f ca="1"/>
        <v>-2.3809523809524835E-3</v>
      </c>
      <c r="O2613" s="6">
        <f t="shared" ca="1" si="372"/>
        <v>-1.7857142857143182</v>
      </c>
      <c r="P2613" t="str">
        <f t="shared" si="380"/>
        <v>NA</v>
      </c>
      <c r="Q2613" s="10">
        <f t="shared" ca="1" si="373"/>
        <v>14.523809523809499</v>
      </c>
      <c r="R2613" s="10">
        <f t="shared" ca="1" si="374"/>
        <v>-0.952380952380949</v>
      </c>
      <c r="S2613" s="10">
        <f t="shared" ca="1" si="375"/>
        <v>15.476190476190448</v>
      </c>
      <c r="T2613" s="10">
        <f t="shared" ca="1" si="376"/>
        <v>-6499.9999999997081</v>
      </c>
      <c r="U2613" s="10" t="str">
        <f t="shared" ca="1" si="377"/>
        <v>OR</v>
      </c>
      <c r="V2613">
        <f t="shared" si="378"/>
        <v>2</v>
      </c>
    </row>
    <row r="2614" spans="1:22" x14ac:dyDescent="0.25">
      <c r="A2614">
        <v>291</v>
      </c>
      <c r="B2614">
        <v>3</v>
      </c>
      <c r="C2614">
        <v>0</v>
      </c>
      <c r="D2614">
        <v>1</v>
      </c>
      <c r="E2614">
        <v>1</v>
      </c>
      <c r="F2614">
        <v>0</v>
      </c>
      <c r="G2614">
        <v>0</v>
      </c>
      <c r="H2614">
        <v>450</v>
      </c>
      <c r="I2614">
        <f t="shared" si="379"/>
        <v>2610</v>
      </c>
      <c r="J2614" s="6">
        <f t="array" aca="1" ref="J2614:N2614" ca="1">TRANSPOSE(ols(OFFSET($C$2:$C$10,I2614,0),OFFSET($D$2:$H$10,I2614,0)))</f>
        <v>-0.59523809523807358</v>
      </c>
      <c r="K2614" s="6">
        <f ca="1"/>
        <v>-0.35714285714287541</v>
      </c>
      <c r="L2614" s="6">
        <f ca="1"/>
        <v>11.90476190476187</v>
      </c>
      <c r="M2614" s="6">
        <f ca="1"/>
        <v>4.0476190476190723</v>
      </c>
      <c r="N2614" s="6">
        <f ca="1"/>
        <v>-2.3809523809524835E-3</v>
      </c>
      <c r="O2614" s="6">
        <f t="shared" ca="1" si="372"/>
        <v>-2.0238095238095664</v>
      </c>
      <c r="P2614" t="str">
        <f t="shared" si="380"/>
        <v>NA</v>
      </c>
      <c r="Q2614" s="10">
        <f t="shared" ca="1" si="373"/>
        <v>14.523809523809499</v>
      </c>
      <c r="R2614" s="10">
        <f t="shared" ca="1" si="374"/>
        <v>-0.95238095238094878</v>
      </c>
      <c r="S2614" s="10">
        <f t="shared" ca="1" si="375"/>
        <v>15.476190476190448</v>
      </c>
      <c r="T2614" s="10">
        <f t="shared" ca="1" si="376"/>
        <v>-6499.9999999997081</v>
      </c>
      <c r="U2614" s="10" t="str">
        <f t="shared" ca="1" si="377"/>
        <v>OR</v>
      </c>
      <c r="V2614">
        <f t="shared" si="378"/>
        <v>2</v>
      </c>
    </row>
    <row r="2615" spans="1:22" x14ac:dyDescent="0.25">
      <c r="A2615">
        <v>291</v>
      </c>
      <c r="B2615">
        <v>4</v>
      </c>
      <c r="C2615">
        <v>0</v>
      </c>
      <c r="D2615">
        <v>1</v>
      </c>
      <c r="E2615">
        <v>0</v>
      </c>
      <c r="F2615">
        <v>0</v>
      </c>
      <c r="G2615">
        <v>0</v>
      </c>
      <c r="H2615">
        <v>550</v>
      </c>
      <c r="I2615">
        <f t="shared" si="379"/>
        <v>2610</v>
      </c>
      <c r="J2615" s="6">
        <f t="array" aca="1" ref="J2615:N2615" ca="1">TRANSPOSE(ols(OFFSET($C$2:$C$10,I2615,0),OFFSET($D$2:$H$10,I2615,0)))</f>
        <v>-0.59523809523807358</v>
      </c>
      <c r="K2615" s="6">
        <f ca="1"/>
        <v>-0.35714285714287541</v>
      </c>
      <c r="L2615" s="6">
        <f ca="1"/>
        <v>11.90476190476187</v>
      </c>
      <c r="M2615" s="6">
        <f ca="1"/>
        <v>4.0476190476190723</v>
      </c>
      <c r="N2615" s="6">
        <f ca="1"/>
        <v>-2.3809523809524835E-3</v>
      </c>
      <c r="O2615" s="6">
        <f t="shared" ca="1" si="372"/>
        <v>-1.9047619047619395</v>
      </c>
      <c r="P2615" t="str">
        <f t="shared" si="380"/>
        <v>NA</v>
      </c>
      <c r="Q2615" s="10">
        <f t="shared" ca="1" si="373"/>
        <v>14.523809523809499</v>
      </c>
      <c r="R2615" s="10">
        <f t="shared" ca="1" si="374"/>
        <v>-0.59523809523807358</v>
      </c>
      <c r="S2615" s="10">
        <f t="shared" ca="1" si="375"/>
        <v>15.119047619047572</v>
      </c>
      <c r="T2615" s="10">
        <f t="shared" ca="1" si="376"/>
        <v>-6349.9999999997071</v>
      </c>
      <c r="U2615" s="10" t="str">
        <f t="shared" ca="1" si="377"/>
        <v>OR</v>
      </c>
      <c r="V2615">
        <f t="shared" si="378"/>
        <v>1</v>
      </c>
    </row>
    <row r="2616" spans="1:22" x14ac:dyDescent="0.25">
      <c r="A2616">
        <v>291</v>
      </c>
      <c r="B2616">
        <v>5</v>
      </c>
      <c r="C2616">
        <v>15</v>
      </c>
      <c r="D2616">
        <v>1</v>
      </c>
      <c r="E2616">
        <v>0</v>
      </c>
      <c r="F2616">
        <v>1</v>
      </c>
      <c r="G2616">
        <v>1</v>
      </c>
      <c r="H2616">
        <v>250</v>
      </c>
      <c r="I2616">
        <f t="shared" si="379"/>
        <v>2610</v>
      </c>
      <c r="J2616" s="6">
        <f t="array" aca="1" ref="J2616:N2616" ca="1">TRANSPOSE(ols(OFFSET($C$2:$C$10,I2616,0),OFFSET($D$2:$H$10,I2616,0)))</f>
        <v>-0.59523809523807358</v>
      </c>
      <c r="K2616" s="6">
        <f ca="1"/>
        <v>-0.35714285714287541</v>
      </c>
      <c r="L2616" s="6">
        <f ca="1"/>
        <v>11.90476190476187</v>
      </c>
      <c r="M2616" s="6">
        <f ca="1"/>
        <v>4.0476190476190723</v>
      </c>
      <c r="N2616" s="6">
        <f ca="1"/>
        <v>-2.3809523809524835E-3</v>
      </c>
      <c r="O2616" s="6">
        <f t="shared" ca="1" si="372"/>
        <v>14.761904761904747</v>
      </c>
      <c r="P2616" t="str">
        <f t="shared" si="380"/>
        <v>NA</v>
      </c>
      <c r="Q2616" s="10">
        <f t="shared" ca="1" si="373"/>
        <v>14.523809523809499</v>
      </c>
      <c r="R2616" s="10">
        <f t="shared" ca="1" si="374"/>
        <v>15.357142857142868</v>
      </c>
      <c r="S2616" s="10">
        <f t="shared" ca="1" si="375"/>
        <v>-0.83333333333336945</v>
      </c>
      <c r="T2616" s="10">
        <f t="shared" ca="1" si="376"/>
        <v>350.00000000000011</v>
      </c>
      <c r="U2616" s="10">
        <f t="shared" ca="1" si="377"/>
        <v>350.00000000000011</v>
      </c>
      <c r="V2616">
        <f t="shared" si="378"/>
        <v>6</v>
      </c>
    </row>
    <row r="2617" spans="1:22" x14ac:dyDescent="0.25">
      <c r="A2617">
        <v>291</v>
      </c>
      <c r="B2617">
        <v>6</v>
      </c>
      <c r="C2617">
        <v>20</v>
      </c>
      <c r="D2617">
        <v>1</v>
      </c>
      <c r="E2617">
        <v>0</v>
      </c>
      <c r="F2617">
        <v>1</v>
      </c>
      <c r="G2617">
        <v>1</v>
      </c>
      <c r="H2617">
        <v>350</v>
      </c>
      <c r="I2617">
        <f t="shared" si="379"/>
        <v>2610</v>
      </c>
      <c r="J2617" s="6">
        <f t="array" aca="1" ref="J2617:N2617" ca="1">TRANSPOSE(ols(OFFSET($C$2:$C$10,I2617,0),OFFSET($D$2:$H$10,I2617,0)))</f>
        <v>-0.59523809523807358</v>
      </c>
      <c r="K2617" s="6">
        <f ca="1"/>
        <v>-0.35714285714287541</v>
      </c>
      <c r="L2617" s="6">
        <f ca="1"/>
        <v>11.90476190476187</v>
      </c>
      <c r="M2617" s="6">
        <f ca="1"/>
        <v>4.0476190476190723</v>
      </c>
      <c r="N2617" s="6">
        <f ca="1"/>
        <v>-2.3809523809524835E-3</v>
      </c>
      <c r="O2617" s="6">
        <f t="shared" ca="1" si="372"/>
        <v>14.523809523809499</v>
      </c>
      <c r="P2617">
        <f t="shared" ca="1" si="380"/>
        <v>14.523809523809499</v>
      </c>
      <c r="Q2617" s="10">
        <f t="shared" ca="1" si="373"/>
        <v>14.523809523809499</v>
      </c>
      <c r="R2617" s="10">
        <f t="shared" ca="1" si="374"/>
        <v>15.357142857142868</v>
      </c>
      <c r="S2617" s="10">
        <f t="shared" ca="1" si="375"/>
        <v>-0.83333333333336945</v>
      </c>
      <c r="T2617" s="10">
        <f t="shared" ca="1" si="376"/>
        <v>350.00000000000011</v>
      </c>
      <c r="U2617" s="10">
        <f t="shared" ca="1" si="377"/>
        <v>350.00000000000011</v>
      </c>
      <c r="V2617">
        <f t="shared" si="378"/>
        <v>6</v>
      </c>
    </row>
    <row r="2618" spans="1:22" x14ac:dyDescent="0.25">
      <c r="A2618">
        <v>291</v>
      </c>
      <c r="B2618">
        <v>7</v>
      </c>
      <c r="C2618">
        <v>0</v>
      </c>
      <c r="D2618">
        <v>1</v>
      </c>
      <c r="E2618">
        <v>1</v>
      </c>
      <c r="F2618">
        <v>0</v>
      </c>
      <c r="G2618">
        <v>1</v>
      </c>
      <c r="H2618">
        <v>450</v>
      </c>
      <c r="I2618">
        <f t="shared" si="379"/>
        <v>2610</v>
      </c>
      <c r="J2618" s="6">
        <f t="array" aca="1" ref="J2618:N2618" ca="1">TRANSPOSE(ols(OFFSET($C$2:$C$10,I2618,0),OFFSET($D$2:$H$10,I2618,0)))</f>
        <v>-0.59523809523807358</v>
      </c>
      <c r="K2618" s="6">
        <f ca="1"/>
        <v>-0.35714285714287541</v>
      </c>
      <c r="L2618" s="6">
        <f ca="1"/>
        <v>11.90476190476187</v>
      </c>
      <c r="M2618" s="6">
        <f ca="1"/>
        <v>4.0476190476190723</v>
      </c>
      <c r="N2618" s="6">
        <f ca="1"/>
        <v>-2.3809523809524835E-3</v>
      </c>
      <c r="O2618" s="6">
        <f t="shared" ca="1" si="372"/>
        <v>2.023809523809506</v>
      </c>
      <c r="P2618" t="str">
        <f t="shared" si="380"/>
        <v>NA</v>
      </c>
      <c r="Q2618" s="10">
        <f t="shared" ca="1" si="373"/>
        <v>14.523809523809499</v>
      </c>
      <c r="R2618" s="10">
        <f t="shared" ca="1" si="374"/>
        <v>3.0952380952381233</v>
      </c>
      <c r="S2618" s="10">
        <f t="shared" ca="1" si="375"/>
        <v>11.428571428571376</v>
      </c>
      <c r="T2618" s="10">
        <f t="shared" ca="1" si="376"/>
        <v>-4799.9999999997708</v>
      </c>
      <c r="U2618" s="10" t="str">
        <f t="shared" ca="1" si="377"/>
        <v>OR</v>
      </c>
      <c r="V2618">
        <f t="shared" si="378"/>
        <v>5</v>
      </c>
    </row>
    <row r="2619" spans="1:22" x14ac:dyDescent="0.25">
      <c r="A2619">
        <v>291</v>
      </c>
      <c r="B2619">
        <v>8</v>
      </c>
      <c r="C2619">
        <v>0</v>
      </c>
      <c r="D2619">
        <v>1</v>
      </c>
      <c r="E2619">
        <v>1</v>
      </c>
      <c r="F2619">
        <v>0</v>
      </c>
      <c r="G2619">
        <v>1</v>
      </c>
      <c r="H2619">
        <v>550</v>
      </c>
      <c r="I2619">
        <f t="shared" si="379"/>
        <v>2610</v>
      </c>
      <c r="J2619" s="6">
        <f t="array" aca="1" ref="J2619:N2619" ca="1">TRANSPOSE(ols(OFFSET($C$2:$C$10,I2619,0),OFFSET($D$2:$H$10,I2619,0)))</f>
        <v>-0.59523809523807358</v>
      </c>
      <c r="K2619" s="6">
        <f ca="1"/>
        <v>-0.35714285714287541</v>
      </c>
      <c r="L2619" s="6">
        <f ca="1"/>
        <v>11.90476190476187</v>
      </c>
      <c r="M2619" s="6">
        <f ca="1"/>
        <v>4.0476190476190723</v>
      </c>
      <c r="N2619" s="6">
        <f ca="1"/>
        <v>-2.3809523809524835E-3</v>
      </c>
      <c r="O2619" s="6">
        <f t="shared" ca="1" si="372"/>
        <v>1.7857142857142574</v>
      </c>
      <c r="P2619" t="str">
        <f t="shared" si="380"/>
        <v>NA</v>
      </c>
      <c r="Q2619" s="10">
        <f t="shared" ca="1" si="373"/>
        <v>14.523809523809499</v>
      </c>
      <c r="R2619" s="10">
        <f t="shared" ca="1" si="374"/>
        <v>3.0952380952381233</v>
      </c>
      <c r="S2619" s="10">
        <f t="shared" ca="1" si="375"/>
        <v>11.428571428571376</v>
      </c>
      <c r="T2619" s="10">
        <f t="shared" ca="1" si="376"/>
        <v>-4799.9999999997708</v>
      </c>
      <c r="U2619" s="10" t="str">
        <f t="shared" ca="1" si="377"/>
        <v>OR</v>
      </c>
      <c r="V2619">
        <f t="shared" si="378"/>
        <v>5</v>
      </c>
    </row>
    <row r="2620" spans="1:22" x14ac:dyDescent="0.25">
      <c r="A2620">
        <v>291</v>
      </c>
      <c r="B2620">
        <v>9</v>
      </c>
      <c r="C2620">
        <v>0</v>
      </c>
      <c r="D2620">
        <v>1</v>
      </c>
      <c r="E2620">
        <v>0</v>
      </c>
      <c r="F2620">
        <v>0</v>
      </c>
      <c r="G2620">
        <v>1</v>
      </c>
      <c r="H2620">
        <v>650</v>
      </c>
      <c r="I2620">
        <f t="shared" si="379"/>
        <v>2610</v>
      </c>
      <c r="J2620" s="6">
        <f t="array" aca="1" ref="J2620:N2620" ca="1">TRANSPOSE(ols(OFFSET($C$2:$C$10,I2620,0),OFFSET($D$2:$H$10,I2620,0)))</f>
        <v>-0.59523809523807358</v>
      </c>
      <c r="K2620" s="6">
        <f ca="1"/>
        <v>-0.35714285714287541</v>
      </c>
      <c r="L2620" s="6">
        <f ca="1"/>
        <v>11.90476190476187</v>
      </c>
      <c r="M2620" s="6">
        <f ca="1"/>
        <v>4.0476190476190723</v>
      </c>
      <c r="N2620" s="6">
        <f ca="1"/>
        <v>-2.3809523809524835E-3</v>
      </c>
      <c r="O2620" s="6">
        <f t="shared" ca="1" si="372"/>
        <v>1.9047619047618845</v>
      </c>
      <c r="P2620" t="str">
        <f t="shared" si="380"/>
        <v>NA</v>
      </c>
      <c r="Q2620" s="10">
        <f t="shared" ca="1" si="373"/>
        <v>14.523809523809499</v>
      </c>
      <c r="R2620" s="10">
        <f t="shared" ca="1" si="374"/>
        <v>3.4523809523809987</v>
      </c>
      <c r="S2620" s="10">
        <f t="shared" ca="1" si="375"/>
        <v>11.0714285714285</v>
      </c>
      <c r="T2620" s="10">
        <f t="shared" ca="1" si="376"/>
        <v>-4649.9999999997699</v>
      </c>
      <c r="U2620" s="10" t="str">
        <f t="shared" ca="1" si="377"/>
        <v>OR</v>
      </c>
      <c r="V2620">
        <f t="shared" si="378"/>
        <v>4</v>
      </c>
    </row>
    <row r="2621" spans="1:22" x14ac:dyDescent="0.25">
      <c r="A2621">
        <v>292</v>
      </c>
      <c r="B2621">
        <v>1</v>
      </c>
      <c r="C2621">
        <v>5</v>
      </c>
      <c r="D2621">
        <v>1</v>
      </c>
      <c r="E2621">
        <v>0</v>
      </c>
      <c r="F2621">
        <v>1</v>
      </c>
      <c r="G2621">
        <v>0</v>
      </c>
      <c r="H2621">
        <v>250</v>
      </c>
      <c r="I2621">
        <f t="shared" si="379"/>
        <v>2619</v>
      </c>
      <c r="J2621" s="6">
        <f t="array" aca="1" ref="J2621:N2621" ca="1">TRANSPOSE(ols(OFFSET($C$2:$C$10,I2621,0),OFFSET($D$2:$H$10,I2621,0)))</f>
        <v>1.4583333333333712</v>
      </c>
      <c r="K2621" s="6">
        <f ca="1"/>
        <v>1.25</v>
      </c>
      <c r="L2621" s="6">
        <f ca="1"/>
        <v>3.3333333333333428</v>
      </c>
      <c r="M2621" s="6">
        <f ca="1"/>
        <v>2.0833333333333428</v>
      </c>
      <c r="N2621" s="6">
        <f ca="1"/>
        <v>-4.1666666666667074E-3</v>
      </c>
      <c r="O2621" s="6">
        <f t="shared" ca="1" si="372"/>
        <v>3.7500000000000373</v>
      </c>
      <c r="P2621" t="str">
        <f t="shared" si="380"/>
        <v>NA</v>
      </c>
      <c r="Q2621" s="10">
        <f t="shared" ca="1" si="373"/>
        <v>5.4166666666667087</v>
      </c>
      <c r="R2621" s="10">
        <f t="shared" ca="1" si="374"/>
        <v>4.791666666666714</v>
      </c>
      <c r="S2621" s="10">
        <f t="shared" ca="1" si="375"/>
        <v>0.62499999999999467</v>
      </c>
      <c r="T2621" s="10">
        <f t="shared" ca="1" si="376"/>
        <v>-149.99999999999724</v>
      </c>
      <c r="U2621" s="10" t="str">
        <f t="shared" ca="1" si="377"/>
        <v>OR</v>
      </c>
      <c r="V2621">
        <f t="shared" si="378"/>
        <v>3</v>
      </c>
    </row>
    <row r="2622" spans="1:22" x14ac:dyDescent="0.25">
      <c r="A2622">
        <v>292</v>
      </c>
      <c r="B2622">
        <v>2</v>
      </c>
      <c r="C2622">
        <v>0</v>
      </c>
      <c r="D2622">
        <v>1</v>
      </c>
      <c r="E2622">
        <v>1</v>
      </c>
      <c r="F2622">
        <v>0</v>
      </c>
      <c r="G2622">
        <v>0</v>
      </c>
      <c r="H2622">
        <v>350</v>
      </c>
      <c r="I2622">
        <f t="shared" si="379"/>
        <v>2619</v>
      </c>
      <c r="J2622" s="6">
        <f t="array" aca="1" ref="J2622:N2622" ca="1">TRANSPOSE(ols(OFFSET($C$2:$C$10,I2622,0),OFFSET($D$2:$H$10,I2622,0)))</f>
        <v>1.4583333333333712</v>
      </c>
      <c r="K2622" s="6">
        <f ca="1"/>
        <v>1.25</v>
      </c>
      <c r="L2622" s="6">
        <f ca="1"/>
        <v>3.3333333333333428</v>
      </c>
      <c r="M2622" s="6">
        <f ca="1"/>
        <v>2.0833333333333428</v>
      </c>
      <c r="N2622" s="6">
        <f ca="1"/>
        <v>-4.1666666666667074E-3</v>
      </c>
      <c r="O2622" s="6">
        <f t="shared" ca="1" si="372"/>
        <v>1.2500000000000235</v>
      </c>
      <c r="P2622" t="str">
        <f t="shared" si="380"/>
        <v>NA</v>
      </c>
      <c r="Q2622" s="10">
        <f t="shared" ca="1" si="373"/>
        <v>5.4166666666667087</v>
      </c>
      <c r="R2622" s="10">
        <f t="shared" ca="1" si="374"/>
        <v>2.7083333333333712</v>
      </c>
      <c r="S2622" s="10">
        <f t="shared" ca="1" si="375"/>
        <v>2.7083333333333375</v>
      </c>
      <c r="T2622" s="10">
        <f t="shared" ca="1" si="376"/>
        <v>-649.99999999999466</v>
      </c>
      <c r="U2622" s="10" t="str">
        <f t="shared" ca="1" si="377"/>
        <v>OR</v>
      </c>
      <c r="V2622">
        <f t="shared" si="378"/>
        <v>2</v>
      </c>
    </row>
    <row r="2623" spans="1:22" x14ac:dyDescent="0.25">
      <c r="A2623">
        <v>292</v>
      </c>
      <c r="B2623">
        <v>3</v>
      </c>
      <c r="C2623">
        <v>0</v>
      </c>
      <c r="D2623">
        <v>1</v>
      </c>
      <c r="E2623">
        <v>1</v>
      </c>
      <c r="F2623">
        <v>0</v>
      </c>
      <c r="G2623">
        <v>0</v>
      </c>
      <c r="H2623">
        <v>450</v>
      </c>
      <c r="I2623">
        <f t="shared" si="379"/>
        <v>2619</v>
      </c>
      <c r="J2623" s="6">
        <f t="array" aca="1" ref="J2623:N2623" ca="1">TRANSPOSE(ols(OFFSET($C$2:$C$10,I2623,0),OFFSET($D$2:$H$10,I2623,0)))</f>
        <v>1.4583333333333712</v>
      </c>
      <c r="K2623" s="6">
        <f ca="1"/>
        <v>1.25</v>
      </c>
      <c r="L2623" s="6">
        <f ca="1"/>
        <v>3.3333333333333428</v>
      </c>
      <c r="M2623" s="6">
        <f ca="1"/>
        <v>2.0833333333333428</v>
      </c>
      <c r="N2623" s="6">
        <f ca="1"/>
        <v>-4.1666666666667074E-3</v>
      </c>
      <c r="O2623" s="6">
        <f t="shared" ca="1" si="372"/>
        <v>0.83333333333335302</v>
      </c>
      <c r="P2623" t="str">
        <f t="shared" si="380"/>
        <v>NA</v>
      </c>
      <c r="Q2623" s="10">
        <f t="shared" ca="1" si="373"/>
        <v>5.4166666666667087</v>
      </c>
      <c r="R2623" s="10">
        <f t="shared" ca="1" si="374"/>
        <v>2.7083333333333712</v>
      </c>
      <c r="S2623" s="10">
        <f t="shared" ca="1" si="375"/>
        <v>2.7083333333333375</v>
      </c>
      <c r="T2623" s="10">
        <f t="shared" ca="1" si="376"/>
        <v>-649.99999999999466</v>
      </c>
      <c r="U2623" s="10" t="str">
        <f t="shared" ca="1" si="377"/>
        <v>OR</v>
      </c>
      <c r="V2623">
        <f t="shared" si="378"/>
        <v>2</v>
      </c>
    </row>
    <row r="2624" spans="1:22" x14ac:dyDescent="0.25">
      <c r="A2624">
        <v>292</v>
      </c>
      <c r="B2624">
        <v>4</v>
      </c>
      <c r="C2624">
        <v>0</v>
      </c>
      <c r="D2624">
        <v>1</v>
      </c>
      <c r="E2624">
        <v>0</v>
      </c>
      <c r="F2624">
        <v>0</v>
      </c>
      <c r="G2624">
        <v>0</v>
      </c>
      <c r="H2624">
        <v>550</v>
      </c>
      <c r="I2624">
        <f t="shared" si="379"/>
        <v>2619</v>
      </c>
      <c r="J2624" s="6">
        <f t="array" aca="1" ref="J2624:N2624" ca="1">TRANSPOSE(ols(OFFSET($C$2:$C$10,I2624,0),OFFSET($D$2:$H$10,I2624,0)))</f>
        <v>1.4583333333333712</v>
      </c>
      <c r="K2624" s="6">
        <f ca="1"/>
        <v>1.25</v>
      </c>
      <c r="L2624" s="6">
        <f ca="1"/>
        <v>3.3333333333333428</v>
      </c>
      <c r="M2624" s="6">
        <f ca="1"/>
        <v>2.0833333333333428</v>
      </c>
      <c r="N2624" s="6">
        <f ca="1"/>
        <v>-4.1666666666667074E-3</v>
      </c>
      <c r="O2624" s="6">
        <f t="shared" ca="1" si="372"/>
        <v>-0.83333333333331794</v>
      </c>
      <c r="P2624" t="str">
        <f t="shared" si="380"/>
        <v>NA</v>
      </c>
      <c r="Q2624" s="10">
        <f t="shared" ca="1" si="373"/>
        <v>5.4166666666667087</v>
      </c>
      <c r="R2624" s="10">
        <f t="shared" ca="1" si="374"/>
        <v>1.4583333333333712</v>
      </c>
      <c r="S2624" s="10">
        <f t="shared" ca="1" si="375"/>
        <v>3.9583333333333375</v>
      </c>
      <c r="T2624" s="10">
        <f t="shared" ca="1" si="376"/>
        <v>-949.9999999999917</v>
      </c>
      <c r="U2624" s="10" t="str">
        <f t="shared" ca="1" si="377"/>
        <v>OR</v>
      </c>
      <c r="V2624">
        <f t="shared" si="378"/>
        <v>1</v>
      </c>
    </row>
    <row r="2625" spans="1:22" x14ac:dyDescent="0.25">
      <c r="A2625">
        <v>292</v>
      </c>
      <c r="B2625">
        <v>5</v>
      </c>
      <c r="C2625">
        <v>10</v>
      </c>
      <c r="D2625">
        <v>1</v>
      </c>
      <c r="E2625">
        <v>0</v>
      </c>
      <c r="F2625">
        <v>1</v>
      </c>
      <c r="G2625">
        <v>1</v>
      </c>
      <c r="H2625">
        <v>250</v>
      </c>
      <c r="I2625">
        <f t="shared" si="379"/>
        <v>2619</v>
      </c>
      <c r="J2625" s="6">
        <f t="array" aca="1" ref="J2625:N2625" ca="1">TRANSPOSE(ols(OFFSET($C$2:$C$10,I2625,0),OFFSET($D$2:$H$10,I2625,0)))</f>
        <v>1.4583333333333712</v>
      </c>
      <c r="K2625" s="6">
        <f ca="1"/>
        <v>1.25</v>
      </c>
      <c r="L2625" s="6">
        <f ca="1"/>
        <v>3.3333333333333428</v>
      </c>
      <c r="M2625" s="6">
        <f ca="1"/>
        <v>2.0833333333333428</v>
      </c>
      <c r="N2625" s="6">
        <f ca="1"/>
        <v>-4.1666666666667074E-3</v>
      </c>
      <c r="O2625" s="6">
        <f t="shared" ca="1" si="372"/>
        <v>5.8333333333333801</v>
      </c>
      <c r="P2625" t="str">
        <f t="shared" si="380"/>
        <v>NA</v>
      </c>
      <c r="Q2625" s="10">
        <f t="shared" ca="1" si="373"/>
        <v>5.4166666666667087</v>
      </c>
      <c r="R2625" s="10">
        <f t="shared" ca="1" si="374"/>
        <v>6.8750000000000568</v>
      </c>
      <c r="S2625" s="10">
        <f t="shared" ca="1" si="375"/>
        <v>-1.4583333333333481</v>
      </c>
      <c r="T2625" s="10">
        <f t="shared" ca="1" si="376"/>
        <v>350.00000000000011</v>
      </c>
      <c r="U2625" s="10">
        <f t="shared" ca="1" si="377"/>
        <v>350.00000000000011</v>
      </c>
      <c r="V2625">
        <f t="shared" si="378"/>
        <v>6</v>
      </c>
    </row>
    <row r="2626" spans="1:22" x14ac:dyDescent="0.25">
      <c r="A2626">
        <v>292</v>
      </c>
      <c r="B2626">
        <v>6</v>
      </c>
      <c r="C2626">
        <v>0</v>
      </c>
      <c r="D2626">
        <v>1</v>
      </c>
      <c r="E2626">
        <v>0</v>
      </c>
      <c r="F2626">
        <v>1</v>
      </c>
      <c r="G2626">
        <v>1</v>
      </c>
      <c r="H2626">
        <v>350</v>
      </c>
      <c r="I2626">
        <f t="shared" si="379"/>
        <v>2619</v>
      </c>
      <c r="J2626" s="6">
        <f t="array" aca="1" ref="J2626:N2626" ca="1">TRANSPOSE(ols(OFFSET($C$2:$C$10,I2626,0),OFFSET($D$2:$H$10,I2626,0)))</f>
        <v>1.4583333333333712</v>
      </c>
      <c r="K2626" s="6">
        <f ca="1"/>
        <v>1.25</v>
      </c>
      <c r="L2626" s="6">
        <f ca="1"/>
        <v>3.3333333333333428</v>
      </c>
      <c r="M2626" s="6">
        <f ca="1"/>
        <v>2.0833333333333428</v>
      </c>
      <c r="N2626" s="6">
        <f ca="1"/>
        <v>-4.1666666666667074E-3</v>
      </c>
      <c r="O2626" s="6">
        <f t="shared" ca="1" si="372"/>
        <v>5.4166666666667087</v>
      </c>
      <c r="P2626">
        <f t="shared" ca="1" si="380"/>
        <v>5.4166666666667087</v>
      </c>
      <c r="Q2626" s="10">
        <f t="shared" ca="1" si="373"/>
        <v>5.4166666666667087</v>
      </c>
      <c r="R2626" s="10">
        <f t="shared" ca="1" si="374"/>
        <v>6.8750000000000568</v>
      </c>
      <c r="S2626" s="10">
        <f t="shared" ca="1" si="375"/>
        <v>-1.4583333333333481</v>
      </c>
      <c r="T2626" s="10">
        <f t="shared" ca="1" si="376"/>
        <v>350.00000000000011</v>
      </c>
      <c r="U2626" s="10">
        <f t="shared" ca="1" si="377"/>
        <v>350.00000000000011</v>
      </c>
      <c r="V2626">
        <f t="shared" si="378"/>
        <v>6</v>
      </c>
    </row>
    <row r="2627" spans="1:22" x14ac:dyDescent="0.25">
      <c r="A2627">
        <v>292</v>
      </c>
      <c r="B2627">
        <v>7</v>
      </c>
      <c r="C2627">
        <v>0</v>
      </c>
      <c r="D2627">
        <v>1</v>
      </c>
      <c r="E2627">
        <v>1</v>
      </c>
      <c r="F2627">
        <v>0</v>
      </c>
      <c r="G2627">
        <v>1</v>
      </c>
      <c r="H2627">
        <v>450</v>
      </c>
      <c r="I2627">
        <f t="shared" si="379"/>
        <v>2619</v>
      </c>
      <c r="J2627" s="6">
        <f t="array" aca="1" ref="J2627:N2627" ca="1">TRANSPOSE(ols(OFFSET($C$2:$C$10,I2627,0),OFFSET($D$2:$H$10,I2627,0)))</f>
        <v>1.4583333333333712</v>
      </c>
      <c r="K2627" s="6">
        <f ca="1"/>
        <v>1.25</v>
      </c>
      <c r="L2627" s="6">
        <f ca="1"/>
        <v>3.3333333333333428</v>
      </c>
      <c r="M2627" s="6">
        <f ca="1"/>
        <v>2.0833333333333428</v>
      </c>
      <c r="N2627" s="6">
        <f ca="1"/>
        <v>-4.1666666666667074E-3</v>
      </c>
      <c r="O2627" s="6">
        <f t="shared" ref="O2627:O2690" ca="1" si="381">SUMPRODUCT(J2627:N2627,D2627:H2627)</f>
        <v>2.9166666666666958</v>
      </c>
      <c r="P2627" t="str">
        <f t="shared" si="380"/>
        <v>NA</v>
      </c>
      <c r="Q2627" s="10">
        <f t="shared" ref="Q2627:Q2690" ca="1" si="382">AVERAGEIF($A$2:$A$5383,A2627,$P$2:$P$5383)</f>
        <v>5.4166666666667087</v>
      </c>
      <c r="R2627" s="10">
        <f t="shared" ref="R2627:R2690" ca="1" si="383">O2627-N2627*H2627</f>
        <v>4.791666666666714</v>
      </c>
      <c r="S2627" s="10">
        <f t="shared" ref="S2627:S2690" ca="1" si="384">Q2627-R2627</f>
        <v>0.62499999999999467</v>
      </c>
      <c r="T2627" s="10">
        <f t="shared" ref="T2627:T2690" ca="1" si="385">S2627/N2627</f>
        <v>-149.99999999999724</v>
      </c>
      <c r="U2627" s="10" t="str">
        <f t="shared" ref="U2627:U2690" ca="1" si="386">IF(OR(T2627&lt;250,T2627&gt;650),"OR",T2627)</f>
        <v>OR</v>
      </c>
      <c r="V2627">
        <f t="shared" ref="V2627:V2690" si="387">IF(AND(E2627=1,G2627=0),2,IF(AND(F2627=1,G2627=0),3,IF(AND(E2627=1,G2627=1),5,IF(AND(F2627=1,G2627=1),6,IF(G2627=0,1,IF(G2627=1,4))))))</f>
        <v>5</v>
      </c>
    </row>
    <row r="2628" spans="1:22" x14ac:dyDescent="0.25">
      <c r="A2628">
        <v>292</v>
      </c>
      <c r="B2628">
        <v>8</v>
      </c>
      <c r="C2628">
        <v>7.5</v>
      </c>
      <c r="D2628">
        <v>1</v>
      </c>
      <c r="E2628">
        <v>1</v>
      </c>
      <c r="F2628">
        <v>0</v>
      </c>
      <c r="G2628">
        <v>1</v>
      </c>
      <c r="H2628">
        <v>550</v>
      </c>
      <c r="I2628">
        <f t="shared" si="379"/>
        <v>2619</v>
      </c>
      <c r="J2628" s="6">
        <f t="array" aca="1" ref="J2628:N2628" ca="1">TRANSPOSE(ols(OFFSET($C$2:$C$10,I2628,0),OFFSET($D$2:$H$10,I2628,0)))</f>
        <v>1.4583333333333712</v>
      </c>
      <c r="K2628" s="6">
        <f ca="1"/>
        <v>1.25</v>
      </c>
      <c r="L2628" s="6">
        <f ca="1"/>
        <v>3.3333333333333428</v>
      </c>
      <c r="M2628" s="6">
        <f ca="1"/>
        <v>2.0833333333333428</v>
      </c>
      <c r="N2628" s="6">
        <f ca="1"/>
        <v>-4.1666666666667074E-3</v>
      </c>
      <c r="O2628" s="6">
        <f t="shared" ca="1" si="381"/>
        <v>2.5000000000000249</v>
      </c>
      <c r="P2628" t="str">
        <f t="shared" si="380"/>
        <v>NA</v>
      </c>
      <c r="Q2628" s="10">
        <f t="shared" ca="1" si="382"/>
        <v>5.4166666666667087</v>
      </c>
      <c r="R2628" s="10">
        <f t="shared" ca="1" si="383"/>
        <v>4.791666666666714</v>
      </c>
      <c r="S2628" s="10">
        <f t="shared" ca="1" si="384"/>
        <v>0.62499999999999467</v>
      </c>
      <c r="T2628" s="10">
        <f t="shared" ca="1" si="385"/>
        <v>-149.99999999999724</v>
      </c>
      <c r="U2628" s="10" t="str">
        <f t="shared" ca="1" si="386"/>
        <v>OR</v>
      </c>
      <c r="V2628">
        <f t="shared" si="387"/>
        <v>5</v>
      </c>
    </row>
    <row r="2629" spans="1:22" x14ac:dyDescent="0.25">
      <c r="A2629">
        <v>292</v>
      </c>
      <c r="B2629">
        <v>9</v>
      </c>
      <c r="C2629">
        <v>0</v>
      </c>
      <c r="D2629">
        <v>1</v>
      </c>
      <c r="E2629">
        <v>0</v>
      </c>
      <c r="F2629">
        <v>0</v>
      </c>
      <c r="G2629">
        <v>1</v>
      </c>
      <c r="H2629">
        <v>650</v>
      </c>
      <c r="I2629">
        <f t="shared" si="379"/>
        <v>2619</v>
      </c>
      <c r="J2629" s="6">
        <f t="array" aca="1" ref="J2629:N2629" ca="1">TRANSPOSE(ols(OFFSET($C$2:$C$10,I2629,0),OFFSET($D$2:$H$10,I2629,0)))</f>
        <v>1.4583333333333712</v>
      </c>
      <c r="K2629" s="6">
        <f ca="1"/>
        <v>1.25</v>
      </c>
      <c r="L2629" s="6">
        <f ca="1"/>
        <v>3.3333333333333428</v>
      </c>
      <c r="M2629" s="6">
        <f ca="1"/>
        <v>2.0833333333333428</v>
      </c>
      <c r="N2629" s="6">
        <f ca="1"/>
        <v>-4.1666666666667074E-3</v>
      </c>
      <c r="O2629" s="6">
        <f t="shared" ca="1" si="381"/>
        <v>0.83333333333335435</v>
      </c>
      <c r="P2629" t="str">
        <f t="shared" si="380"/>
        <v>NA</v>
      </c>
      <c r="Q2629" s="10">
        <f t="shared" ca="1" si="382"/>
        <v>5.4166666666667087</v>
      </c>
      <c r="R2629" s="10">
        <f t="shared" ca="1" si="383"/>
        <v>3.541666666666714</v>
      </c>
      <c r="S2629" s="10">
        <f t="shared" ca="1" si="384"/>
        <v>1.8749999999999947</v>
      </c>
      <c r="T2629" s="10">
        <f t="shared" ca="1" si="385"/>
        <v>-449.99999999999432</v>
      </c>
      <c r="U2629" s="10" t="str">
        <f t="shared" ca="1" si="386"/>
        <v>OR</v>
      </c>
      <c r="V2629">
        <f t="shared" si="387"/>
        <v>4</v>
      </c>
    </row>
    <row r="2630" spans="1:22" x14ac:dyDescent="0.25">
      <c r="A2630">
        <v>293</v>
      </c>
      <c r="B2630">
        <v>1</v>
      </c>
      <c r="C2630">
        <v>0</v>
      </c>
      <c r="D2630">
        <v>1</v>
      </c>
      <c r="E2630">
        <v>0</v>
      </c>
      <c r="F2630">
        <v>1</v>
      </c>
      <c r="G2630">
        <v>0</v>
      </c>
      <c r="H2630">
        <v>250</v>
      </c>
      <c r="I2630">
        <f t="shared" si="379"/>
        <v>2628</v>
      </c>
      <c r="J2630" s="6">
        <f t="array" aca="1" ref="J2630:N2630" ca="1">TRANSPOSE(ols(OFFSET($C$2:$C$10,I2630,0),OFFSET($D$2:$H$10,I2630,0)))</f>
        <v>57.738095238094274</v>
      </c>
      <c r="K2630" s="6">
        <f ca="1"/>
        <v>-17.857142857142605</v>
      </c>
      <c r="L2630" s="6">
        <f ca="1"/>
        <v>-4.7619047619042476</v>
      </c>
      <c r="M2630" s="6">
        <f ca="1"/>
        <v>27.380952380952294</v>
      </c>
      <c r="N2630" s="6">
        <f ca="1"/>
        <v>-0.11904761904761818</v>
      </c>
      <c r="O2630" s="6">
        <f t="shared" ca="1" si="381"/>
        <v>23.214285714285481</v>
      </c>
      <c r="P2630" t="str">
        <f t="shared" si="380"/>
        <v>NA</v>
      </c>
      <c r="Q2630" s="10">
        <f t="shared" ca="1" si="382"/>
        <v>38.690476190475955</v>
      </c>
      <c r="R2630" s="10">
        <f t="shared" ca="1" si="383"/>
        <v>52.976190476190027</v>
      </c>
      <c r="S2630" s="10">
        <f t="shared" ca="1" si="384"/>
        <v>-14.285714285714072</v>
      </c>
      <c r="T2630" s="10">
        <f t="shared" ca="1" si="385"/>
        <v>119.99999999999908</v>
      </c>
      <c r="U2630" s="10" t="str">
        <f t="shared" ca="1" si="386"/>
        <v>OR</v>
      </c>
      <c r="V2630">
        <f t="shared" si="387"/>
        <v>3</v>
      </c>
    </row>
    <row r="2631" spans="1:22" x14ac:dyDescent="0.25">
      <c r="A2631">
        <v>293</v>
      </c>
      <c r="B2631">
        <v>2</v>
      </c>
      <c r="C2631">
        <v>0</v>
      </c>
      <c r="D2631">
        <v>1</v>
      </c>
      <c r="E2631">
        <v>1</v>
      </c>
      <c r="F2631">
        <v>0</v>
      </c>
      <c r="G2631">
        <v>0</v>
      </c>
      <c r="H2631">
        <v>350</v>
      </c>
      <c r="I2631">
        <f t="shared" si="379"/>
        <v>2628</v>
      </c>
      <c r="J2631" s="6">
        <f t="array" aca="1" ref="J2631:N2631" ca="1">TRANSPOSE(ols(OFFSET($C$2:$C$10,I2631,0),OFFSET($D$2:$H$10,I2631,0)))</f>
        <v>57.738095238094274</v>
      </c>
      <c r="K2631" s="6">
        <f ca="1"/>
        <v>-17.857142857142605</v>
      </c>
      <c r="L2631" s="6">
        <f ca="1"/>
        <v>-4.7619047619042476</v>
      </c>
      <c r="M2631" s="6">
        <f ca="1"/>
        <v>27.380952380952294</v>
      </c>
      <c r="N2631" s="6">
        <f ca="1"/>
        <v>-0.11904761904761818</v>
      </c>
      <c r="O2631" s="6">
        <f t="shared" ca="1" si="381"/>
        <v>-1.7857142857146968</v>
      </c>
      <c r="P2631" t="str">
        <f t="shared" si="380"/>
        <v>NA</v>
      </c>
      <c r="Q2631" s="10">
        <f t="shared" ca="1" si="382"/>
        <v>38.690476190475955</v>
      </c>
      <c r="R2631" s="10">
        <f t="shared" ca="1" si="383"/>
        <v>39.880952380951669</v>
      </c>
      <c r="S2631" s="10">
        <f t="shared" ca="1" si="384"/>
        <v>-1.1904761904757137</v>
      </c>
      <c r="T2631" s="10">
        <f t="shared" ca="1" si="385"/>
        <v>9.9999999999960689</v>
      </c>
      <c r="U2631" s="10" t="str">
        <f t="shared" ca="1" si="386"/>
        <v>OR</v>
      </c>
      <c r="V2631">
        <f t="shared" si="387"/>
        <v>2</v>
      </c>
    </row>
    <row r="2632" spans="1:22" x14ac:dyDescent="0.25">
      <c r="A2632">
        <v>293</v>
      </c>
      <c r="B2632">
        <v>3</v>
      </c>
      <c r="C2632">
        <v>0</v>
      </c>
      <c r="D2632">
        <v>1</v>
      </c>
      <c r="E2632">
        <v>1</v>
      </c>
      <c r="F2632">
        <v>0</v>
      </c>
      <c r="G2632">
        <v>0</v>
      </c>
      <c r="H2632">
        <v>450</v>
      </c>
      <c r="I2632">
        <f t="shared" si="379"/>
        <v>2628</v>
      </c>
      <c r="J2632" s="6">
        <f t="array" aca="1" ref="J2632:N2632" ca="1">TRANSPOSE(ols(OFFSET($C$2:$C$10,I2632,0),OFFSET($D$2:$H$10,I2632,0)))</f>
        <v>57.738095238094274</v>
      </c>
      <c r="K2632" s="6">
        <f ca="1"/>
        <v>-17.857142857142605</v>
      </c>
      <c r="L2632" s="6">
        <f ca="1"/>
        <v>-4.7619047619042476</v>
      </c>
      <c r="M2632" s="6">
        <f ca="1"/>
        <v>27.380952380952294</v>
      </c>
      <c r="N2632" s="6">
        <f ca="1"/>
        <v>-0.11904761904761818</v>
      </c>
      <c r="O2632" s="6">
        <f t="shared" ca="1" si="381"/>
        <v>-13.69047619047651</v>
      </c>
      <c r="P2632" t="str">
        <f t="shared" si="380"/>
        <v>NA</v>
      </c>
      <c r="Q2632" s="10">
        <f t="shared" ca="1" si="382"/>
        <v>38.690476190475955</v>
      </c>
      <c r="R2632" s="10">
        <f t="shared" ca="1" si="383"/>
        <v>39.880952380951669</v>
      </c>
      <c r="S2632" s="10">
        <f t="shared" ca="1" si="384"/>
        <v>-1.1904761904757137</v>
      </c>
      <c r="T2632" s="10">
        <f t="shared" ca="1" si="385"/>
        <v>9.9999999999960689</v>
      </c>
      <c r="U2632" s="10" t="str">
        <f t="shared" ca="1" si="386"/>
        <v>OR</v>
      </c>
      <c r="V2632">
        <f t="shared" si="387"/>
        <v>2</v>
      </c>
    </row>
    <row r="2633" spans="1:22" x14ac:dyDescent="0.25">
      <c r="A2633">
        <v>293</v>
      </c>
      <c r="B2633">
        <v>4</v>
      </c>
      <c r="C2633">
        <v>0</v>
      </c>
      <c r="D2633">
        <v>1</v>
      </c>
      <c r="E2633">
        <v>0</v>
      </c>
      <c r="F2633">
        <v>0</v>
      </c>
      <c r="G2633">
        <v>0</v>
      </c>
      <c r="H2633">
        <v>550</v>
      </c>
      <c r="I2633">
        <f t="shared" si="379"/>
        <v>2628</v>
      </c>
      <c r="J2633" s="6">
        <f t="array" aca="1" ref="J2633:N2633" ca="1">TRANSPOSE(ols(OFFSET($C$2:$C$10,I2633,0),OFFSET($D$2:$H$10,I2633,0)))</f>
        <v>57.738095238094274</v>
      </c>
      <c r="K2633" s="6">
        <f ca="1"/>
        <v>-17.857142857142605</v>
      </c>
      <c r="L2633" s="6">
        <f ca="1"/>
        <v>-4.7619047619042476</v>
      </c>
      <c r="M2633" s="6">
        <f ca="1"/>
        <v>27.380952380952294</v>
      </c>
      <c r="N2633" s="6">
        <f ca="1"/>
        <v>-0.11904761904761818</v>
      </c>
      <c r="O2633" s="6">
        <f t="shared" ca="1" si="381"/>
        <v>-7.738095238095724</v>
      </c>
      <c r="P2633" t="str">
        <f t="shared" si="380"/>
        <v>NA</v>
      </c>
      <c r="Q2633" s="10">
        <f t="shared" ca="1" si="382"/>
        <v>38.690476190475955</v>
      </c>
      <c r="R2633" s="10">
        <f t="shared" ca="1" si="383"/>
        <v>57.738095238094274</v>
      </c>
      <c r="S2633" s="10">
        <f t="shared" ca="1" si="384"/>
        <v>-19.047619047618319</v>
      </c>
      <c r="T2633" s="10">
        <f t="shared" ca="1" si="385"/>
        <v>159.99999999999505</v>
      </c>
      <c r="U2633" s="10" t="str">
        <f t="shared" ca="1" si="386"/>
        <v>OR</v>
      </c>
      <c r="V2633">
        <f t="shared" si="387"/>
        <v>1</v>
      </c>
    </row>
    <row r="2634" spans="1:22" x14ac:dyDescent="0.25">
      <c r="A2634">
        <v>293</v>
      </c>
      <c r="B2634">
        <v>5</v>
      </c>
      <c r="C2634">
        <v>62.5</v>
      </c>
      <c r="D2634">
        <v>1</v>
      </c>
      <c r="E2634">
        <v>0</v>
      </c>
      <c r="F2634">
        <v>1</v>
      </c>
      <c r="G2634">
        <v>1</v>
      </c>
      <c r="H2634">
        <v>250</v>
      </c>
      <c r="I2634">
        <f t="shared" si="379"/>
        <v>2628</v>
      </c>
      <c r="J2634" s="6">
        <f t="array" aca="1" ref="J2634:N2634" ca="1">TRANSPOSE(ols(OFFSET($C$2:$C$10,I2634,0),OFFSET($D$2:$H$10,I2634,0)))</f>
        <v>57.738095238094274</v>
      </c>
      <c r="K2634" s="6">
        <f ca="1"/>
        <v>-17.857142857142605</v>
      </c>
      <c r="L2634" s="6">
        <f ca="1"/>
        <v>-4.7619047619042476</v>
      </c>
      <c r="M2634" s="6">
        <f ca="1"/>
        <v>27.380952380952294</v>
      </c>
      <c r="N2634" s="6">
        <f ca="1"/>
        <v>-0.11904761904761818</v>
      </c>
      <c r="O2634" s="6">
        <f t="shared" ca="1" si="381"/>
        <v>50.595238095237775</v>
      </c>
      <c r="P2634" t="str">
        <f t="shared" si="380"/>
        <v>NA</v>
      </c>
      <c r="Q2634" s="10">
        <f t="shared" ca="1" si="382"/>
        <v>38.690476190475955</v>
      </c>
      <c r="R2634" s="10">
        <f t="shared" ca="1" si="383"/>
        <v>80.357142857142321</v>
      </c>
      <c r="S2634" s="10">
        <f t="shared" ca="1" si="384"/>
        <v>-41.666666666666366</v>
      </c>
      <c r="T2634" s="10">
        <f t="shared" ca="1" si="385"/>
        <v>350</v>
      </c>
      <c r="U2634" s="10">
        <f t="shared" ca="1" si="386"/>
        <v>350</v>
      </c>
      <c r="V2634">
        <f t="shared" si="387"/>
        <v>6</v>
      </c>
    </row>
    <row r="2635" spans="1:22" x14ac:dyDescent="0.25">
      <c r="A2635">
        <v>293</v>
      </c>
      <c r="B2635">
        <v>6</v>
      </c>
      <c r="C2635">
        <v>50</v>
      </c>
      <c r="D2635">
        <v>1</v>
      </c>
      <c r="E2635">
        <v>0</v>
      </c>
      <c r="F2635">
        <v>1</v>
      </c>
      <c r="G2635">
        <v>1</v>
      </c>
      <c r="H2635">
        <v>350</v>
      </c>
      <c r="I2635">
        <f t="shared" si="379"/>
        <v>2628</v>
      </c>
      <c r="J2635" s="6">
        <f t="array" aca="1" ref="J2635:N2635" ca="1">TRANSPOSE(ols(OFFSET($C$2:$C$10,I2635,0),OFFSET($D$2:$H$10,I2635,0)))</f>
        <v>57.738095238094274</v>
      </c>
      <c r="K2635" s="6">
        <f ca="1"/>
        <v>-17.857142857142605</v>
      </c>
      <c r="L2635" s="6">
        <f ca="1"/>
        <v>-4.7619047619042476</v>
      </c>
      <c r="M2635" s="6">
        <f ca="1"/>
        <v>27.380952380952294</v>
      </c>
      <c r="N2635" s="6">
        <f ca="1"/>
        <v>-0.11904761904761818</v>
      </c>
      <c r="O2635" s="6">
        <f t="shared" ca="1" si="381"/>
        <v>38.690476190475955</v>
      </c>
      <c r="P2635">
        <f t="shared" ca="1" si="380"/>
        <v>38.690476190475955</v>
      </c>
      <c r="Q2635" s="10">
        <f t="shared" ca="1" si="382"/>
        <v>38.690476190475955</v>
      </c>
      <c r="R2635" s="10">
        <f t="shared" ca="1" si="383"/>
        <v>80.357142857142321</v>
      </c>
      <c r="S2635" s="10">
        <f t="shared" ca="1" si="384"/>
        <v>-41.666666666666366</v>
      </c>
      <c r="T2635" s="10">
        <f t="shared" ca="1" si="385"/>
        <v>350</v>
      </c>
      <c r="U2635" s="10">
        <f t="shared" ca="1" si="386"/>
        <v>350</v>
      </c>
      <c r="V2635">
        <f t="shared" si="387"/>
        <v>6</v>
      </c>
    </row>
    <row r="2636" spans="1:22" x14ac:dyDescent="0.25">
      <c r="A2636">
        <v>293</v>
      </c>
      <c r="B2636">
        <v>7</v>
      </c>
      <c r="C2636">
        <v>0</v>
      </c>
      <c r="D2636">
        <v>1</v>
      </c>
      <c r="E2636">
        <v>1</v>
      </c>
      <c r="F2636">
        <v>0</v>
      </c>
      <c r="G2636">
        <v>1</v>
      </c>
      <c r="H2636">
        <v>450</v>
      </c>
      <c r="I2636">
        <f t="shared" ref="I2636:I2692" si="388">IF(A2636&gt;A2635,I2635+9,I2635)</f>
        <v>2628</v>
      </c>
      <c r="J2636" s="6">
        <f t="array" aca="1" ref="J2636:N2636" ca="1">TRANSPOSE(ols(OFFSET($C$2:$C$10,I2636,0),OFFSET($D$2:$H$10,I2636,0)))</f>
        <v>57.738095238094274</v>
      </c>
      <c r="K2636" s="6">
        <f ca="1"/>
        <v>-17.857142857142605</v>
      </c>
      <c r="L2636" s="6">
        <f ca="1"/>
        <v>-4.7619047619042476</v>
      </c>
      <c r="M2636" s="6">
        <f ca="1"/>
        <v>27.380952380952294</v>
      </c>
      <c r="N2636" s="6">
        <f ca="1"/>
        <v>-0.11904761904761818</v>
      </c>
      <c r="O2636" s="6">
        <f t="shared" ca="1" si="381"/>
        <v>13.690476190475785</v>
      </c>
      <c r="P2636" t="str">
        <f t="shared" si="380"/>
        <v>NA</v>
      </c>
      <c r="Q2636" s="10">
        <f t="shared" ca="1" si="382"/>
        <v>38.690476190475955</v>
      </c>
      <c r="R2636" s="10">
        <f t="shared" ca="1" si="383"/>
        <v>67.261904761903963</v>
      </c>
      <c r="S2636" s="10">
        <f t="shared" ca="1" si="384"/>
        <v>-28.571428571428008</v>
      </c>
      <c r="T2636" s="10">
        <f t="shared" ca="1" si="385"/>
        <v>239.99999999999702</v>
      </c>
      <c r="U2636" s="10" t="str">
        <f t="shared" ca="1" si="386"/>
        <v>OR</v>
      </c>
      <c r="V2636">
        <f t="shared" si="387"/>
        <v>5</v>
      </c>
    </row>
    <row r="2637" spans="1:22" x14ac:dyDescent="0.25">
      <c r="A2637">
        <v>293</v>
      </c>
      <c r="B2637">
        <v>8</v>
      </c>
      <c r="C2637">
        <v>0</v>
      </c>
      <c r="D2637">
        <v>1</v>
      </c>
      <c r="E2637">
        <v>1</v>
      </c>
      <c r="F2637">
        <v>0</v>
      </c>
      <c r="G2637">
        <v>1</v>
      </c>
      <c r="H2637">
        <v>550</v>
      </c>
      <c r="I2637">
        <f t="shared" si="388"/>
        <v>2628</v>
      </c>
      <c r="J2637" s="6">
        <f t="array" aca="1" ref="J2637:N2637" ca="1">TRANSPOSE(ols(OFFSET($C$2:$C$10,I2637,0),OFFSET($D$2:$H$10,I2637,0)))</f>
        <v>57.738095238094274</v>
      </c>
      <c r="K2637" s="6">
        <f ca="1"/>
        <v>-17.857142857142605</v>
      </c>
      <c r="L2637" s="6">
        <f ca="1"/>
        <v>-4.7619047619042476</v>
      </c>
      <c r="M2637" s="6">
        <f ca="1"/>
        <v>27.380952380952294</v>
      </c>
      <c r="N2637" s="6">
        <f ca="1"/>
        <v>-0.11904761904761818</v>
      </c>
      <c r="O2637" s="6">
        <f t="shared" ca="1" si="381"/>
        <v>1.785714285713965</v>
      </c>
      <c r="P2637" t="str">
        <f t="shared" si="380"/>
        <v>NA</v>
      </c>
      <c r="Q2637" s="10">
        <f t="shared" ca="1" si="382"/>
        <v>38.690476190475955</v>
      </c>
      <c r="R2637" s="10">
        <f t="shared" ca="1" si="383"/>
        <v>67.261904761903963</v>
      </c>
      <c r="S2637" s="10">
        <f t="shared" ca="1" si="384"/>
        <v>-28.571428571428008</v>
      </c>
      <c r="T2637" s="10">
        <f t="shared" ca="1" si="385"/>
        <v>239.99999999999702</v>
      </c>
      <c r="U2637" s="10" t="str">
        <f t="shared" ca="1" si="386"/>
        <v>OR</v>
      </c>
      <c r="V2637">
        <f t="shared" si="387"/>
        <v>5</v>
      </c>
    </row>
    <row r="2638" spans="1:22" x14ac:dyDescent="0.25">
      <c r="A2638">
        <v>293</v>
      </c>
      <c r="B2638">
        <v>9</v>
      </c>
      <c r="C2638">
        <v>0</v>
      </c>
      <c r="D2638">
        <v>1</v>
      </c>
      <c r="E2638">
        <v>0</v>
      </c>
      <c r="F2638">
        <v>0</v>
      </c>
      <c r="G2638">
        <v>1</v>
      </c>
      <c r="H2638">
        <v>650</v>
      </c>
      <c r="I2638">
        <f t="shared" si="388"/>
        <v>2628</v>
      </c>
      <c r="J2638" s="6">
        <f t="array" aca="1" ref="J2638:N2638" ca="1">TRANSPOSE(ols(OFFSET($C$2:$C$10,I2638,0),OFFSET($D$2:$H$10,I2638,0)))</f>
        <v>57.738095238094274</v>
      </c>
      <c r="K2638" s="6">
        <f ca="1"/>
        <v>-17.857142857142605</v>
      </c>
      <c r="L2638" s="6">
        <f ca="1"/>
        <v>-4.7619047619042476</v>
      </c>
      <c r="M2638" s="6">
        <f ca="1"/>
        <v>27.380952380952294</v>
      </c>
      <c r="N2638" s="6">
        <f ca="1"/>
        <v>-0.11904761904761818</v>
      </c>
      <c r="O2638" s="6">
        <f t="shared" ca="1" si="381"/>
        <v>7.7380952380947576</v>
      </c>
      <c r="P2638" t="str">
        <f t="shared" si="380"/>
        <v>NA</v>
      </c>
      <c r="Q2638" s="10">
        <f t="shared" ca="1" si="382"/>
        <v>38.690476190475955</v>
      </c>
      <c r="R2638" s="10">
        <f t="shared" ca="1" si="383"/>
        <v>85.119047619046569</v>
      </c>
      <c r="S2638" s="10">
        <f t="shared" ca="1" si="384"/>
        <v>-46.428571428570613</v>
      </c>
      <c r="T2638" s="10">
        <f t="shared" ca="1" si="385"/>
        <v>389.99999999999602</v>
      </c>
      <c r="U2638" s="10">
        <f t="shared" ca="1" si="386"/>
        <v>389.99999999999602</v>
      </c>
      <c r="V2638">
        <f t="shared" si="387"/>
        <v>4</v>
      </c>
    </row>
    <row r="2639" spans="1:22" x14ac:dyDescent="0.25">
      <c r="A2639">
        <v>294</v>
      </c>
      <c r="B2639">
        <v>1</v>
      </c>
      <c r="C2639">
        <v>28.5</v>
      </c>
      <c r="D2639">
        <v>1</v>
      </c>
      <c r="E2639">
        <v>0</v>
      </c>
      <c r="F2639">
        <v>1</v>
      </c>
      <c r="G2639">
        <v>0</v>
      </c>
      <c r="H2639">
        <v>250</v>
      </c>
      <c r="I2639">
        <f t="shared" si="388"/>
        <v>2637</v>
      </c>
      <c r="J2639" s="6">
        <f t="array" aca="1" ref="J2639:N2639" ca="1">TRANSPOSE(ols(OFFSET($C$2:$C$10,I2639,0),OFFSET($D$2:$H$10,I2639,0)))</f>
        <v>207.60714285713993</v>
      </c>
      <c r="K2639" s="6">
        <f ca="1"/>
        <v>-16.535714285713539</v>
      </c>
      <c r="L2639" s="6">
        <f ca="1"/>
        <v>-75.142857142855519</v>
      </c>
      <c r="M2639" s="6">
        <f ca="1"/>
        <v>29.071428571428442</v>
      </c>
      <c r="N2639" s="6">
        <f ca="1"/>
        <v>-0.36357142857142488</v>
      </c>
      <c r="O2639" s="6">
        <f t="shared" ca="1" si="381"/>
        <v>41.5714285714282</v>
      </c>
      <c r="P2639" t="str">
        <f t="shared" si="380"/>
        <v>NA</v>
      </c>
      <c r="Q2639" s="10">
        <f t="shared" ca="1" si="382"/>
        <v>34.28571428571415</v>
      </c>
      <c r="R2639" s="10">
        <f t="shared" ca="1" si="383"/>
        <v>132.46428571428442</v>
      </c>
      <c r="S2639" s="10">
        <f t="shared" ca="1" si="384"/>
        <v>-98.178571428570265</v>
      </c>
      <c r="T2639" s="10">
        <f t="shared" ca="1" si="385"/>
        <v>270.03929273084435</v>
      </c>
      <c r="U2639" s="10">
        <f t="shared" ca="1" si="386"/>
        <v>270.03929273084435</v>
      </c>
      <c r="V2639">
        <f t="shared" si="387"/>
        <v>3</v>
      </c>
    </row>
    <row r="2640" spans="1:22" x14ac:dyDescent="0.25">
      <c r="A2640">
        <v>294</v>
      </c>
      <c r="B2640">
        <v>2</v>
      </c>
      <c r="C2640">
        <v>73.5</v>
      </c>
      <c r="D2640">
        <v>1</v>
      </c>
      <c r="E2640">
        <v>1</v>
      </c>
      <c r="F2640">
        <v>0</v>
      </c>
      <c r="G2640">
        <v>0</v>
      </c>
      <c r="H2640">
        <v>350</v>
      </c>
      <c r="I2640">
        <f t="shared" si="388"/>
        <v>2637</v>
      </c>
      <c r="J2640" s="6">
        <f t="array" aca="1" ref="J2640:N2640" ca="1">TRANSPOSE(ols(OFFSET($C$2:$C$10,I2640,0),OFFSET($D$2:$H$10,I2640,0)))</f>
        <v>207.60714285713993</v>
      </c>
      <c r="K2640" s="6">
        <f ca="1"/>
        <v>-16.535714285713539</v>
      </c>
      <c r="L2640" s="6">
        <f ca="1"/>
        <v>-75.142857142855519</v>
      </c>
      <c r="M2640" s="6">
        <f ca="1"/>
        <v>29.071428571428442</v>
      </c>
      <c r="N2640" s="6">
        <f ca="1"/>
        <v>-0.36357142857142488</v>
      </c>
      <c r="O2640" s="6">
        <f t="shared" ca="1" si="381"/>
        <v>63.821428571427688</v>
      </c>
      <c r="P2640" t="str">
        <f t="shared" si="380"/>
        <v>NA</v>
      </c>
      <c r="Q2640" s="10">
        <f t="shared" ca="1" si="382"/>
        <v>34.28571428571415</v>
      </c>
      <c r="R2640" s="10">
        <f t="shared" ca="1" si="383"/>
        <v>191.0714285714264</v>
      </c>
      <c r="S2640" s="10">
        <f t="shared" ca="1" si="384"/>
        <v>-156.78571428571223</v>
      </c>
      <c r="T2640" s="10">
        <f t="shared" ca="1" si="385"/>
        <v>431.23772102160973</v>
      </c>
      <c r="U2640" s="10">
        <f t="shared" ca="1" si="386"/>
        <v>431.23772102160973</v>
      </c>
      <c r="V2640">
        <f t="shared" si="387"/>
        <v>2</v>
      </c>
    </row>
    <row r="2641" spans="1:22" x14ac:dyDescent="0.25">
      <c r="A2641">
        <v>294</v>
      </c>
      <c r="B2641">
        <v>3</v>
      </c>
      <c r="C2641">
        <v>32</v>
      </c>
      <c r="D2641">
        <v>1</v>
      </c>
      <c r="E2641">
        <v>1</v>
      </c>
      <c r="F2641">
        <v>0</v>
      </c>
      <c r="G2641">
        <v>0</v>
      </c>
      <c r="H2641">
        <v>450</v>
      </c>
      <c r="I2641">
        <f t="shared" si="388"/>
        <v>2637</v>
      </c>
      <c r="J2641" s="6">
        <f t="array" aca="1" ref="J2641:N2641" ca="1">TRANSPOSE(ols(OFFSET($C$2:$C$10,I2641,0),OFFSET($D$2:$H$10,I2641,0)))</f>
        <v>207.60714285713993</v>
      </c>
      <c r="K2641" s="6">
        <f ca="1"/>
        <v>-16.535714285713539</v>
      </c>
      <c r="L2641" s="6">
        <f ca="1"/>
        <v>-75.142857142855519</v>
      </c>
      <c r="M2641" s="6">
        <f ca="1"/>
        <v>29.071428571428442</v>
      </c>
      <c r="N2641" s="6">
        <f ca="1"/>
        <v>-0.36357142857142488</v>
      </c>
      <c r="O2641" s="6">
        <f t="shared" ca="1" si="381"/>
        <v>27.464285714285211</v>
      </c>
      <c r="P2641" t="str">
        <f t="shared" si="380"/>
        <v>NA</v>
      </c>
      <c r="Q2641" s="10">
        <f t="shared" ca="1" si="382"/>
        <v>34.28571428571415</v>
      </c>
      <c r="R2641" s="10">
        <f t="shared" ca="1" si="383"/>
        <v>191.0714285714264</v>
      </c>
      <c r="S2641" s="10">
        <f t="shared" ca="1" si="384"/>
        <v>-156.78571428571223</v>
      </c>
      <c r="T2641" s="10">
        <f t="shared" ca="1" si="385"/>
        <v>431.23772102160973</v>
      </c>
      <c r="U2641" s="10">
        <f t="shared" ca="1" si="386"/>
        <v>431.23772102160973</v>
      </c>
      <c r="V2641">
        <f t="shared" si="387"/>
        <v>2</v>
      </c>
    </row>
    <row r="2642" spans="1:22" x14ac:dyDescent="0.25">
      <c r="A2642">
        <v>294</v>
      </c>
      <c r="B2642">
        <v>4</v>
      </c>
      <c r="C2642">
        <v>6.5</v>
      </c>
      <c r="D2642">
        <v>1</v>
      </c>
      <c r="E2642">
        <v>0</v>
      </c>
      <c r="F2642">
        <v>0</v>
      </c>
      <c r="G2642">
        <v>0</v>
      </c>
      <c r="H2642">
        <v>550</v>
      </c>
      <c r="I2642">
        <f t="shared" si="388"/>
        <v>2637</v>
      </c>
      <c r="J2642" s="6">
        <f t="array" aca="1" ref="J2642:N2642" ca="1">TRANSPOSE(ols(OFFSET($C$2:$C$10,I2642,0),OFFSET($D$2:$H$10,I2642,0)))</f>
        <v>207.60714285713993</v>
      </c>
      <c r="K2642" s="6">
        <f ca="1"/>
        <v>-16.535714285713539</v>
      </c>
      <c r="L2642" s="6">
        <f ca="1"/>
        <v>-75.142857142855519</v>
      </c>
      <c r="M2642" s="6">
        <f ca="1"/>
        <v>29.071428571428442</v>
      </c>
      <c r="N2642" s="6">
        <f ca="1"/>
        <v>-0.36357142857142488</v>
      </c>
      <c r="O2642" s="6">
        <f t="shared" ca="1" si="381"/>
        <v>7.6428571428562577</v>
      </c>
      <c r="P2642" t="str">
        <f t="shared" si="380"/>
        <v>NA</v>
      </c>
      <c r="Q2642" s="10">
        <f t="shared" ca="1" si="382"/>
        <v>34.28571428571415</v>
      </c>
      <c r="R2642" s="10">
        <f t="shared" ca="1" si="383"/>
        <v>207.60714285713993</v>
      </c>
      <c r="S2642" s="10">
        <f t="shared" ca="1" si="384"/>
        <v>-173.32142857142577</v>
      </c>
      <c r="T2642" s="10">
        <f t="shared" ca="1" si="385"/>
        <v>476.71905697445686</v>
      </c>
      <c r="U2642" s="10">
        <f t="shared" ca="1" si="386"/>
        <v>476.71905697445686</v>
      </c>
      <c r="V2642">
        <f t="shared" si="387"/>
        <v>1</v>
      </c>
    </row>
    <row r="2643" spans="1:22" x14ac:dyDescent="0.25">
      <c r="A2643">
        <v>294</v>
      </c>
      <c r="B2643">
        <v>5</v>
      </c>
      <c r="C2643">
        <v>67.5</v>
      </c>
      <c r="D2643">
        <v>1</v>
      </c>
      <c r="E2643">
        <v>0</v>
      </c>
      <c r="F2643">
        <v>1</v>
      </c>
      <c r="G2643">
        <v>1</v>
      </c>
      <c r="H2643">
        <v>250</v>
      </c>
      <c r="I2643">
        <f t="shared" si="388"/>
        <v>2637</v>
      </c>
      <c r="J2643" s="6">
        <f t="array" aca="1" ref="J2643:N2643" ca="1">TRANSPOSE(ols(OFFSET($C$2:$C$10,I2643,0),OFFSET($D$2:$H$10,I2643,0)))</f>
        <v>207.60714285713993</v>
      </c>
      <c r="K2643" s="6">
        <f ca="1"/>
        <v>-16.535714285713539</v>
      </c>
      <c r="L2643" s="6">
        <f ca="1"/>
        <v>-75.142857142855519</v>
      </c>
      <c r="M2643" s="6">
        <f ca="1"/>
        <v>29.071428571428442</v>
      </c>
      <c r="N2643" s="6">
        <f ca="1"/>
        <v>-0.36357142857142488</v>
      </c>
      <c r="O2643" s="6">
        <f t="shared" ca="1" si="381"/>
        <v>70.642857142856641</v>
      </c>
      <c r="P2643" t="str">
        <f t="shared" si="380"/>
        <v>NA</v>
      </c>
      <c r="Q2643" s="10">
        <f t="shared" ca="1" si="382"/>
        <v>34.28571428571415</v>
      </c>
      <c r="R2643" s="10">
        <f t="shared" ca="1" si="383"/>
        <v>161.53571428571286</v>
      </c>
      <c r="S2643" s="10">
        <f t="shared" ca="1" si="384"/>
        <v>-127.24999999999871</v>
      </c>
      <c r="T2643" s="10">
        <f t="shared" ca="1" si="385"/>
        <v>350</v>
      </c>
      <c r="U2643" s="10">
        <f t="shared" ca="1" si="386"/>
        <v>350</v>
      </c>
      <c r="V2643">
        <f t="shared" si="387"/>
        <v>6</v>
      </c>
    </row>
    <row r="2644" spans="1:22" x14ac:dyDescent="0.25">
      <c r="A2644">
        <v>294</v>
      </c>
      <c r="B2644">
        <v>6</v>
      </c>
      <c r="C2644">
        <v>50.5</v>
      </c>
      <c r="D2644">
        <v>1</v>
      </c>
      <c r="E2644">
        <v>0</v>
      </c>
      <c r="F2644">
        <v>1</v>
      </c>
      <c r="G2644">
        <v>1</v>
      </c>
      <c r="H2644">
        <v>350</v>
      </c>
      <c r="I2644">
        <f t="shared" si="388"/>
        <v>2637</v>
      </c>
      <c r="J2644" s="6">
        <f t="array" aca="1" ref="J2644:N2644" ca="1">TRANSPOSE(ols(OFFSET($C$2:$C$10,I2644,0),OFFSET($D$2:$H$10,I2644,0)))</f>
        <v>207.60714285713993</v>
      </c>
      <c r="K2644" s="6">
        <f ca="1"/>
        <v>-16.535714285713539</v>
      </c>
      <c r="L2644" s="6">
        <f ca="1"/>
        <v>-75.142857142855519</v>
      </c>
      <c r="M2644" s="6">
        <f ca="1"/>
        <v>29.071428571428442</v>
      </c>
      <c r="N2644" s="6">
        <f ca="1"/>
        <v>-0.36357142857142488</v>
      </c>
      <c r="O2644" s="6">
        <f t="shared" ca="1" si="381"/>
        <v>34.28571428571415</v>
      </c>
      <c r="P2644">
        <f t="shared" ca="1" si="380"/>
        <v>34.28571428571415</v>
      </c>
      <c r="Q2644" s="10">
        <f t="shared" ca="1" si="382"/>
        <v>34.28571428571415</v>
      </c>
      <c r="R2644" s="10">
        <f t="shared" ca="1" si="383"/>
        <v>161.53571428571286</v>
      </c>
      <c r="S2644" s="10">
        <f t="shared" ca="1" si="384"/>
        <v>-127.24999999999871</v>
      </c>
      <c r="T2644" s="10">
        <f t="shared" ca="1" si="385"/>
        <v>350</v>
      </c>
      <c r="U2644" s="10">
        <f t="shared" ca="1" si="386"/>
        <v>350</v>
      </c>
      <c r="V2644">
        <f t="shared" si="387"/>
        <v>6</v>
      </c>
    </row>
    <row r="2645" spans="1:22" x14ac:dyDescent="0.25">
      <c r="A2645">
        <v>294</v>
      </c>
      <c r="B2645">
        <v>7</v>
      </c>
      <c r="C2645">
        <v>50</v>
      </c>
      <c r="D2645">
        <v>1</v>
      </c>
      <c r="E2645">
        <v>1</v>
      </c>
      <c r="F2645">
        <v>0</v>
      </c>
      <c r="G2645">
        <v>1</v>
      </c>
      <c r="H2645">
        <v>450</v>
      </c>
      <c r="I2645">
        <f t="shared" si="388"/>
        <v>2637</v>
      </c>
      <c r="J2645" s="6">
        <f t="array" aca="1" ref="J2645:N2645" ca="1">TRANSPOSE(ols(OFFSET($C$2:$C$10,I2645,0),OFFSET($D$2:$H$10,I2645,0)))</f>
        <v>207.60714285713993</v>
      </c>
      <c r="K2645" s="6">
        <f ca="1"/>
        <v>-16.535714285713539</v>
      </c>
      <c r="L2645" s="6">
        <f ca="1"/>
        <v>-75.142857142855519</v>
      </c>
      <c r="M2645" s="6">
        <f ca="1"/>
        <v>29.071428571428442</v>
      </c>
      <c r="N2645" s="6">
        <f ca="1"/>
        <v>-0.36357142857142488</v>
      </c>
      <c r="O2645" s="6">
        <f t="shared" ca="1" si="381"/>
        <v>56.535714285713652</v>
      </c>
      <c r="P2645" t="str">
        <f t="shared" si="380"/>
        <v>NA</v>
      </c>
      <c r="Q2645" s="10">
        <f t="shared" ca="1" si="382"/>
        <v>34.28571428571415</v>
      </c>
      <c r="R2645" s="10">
        <f t="shared" ca="1" si="383"/>
        <v>220.14285714285484</v>
      </c>
      <c r="S2645" s="10">
        <f t="shared" ca="1" si="384"/>
        <v>-185.85714285714067</v>
      </c>
      <c r="T2645" s="10">
        <f t="shared" ca="1" si="385"/>
        <v>511.19842829076538</v>
      </c>
      <c r="U2645" s="10">
        <f t="shared" ca="1" si="386"/>
        <v>511.19842829076538</v>
      </c>
      <c r="V2645">
        <f t="shared" si="387"/>
        <v>5</v>
      </c>
    </row>
    <row r="2646" spans="1:22" x14ac:dyDescent="0.25">
      <c r="A2646">
        <v>294</v>
      </c>
      <c r="B2646">
        <v>8</v>
      </c>
      <c r="C2646">
        <v>12.5</v>
      </c>
      <c r="D2646">
        <v>1</v>
      </c>
      <c r="E2646">
        <v>1</v>
      </c>
      <c r="F2646">
        <v>0</v>
      </c>
      <c r="G2646">
        <v>1</v>
      </c>
      <c r="H2646">
        <v>550</v>
      </c>
      <c r="I2646">
        <f t="shared" si="388"/>
        <v>2637</v>
      </c>
      <c r="J2646" s="6">
        <f t="array" aca="1" ref="J2646:N2646" ca="1">TRANSPOSE(ols(OFFSET($C$2:$C$10,I2646,0),OFFSET($D$2:$H$10,I2646,0)))</f>
        <v>207.60714285713993</v>
      </c>
      <c r="K2646" s="6">
        <f ca="1"/>
        <v>-16.535714285713539</v>
      </c>
      <c r="L2646" s="6">
        <f ca="1"/>
        <v>-75.142857142855519</v>
      </c>
      <c r="M2646" s="6">
        <f ca="1"/>
        <v>29.071428571428442</v>
      </c>
      <c r="N2646" s="6">
        <f ca="1"/>
        <v>-0.36357142857142488</v>
      </c>
      <c r="O2646" s="6">
        <f t="shared" ca="1" si="381"/>
        <v>20.178571428571161</v>
      </c>
      <c r="P2646" t="str">
        <f t="shared" si="380"/>
        <v>NA</v>
      </c>
      <c r="Q2646" s="10">
        <f t="shared" ca="1" si="382"/>
        <v>34.28571428571415</v>
      </c>
      <c r="R2646" s="10">
        <f t="shared" ca="1" si="383"/>
        <v>220.14285714285484</v>
      </c>
      <c r="S2646" s="10">
        <f t="shared" ca="1" si="384"/>
        <v>-185.85714285714067</v>
      </c>
      <c r="T2646" s="10">
        <f t="shared" ca="1" si="385"/>
        <v>511.19842829076538</v>
      </c>
      <c r="U2646" s="10">
        <f t="shared" ca="1" si="386"/>
        <v>511.19842829076538</v>
      </c>
      <c r="V2646">
        <f t="shared" si="387"/>
        <v>5</v>
      </c>
    </row>
    <row r="2647" spans="1:22" x14ac:dyDescent="0.25">
      <c r="A2647">
        <v>294</v>
      </c>
      <c r="B2647">
        <v>9</v>
      </c>
      <c r="C2647">
        <v>1.5</v>
      </c>
      <c r="D2647">
        <v>1</v>
      </c>
      <c r="E2647">
        <v>0</v>
      </c>
      <c r="F2647">
        <v>0</v>
      </c>
      <c r="G2647">
        <v>1</v>
      </c>
      <c r="H2647">
        <v>650</v>
      </c>
      <c r="I2647">
        <f t="shared" si="388"/>
        <v>2637</v>
      </c>
      <c r="J2647" s="6">
        <f t="array" aca="1" ref="J2647:N2647" ca="1">TRANSPOSE(ols(OFFSET($C$2:$C$10,I2647,0),OFFSET($D$2:$H$10,I2647,0)))</f>
        <v>207.60714285713993</v>
      </c>
      <c r="K2647" s="6">
        <f ca="1"/>
        <v>-16.535714285713539</v>
      </c>
      <c r="L2647" s="6">
        <f ca="1"/>
        <v>-75.142857142855519</v>
      </c>
      <c r="M2647" s="6">
        <f ca="1"/>
        <v>29.071428571428442</v>
      </c>
      <c r="N2647" s="6">
        <f ca="1"/>
        <v>-0.36357142857142488</v>
      </c>
      <c r="O2647" s="6">
        <f t="shared" ca="1" si="381"/>
        <v>0.3571428571422075</v>
      </c>
      <c r="P2647" t="str">
        <f t="shared" si="380"/>
        <v>NA</v>
      </c>
      <c r="Q2647" s="10">
        <f t="shared" ca="1" si="382"/>
        <v>34.28571428571415</v>
      </c>
      <c r="R2647" s="10">
        <f t="shared" ca="1" si="383"/>
        <v>236.67857142856838</v>
      </c>
      <c r="S2647" s="10">
        <f t="shared" ca="1" si="384"/>
        <v>-202.39285714285421</v>
      </c>
      <c r="T2647" s="10">
        <f t="shared" ca="1" si="385"/>
        <v>556.67976424361257</v>
      </c>
      <c r="U2647" s="10">
        <f t="shared" ca="1" si="386"/>
        <v>556.67976424361257</v>
      </c>
      <c r="V2647">
        <f t="shared" si="387"/>
        <v>4</v>
      </c>
    </row>
    <row r="2648" spans="1:22" x14ac:dyDescent="0.25">
      <c r="A2648">
        <v>295</v>
      </c>
      <c r="B2648">
        <v>1</v>
      </c>
      <c r="C2648">
        <v>0</v>
      </c>
      <c r="D2648">
        <v>1</v>
      </c>
      <c r="E2648">
        <v>0</v>
      </c>
      <c r="F2648">
        <v>1</v>
      </c>
      <c r="G2648">
        <v>0</v>
      </c>
      <c r="H2648">
        <v>250</v>
      </c>
      <c r="I2648">
        <f t="shared" si="388"/>
        <v>2646</v>
      </c>
      <c r="J2648" s="6">
        <f t="array" aca="1" ref="J2648:N2648" ca="1">TRANSPOSE(ols(OFFSET($C$2:$C$10,I2648,0),OFFSET($D$2:$H$10,I2648,0)))</f>
        <v>37.398809523808723</v>
      </c>
      <c r="K2648" s="6">
        <f ca="1"/>
        <v>-0.78571428571410706</v>
      </c>
      <c r="L2648" s="6">
        <f ca="1"/>
        <v>-11.476190476190368</v>
      </c>
      <c r="M2648" s="6">
        <f ca="1"/>
        <v>14.488095238095184</v>
      </c>
      <c r="N2648" s="6">
        <f ca="1"/>
        <v>-7.4404761904761418E-2</v>
      </c>
      <c r="O2648" s="6">
        <f t="shared" ca="1" si="381"/>
        <v>7.321428571428001</v>
      </c>
      <c r="P2648" t="str">
        <f t="shared" si="380"/>
        <v>NA</v>
      </c>
      <c r="Q2648" s="10">
        <f t="shared" ca="1" si="382"/>
        <v>14.369047619047041</v>
      </c>
      <c r="R2648" s="10">
        <f t="shared" ca="1" si="383"/>
        <v>25.922619047618355</v>
      </c>
      <c r="S2648" s="10">
        <f t="shared" ca="1" si="384"/>
        <v>-11.553571428571313</v>
      </c>
      <c r="T2648" s="10">
        <f t="shared" ca="1" si="385"/>
        <v>155.27999999999946</v>
      </c>
      <c r="U2648" s="10" t="str">
        <f t="shared" ca="1" si="386"/>
        <v>OR</v>
      </c>
      <c r="V2648">
        <f t="shared" si="387"/>
        <v>3</v>
      </c>
    </row>
    <row r="2649" spans="1:22" x14ac:dyDescent="0.25">
      <c r="A2649">
        <v>295</v>
      </c>
      <c r="B2649">
        <v>2</v>
      </c>
      <c r="C2649">
        <v>10</v>
      </c>
      <c r="D2649">
        <v>1</v>
      </c>
      <c r="E2649">
        <v>1</v>
      </c>
      <c r="F2649">
        <v>0</v>
      </c>
      <c r="G2649">
        <v>0</v>
      </c>
      <c r="H2649">
        <v>350</v>
      </c>
      <c r="I2649">
        <f t="shared" si="388"/>
        <v>2646</v>
      </c>
      <c r="J2649" s="6">
        <f t="array" aca="1" ref="J2649:N2649" ca="1">TRANSPOSE(ols(OFFSET($C$2:$C$10,I2649,0),OFFSET($D$2:$H$10,I2649,0)))</f>
        <v>37.398809523808723</v>
      </c>
      <c r="K2649" s="6">
        <f ca="1"/>
        <v>-0.78571428571410706</v>
      </c>
      <c r="L2649" s="6">
        <f ca="1"/>
        <v>-11.476190476190368</v>
      </c>
      <c r="M2649" s="6">
        <f ca="1"/>
        <v>14.488095238095184</v>
      </c>
      <c r="N2649" s="6">
        <f ca="1"/>
        <v>-7.4404761904761418E-2</v>
      </c>
      <c r="O2649" s="6">
        <f t="shared" ca="1" si="381"/>
        <v>10.571428571428118</v>
      </c>
      <c r="P2649" t="str">
        <f t="shared" si="380"/>
        <v>NA</v>
      </c>
      <c r="Q2649" s="10">
        <f t="shared" ca="1" si="382"/>
        <v>14.369047619047041</v>
      </c>
      <c r="R2649" s="10">
        <f t="shared" ca="1" si="383"/>
        <v>36.613095238094616</v>
      </c>
      <c r="S2649" s="10">
        <f t="shared" ca="1" si="384"/>
        <v>-22.244047619047574</v>
      </c>
      <c r="T2649" s="10">
        <f t="shared" ca="1" si="385"/>
        <v>298.96000000000134</v>
      </c>
      <c r="U2649" s="10">
        <f t="shared" ca="1" si="386"/>
        <v>298.96000000000134</v>
      </c>
      <c r="V2649">
        <f t="shared" si="387"/>
        <v>2</v>
      </c>
    </row>
    <row r="2650" spans="1:22" x14ac:dyDescent="0.25">
      <c r="A2650">
        <v>295</v>
      </c>
      <c r="B2650">
        <v>3</v>
      </c>
      <c r="C2650">
        <v>7.5</v>
      </c>
      <c r="D2650">
        <v>1</v>
      </c>
      <c r="E2650">
        <v>1</v>
      </c>
      <c r="F2650">
        <v>0</v>
      </c>
      <c r="G2650">
        <v>0</v>
      </c>
      <c r="H2650">
        <v>450</v>
      </c>
      <c r="I2650">
        <f t="shared" si="388"/>
        <v>2646</v>
      </c>
      <c r="J2650" s="6">
        <f t="array" aca="1" ref="J2650:N2650" ca="1">TRANSPOSE(ols(OFFSET($C$2:$C$10,I2650,0),OFFSET($D$2:$H$10,I2650,0)))</f>
        <v>37.398809523808723</v>
      </c>
      <c r="K2650" s="6">
        <f ca="1"/>
        <v>-0.78571428571410706</v>
      </c>
      <c r="L2650" s="6">
        <f ca="1"/>
        <v>-11.476190476190368</v>
      </c>
      <c r="M2650" s="6">
        <f ca="1"/>
        <v>14.488095238095184</v>
      </c>
      <c r="N2650" s="6">
        <f ca="1"/>
        <v>-7.4404761904761418E-2</v>
      </c>
      <c r="O2650" s="6">
        <f t="shared" ca="1" si="381"/>
        <v>3.1309523809519746</v>
      </c>
      <c r="P2650" t="str">
        <f t="shared" si="380"/>
        <v>NA</v>
      </c>
      <c r="Q2650" s="10">
        <f t="shared" ca="1" si="382"/>
        <v>14.369047619047041</v>
      </c>
      <c r="R2650" s="10">
        <f t="shared" ca="1" si="383"/>
        <v>36.613095238094616</v>
      </c>
      <c r="S2650" s="10">
        <f t="shared" ca="1" si="384"/>
        <v>-22.244047619047574</v>
      </c>
      <c r="T2650" s="10">
        <f t="shared" ca="1" si="385"/>
        <v>298.96000000000134</v>
      </c>
      <c r="U2650" s="10">
        <f t="shared" ca="1" si="386"/>
        <v>298.96000000000134</v>
      </c>
      <c r="V2650">
        <f t="shared" si="387"/>
        <v>2</v>
      </c>
    </row>
    <row r="2651" spans="1:22" x14ac:dyDescent="0.25">
      <c r="A2651">
        <v>295</v>
      </c>
      <c r="B2651">
        <v>4</v>
      </c>
      <c r="C2651">
        <v>0</v>
      </c>
      <c r="D2651">
        <v>1</v>
      </c>
      <c r="E2651">
        <v>0</v>
      </c>
      <c r="F2651">
        <v>0</v>
      </c>
      <c r="G2651">
        <v>0</v>
      </c>
      <c r="H2651">
        <v>550</v>
      </c>
      <c r="I2651">
        <f t="shared" si="388"/>
        <v>2646</v>
      </c>
      <c r="J2651" s="6">
        <f t="array" aca="1" ref="J2651:N2651" ca="1">TRANSPOSE(ols(OFFSET($C$2:$C$10,I2651,0),OFFSET($D$2:$H$10,I2651,0)))</f>
        <v>37.398809523808723</v>
      </c>
      <c r="K2651" s="6">
        <f ca="1"/>
        <v>-0.78571428571410706</v>
      </c>
      <c r="L2651" s="6">
        <f ca="1"/>
        <v>-11.476190476190368</v>
      </c>
      <c r="M2651" s="6">
        <f ca="1"/>
        <v>14.488095238095184</v>
      </c>
      <c r="N2651" s="6">
        <f ca="1"/>
        <v>-7.4404761904761418E-2</v>
      </c>
      <c r="O2651" s="6">
        <f t="shared" ca="1" si="381"/>
        <v>-3.5238095238100584</v>
      </c>
      <c r="P2651" t="str">
        <f t="shared" si="380"/>
        <v>NA</v>
      </c>
      <c r="Q2651" s="10">
        <f t="shared" ca="1" si="382"/>
        <v>14.369047619047041</v>
      </c>
      <c r="R2651" s="10">
        <f t="shared" ca="1" si="383"/>
        <v>37.398809523808723</v>
      </c>
      <c r="S2651" s="10">
        <f t="shared" ca="1" si="384"/>
        <v>-23.029761904761681</v>
      </c>
      <c r="T2651" s="10">
        <f t="shared" ca="1" si="385"/>
        <v>309.51999999999902</v>
      </c>
      <c r="U2651" s="10">
        <f t="shared" ca="1" si="386"/>
        <v>309.51999999999902</v>
      </c>
      <c r="V2651">
        <f t="shared" si="387"/>
        <v>1</v>
      </c>
    </row>
    <row r="2652" spans="1:22" x14ac:dyDescent="0.25">
      <c r="A2652">
        <v>295</v>
      </c>
      <c r="B2652">
        <v>5</v>
      </c>
      <c r="C2652">
        <v>23.5</v>
      </c>
      <c r="D2652">
        <v>1</v>
      </c>
      <c r="E2652">
        <v>0</v>
      </c>
      <c r="F2652">
        <v>1</v>
      </c>
      <c r="G2652">
        <v>1</v>
      </c>
      <c r="H2652">
        <v>250</v>
      </c>
      <c r="I2652">
        <f t="shared" si="388"/>
        <v>2646</v>
      </c>
      <c r="J2652" s="6">
        <f t="array" aca="1" ref="J2652:N2652" ca="1">TRANSPOSE(ols(OFFSET($C$2:$C$10,I2652,0),OFFSET($D$2:$H$10,I2652,0)))</f>
        <v>37.398809523808723</v>
      </c>
      <c r="K2652" s="6">
        <f ca="1"/>
        <v>-0.78571428571410706</v>
      </c>
      <c r="L2652" s="6">
        <f ca="1"/>
        <v>-11.476190476190368</v>
      </c>
      <c r="M2652" s="6">
        <f ca="1"/>
        <v>14.488095238095184</v>
      </c>
      <c r="N2652" s="6">
        <f ca="1"/>
        <v>-7.4404761904761418E-2</v>
      </c>
      <c r="O2652" s="6">
        <f t="shared" ca="1" si="381"/>
        <v>21.809523809523185</v>
      </c>
      <c r="P2652" t="str">
        <f t="shared" si="380"/>
        <v>NA</v>
      </c>
      <c r="Q2652" s="10">
        <f t="shared" ca="1" si="382"/>
        <v>14.369047619047041</v>
      </c>
      <c r="R2652" s="10">
        <f t="shared" ca="1" si="383"/>
        <v>40.410714285713539</v>
      </c>
      <c r="S2652" s="10">
        <f t="shared" ca="1" si="384"/>
        <v>-26.041666666666497</v>
      </c>
      <c r="T2652" s="10">
        <f t="shared" ca="1" si="385"/>
        <v>350</v>
      </c>
      <c r="U2652" s="10">
        <f t="shared" ca="1" si="386"/>
        <v>350</v>
      </c>
      <c r="V2652">
        <f t="shared" si="387"/>
        <v>6</v>
      </c>
    </row>
    <row r="2653" spans="1:22" x14ac:dyDescent="0.25">
      <c r="A2653">
        <v>295</v>
      </c>
      <c r="B2653">
        <v>6</v>
      </c>
      <c r="C2653">
        <v>20</v>
      </c>
      <c r="D2653">
        <v>1</v>
      </c>
      <c r="E2653">
        <v>0</v>
      </c>
      <c r="F2653">
        <v>1</v>
      </c>
      <c r="G2653">
        <v>1</v>
      </c>
      <c r="H2653">
        <v>350</v>
      </c>
      <c r="I2653">
        <f t="shared" si="388"/>
        <v>2646</v>
      </c>
      <c r="J2653" s="6">
        <f t="array" aca="1" ref="J2653:N2653" ca="1">TRANSPOSE(ols(OFFSET($C$2:$C$10,I2653,0),OFFSET($D$2:$H$10,I2653,0)))</f>
        <v>37.398809523808723</v>
      </c>
      <c r="K2653" s="6">
        <f ca="1"/>
        <v>-0.78571428571410706</v>
      </c>
      <c r="L2653" s="6">
        <f ca="1"/>
        <v>-11.476190476190368</v>
      </c>
      <c r="M2653" s="6">
        <f ca="1"/>
        <v>14.488095238095184</v>
      </c>
      <c r="N2653" s="6">
        <f ca="1"/>
        <v>-7.4404761904761418E-2</v>
      </c>
      <c r="O2653" s="6">
        <f t="shared" ca="1" si="381"/>
        <v>14.369047619047041</v>
      </c>
      <c r="P2653">
        <f t="shared" ca="1" si="380"/>
        <v>14.369047619047041</v>
      </c>
      <c r="Q2653" s="10">
        <f t="shared" ca="1" si="382"/>
        <v>14.369047619047041</v>
      </c>
      <c r="R2653" s="10">
        <f t="shared" ca="1" si="383"/>
        <v>40.410714285713539</v>
      </c>
      <c r="S2653" s="10">
        <f t="shared" ca="1" si="384"/>
        <v>-26.041666666666497</v>
      </c>
      <c r="T2653" s="10">
        <f t="shared" ca="1" si="385"/>
        <v>350</v>
      </c>
      <c r="U2653" s="10">
        <f t="shared" ca="1" si="386"/>
        <v>350</v>
      </c>
      <c r="V2653">
        <f t="shared" si="387"/>
        <v>6</v>
      </c>
    </row>
    <row r="2654" spans="1:22" x14ac:dyDescent="0.25">
      <c r="A2654">
        <v>295</v>
      </c>
      <c r="B2654">
        <v>7</v>
      </c>
      <c r="C2654">
        <v>16.5</v>
      </c>
      <c r="D2654">
        <v>1</v>
      </c>
      <c r="E2654">
        <v>1</v>
      </c>
      <c r="F2654">
        <v>0</v>
      </c>
      <c r="G2654">
        <v>1</v>
      </c>
      <c r="H2654">
        <v>450</v>
      </c>
      <c r="I2654">
        <f t="shared" si="388"/>
        <v>2646</v>
      </c>
      <c r="J2654" s="6">
        <f t="array" aca="1" ref="J2654:N2654" ca="1">TRANSPOSE(ols(OFFSET($C$2:$C$10,I2654,0),OFFSET($D$2:$H$10,I2654,0)))</f>
        <v>37.398809523808723</v>
      </c>
      <c r="K2654" s="6">
        <f ca="1"/>
        <v>-0.78571428571410706</v>
      </c>
      <c r="L2654" s="6">
        <f ca="1"/>
        <v>-11.476190476190368</v>
      </c>
      <c r="M2654" s="6">
        <f ca="1"/>
        <v>14.488095238095184</v>
      </c>
      <c r="N2654" s="6">
        <f ca="1"/>
        <v>-7.4404761904761418E-2</v>
      </c>
      <c r="O2654" s="6">
        <f t="shared" ca="1" si="381"/>
        <v>17.619047619047159</v>
      </c>
      <c r="P2654" t="str">
        <f t="shared" ref="P2654:P2692" si="389">IF(AND(F2654=1,G2654=1,H2654=350),O2654,"NA")</f>
        <v>NA</v>
      </c>
      <c r="Q2654" s="10">
        <f t="shared" ca="1" si="382"/>
        <v>14.369047619047041</v>
      </c>
      <c r="R2654" s="10">
        <f t="shared" ca="1" si="383"/>
        <v>51.101190476189799</v>
      </c>
      <c r="S2654" s="10">
        <f t="shared" ca="1" si="384"/>
        <v>-36.732142857142762</v>
      </c>
      <c r="T2654" s="10">
        <f t="shared" ca="1" si="385"/>
        <v>493.68000000000194</v>
      </c>
      <c r="U2654" s="10">
        <f t="shared" ca="1" si="386"/>
        <v>493.68000000000194</v>
      </c>
      <c r="V2654">
        <f t="shared" si="387"/>
        <v>5</v>
      </c>
    </row>
    <row r="2655" spans="1:22" x14ac:dyDescent="0.25">
      <c r="A2655">
        <v>295</v>
      </c>
      <c r="B2655">
        <v>8</v>
      </c>
      <c r="C2655">
        <v>7.5</v>
      </c>
      <c r="D2655">
        <v>1</v>
      </c>
      <c r="E2655">
        <v>1</v>
      </c>
      <c r="F2655">
        <v>0</v>
      </c>
      <c r="G2655">
        <v>1</v>
      </c>
      <c r="H2655">
        <v>550</v>
      </c>
      <c r="I2655">
        <f t="shared" si="388"/>
        <v>2646</v>
      </c>
      <c r="J2655" s="6">
        <f t="array" aca="1" ref="J2655:N2655" ca="1">TRANSPOSE(ols(OFFSET($C$2:$C$10,I2655,0),OFFSET($D$2:$H$10,I2655,0)))</f>
        <v>37.398809523808723</v>
      </c>
      <c r="K2655" s="6">
        <f ca="1"/>
        <v>-0.78571428571410706</v>
      </c>
      <c r="L2655" s="6">
        <f ca="1"/>
        <v>-11.476190476190368</v>
      </c>
      <c r="M2655" s="6">
        <f ca="1"/>
        <v>14.488095238095184</v>
      </c>
      <c r="N2655" s="6">
        <f ca="1"/>
        <v>-7.4404761904761418E-2</v>
      </c>
      <c r="O2655" s="6">
        <f t="shared" ca="1" si="381"/>
        <v>10.178571428571018</v>
      </c>
      <c r="P2655" t="str">
        <f t="shared" si="389"/>
        <v>NA</v>
      </c>
      <c r="Q2655" s="10">
        <f t="shared" ca="1" si="382"/>
        <v>14.369047619047041</v>
      </c>
      <c r="R2655" s="10">
        <f t="shared" ca="1" si="383"/>
        <v>51.101190476189799</v>
      </c>
      <c r="S2655" s="10">
        <f t="shared" ca="1" si="384"/>
        <v>-36.732142857142762</v>
      </c>
      <c r="T2655" s="10">
        <f t="shared" ca="1" si="385"/>
        <v>493.68000000000194</v>
      </c>
      <c r="U2655" s="10">
        <f t="shared" ca="1" si="386"/>
        <v>493.68000000000194</v>
      </c>
      <c r="V2655">
        <f t="shared" si="387"/>
        <v>5</v>
      </c>
    </row>
    <row r="2656" spans="1:22" x14ac:dyDescent="0.25">
      <c r="A2656">
        <v>295</v>
      </c>
      <c r="B2656">
        <v>9</v>
      </c>
      <c r="C2656">
        <v>0</v>
      </c>
      <c r="D2656">
        <v>1</v>
      </c>
      <c r="E2656">
        <v>0</v>
      </c>
      <c r="F2656">
        <v>0</v>
      </c>
      <c r="G2656">
        <v>1</v>
      </c>
      <c r="H2656">
        <v>650</v>
      </c>
      <c r="I2656">
        <f t="shared" si="388"/>
        <v>2646</v>
      </c>
      <c r="J2656" s="6">
        <f t="array" aca="1" ref="J2656:N2656" ca="1">TRANSPOSE(ols(OFFSET($C$2:$C$10,I2656,0),OFFSET($D$2:$H$10,I2656,0)))</f>
        <v>37.398809523808723</v>
      </c>
      <c r="K2656" s="6">
        <f ca="1"/>
        <v>-0.78571428571410706</v>
      </c>
      <c r="L2656" s="6">
        <f ca="1"/>
        <v>-11.476190476190368</v>
      </c>
      <c r="M2656" s="6">
        <f ca="1"/>
        <v>14.488095238095184</v>
      </c>
      <c r="N2656" s="6">
        <f ca="1"/>
        <v>-7.4404761904761418E-2</v>
      </c>
      <c r="O2656" s="6">
        <f t="shared" ca="1" si="381"/>
        <v>3.5238095238089855</v>
      </c>
      <c r="P2656" t="str">
        <f t="shared" si="389"/>
        <v>NA</v>
      </c>
      <c r="Q2656" s="10">
        <f t="shared" ca="1" si="382"/>
        <v>14.369047619047041</v>
      </c>
      <c r="R2656" s="10">
        <f t="shared" ca="1" si="383"/>
        <v>51.886904761903907</v>
      </c>
      <c r="S2656" s="10">
        <f t="shared" ca="1" si="384"/>
        <v>-37.517857142856869</v>
      </c>
      <c r="T2656" s="10">
        <f t="shared" ca="1" si="385"/>
        <v>504.23999999999961</v>
      </c>
      <c r="U2656" s="10">
        <f ca="1">IF(OR(T2656&lt;250,T2656&gt;650),"OR",T2656)</f>
        <v>504.23999999999961</v>
      </c>
      <c r="V2656">
        <f t="shared" si="387"/>
        <v>4</v>
      </c>
    </row>
    <row r="2657" spans="1:22" x14ac:dyDescent="0.25">
      <c r="A2657">
        <v>296</v>
      </c>
      <c r="B2657">
        <v>1</v>
      </c>
      <c r="C2657">
        <v>80</v>
      </c>
      <c r="D2657">
        <v>1</v>
      </c>
      <c r="E2657">
        <v>0</v>
      </c>
      <c r="F2657">
        <v>1</v>
      </c>
      <c r="G2657">
        <v>0</v>
      </c>
      <c r="H2657">
        <v>250</v>
      </c>
      <c r="I2657">
        <f t="shared" si="388"/>
        <v>2655</v>
      </c>
      <c r="J2657" s="6">
        <f t="array" aca="1" ref="J2657:N2657" ca="1">TRANSPOSE(ols(OFFSET($C$2:$C$10,I2657,0),OFFSET($D$2:$H$10,I2657,0)))</f>
        <v>124.46428571428442</v>
      </c>
      <c r="K2657" s="6">
        <f ca="1"/>
        <v>-3.5714285714282141</v>
      </c>
      <c r="L2657" s="6">
        <f ca="1"/>
        <v>0.714285714286234</v>
      </c>
      <c r="M2657" s="6">
        <f ca="1"/>
        <v>-0.35714285714254856</v>
      </c>
      <c r="N2657" s="6">
        <f ca="1"/>
        <v>-0.18214285714285516</v>
      </c>
      <c r="O2657" s="6">
        <f t="shared" ca="1" si="381"/>
        <v>79.642857142856855</v>
      </c>
      <c r="P2657" t="str">
        <f t="shared" si="389"/>
        <v>NA</v>
      </c>
      <c r="Q2657" s="10">
        <f t="shared" ca="1" si="382"/>
        <v>61.071428571428797</v>
      </c>
      <c r="R2657" s="10">
        <f t="shared" ca="1" si="383"/>
        <v>125.17857142857065</v>
      </c>
      <c r="S2657" s="10">
        <f t="shared" ca="1" si="384"/>
        <v>-64.107142857141852</v>
      </c>
      <c r="T2657" s="10">
        <f t="shared" ca="1" si="385"/>
        <v>351.96078431372382</v>
      </c>
      <c r="U2657" s="10">
        <f t="shared" ca="1" si="386"/>
        <v>351.96078431372382</v>
      </c>
      <c r="V2657">
        <f t="shared" si="387"/>
        <v>3</v>
      </c>
    </row>
    <row r="2658" spans="1:22" x14ac:dyDescent="0.25">
      <c r="A2658">
        <v>296</v>
      </c>
      <c r="B2658">
        <v>2</v>
      </c>
      <c r="C2658">
        <v>60</v>
      </c>
      <c r="D2658">
        <v>1</v>
      </c>
      <c r="E2658">
        <v>1</v>
      </c>
      <c r="F2658">
        <v>0</v>
      </c>
      <c r="G2658">
        <v>0</v>
      </c>
      <c r="H2658">
        <v>350</v>
      </c>
      <c r="I2658">
        <f t="shared" si="388"/>
        <v>2655</v>
      </c>
      <c r="J2658" s="6">
        <f t="array" aca="1" ref="J2658:N2658" ca="1">TRANSPOSE(ols(OFFSET($C$2:$C$10,I2658,0),OFFSET($D$2:$H$10,I2658,0)))</f>
        <v>124.46428571428442</v>
      </c>
      <c r="K2658" s="6">
        <f ca="1"/>
        <v>-3.5714285714282141</v>
      </c>
      <c r="L2658" s="6">
        <f ca="1"/>
        <v>0.714285714286234</v>
      </c>
      <c r="M2658" s="6">
        <f ca="1"/>
        <v>-0.35714285714254856</v>
      </c>
      <c r="N2658" s="6">
        <f ca="1"/>
        <v>-0.18214285714285516</v>
      </c>
      <c r="O2658" s="6">
        <f t="shared" ca="1" si="381"/>
        <v>57.142857142856897</v>
      </c>
      <c r="P2658" t="str">
        <f t="shared" si="389"/>
        <v>NA</v>
      </c>
      <c r="Q2658" s="10">
        <f t="shared" ca="1" si="382"/>
        <v>61.071428571428797</v>
      </c>
      <c r="R2658" s="10">
        <f t="shared" ca="1" si="383"/>
        <v>120.8928571428562</v>
      </c>
      <c r="S2658" s="10">
        <f t="shared" ca="1" si="384"/>
        <v>-59.821428571427404</v>
      </c>
      <c r="T2658" s="10">
        <f t="shared" ca="1" si="385"/>
        <v>328.43137254901677</v>
      </c>
      <c r="U2658" s="10">
        <f t="shared" ca="1" si="386"/>
        <v>328.43137254901677</v>
      </c>
      <c r="V2658">
        <f t="shared" si="387"/>
        <v>2</v>
      </c>
    </row>
    <row r="2659" spans="1:22" x14ac:dyDescent="0.25">
      <c r="A2659">
        <v>296</v>
      </c>
      <c r="B2659">
        <v>3</v>
      </c>
      <c r="C2659">
        <v>40</v>
      </c>
      <c r="D2659">
        <v>1</v>
      </c>
      <c r="E2659">
        <v>1</v>
      </c>
      <c r="F2659">
        <v>0</v>
      </c>
      <c r="G2659">
        <v>0</v>
      </c>
      <c r="H2659">
        <v>450</v>
      </c>
      <c r="I2659">
        <f t="shared" si="388"/>
        <v>2655</v>
      </c>
      <c r="J2659" s="6">
        <f t="array" aca="1" ref="J2659:N2659" ca="1">TRANSPOSE(ols(OFFSET($C$2:$C$10,I2659,0),OFFSET($D$2:$H$10,I2659,0)))</f>
        <v>124.46428571428442</v>
      </c>
      <c r="K2659" s="6">
        <f ca="1"/>
        <v>-3.5714285714282141</v>
      </c>
      <c r="L2659" s="6">
        <f ca="1"/>
        <v>0.714285714286234</v>
      </c>
      <c r="M2659" s="6">
        <f ca="1"/>
        <v>-0.35714285714254856</v>
      </c>
      <c r="N2659" s="6">
        <f ca="1"/>
        <v>-0.18214285714285516</v>
      </c>
      <c r="O2659" s="6">
        <f t="shared" ca="1" si="381"/>
        <v>38.928571428571374</v>
      </c>
      <c r="P2659" t="str">
        <f t="shared" si="389"/>
        <v>NA</v>
      </c>
      <c r="Q2659" s="10">
        <f t="shared" ca="1" si="382"/>
        <v>61.071428571428797</v>
      </c>
      <c r="R2659" s="10">
        <f t="shared" ca="1" si="383"/>
        <v>120.8928571428562</v>
      </c>
      <c r="S2659" s="10">
        <f t="shared" ca="1" si="384"/>
        <v>-59.821428571427404</v>
      </c>
      <c r="T2659" s="10">
        <f t="shared" ca="1" si="385"/>
        <v>328.43137254901677</v>
      </c>
      <c r="U2659" s="10">
        <f t="shared" ca="1" si="386"/>
        <v>328.43137254901677</v>
      </c>
      <c r="V2659">
        <f t="shared" si="387"/>
        <v>2</v>
      </c>
    </row>
    <row r="2660" spans="1:22" x14ac:dyDescent="0.25">
      <c r="A2660">
        <v>296</v>
      </c>
      <c r="B2660">
        <v>4</v>
      </c>
      <c r="C2660">
        <v>20</v>
      </c>
      <c r="D2660">
        <v>1</v>
      </c>
      <c r="E2660">
        <v>0</v>
      </c>
      <c r="F2660">
        <v>0</v>
      </c>
      <c r="G2660">
        <v>0</v>
      </c>
      <c r="H2660">
        <v>550</v>
      </c>
      <c r="I2660">
        <f t="shared" si="388"/>
        <v>2655</v>
      </c>
      <c r="J2660" s="6">
        <f t="array" aca="1" ref="J2660:N2660" ca="1">TRANSPOSE(ols(OFFSET($C$2:$C$10,I2660,0),OFFSET($D$2:$H$10,I2660,0)))</f>
        <v>124.46428571428442</v>
      </c>
      <c r="K2660" s="6">
        <f ca="1"/>
        <v>-3.5714285714282141</v>
      </c>
      <c r="L2660" s="6">
        <f ca="1"/>
        <v>0.714285714286234</v>
      </c>
      <c r="M2660" s="6">
        <f ca="1"/>
        <v>-0.35714285714254856</v>
      </c>
      <c r="N2660" s="6">
        <f ca="1"/>
        <v>-0.18214285714285516</v>
      </c>
      <c r="O2660" s="6">
        <f t="shared" ca="1" si="381"/>
        <v>24.285714285714079</v>
      </c>
      <c r="P2660" t="str">
        <f t="shared" si="389"/>
        <v>NA</v>
      </c>
      <c r="Q2660" s="10">
        <f t="shared" ca="1" si="382"/>
        <v>61.071428571428797</v>
      </c>
      <c r="R2660" s="10">
        <f t="shared" ca="1" si="383"/>
        <v>124.46428571428442</v>
      </c>
      <c r="S2660" s="10">
        <f t="shared" ca="1" si="384"/>
        <v>-63.392857142855618</v>
      </c>
      <c r="T2660" s="10">
        <f t="shared" ca="1" si="385"/>
        <v>348.03921568626993</v>
      </c>
      <c r="U2660" s="10">
        <f t="shared" ca="1" si="386"/>
        <v>348.03921568626993</v>
      </c>
      <c r="V2660">
        <f t="shared" si="387"/>
        <v>1</v>
      </c>
    </row>
    <row r="2661" spans="1:22" x14ac:dyDescent="0.25">
      <c r="A2661">
        <v>296</v>
      </c>
      <c r="B2661">
        <v>5</v>
      </c>
      <c r="C2661">
        <v>80</v>
      </c>
      <c r="D2661">
        <v>1</v>
      </c>
      <c r="E2661">
        <v>0</v>
      </c>
      <c r="F2661">
        <v>1</v>
      </c>
      <c r="G2661">
        <v>1</v>
      </c>
      <c r="H2661">
        <v>250</v>
      </c>
      <c r="I2661">
        <f t="shared" si="388"/>
        <v>2655</v>
      </c>
      <c r="J2661" s="6">
        <f t="array" aca="1" ref="J2661:N2661" ca="1">TRANSPOSE(ols(OFFSET($C$2:$C$10,I2661,0),OFFSET($D$2:$H$10,I2661,0)))</f>
        <v>124.46428571428442</v>
      </c>
      <c r="K2661" s="6">
        <f ca="1"/>
        <v>-3.5714285714282141</v>
      </c>
      <c r="L2661" s="6">
        <f ca="1"/>
        <v>0.714285714286234</v>
      </c>
      <c r="M2661" s="6">
        <f ca="1"/>
        <v>-0.35714285714254856</v>
      </c>
      <c r="N2661" s="6">
        <f ca="1"/>
        <v>-0.18214285714285516</v>
      </c>
      <c r="O2661" s="6">
        <f t="shared" ca="1" si="381"/>
        <v>79.285714285714306</v>
      </c>
      <c r="P2661" t="str">
        <f t="shared" si="389"/>
        <v>NA</v>
      </c>
      <c r="Q2661" s="10">
        <f t="shared" ca="1" si="382"/>
        <v>61.071428571428797</v>
      </c>
      <c r="R2661" s="10">
        <f t="shared" ca="1" si="383"/>
        <v>124.8214285714281</v>
      </c>
      <c r="S2661" s="10">
        <f t="shared" ca="1" si="384"/>
        <v>-63.749999999999304</v>
      </c>
      <c r="T2661" s="10">
        <f t="shared" ca="1" si="385"/>
        <v>350</v>
      </c>
      <c r="U2661" s="10">
        <f t="shared" ca="1" si="386"/>
        <v>350</v>
      </c>
      <c r="V2661">
        <f t="shared" si="387"/>
        <v>6</v>
      </c>
    </row>
    <row r="2662" spans="1:22" x14ac:dyDescent="0.25">
      <c r="A2662">
        <v>296</v>
      </c>
      <c r="B2662">
        <v>6</v>
      </c>
      <c r="C2662">
        <v>60</v>
      </c>
      <c r="D2662">
        <v>1</v>
      </c>
      <c r="E2662">
        <v>0</v>
      </c>
      <c r="F2662">
        <v>1</v>
      </c>
      <c r="G2662">
        <v>1</v>
      </c>
      <c r="H2662">
        <v>350</v>
      </c>
      <c r="I2662">
        <f t="shared" si="388"/>
        <v>2655</v>
      </c>
      <c r="J2662" s="6">
        <f t="array" aca="1" ref="J2662:N2662" ca="1">TRANSPOSE(ols(OFFSET($C$2:$C$10,I2662,0),OFFSET($D$2:$H$10,I2662,0)))</f>
        <v>124.46428571428442</v>
      </c>
      <c r="K2662" s="6">
        <f ca="1"/>
        <v>-3.5714285714282141</v>
      </c>
      <c r="L2662" s="6">
        <f ca="1"/>
        <v>0.714285714286234</v>
      </c>
      <c r="M2662" s="6">
        <f ca="1"/>
        <v>-0.35714285714254856</v>
      </c>
      <c r="N2662" s="6">
        <f ca="1"/>
        <v>-0.18214285714285516</v>
      </c>
      <c r="O2662" s="6">
        <f t="shared" ca="1" si="381"/>
        <v>61.071428571428797</v>
      </c>
      <c r="P2662">
        <f t="shared" ca="1" si="389"/>
        <v>61.071428571428797</v>
      </c>
      <c r="Q2662" s="10">
        <f t="shared" ca="1" si="382"/>
        <v>61.071428571428797</v>
      </c>
      <c r="R2662" s="10">
        <f t="shared" ca="1" si="383"/>
        <v>124.8214285714281</v>
      </c>
      <c r="S2662" s="10">
        <f t="shared" ca="1" si="384"/>
        <v>-63.749999999999304</v>
      </c>
      <c r="T2662" s="10">
        <f t="shared" ca="1" si="385"/>
        <v>350</v>
      </c>
      <c r="U2662" s="10">
        <f t="shared" ca="1" si="386"/>
        <v>350</v>
      </c>
      <c r="V2662">
        <f t="shared" si="387"/>
        <v>6</v>
      </c>
    </row>
    <row r="2663" spans="1:22" x14ac:dyDescent="0.25">
      <c r="A2663">
        <v>296</v>
      </c>
      <c r="B2663">
        <v>7</v>
      </c>
      <c r="C2663">
        <v>35</v>
      </c>
      <c r="D2663">
        <v>1</v>
      </c>
      <c r="E2663">
        <v>1</v>
      </c>
      <c r="F2663">
        <v>0</v>
      </c>
      <c r="G2663">
        <v>1</v>
      </c>
      <c r="H2663">
        <v>450</v>
      </c>
      <c r="I2663">
        <f t="shared" si="388"/>
        <v>2655</v>
      </c>
      <c r="J2663" s="6">
        <f t="array" aca="1" ref="J2663:N2663" ca="1">TRANSPOSE(ols(OFFSET($C$2:$C$10,I2663,0),OFFSET($D$2:$H$10,I2663,0)))</f>
        <v>124.46428571428442</v>
      </c>
      <c r="K2663" s="6">
        <f ca="1"/>
        <v>-3.5714285714282141</v>
      </c>
      <c r="L2663" s="6">
        <f ca="1"/>
        <v>0.714285714286234</v>
      </c>
      <c r="M2663" s="6">
        <f ca="1"/>
        <v>-0.35714285714254856</v>
      </c>
      <c r="N2663" s="6">
        <f ca="1"/>
        <v>-0.18214285714285516</v>
      </c>
      <c r="O2663" s="6">
        <f t="shared" ca="1" si="381"/>
        <v>38.571428571428825</v>
      </c>
      <c r="P2663" t="str">
        <f t="shared" si="389"/>
        <v>NA</v>
      </c>
      <c r="Q2663" s="10">
        <f t="shared" ca="1" si="382"/>
        <v>61.071428571428797</v>
      </c>
      <c r="R2663" s="10">
        <f t="shared" ca="1" si="383"/>
        <v>120.53571428571365</v>
      </c>
      <c r="S2663" s="10">
        <f t="shared" ca="1" si="384"/>
        <v>-59.464285714284856</v>
      </c>
      <c r="T2663" s="10">
        <f t="shared" ca="1" si="385"/>
        <v>326.47058823529295</v>
      </c>
      <c r="U2663" s="10">
        <f t="shared" ca="1" si="386"/>
        <v>326.47058823529295</v>
      </c>
      <c r="V2663">
        <f t="shared" si="387"/>
        <v>5</v>
      </c>
    </row>
    <row r="2664" spans="1:22" x14ac:dyDescent="0.25">
      <c r="A2664">
        <v>296</v>
      </c>
      <c r="B2664">
        <v>8</v>
      </c>
      <c r="C2664">
        <v>20</v>
      </c>
      <c r="D2664">
        <v>1</v>
      </c>
      <c r="E2664">
        <v>1</v>
      </c>
      <c r="F2664">
        <v>0</v>
      </c>
      <c r="G2664">
        <v>1</v>
      </c>
      <c r="H2664">
        <v>550</v>
      </c>
      <c r="I2664">
        <f t="shared" si="388"/>
        <v>2655</v>
      </c>
      <c r="J2664" s="6">
        <f t="array" aca="1" ref="J2664:N2664" ca="1">TRANSPOSE(ols(OFFSET($C$2:$C$10,I2664,0),OFFSET($D$2:$H$10,I2664,0)))</f>
        <v>124.46428571428442</v>
      </c>
      <c r="K2664" s="6">
        <f ca="1"/>
        <v>-3.5714285714282141</v>
      </c>
      <c r="L2664" s="6">
        <f ca="1"/>
        <v>0.714285714286234</v>
      </c>
      <c r="M2664" s="6">
        <f ca="1"/>
        <v>-0.35714285714254856</v>
      </c>
      <c r="N2664" s="6">
        <f ca="1"/>
        <v>-0.18214285714285516</v>
      </c>
      <c r="O2664" s="6">
        <f t="shared" ca="1" si="381"/>
        <v>20.357142857143316</v>
      </c>
      <c r="P2664" t="str">
        <f t="shared" si="389"/>
        <v>NA</v>
      </c>
      <c r="Q2664" s="10">
        <f t="shared" ca="1" si="382"/>
        <v>61.071428571428797</v>
      </c>
      <c r="R2664" s="10">
        <f t="shared" ca="1" si="383"/>
        <v>120.53571428571365</v>
      </c>
      <c r="S2664" s="10">
        <f t="shared" ca="1" si="384"/>
        <v>-59.464285714284856</v>
      </c>
      <c r="T2664" s="10">
        <f t="shared" ca="1" si="385"/>
        <v>326.47058823529295</v>
      </c>
      <c r="U2664" s="10">
        <f t="shared" ca="1" si="386"/>
        <v>326.47058823529295</v>
      </c>
      <c r="V2664">
        <f t="shared" si="387"/>
        <v>5</v>
      </c>
    </row>
    <row r="2665" spans="1:22" x14ac:dyDescent="0.25">
      <c r="A2665">
        <v>296</v>
      </c>
      <c r="B2665">
        <v>9</v>
      </c>
      <c r="C2665">
        <v>10</v>
      </c>
      <c r="D2665">
        <v>1</v>
      </c>
      <c r="E2665">
        <v>0</v>
      </c>
      <c r="F2665">
        <v>0</v>
      </c>
      <c r="G2665">
        <v>1</v>
      </c>
      <c r="H2665">
        <v>650</v>
      </c>
      <c r="I2665">
        <f t="shared" si="388"/>
        <v>2655</v>
      </c>
      <c r="J2665" s="6">
        <f t="array" aca="1" ref="J2665:N2665" ca="1">TRANSPOSE(ols(OFFSET($C$2:$C$10,I2665,0),OFFSET($D$2:$H$10,I2665,0)))</f>
        <v>124.46428571428442</v>
      </c>
      <c r="K2665" s="6">
        <f ca="1"/>
        <v>-3.5714285714282141</v>
      </c>
      <c r="L2665" s="6">
        <f ca="1"/>
        <v>0.714285714286234</v>
      </c>
      <c r="M2665" s="6">
        <f ca="1"/>
        <v>-0.35714285714254856</v>
      </c>
      <c r="N2665" s="6">
        <f ca="1"/>
        <v>-0.18214285714285516</v>
      </c>
      <c r="O2665" s="6">
        <f t="shared" ca="1" si="381"/>
        <v>5.7142857142860066</v>
      </c>
      <c r="P2665" t="str">
        <f t="shared" si="389"/>
        <v>NA</v>
      </c>
      <c r="Q2665" s="10">
        <f t="shared" ca="1" si="382"/>
        <v>61.071428571428797</v>
      </c>
      <c r="R2665" s="10">
        <f t="shared" ca="1" si="383"/>
        <v>124.10714285714187</v>
      </c>
      <c r="S2665" s="10">
        <f t="shared" ca="1" si="384"/>
        <v>-63.03571428571307</v>
      </c>
      <c r="T2665" s="10">
        <f t="shared" ca="1" si="385"/>
        <v>346.07843137254611</v>
      </c>
      <c r="U2665" s="10">
        <f t="shared" ca="1" si="386"/>
        <v>346.07843137254611</v>
      </c>
      <c r="V2665">
        <f t="shared" si="387"/>
        <v>4</v>
      </c>
    </row>
    <row r="2666" spans="1:22" x14ac:dyDescent="0.25">
      <c r="A2666">
        <v>297</v>
      </c>
      <c r="B2666">
        <v>1</v>
      </c>
      <c r="C2666">
        <v>90</v>
      </c>
      <c r="D2666">
        <v>1</v>
      </c>
      <c r="E2666">
        <v>0</v>
      </c>
      <c r="F2666">
        <v>1</v>
      </c>
      <c r="G2666">
        <v>0</v>
      </c>
      <c r="H2666">
        <v>250</v>
      </c>
      <c r="I2666">
        <f t="shared" si="388"/>
        <v>2664</v>
      </c>
      <c r="J2666" s="6">
        <f t="array" aca="1" ref="J2666:N2666" ca="1">TRANSPOSE(ols(OFFSET($C$2:$C$10,I2666,0),OFFSET($D$2:$H$10,I2666,0)))</f>
        <v>111.13095238095048</v>
      </c>
      <c r="K2666" s="6">
        <f ca="1"/>
        <v>1.4285714285711038</v>
      </c>
      <c r="L2666" s="6">
        <f ca="1"/>
        <v>7.3809523809522943</v>
      </c>
      <c r="M2666" s="6">
        <f ca="1"/>
        <v>11.309523809524308</v>
      </c>
      <c r="N2666" s="6">
        <f ca="1"/>
        <v>-0.11547619047619051</v>
      </c>
      <c r="O2666" s="6">
        <f t="shared" ca="1" si="381"/>
        <v>89.642857142855149</v>
      </c>
      <c r="P2666" t="str">
        <f t="shared" si="389"/>
        <v>NA</v>
      </c>
      <c r="Q2666" s="10">
        <f t="shared" ca="1" si="382"/>
        <v>89.404761904760392</v>
      </c>
      <c r="R2666" s="10">
        <f t="shared" ca="1" si="383"/>
        <v>118.51190476190277</v>
      </c>
      <c r="S2666" s="10">
        <f t="shared" ca="1" si="384"/>
        <v>-29.107142857142378</v>
      </c>
      <c r="T2666" s="10">
        <f t="shared" ca="1" si="385"/>
        <v>252.06185567009888</v>
      </c>
      <c r="U2666" s="10">
        <f t="shared" ca="1" si="386"/>
        <v>252.06185567009888</v>
      </c>
      <c r="V2666">
        <f t="shared" si="387"/>
        <v>3</v>
      </c>
    </row>
    <row r="2667" spans="1:22" x14ac:dyDescent="0.25">
      <c r="A2667">
        <v>297</v>
      </c>
      <c r="B2667">
        <v>2</v>
      </c>
      <c r="C2667">
        <v>75</v>
      </c>
      <c r="D2667">
        <v>1</v>
      </c>
      <c r="E2667">
        <v>1</v>
      </c>
      <c r="F2667">
        <v>0</v>
      </c>
      <c r="G2667">
        <v>0</v>
      </c>
      <c r="H2667">
        <v>350</v>
      </c>
      <c r="I2667">
        <f t="shared" si="388"/>
        <v>2664</v>
      </c>
      <c r="J2667" s="6">
        <f t="array" aca="1" ref="J2667:N2667" ca="1">TRANSPOSE(ols(OFFSET($C$2:$C$10,I2667,0),OFFSET($D$2:$H$10,I2667,0)))</f>
        <v>111.13095238095048</v>
      </c>
      <c r="K2667" s="6">
        <f ca="1"/>
        <v>1.4285714285711038</v>
      </c>
      <c r="L2667" s="6">
        <f ca="1"/>
        <v>7.3809523809522943</v>
      </c>
      <c r="M2667" s="6">
        <f ca="1"/>
        <v>11.309523809524308</v>
      </c>
      <c r="N2667" s="6">
        <f ca="1"/>
        <v>-0.11547619047619051</v>
      </c>
      <c r="O2667" s="6">
        <f t="shared" ca="1" si="381"/>
        <v>72.142857142854893</v>
      </c>
      <c r="P2667" t="str">
        <f t="shared" si="389"/>
        <v>NA</v>
      </c>
      <c r="Q2667" s="10">
        <f t="shared" ca="1" si="382"/>
        <v>89.404761904760392</v>
      </c>
      <c r="R2667" s="10">
        <f t="shared" ca="1" si="383"/>
        <v>112.55952380952158</v>
      </c>
      <c r="S2667" s="10">
        <f t="shared" ca="1" si="384"/>
        <v>-23.154761904761187</v>
      </c>
      <c r="T2667" s="10">
        <f t="shared" ca="1" si="385"/>
        <v>200.5154639175195</v>
      </c>
      <c r="U2667" s="10" t="str">
        <f t="shared" ca="1" si="386"/>
        <v>OR</v>
      </c>
      <c r="V2667">
        <f t="shared" si="387"/>
        <v>2</v>
      </c>
    </row>
    <row r="2668" spans="1:22" x14ac:dyDescent="0.25">
      <c r="A2668">
        <v>297</v>
      </c>
      <c r="B2668">
        <v>3</v>
      </c>
      <c r="C2668">
        <v>60</v>
      </c>
      <c r="D2668">
        <v>1</v>
      </c>
      <c r="E2668">
        <v>1</v>
      </c>
      <c r="F2668">
        <v>0</v>
      </c>
      <c r="G2668">
        <v>0</v>
      </c>
      <c r="H2668">
        <v>450</v>
      </c>
      <c r="I2668">
        <f t="shared" si="388"/>
        <v>2664</v>
      </c>
      <c r="J2668" s="6">
        <f t="array" aca="1" ref="J2668:N2668" ca="1">TRANSPOSE(ols(OFFSET($C$2:$C$10,I2668,0),OFFSET($D$2:$H$10,I2668,0)))</f>
        <v>111.13095238095048</v>
      </c>
      <c r="K2668" s="6">
        <f ca="1"/>
        <v>1.4285714285711038</v>
      </c>
      <c r="L2668" s="6">
        <f ca="1"/>
        <v>7.3809523809522943</v>
      </c>
      <c r="M2668" s="6">
        <f ca="1"/>
        <v>11.309523809524308</v>
      </c>
      <c r="N2668" s="6">
        <f ca="1"/>
        <v>-0.11547619047619051</v>
      </c>
      <c r="O2668" s="6">
        <f t="shared" ca="1" si="381"/>
        <v>60.59523809523585</v>
      </c>
      <c r="P2668" t="str">
        <f t="shared" si="389"/>
        <v>NA</v>
      </c>
      <c r="Q2668" s="10">
        <f t="shared" ca="1" si="382"/>
        <v>89.404761904760392</v>
      </c>
      <c r="R2668" s="10">
        <f t="shared" ca="1" si="383"/>
        <v>112.55952380952158</v>
      </c>
      <c r="S2668" s="10">
        <f t="shared" ca="1" si="384"/>
        <v>-23.154761904761187</v>
      </c>
      <c r="T2668" s="10">
        <f t="shared" ca="1" si="385"/>
        <v>200.5154639175195</v>
      </c>
      <c r="U2668" s="10" t="str">
        <f t="shared" ca="1" si="386"/>
        <v>OR</v>
      </c>
      <c r="V2668">
        <f t="shared" si="387"/>
        <v>2</v>
      </c>
    </row>
    <row r="2669" spans="1:22" x14ac:dyDescent="0.25">
      <c r="A2669">
        <v>297</v>
      </c>
      <c r="B2669">
        <v>4</v>
      </c>
      <c r="C2669">
        <v>45</v>
      </c>
      <c r="D2669">
        <v>1</v>
      </c>
      <c r="E2669">
        <v>0</v>
      </c>
      <c r="F2669">
        <v>0</v>
      </c>
      <c r="G2669">
        <v>0</v>
      </c>
      <c r="H2669">
        <v>550</v>
      </c>
      <c r="I2669">
        <f t="shared" si="388"/>
        <v>2664</v>
      </c>
      <c r="J2669" s="6">
        <f t="array" aca="1" ref="J2669:N2669" ca="1">TRANSPOSE(ols(OFFSET($C$2:$C$10,I2669,0),OFFSET($D$2:$H$10,I2669,0)))</f>
        <v>111.13095238095048</v>
      </c>
      <c r="K2669" s="6">
        <f ca="1"/>
        <v>1.4285714285711038</v>
      </c>
      <c r="L2669" s="6">
        <f ca="1"/>
        <v>7.3809523809522943</v>
      </c>
      <c r="M2669" s="6">
        <f ca="1"/>
        <v>11.309523809524308</v>
      </c>
      <c r="N2669" s="6">
        <f ca="1"/>
        <v>-0.11547619047619051</v>
      </c>
      <c r="O2669" s="6">
        <f t="shared" ca="1" si="381"/>
        <v>47.619047619045695</v>
      </c>
      <c r="P2669" t="str">
        <f t="shared" si="389"/>
        <v>NA</v>
      </c>
      <c r="Q2669" s="10">
        <f t="shared" ca="1" si="382"/>
        <v>89.404761904760392</v>
      </c>
      <c r="R2669" s="10">
        <f t="shared" ca="1" si="383"/>
        <v>111.13095238095048</v>
      </c>
      <c r="S2669" s="10">
        <f t="shared" ca="1" si="384"/>
        <v>-21.726190476190084</v>
      </c>
      <c r="T2669" s="10">
        <f t="shared" ca="1" si="385"/>
        <v>188.14432989690377</v>
      </c>
      <c r="U2669" s="10" t="str">
        <f t="shared" ca="1" si="386"/>
        <v>OR</v>
      </c>
      <c r="V2669">
        <f t="shared" si="387"/>
        <v>1</v>
      </c>
    </row>
    <row r="2670" spans="1:22" x14ac:dyDescent="0.25">
      <c r="A2670">
        <v>297</v>
      </c>
      <c r="B2670">
        <v>5</v>
      </c>
      <c r="C2670">
        <v>100</v>
      </c>
      <c r="D2670">
        <v>1</v>
      </c>
      <c r="E2670">
        <v>0</v>
      </c>
      <c r="F2670">
        <v>1</v>
      </c>
      <c r="G2670">
        <v>1</v>
      </c>
      <c r="H2670">
        <v>250</v>
      </c>
      <c r="I2670">
        <f t="shared" si="388"/>
        <v>2664</v>
      </c>
      <c r="J2670" s="6">
        <f t="array" aca="1" ref="J2670:N2670" ca="1">TRANSPOSE(ols(OFFSET($C$2:$C$10,I2670,0),OFFSET($D$2:$H$10,I2670,0)))</f>
        <v>111.13095238095048</v>
      </c>
      <c r="K2670" s="6">
        <f ca="1"/>
        <v>1.4285714285711038</v>
      </c>
      <c r="L2670" s="6">
        <f ca="1"/>
        <v>7.3809523809522943</v>
      </c>
      <c r="M2670" s="6">
        <f ca="1"/>
        <v>11.309523809524308</v>
      </c>
      <c r="N2670" s="6">
        <f ca="1"/>
        <v>-0.11547619047619051</v>
      </c>
      <c r="O2670" s="6">
        <f t="shared" ca="1" si="381"/>
        <v>100.95238095237946</v>
      </c>
      <c r="P2670" t="str">
        <f t="shared" si="389"/>
        <v>NA</v>
      </c>
      <c r="Q2670" s="10">
        <f t="shared" ca="1" si="382"/>
        <v>89.404761904760392</v>
      </c>
      <c r="R2670" s="10">
        <f t="shared" ca="1" si="383"/>
        <v>129.82142857142708</v>
      </c>
      <c r="S2670" s="10">
        <f t="shared" ca="1" si="384"/>
        <v>-40.416666666666686</v>
      </c>
      <c r="T2670" s="10">
        <f t="shared" ca="1" si="385"/>
        <v>350.00000000000006</v>
      </c>
      <c r="U2670" s="10">
        <f t="shared" ca="1" si="386"/>
        <v>350.00000000000006</v>
      </c>
      <c r="V2670">
        <f t="shared" si="387"/>
        <v>6</v>
      </c>
    </row>
    <row r="2671" spans="1:22" x14ac:dyDescent="0.25">
      <c r="A2671">
        <v>297</v>
      </c>
      <c r="B2671">
        <v>6</v>
      </c>
      <c r="C2671">
        <v>90</v>
      </c>
      <c r="D2671">
        <v>1</v>
      </c>
      <c r="E2671">
        <v>0</v>
      </c>
      <c r="F2671">
        <v>1</v>
      </c>
      <c r="G2671">
        <v>1</v>
      </c>
      <c r="H2671">
        <v>350</v>
      </c>
      <c r="I2671">
        <f t="shared" si="388"/>
        <v>2664</v>
      </c>
      <c r="J2671" s="6">
        <f t="array" aca="1" ref="J2671:N2671" ca="1">TRANSPOSE(ols(OFFSET($C$2:$C$10,I2671,0),OFFSET($D$2:$H$10,I2671,0)))</f>
        <v>111.13095238095048</v>
      </c>
      <c r="K2671" s="6">
        <f ca="1"/>
        <v>1.4285714285711038</v>
      </c>
      <c r="L2671" s="6">
        <f ca="1"/>
        <v>7.3809523809522943</v>
      </c>
      <c r="M2671" s="6">
        <f ca="1"/>
        <v>11.309523809524308</v>
      </c>
      <c r="N2671" s="6">
        <f ca="1"/>
        <v>-0.11547619047619051</v>
      </c>
      <c r="O2671" s="6">
        <f t="shared" ca="1" si="381"/>
        <v>89.404761904760392</v>
      </c>
      <c r="P2671">
        <f t="shared" ca="1" si="389"/>
        <v>89.404761904760392</v>
      </c>
      <c r="Q2671" s="10">
        <f t="shared" ca="1" si="382"/>
        <v>89.404761904760392</v>
      </c>
      <c r="R2671" s="10">
        <f t="shared" ca="1" si="383"/>
        <v>129.82142857142708</v>
      </c>
      <c r="S2671" s="10">
        <f t="shared" ca="1" si="384"/>
        <v>-40.416666666666686</v>
      </c>
      <c r="T2671" s="10">
        <f t="shared" ca="1" si="385"/>
        <v>350.00000000000006</v>
      </c>
      <c r="U2671" s="10">
        <f t="shared" ca="1" si="386"/>
        <v>350.00000000000006</v>
      </c>
      <c r="V2671">
        <f t="shared" si="387"/>
        <v>6</v>
      </c>
    </row>
    <row r="2672" spans="1:22" x14ac:dyDescent="0.25">
      <c r="A2672">
        <v>297</v>
      </c>
      <c r="B2672">
        <v>7</v>
      </c>
      <c r="C2672">
        <v>70</v>
      </c>
      <c r="D2672">
        <v>1</v>
      </c>
      <c r="E2672">
        <v>1</v>
      </c>
      <c r="F2672">
        <v>0</v>
      </c>
      <c r="G2672">
        <v>1</v>
      </c>
      <c r="H2672">
        <v>450</v>
      </c>
      <c r="I2672">
        <f t="shared" si="388"/>
        <v>2664</v>
      </c>
      <c r="J2672" s="6">
        <f t="array" aca="1" ref="J2672:N2672" ca="1">TRANSPOSE(ols(OFFSET($C$2:$C$10,I2672,0),OFFSET($D$2:$H$10,I2672,0)))</f>
        <v>111.13095238095048</v>
      </c>
      <c r="K2672" s="6">
        <f ca="1"/>
        <v>1.4285714285711038</v>
      </c>
      <c r="L2672" s="6">
        <f ca="1"/>
        <v>7.3809523809522943</v>
      </c>
      <c r="M2672" s="6">
        <f ca="1"/>
        <v>11.309523809524308</v>
      </c>
      <c r="N2672" s="6">
        <f ca="1"/>
        <v>-0.11547619047619051</v>
      </c>
      <c r="O2672" s="6">
        <f t="shared" ca="1" si="381"/>
        <v>71.904761904760164</v>
      </c>
      <c r="P2672" t="str">
        <f t="shared" si="389"/>
        <v>NA</v>
      </c>
      <c r="Q2672" s="10">
        <f t="shared" ca="1" si="382"/>
        <v>89.404761904760392</v>
      </c>
      <c r="R2672" s="10">
        <f t="shared" ca="1" si="383"/>
        <v>123.86904761904589</v>
      </c>
      <c r="S2672" s="10">
        <f t="shared" ca="1" si="384"/>
        <v>-34.464285714285495</v>
      </c>
      <c r="T2672" s="10">
        <f t="shared" ca="1" si="385"/>
        <v>298.45360824742068</v>
      </c>
      <c r="U2672" s="10">
        <f t="shared" ca="1" si="386"/>
        <v>298.45360824742068</v>
      </c>
      <c r="V2672">
        <f t="shared" si="387"/>
        <v>5</v>
      </c>
    </row>
    <row r="2673" spans="1:22" x14ac:dyDescent="0.25">
      <c r="A2673">
        <v>297</v>
      </c>
      <c r="B2673">
        <v>8</v>
      </c>
      <c r="C2673">
        <v>60</v>
      </c>
      <c r="D2673">
        <v>1</v>
      </c>
      <c r="E2673">
        <v>1</v>
      </c>
      <c r="F2673">
        <v>0</v>
      </c>
      <c r="G2673">
        <v>1</v>
      </c>
      <c r="H2673">
        <v>550</v>
      </c>
      <c r="I2673">
        <f t="shared" si="388"/>
        <v>2664</v>
      </c>
      <c r="J2673" s="6">
        <f t="array" aca="1" ref="J2673:N2673" ca="1">TRANSPOSE(ols(OFFSET($C$2:$C$10,I2673,0),OFFSET($D$2:$H$10,I2673,0)))</f>
        <v>111.13095238095048</v>
      </c>
      <c r="K2673" s="6">
        <f ca="1"/>
        <v>1.4285714285711038</v>
      </c>
      <c r="L2673" s="6">
        <f ca="1"/>
        <v>7.3809523809522943</v>
      </c>
      <c r="M2673" s="6">
        <f ca="1"/>
        <v>11.309523809524308</v>
      </c>
      <c r="N2673" s="6">
        <f ca="1"/>
        <v>-0.11547619047619051</v>
      </c>
      <c r="O2673" s="6">
        <f t="shared" ca="1" si="381"/>
        <v>60.357142857141106</v>
      </c>
      <c r="P2673" t="str">
        <f t="shared" si="389"/>
        <v>NA</v>
      </c>
      <c r="Q2673" s="10">
        <f t="shared" ca="1" si="382"/>
        <v>89.404761904760392</v>
      </c>
      <c r="R2673" s="10">
        <f t="shared" ca="1" si="383"/>
        <v>123.86904761904589</v>
      </c>
      <c r="S2673" s="10">
        <f t="shared" ca="1" si="384"/>
        <v>-34.464285714285495</v>
      </c>
      <c r="T2673" s="10">
        <f t="shared" ca="1" si="385"/>
        <v>298.45360824742068</v>
      </c>
      <c r="U2673" s="10">
        <f t="shared" ca="1" si="386"/>
        <v>298.45360824742068</v>
      </c>
      <c r="V2673">
        <f t="shared" si="387"/>
        <v>5</v>
      </c>
    </row>
    <row r="2674" spans="1:22" x14ac:dyDescent="0.25">
      <c r="A2674">
        <v>297</v>
      </c>
      <c r="B2674">
        <v>9</v>
      </c>
      <c r="C2674">
        <v>50</v>
      </c>
      <c r="D2674">
        <v>1</v>
      </c>
      <c r="E2674">
        <v>0</v>
      </c>
      <c r="F2674">
        <v>0</v>
      </c>
      <c r="G2674">
        <v>1</v>
      </c>
      <c r="H2674">
        <v>650</v>
      </c>
      <c r="I2674">
        <f t="shared" si="388"/>
        <v>2664</v>
      </c>
      <c r="J2674" s="6">
        <f t="array" aca="1" ref="J2674:N2674" ca="1">TRANSPOSE(ols(OFFSET($C$2:$C$10,I2674,0),OFFSET($D$2:$H$10,I2674,0)))</f>
        <v>111.13095238095048</v>
      </c>
      <c r="K2674" s="6">
        <f ca="1"/>
        <v>1.4285714285711038</v>
      </c>
      <c r="L2674" s="6">
        <f ca="1"/>
        <v>7.3809523809522943</v>
      </c>
      <c r="M2674" s="6">
        <f ca="1"/>
        <v>11.309523809524308</v>
      </c>
      <c r="N2674" s="6">
        <f ca="1"/>
        <v>-0.11547619047619051</v>
      </c>
      <c r="O2674" s="6">
        <f t="shared" ca="1" si="381"/>
        <v>47.380952380950959</v>
      </c>
      <c r="P2674" t="str">
        <f t="shared" si="389"/>
        <v>NA</v>
      </c>
      <c r="Q2674" s="10">
        <f t="shared" ca="1" si="382"/>
        <v>89.404761904760392</v>
      </c>
      <c r="R2674" s="10">
        <f t="shared" ca="1" si="383"/>
        <v>122.44047619047478</v>
      </c>
      <c r="S2674" s="10">
        <f t="shared" ca="1" si="384"/>
        <v>-33.035714285714391</v>
      </c>
      <c r="T2674" s="10">
        <f t="shared" ca="1" si="385"/>
        <v>286.08247422680495</v>
      </c>
      <c r="U2674" s="10">
        <f t="shared" ca="1" si="386"/>
        <v>286.08247422680495</v>
      </c>
      <c r="V2674">
        <f t="shared" si="387"/>
        <v>4</v>
      </c>
    </row>
    <row r="2675" spans="1:22" x14ac:dyDescent="0.25">
      <c r="A2675">
        <v>298</v>
      </c>
      <c r="B2675">
        <v>1</v>
      </c>
      <c r="C2675">
        <v>37.5</v>
      </c>
      <c r="D2675">
        <v>1</v>
      </c>
      <c r="E2675">
        <v>0</v>
      </c>
      <c r="F2675">
        <v>1</v>
      </c>
      <c r="G2675">
        <v>0</v>
      </c>
      <c r="H2675">
        <v>250</v>
      </c>
      <c r="I2675">
        <f t="shared" si="388"/>
        <v>2673</v>
      </c>
      <c r="J2675" s="6">
        <f t="array" aca="1" ref="J2675:N2675" ca="1">TRANSPOSE(ols(OFFSET($C$2:$C$10,I2675,0),OFFSET($D$2:$H$10,I2675,0)))</f>
        <v>97.559523809522943</v>
      </c>
      <c r="K2675" s="6">
        <f ca="1"/>
        <v>-16.964285714285552</v>
      </c>
      <c r="L2675" s="6">
        <f ca="1"/>
        <v>-26.190476190476602</v>
      </c>
      <c r="M2675" s="6">
        <f ca="1"/>
        <v>23.095238095238301</v>
      </c>
      <c r="N2675" s="6">
        <f ca="1"/>
        <v>-0.12976190476190474</v>
      </c>
      <c r="O2675" s="6">
        <f t="shared" ca="1" si="381"/>
        <v>38.928571428570152</v>
      </c>
      <c r="P2675" t="str">
        <f t="shared" si="389"/>
        <v>NA</v>
      </c>
      <c r="Q2675" s="10">
        <f t="shared" ca="1" si="382"/>
        <v>49.047619047617985</v>
      </c>
      <c r="R2675" s="10">
        <f t="shared" ca="1" si="383"/>
        <v>71.369047619046341</v>
      </c>
      <c r="S2675" s="10">
        <f t="shared" ca="1" si="384"/>
        <v>-22.321428571428356</v>
      </c>
      <c r="T2675" s="10">
        <f t="shared" ca="1" si="385"/>
        <v>172.01834862385158</v>
      </c>
      <c r="U2675" s="10" t="str">
        <f t="shared" ca="1" si="386"/>
        <v>OR</v>
      </c>
      <c r="V2675">
        <f t="shared" si="387"/>
        <v>3</v>
      </c>
    </row>
    <row r="2676" spans="1:22" x14ac:dyDescent="0.25">
      <c r="A2676">
        <v>298</v>
      </c>
      <c r="B2676">
        <v>2</v>
      </c>
      <c r="C2676">
        <v>30</v>
      </c>
      <c r="D2676">
        <v>1</v>
      </c>
      <c r="E2676">
        <v>1</v>
      </c>
      <c r="F2676">
        <v>0</v>
      </c>
      <c r="G2676">
        <v>0</v>
      </c>
      <c r="H2676">
        <v>350</v>
      </c>
      <c r="I2676">
        <f t="shared" si="388"/>
        <v>2673</v>
      </c>
      <c r="J2676" s="6">
        <f t="array" aca="1" ref="J2676:N2676" ca="1">TRANSPOSE(ols(OFFSET($C$2:$C$10,I2676,0),OFFSET($D$2:$H$10,I2676,0)))</f>
        <v>97.559523809522943</v>
      </c>
      <c r="K2676" s="6">
        <f ca="1"/>
        <v>-16.964285714285552</v>
      </c>
      <c r="L2676" s="6">
        <f ca="1"/>
        <v>-26.190476190476602</v>
      </c>
      <c r="M2676" s="6">
        <f ca="1"/>
        <v>23.095238095238301</v>
      </c>
      <c r="N2676" s="6">
        <f ca="1"/>
        <v>-0.12976190476190474</v>
      </c>
      <c r="O2676" s="6">
        <f t="shared" ca="1" si="381"/>
        <v>35.178571428570734</v>
      </c>
      <c r="P2676" t="str">
        <f t="shared" si="389"/>
        <v>NA</v>
      </c>
      <c r="Q2676" s="10">
        <f t="shared" ca="1" si="382"/>
        <v>49.047619047617985</v>
      </c>
      <c r="R2676" s="10">
        <f t="shared" ca="1" si="383"/>
        <v>80.595238095237391</v>
      </c>
      <c r="S2676" s="10">
        <f t="shared" ca="1" si="384"/>
        <v>-31.547619047619406</v>
      </c>
      <c r="T2676" s="10">
        <f t="shared" ca="1" si="385"/>
        <v>243.11926605504866</v>
      </c>
      <c r="U2676" s="10" t="str">
        <f t="shared" ca="1" si="386"/>
        <v>OR</v>
      </c>
      <c r="V2676">
        <f t="shared" si="387"/>
        <v>2</v>
      </c>
    </row>
    <row r="2677" spans="1:22" x14ac:dyDescent="0.25">
      <c r="A2677">
        <v>298</v>
      </c>
      <c r="B2677">
        <v>3</v>
      </c>
      <c r="C2677">
        <v>30</v>
      </c>
      <c r="D2677">
        <v>1</v>
      </c>
      <c r="E2677">
        <v>1</v>
      </c>
      <c r="F2677">
        <v>0</v>
      </c>
      <c r="G2677">
        <v>0</v>
      </c>
      <c r="H2677">
        <v>450</v>
      </c>
      <c r="I2677">
        <f t="shared" si="388"/>
        <v>2673</v>
      </c>
      <c r="J2677" s="6">
        <f t="array" aca="1" ref="J2677:N2677" ca="1">TRANSPOSE(ols(OFFSET($C$2:$C$10,I2677,0),OFFSET($D$2:$H$10,I2677,0)))</f>
        <v>97.559523809522943</v>
      </c>
      <c r="K2677" s="6">
        <f ca="1"/>
        <v>-16.964285714285552</v>
      </c>
      <c r="L2677" s="6">
        <f ca="1"/>
        <v>-26.190476190476602</v>
      </c>
      <c r="M2677" s="6">
        <f ca="1"/>
        <v>23.095238095238301</v>
      </c>
      <c r="N2677" s="6">
        <f ca="1"/>
        <v>-0.12976190476190474</v>
      </c>
      <c r="O2677" s="6">
        <f t="shared" ca="1" si="381"/>
        <v>22.202380952380253</v>
      </c>
      <c r="P2677" t="str">
        <f t="shared" si="389"/>
        <v>NA</v>
      </c>
      <c r="Q2677" s="10">
        <f t="shared" ca="1" si="382"/>
        <v>49.047619047617985</v>
      </c>
      <c r="R2677" s="10">
        <f t="shared" ca="1" si="383"/>
        <v>80.595238095237391</v>
      </c>
      <c r="S2677" s="10">
        <f t="shared" ca="1" si="384"/>
        <v>-31.547619047619406</v>
      </c>
      <c r="T2677" s="10">
        <f t="shared" ca="1" si="385"/>
        <v>243.11926605504866</v>
      </c>
      <c r="U2677" s="10" t="str">
        <f t="shared" ca="1" si="386"/>
        <v>OR</v>
      </c>
      <c r="V2677">
        <f t="shared" si="387"/>
        <v>2</v>
      </c>
    </row>
    <row r="2678" spans="1:22" x14ac:dyDescent="0.25">
      <c r="A2678">
        <v>298</v>
      </c>
      <c r="B2678">
        <v>4</v>
      </c>
      <c r="C2678">
        <v>25</v>
      </c>
      <c r="D2678">
        <v>1</v>
      </c>
      <c r="E2678">
        <v>0</v>
      </c>
      <c r="F2678">
        <v>0</v>
      </c>
      <c r="G2678">
        <v>0</v>
      </c>
      <c r="H2678">
        <v>550</v>
      </c>
      <c r="I2678">
        <f t="shared" si="388"/>
        <v>2673</v>
      </c>
      <c r="J2678" s="6">
        <f t="array" aca="1" ref="J2678:N2678" ca="1">TRANSPOSE(ols(OFFSET($C$2:$C$10,I2678,0),OFFSET($D$2:$H$10,I2678,0)))</f>
        <v>97.559523809522943</v>
      </c>
      <c r="K2678" s="6">
        <f ca="1"/>
        <v>-16.964285714285552</v>
      </c>
      <c r="L2678" s="6">
        <f ca="1"/>
        <v>-26.190476190476602</v>
      </c>
      <c r="M2678" s="6">
        <f ca="1"/>
        <v>23.095238095238301</v>
      </c>
      <c r="N2678" s="6">
        <f ca="1"/>
        <v>-0.12976190476190474</v>
      </c>
      <c r="O2678" s="6">
        <f t="shared" ca="1" si="381"/>
        <v>26.190476190475337</v>
      </c>
      <c r="P2678" t="str">
        <f t="shared" si="389"/>
        <v>NA</v>
      </c>
      <c r="Q2678" s="10">
        <f t="shared" ca="1" si="382"/>
        <v>49.047619047617985</v>
      </c>
      <c r="R2678" s="10">
        <f t="shared" ca="1" si="383"/>
        <v>97.559523809522943</v>
      </c>
      <c r="S2678" s="10">
        <f t="shared" ca="1" si="384"/>
        <v>-48.511904761904958</v>
      </c>
      <c r="T2678" s="10">
        <f t="shared" ca="1" si="385"/>
        <v>373.85321100917588</v>
      </c>
      <c r="U2678" s="10">
        <f t="shared" ca="1" si="386"/>
        <v>373.85321100917588</v>
      </c>
      <c r="V2678">
        <f t="shared" si="387"/>
        <v>1</v>
      </c>
    </row>
    <row r="2679" spans="1:22" x14ac:dyDescent="0.25">
      <c r="A2679">
        <v>298</v>
      </c>
      <c r="B2679">
        <v>5</v>
      </c>
      <c r="C2679">
        <v>75</v>
      </c>
      <c r="D2679">
        <v>1</v>
      </c>
      <c r="E2679">
        <v>0</v>
      </c>
      <c r="F2679">
        <v>1</v>
      </c>
      <c r="G2679">
        <v>1</v>
      </c>
      <c r="H2679">
        <v>250</v>
      </c>
      <c r="I2679">
        <f t="shared" si="388"/>
        <v>2673</v>
      </c>
      <c r="J2679" s="6">
        <f t="array" aca="1" ref="J2679:N2679" ca="1">TRANSPOSE(ols(OFFSET($C$2:$C$10,I2679,0),OFFSET($D$2:$H$10,I2679,0)))</f>
        <v>97.559523809522943</v>
      </c>
      <c r="K2679" s="6">
        <f ca="1"/>
        <v>-16.964285714285552</v>
      </c>
      <c r="L2679" s="6">
        <f ca="1"/>
        <v>-26.190476190476602</v>
      </c>
      <c r="M2679" s="6">
        <f ca="1"/>
        <v>23.095238095238301</v>
      </c>
      <c r="N2679" s="6">
        <f ca="1"/>
        <v>-0.12976190476190474</v>
      </c>
      <c r="O2679" s="6">
        <f t="shared" ca="1" si="381"/>
        <v>62.023809523808453</v>
      </c>
      <c r="P2679" t="str">
        <f t="shared" si="389"/>
        <v>NA</v>
      </c>
      <c r="Q2679" s="10">
        <f t="shared" ca="1" si="382"/>
        <v>49.047619047617985</v>
      </c>
      <c r="R2679" s="10">
        <f t="shared" ca="1" si="383"/>
        <v>94.464285714284642</v>
      </c>
      <c r="S2679" s="10">
        <f t="shared" ca="1" si="384"/>
        <v>-45.416666666666657</v>
      </c>
      <c r="T2679" s="10">
        <f t="shared" ca="1" si="385"/>
        <v>350</v>
      </c>
      <c r="U2679" s="10">
        <f t="shared" ca="1" si="386"/>
        <v>350</v>
      </c>
      <c r="V2679">
        <f t="shared" si="387"/>
        <v>6</v>
      </c>
    </row>
    <row r="2680" spans="1:22" x14ac:dyDescent="0.25">
      <c r="A2680">
        <v>298</v>
      </c>
      <c r="B2680">
        <v>6</v>
      </c>
      <c r="C2680">
        <v>37.5</v>
      </c>
      <c r="D2680">
        <v>1</v>
      </c>
      <c r="E2680">
        <v>0</v>
      </c>
      <c r="F2680">
        <v>1</v>
      </c>
      <c r="G2680">
        <v>1</v>
      </c>
      <c r="H2680">
        <v>350</v>
      </c>
      <c r="I2680">
        <f t="shared" si="388"/>
        <v>2673</v>
      </c>
      <c r="J2680" s="6">
        <f t="array" aca="1" ref="J2680:N2680" ca="1">TRANSPOSE(ols(OFFSET($C$2:$C$10,I2680,0),OFFSET($D$2:$H$10,I2680,0)))</f>
        <v>97.559523809522943</v>
      </c>
      <c r="K2680" s="6">
        <f ca="1"/>
        <v>-16.964285714285552</v>
      </c>
      <c r="L2680" s="6">
        <f ca="1"/>
        <v>-26.190476190476602</v>
      </c>
      <c r="M2680" s="6">
        <f ca="1"/>
        <v>23.095238095238301</v>
      </c>
      <c r="N2680" s="6">
        <f ca="1"/>
        <v>-0.12976190476190474</v>
      </c>
      <c r="O2680" s="6">
        <f t="shared" ca="1" si="381"/>
        <v>49.047619047617985</v>
      </c>
      <c r="P2680">
        <f t="shared" ca="1" si="389"/>
        <v>49.047619047617985</v>
      </c>
      <c r="Q2680" s="10">
        <f t="shared" ca="1" si="382"/>
        <v>49.047619047617985</v>
      </c>
      <c r="R2680" s="10">
        <f t="shared" ca="1" si="383"/>
        <v>94.464285714284642</v>
      </c>
      <c r="S2680" s="10">
        <f t="shared" ca="1" si="384"/>
        <v>-45.416666666666657</v>
      </c>
      <c r="T2680" s="10">
        <f t="shared" ca="1" si="385"/>
        <v>350</v>
      </c>
      <c r="U2680" s="10">
        <f t="shared" ca="1" si="386"/>
        <v>350</v>
      </c>
      <c r="V2680">
        <f t="shared" si="387"/>
        <v>6</v>
      </c>
    </row>
    <row r="2681" spans="1:22" x14ac:dyDescent="0.25">
      <c r="A2681">
        <v>298</v>
      </c>
      <c r="B2681">
        <v>7</v>
      </c>
      <c r="C2681">
        <v>37.5</v>
      </c>
      <c r="D2681">
        <v>1</v>
      </c>
      <c r="E2681">
        <v>1</v>
      </c>
      <c r="F2681">
        <v>0</v>
      </c>
      <c r="G2681">
        <v>1</v>
      </c>
      <c r="H2681">
        <v>450</v>
      </c>
      <c r="I2681">
        <f t="shared" si="388"/>
        <v>2673</v>
      </c>
      <c r="J2681" s="6">
        <f t="array" aca="1" ref="J2681:N2681" ca="1">TRANSPOSE(ols(OFFSET($C$2:$C$10,I2681,0),OFFSET($D$2:$H$10,I2681,0)))</f>
        <v>97.559523809522943</v>
      </c>
      <c r="K2681" s="6">
        <f ca="1"/>
        <v>-16.964285714285552</v>
      </c>
      <c r="L2681" s="6">
        <f ca="1"/>
        <v>-26.190476190476602</v>
      </c>
      <c r="M2681" s="6">
        <f ca="1"/>
        <v>23.095238095238301</v>
      </c>
      <c r="N2681" s="6">
        <f ca="1"/>
        <v>-0.12976190476190474</v>
      </c>
      <c r="O2681" s="6">
        <f t="shared" ca="1" si="381"/>
        <v>45.297619047618554</v>
      </c>
      <c r="P2681" t="str">
        <f t="shared" si="389"/>
        <v>NA</v>
      </c>
      <c r="Q2681" s="10">
        <f t="shared" ca="1" si="382"/>
        <v>49.047619047617985</v>
      </c>
      <c r="R2681" s="10">
        <f t="shared" ca="1" si="383"/>
        <v>103.69047619047569</v>
      </c>
      <c r="S2681" s="10">
        <f t="shared" ca="1" si="384"/>
        <v>-54.642857142857707</v>
      </c>
      <c r="T2681" s="10">
        <f t="shared" ca="1" si="385"/>
        <v>421.10091743119705</v>
      </c>
      <c r="U2681" s="10">
        <f t="shared" ca="1" si="386"/>
        <v>421.10091743119705</v>
      </c>
      <c r="V2681">
        <f t="shared" si="387"/>
        <v>5</v>
      </c>
    </row>
    <row r="2682" spans="1:22" x14ac:dyDescent="0.25">
      <c r="A2682">
        <v>298</v>
      </c>
      <c r="B2682">
        <v>8</v>
      </c>
      <c r="C2682">
        <v>37.5</v>
      </c>
      <c r="D2682">
        <v>1</v>
      </c>
      <c r="E2682">
        <v>1</v>
      </c>
      <c r="F2682">
        <v>0</v>
      </c>
      <c r="G2682">
        <v>1</v>
      </c>
      <c r="H2682">
        <v>550</v>
      </c>
      <c r="I2682">
        <f t="shared" si="388"/>
        <v>2673</v>
      </c>
      <c r="J2682" s="6">
        <f t="array" aca="1" ref="J2682:N2682" ca="1">TRANSPOSE(ols(OFFSET($C$2:$C$10,I2682,0),OFFSET($D$2:$H$10,I2682,0)))</f>
        <v>97.559523809522943</v>
      </c>
      <c r="K2682" s="6">
        <f ca="1"/>
        <v>-16.964285714285552</v>
      </c>
      <c r="L2682" s="6">
        <f ca="1"/>
        <v>-26.190476190476602</v>
      </c>
      <c r="M2682" s="6">
        <f ca="1"/>
        <v>23.095238095238301</v>
      </c>
      <c r="N2682" s="6">
        <f ca="1"/>
        <v>-0.12976190476190474</v>
      </c>
      <c r="O2682" s="6">
        <f t="shared" ca="1" si="381"/>
        <v>32.321428571428086</v>
      </c>
      <c r="P2682" t="str">
        <f t="shared" si="389"/>
        <v>NA</v>
      </c>
      <c r="Q2682" s="10">
        <f t="shared" ca="1" si="382"/>
        <v>49.047619047617985</v>
      </c>
      <c r="R2682" s="10">
        <f t="shared" ca="1" si="383"/>
        <v>103.69047619047569</v>
      </c>
      <c r="S2682" s="10">
        <f t="shared" ca="1" si="384"/>
        <v>-54.642857142857707</v>
      </c>
      <c r="T2682" s="10">
        <f t="shared" ca="1" si="385"/>
        <v>421.10091743119705</v>
      </c>
      <c r="U2682" s="10">
        <f t="shared" ca="1" si="386"/>
        <v>421.10091743119705</v>
      </c>
      <c r="V2682">
        <f t="shared" si="387"/>
        <v>5</v>
      </c>
    </row>
    <row r="2683" spans="1:22" x14ac:dyDescent="0.25">
      <c r="A2683">
        <v>298</v>
      </c>
      <c r="B2683">
        <v>9</v>
      </c>
      <c r="C2683">
        <v>37.5</v>
      </c>
      <c r="D2683">
        <v>1</v>
      </c>
      <c r="E2683">
        <v>0</v>
      </c>
      <c r="F2683">
        <v>0</v>
      </c>
      <c r="G2683">
        <v>1</v>
      </c>
      <c r="H2683">
        <v>650</v>
      </c>
      <c r="I2683">
        <f t="shared" si="388"/>
        <v>2673</v>
      </c>
      <c r="J2683" s="6">
        <f t="array" aca="1" ref="J2683:N2683" ca="1">TRANSPOSE(ols(OFFSET($C$2:$C$10,I2683,0),OFFSET($D$2:$H$10,I2683,0)))</f>
        <v>97.559523809522943</v>
      </c>
      <c r="K2683" s="6">
        <f ca="1"/>
        <v>-16.964285714285552</v>
      </c>
      <c r="L2683" s="6">
        <f ca="1"/>
        <v>-26.190476190476602</v>
      </c>
      <c r="M2683" s="6">
        <f ca="1"/>
        <v>23.095238095238301</v>
      </c>
      <c r="N2683" s="6">
        <f ca="1"/>
        <v>-0.12976190476190474</v>
      </c>
      <c r="O2683" s="6">
        <f t="shared" ca="1" si="381"/>
        <v>36.309523809523157</v>
      </c>
      <c r="P2683" t="str">
        <f t="shared" si="389"/>
        <v>NA</v>
      </c>
      <c r="Q2683" s="10">
        <f t="shared" ca="1" si="382"/>
        <v>49.047619047617985</v>
      </c>
      <c r="R2683" s="10">
        <f t="shared" ca="1" si="383"/>
        <v>120.65476190476124</v>
      </c>
      <c r="S2683" s="10">
        <f t="shared" ca="1" si="384"/>
        <v>-71.607142857143259</v>
      </c>
      <c r="T2683" s="10">
        <f t="shared" ca="1" si="385"/>
        <v>551.8348623853243</v>
      </c>
      <c r="U2683" s="10">
        <f t="shared" ca="1" si="386"/>
        <v>551.8348623853243</v>
      </c>
      <c r="V2683">
        <f t="shared" si="387"/>
        <v>4</v>
      </c>
    </row>
    <row r="2684" spans="1:22" x14ac:dyDescent="0.25">
      <c r="A2684">
        <v>299</v>
      </c>
      <c r="B2684">
        <v>1</v>
      </c>
      <c r="C2684">
        <v>55</v>
      </c>
      <c r="D2684">
        <v>1</v>
      </c>
      <c r="E2684">
        <v>0</v>
      </c>
      <c r="F2684">
        <v>1</v>
      </c>
      <c r="G2684">
        <v>0</v>
      </c>
      <c r="H2684">
        <v>250</v>
      </c>
      <c r="I2684">
        <f t="shared" si="388"/>
        <v>2682</v>
      </c>
      <c r="J2684" s="6">
        <f t="array" aca="1" ref="J2684:N2684" ca="1">TRANSPOSE(ols(OFFSET($C$2:$C$10,I2684,0),OFFSET($D$2:$H$10,I2684,0)))</f>
        <v>106.36904761904589</v>
      </c>
      <c r="K2684" s="6">
        <f ca="1"/>
        <v>-13.928571428571331</v>
      </c>
      <c r="L2684" s="6">
        <f ca="1"/>
        <v>-22.380952380952294</v>
      </c>
      <c r="M2684" s="6">
        <f ca="1"/>
        <v>13.690476190476375</v>
      </c>
      <c r="N2684" s="6">
        <f ca="1"/>
        <v>-0.13452380952381127</v>
      </c>
      <c r="O2684" s="6">
        <f t="shared" ca="1" si="381"/>
        <v>50.357142857140772</v>
      </c>
      <c r="P2684" t="str">
        <f t="shared" si="389"/>
        <v>NA</v>
      </c>
      <c r="Q2684" s="10">
        <f t="shared" ca="1" si="382"/>
        <v>50.595238095236027</v>
      </c>
      <c r="R2684" s="10">
        <f t="shared" ca="1" si="383"/>
        <v>83.988095238093592</v>
      </c>
      <c r="S2684" s="10">
        <f t="shared" ca="1" si="384"/>
        <v>-33.392857142857565</v>
      </c>
      <c r="T2684" s="10">
        <f t="shared" ca="1" si="385"/>
        <v>248.23008849557513</v>
      </c>
      <c r="U2684" s="10" t="str">
        <f t="shared" ca="1" si="386"/>
        <v>OR</v>
      </c>
      <c r="V2684">
        <f t="shared" si="387"/>
        <v>3</v>
      </c>
    </row>
    <row r="2685" spans="1:22" x14ac:dyDescent="0.25">
      <c r="A2685">
        <v>299</v>
      </c>
      <c r="B2685">
        <v>2</v>
      </c>
      <c r="C2685">
        <v>50</v>
      </c>
      <c r="D2685">
        <v>1</v>
      </c>
      <c r="E2685">
        <v>1</v>
      </c>
      <c r="F2685">
        <v>0</v>
      </c>
      <c r="G2685">
        <v>0</v>
      </c>
      <c r="H2685">
        <v>350</v>
      </c>
      <c r="I2685">
        <f t="shared" si="388"/>
        <v>2682</v>
      </c>
      <c r="J2685" s="6">
        <f t="array" aca="1" ref="J2685:N2685" ca="1">TRANSPOSE(ols(OFFSET($C$2:$C$10,I2685,0),OFFSET($D$2:$H$10,I2685,0)))</f>
        <v>106.36904761904589</v>
      </c>
      <c r="K2685" s="6">
        <f ca="1"/>
        <v>-13.928571428571331</v>
      </c>
      <c r="L2685" s="6">
        <f ca="1"/>
        <v>-22.380952380952294</v>
      </c>
      <c r="M2685" s="6">
        <f ca="1"/>
        <v>13.690476190476375</v>
      </c>
      <c r="N2685" s="6">
        <f ca="1"/>
        <v>-0.13452380952381127</v>
      </c>
      <c r="O2685" s="6">
        <f t="shared" ca="1" si="381"/>
        <v>45.357142857140616</v>
      </c>
      <c r="P2685" t="str">
        <f t="shared" si="389"/>
        <v>NA</v>
      </c>
      <c r="Q2685" s="10">
        <f t="shared" ca="1" si="382"/>
        <v>50.595238095236027</v>
      </c>
      <c r="R2685" s="10">
        <f t="shared" ca="1" si="383"/>
        <v>92.440476190474556</v>
      </c>
      <c r="S2685" s="10">
        <f t="shared" ca="1" si="384"/>
        <v>-41.845238095238528</v>
      </c>
      <c r="T2685" s="10">
        <f t="shared" ca="1" si="385"/>
        <v>311.06194690265409</v>
      </c>
      <c r="U2685" s="10">
        <f t="shared" ca="1" si="386"/>
        <v>311.06194690265409</v>
      </c>
      <c r="V2685">
        <f t="shared" si="387"/>
        <v>2</v>
      </c>
    </row>
    <row r="2686" spans="1:22" x14ac:dyDescent="0.25">
      <c r="A2686">
        <v>299</v>
      </c>
      <c r="B2686">
        <v>3</v>
      </c>
      <c r="C2686">
        <v>30</v>
      </c>
      <c r="D2686">
        <v>1</v>
      </c>
      <c r="E2686">
        <v>1</v>
      </c>
      <c r="F2686">
        <v>0</v>
      </c>
      <c r="G2686">
        <v>0</v>
      </c>
      <c r="H2686">
        <v>450</v>
      </c>
      <c r="I2686">
        <f t="shared" si="388"/>
        <v>2682</v>
      </c>
      <c r="J2686" s="6">
        <f t="array" aca="1" ref="J2686:N2686" ca="1">TRANSPOSE(ols(OFFSET($C$2:$C$10,I2686,0),OFFSET($D$2:$H$10,I2686,0)))</f>
        <v>106.36904761904589</v>
      </c>
      <c r="K2686" s="6">
        <f ca="1"/>
        <v>-13.928571428571331</v>
      </c>
      <c r="L2686" s="6">
        <f ca="1"/>
        <v>-22.380952380952294</v>
      </c>
      <c r="M2686" s="6">
        <f ca="1"/>
        <v>13.690476190476375</v>
      </c>
      <c r="N2686" s="6">
        <f ca="1"/>
        <v>-0.13452380952381127</v>
      </c>
      <c r="O2686" s="6">
        <f t="shared" ca="1" si="381"/>
        <v>31.904761904759482</v>
      </c>
      <c r="P2686" t="str">
        <f t="shared" si="389"/>
        <v>NA</v>
      </c>
      <c r="Q2686" s="10">
        <f t="shared" ca="1" si="382"/>
        <v>50.595238095236027</v>
      </c>
      <c r="R2686" s="10">
        <f t="shared" ca="1" si="383"/>
        <v>92.440476190474556</v>
      </c>
      <c r="S2686" s="10">
        <f t="shared" ca="1" si="384"/>
        <v>-41.845238095238528</v>
      </c>
      <c r="T2686" s="10">
        <f t="shared" ca="1" si="385"/>
        <v>311.06194690265409</v>
      </c>
      <c r="U2686" s="10">
        <f t="shared" ca="1" si="386"/>
        <v>311.06194690265409</v>
      </c>
      <c r="V2686">
        <f t="shared" si="387"/>
        <v>2</v>
      </c>
    </row>
    <row r="2687" spans="1:22" x14ac:dyDescent="0.25">
      <c r="A2687">
        <v>299</v>
      </c>
      <c r="B2687">
        <v>4</v>
      </c>
      <c r="C2687">
        <v>25</v>
      </c>
      <c r="D2687">
        <v>1</v>
      </c>
      <c r="E2687">
        <v>0</v>
      </c>
      <c r="F2687">
        <v>0</v>
      </c>
      <c r="G2687">
        <v>0</v>
      </c>
      <c r="H2687">
        <v>550</v>
      </c>
      <c r="I2687">
        <f t="shared" si="388"/>
        <v>2682</v>
      </c>
      <c r="J2687" s="6">
        <f t="array" aca="1" ref="J2687:N2687" ca="1">TRANSPOSE(ols(OFFSET($C$2:$C$10,I2687,0),OFFSET($D$2:$H$10,I2687,0)))</f>
        <v>106.36904761904589</v>
      </c>
      <c r="K2687" s="6">
        <f ca="1"/>
        <v>-13.928571428571331</v>
      </c>
      <c r="L2687" s="6">
        <f ca="1"/>
        <v>-22.380952380952294</v>
      </c>
      <c r="M2687" s="6">
        <f ca="1"/>
        <v>13.690476190476375</v>
      </c>
      <c r="N2687" s="6">
        <f ca="1"/>
        <v>-0.13452380952381127</v>
      </c>
      <c r="O2687" s="6">
        <f t="shared" ca="1" si="381"/>
        <v>32.380952380949694</v>
      </c>
      <c r="P2687" t="str">
        <f t="shared" si="389"/>
        <v>NA</v>
      </c>
      <c r="Q2687" s="10">
        <f t="shared" ca="1" si="382"/>
        <v>50.595238095236027</v>
      </c>
      <c r="R2687" s="10">
        <f t="shared" ca="1" si="383"/>
        <v>106.36904761904589</v>
      </c>
      <c r="S2687" s="10">
        <f t="shared" ca="1" si="384"/>
        <v>-55.773809523809859</v>
      </c>
      <c r="T2687" s="10">
        <f t="shared" ca="1" si="385"/>
        <v>414.60176991150155</v>
      </c>
      <c r="U2687" s="10">
        <f t="shared" ca="1" si="386"/>
        <v>414.60176991150155</v>
      </c>
      <c r="V2687">
        <f t="shared" si="387"/>
        <v>1</v>
      </c>
    </row>
    <row r="2688" spans="1:22" x14ac:dyDescent="0.25">
      <c r="A2688">
        <v>299</v>
      </c>
      <c r="B2688">
        <v>5</v>
      </c>
      <c r="C2688">
        <v>65</v>
      </c>
      <c r="D2688">
        <v>1</v>
      </c>
      <c r="E2688">
        <v>0</v>
      </c>
      <c r="F2688">
        <v>1</v>
      </c>
      <c r="G2688">
        <v>1</v>
      </c>
      <c r="H2688">
        <v>250</v>
      </c>
      <c r="I2688">
        <f t="shared" si="388"/>
        <v>2682</v>
      </c>
      <c r="J2688" s="6">
        <f t="array" aca="1" ref="J2688:N2688" ca="1">TRANSPOSE(ols(OFFSET($C$2:$C$10,I2688,0),OFFSET($D$2:$H$10,I2688,0)))</f>
        <v>106.36904761904589</v>
      </c>
      <c r="K2688" s="6">
        <f ca="1"/>
        <v>-13.928571428571331</v>
      </c>
      <c r="L2688" s="6">
        <f ca="1"/>
        <v>-22.380952380952294</v>
      </c>
      <c r="M2688" s="6">
        <f ca="1"/>
        <v>13.690476190476375</v>
      </c>
      <c r="N2688" s="6">
        <f ca="1"/>
        <v>-0.13452380952381127</v>
      </c>
      <c r="O2688" s="6">
        <f t="shared" ca="1" si="381"/>
        <v>64.047619047617147</v>
      </c>
      <c r="P2688" t="str">
        <f t="shared" si="389"/>
        <v>NA</v>
      </c>
      <c r="Q2688" s="10">
        <f t="shared" ca="1" si="382"/>
        <v>50.595238095236027</v>
      </c>
      <c r="R2688" s="10">
        <f t="shared" ca="1" si="383"/>
        <v>97.678571428569967</v>
      </c>
      <c r="S2688" s="10">
        <f t="shared" ca="1" si="384"/>
        <v>-47.08333333333394</v>
      </c>
      <c r="T2688" s="10">
        <f t="shared" ca="1" si="385"/>
        <v>350</v>
      </c>
      <c r="U2688" s="10">
        <f t="shared" ca="1" si="386"/>
        <v>350</v>
      </c>
      <c r="V2688">
        <f t="shared" si="387"/>
        <v>6</v>
      </c>
    </row>
    <row r="2689" spans="1:22" x14ac:dyDescent="0.25">
      <c r="A2689">
        <v>299</v>
      </c>
      <c r="B2689">
        <v>6</v>
      </c>
      <c r="C2689">
        <v>45</v>
      </c>
      <c r="D2689">
        <v>1</v>
      </c>
      <c r="E2689">
        <v>0</v>
      </c>
      <c r="F2689">
        <v>1</v>
      </c>
      <c r="G2689">
        <v>1</v>
      </c>
      <c r="H2689">
        <v>350</v>
      </c>
      <c r="I2689">
        <f t="shared" si="388"/>
        <v>2682</v>
      </c>
      <c r="J2689" s="6">
        <f t="array" aca="1" ref="J2689:N2689" ca="1">TRANSPOSE(ols(OFFSET($C$2:$C$10,I2689,0),OFFSET($D$2:$H$10,I2689,0)))</f>
        <v>106.36904761904589</v>
      </c>
      <c r="K2689" s="6">
        <f ca="1"/>
        <v>-13.928571428571331</v>
      </c>
      <c r="L2689" s="6">
        <f ca="1"/>
        <v>-22.380952380952294</v>
      </c>
      <c r="M2689" s="6">
        <f ca="1"/>
        <v>13.690476190476375</v>
      </c>
      <c r="N2689" s="6">
        <f ca="1"/>
        <v>-0.13452380952381127</v>
      </c>
      <c r="O2689" s="6">
        <f t="shared" ca="1" si="381"/>
        <v>50.595238095236027</v>
      </c>
      <c r="P2689">
        <f t="shared" ca="1" si="389"/>
        <v>50.595238095236027</v>
      </c>
      <c r="Q2689" s="10">
        <f t="shared" ca="1" si="382"/>
        <v>50.595238095236027</v>
      </c>
      <c r="R2689" s="10">
        <f t="shared" ca="1" si="383"/>
        <v>97.678571428569967</v>
      </c>
      <c r="S2689" s="10">
        <f t="shared" ca="1" si="384"/>
        <v>-47.08333333333394</v>
      </c>
      <c r="T2689" s="10">
        <f t="shared" ca="1" si="385"/>
        <v>350</v>
      </c>
      <c r="U2689" s="10">
        <f t="shared" ca="1" si="386"/>
        <v>350</v>
      </c>
      <c r="V2689">
        <f t="shared" si="387"/>
        <v>6</v>
      </c>
    </row>
    <row r="2690" spans="1:22" x14ac:dyDescent="0.25">
      <c r="A2690">
        <v>299</v>
      </c>
      <c r="B2690">
        <v>7</v>
      </c>
      <c r="C2690">
        <v>40</v>
      </c>
      <c r="D2690">
        <v>1</v>
      </c>
      <c r="E2690">
        <v>1</v>
      </c>
      <c r="F2690">
        <v>0</v>
      </c>
      <c r="G2690">
        <v>1</v>
      </c>
      <c r="H2690">
        <v>450</v>
      </c>
      <c r="I2690">
        <f t="shared" si="388"/>
        <v>2682</v>
      </c>
      <c r="J2690" s="6">
        <f t="array" aca="1" ref="J2690:N2690" ca="1">TRANSPOSE(ols(OFFSET($C$2:$C$10,I2690,0),OFFSET($D$2:$H$10,I2690,0)))</f>
        <v>106.36904761904589</v>
      </c>
      <c r="K2690" s="6">
        <f ca="1"/>
        <v>-13.928571428571331</v>
      </c>
      <c r="L2690" s="6">
        <f ca="1"/>
        <v>-22.380952380952294</v>
      </c>
      <c r="M2690" s="6">
        <f ca="1"/>
        <v>13.690476190476375</v>
      </c>
      <c r="N2690" s="6">
        <f ca="1"/>
        <v>-0.13452380952381127</v>
      </c>
      <c r="O2690" s="6">
        <f t="shared" ca="1" si="381"/>
        <v>45.595238095235857</v>
      </c>
      <c r="P2690" t="str">
        <f t="shared" si="389"/>
        <v>NA</v>
      </c>
      <c r="Q2690" s="10">
        <f t="shared" ca="1" si="382"/>
        <v>50.595238095236027</v>
      </c>
      <c r="R2690" s="10">
        <f t="shared" ca="1" si="383"/>
        <v>106.13095238095093</v>
      </c>
      <c r="S2690" s="10">
        <f t="shared" ca="1" si="384"/>
        <v>-55.535714285714903</v>
      </c>
      <c r="T2690" s="10">
        <f t="shared" ca="1" si="385"/>
        <v>412.83185840707887</v>
      </c>
      <c r="U2690" s="10">
        <f t="shared" ca="1" si="386"/>
        <v>412.83185840707887</v>
      </c>
      <c r="V2690">
        <f t="shared" si="387"/>
        <v>5</v>
      </c>
    </row>
    <row r="2691" spans="1:22" x14ac:dyDescent="0.25">
      <c r="A2691">
        <v>299</v>
      </c>
      <c r="B2691">
        <v>8</v>
      </c>
      <c r="C2691">
        <v>35</v>
      </c>
      <c r="D2691">
        <v>1</v>
      </c>
      <c r="E2691">
        <v>1</v>
      </c>
      <c r="F2691">
        <v>0</v>
      </c>
      <c r="G2691">
        <v>1</v>
      </c>
      <c r="H2691">
        <v>550</v>
      </c>
      <c r="I2691">
        <f t="shared" si="388"/>
        <v>2682</v>
      </c>
      <c r="J2691" s="6">
        <f t="array" aca="1" ref="J2691:N2691" ca="1">TRANSPOSE(ols(OFFSET($C$2:$C$10,I2691,0),OFFSET($D$2:$H$10,I2691,0)))</f>
        <v>106.36904761904589</v>
      </c>
      <c r="K2691" s="6">
        <f ca="1"/>
        <v>-13.928571428571331</v>
      </c>
      <c r="L2691" s="6">
        <f ca="1"/>
        <v>-22.380952380952294</v>
      </c>
      <c r="M2691" s="6">
        <f ca="1"/>
        <v>13.690476190476375</v>
      </c>
      <c r="N2691" s="6">
        <f ca="1"/>
        <v>-0.13452380952381127</v>
      </c>
      <c r="O2691" s="6">
        <f t="shared" ref="O2691:O2692" ca="1" si="390">SUMPRODUCT(J2691:N2691,D2691:H2691)</f>
        <v>32.142857142854737</v>
      </c>
      <c r="P2691" t="str">
        <f t="shared" si="389"/>
        <v>NA</v>
      </c>
      <c r="Q2691" s="10">
        <f t="shared" ref="Q2691:Q2692" ca="1" si="391">AVERAGEIF($A$2:$A$5383,A2691,$P$2:$P$5383)</f>
        <v>50.595238095236027</v>
      </c>
      <c r="R2691" s="10">
        <f t="shared" ref="R2691:R2692" ca="1" si="392">O2691-N2691*H2691</f>
        <v>106.13095238095093</v>
      </c>
      <c r="S2691" s="10">
        <f t="shared" ref="S2691:S2692" ca="1" si="393">Q2691-R2691</f>
        <v>-55.535714285714903</v>
      </c>
      <c r="T2691" s="10">
        <f t="shared" ref="T2691:T2692" ca="1" si="394">S2691/N2691</f>
        <v>412.83185840707887</v>
      </c>
      <c r="U2691" s="10">
        <f t="shared" ref="U2691:U2692" ca="1" si="395">IF(OR(T2691&lt;250,T2691&gt;650),"OR",T2691)</f>
        <v>412.83185840707887</v>
      </c>
      <c r="V2691">
        <f t="shared" ref="V2691:V2692" si="396">IF(AND(E2691=1,G2691=0),2,IF(AND(F2691=1,G2691=0),3,IF(AND(E2691=1,G2691=1),5,IF(AND(F2691=1,G2691=1),6,IF(G2691=0,1,IF(G2691=1,4))))))</f>
        <v>5</v>
      </c>
    </row>
    <row r="2692" spans="1:22" x14ac:dyDescent="0.25">
      <c r="A2692">
        <v>299</v>
      </c>
      <c r="B2692">
        <v>9</v>
      </c>
      <c r="C2692">
        <v>40</v>
      </c>
      <c r="D2692">
        <v>1</v>
      </c>
      <c r="E2692">
        <v>0</v>
      </c>
      <c r="F2692">
        <v>0</v>
      </c>
      <c r="G2692">
        <v>1</v>
      </c>
      <c r="H2692">
        <v>650</v>
      </c>
      <c r="I2692">
        <f t="shared" si="388"/>
        <v>2682</v>
      </c>
      <c r="J2692" s="6">
        <f t="array" aca="1" ref="J2692:N2692" ca="1">TRANSPOSE(ols(OFFSET($C$2:$C$10,I2692,0),OFFSET($D$2:$H$10,I2692,0)))</f>
        <v>106.36904761904589</v>
      </c>
      <c r="K2692" s="6">
        <f ca="1"/>
        <v>-13.928571428571331</v>
      </c>
      <c r="L2692" s="6">
        <f ca="1"/>
        <v>-22.380952380952294</v>
      </c>
      <c r="M2692" s="6">
        <f ca="1"/>
        <v>13.690476190476375</v>
      </c>
      <c r="N2692" s="6">
        <f ca="1"/>
        <v>-0.13452380952381127</v>
      </c>
      <c r="O2692" s="6">
        <f t="shared" ca="1" si="390"/>
        <v>32.619047619044935</v>
      </c>
      <c r="P2692" t="str">
        <f t="shared" si="389"/>
        <v>NA</v>
      </c>
      <c r="Q2692" s="10">
        <f t="shared" ca="1" si="391"/>
        <v>50.595238095236027</v>
      </c>
      <c r="R2692" s="10">
        <f t="shared" ca="1" si="392"/>
        <v>120.05952380952226</v>
      </c>
      <c r="S2692" s="10">
        <f t="shared" ca="1" si="393"/>
        <v>-69.464285714286234</v>
      </c>
      <c r="T2692" s="10">
        <f t="shared" ca="1" si="394"/>
        <v>516.37168141592633</v>
      </c>
      <c r="U2692" s="10">
        <f t="shared" ca="1" si="395"/>
        <v>516.37168141592633</v>
      </c>
      <c r="V2692">
        <f t="shared" si="396"/>
        <v>4</v>
      </c>
    </row>
  </sheetData>
  <pageMargins left="0.7" right="0.7" top="0.75" bottom="0.75" header="0.3" footer="0.3"/>
  <ignoredErrors>
    <ignoredError sqref="O2:O2692" formulaRange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50"/>
  </sheetPr>
  <dimension ref="B3:S19"/>
  <sheetViews>
    <sheetView workbookViewId="0"/>
  </sheetViews>
  <sheetFormatPr defaultRowHeight="15" x14ac:dyDescent="0.25"/>
  <cols>
    <col min="2" max="2" width="8.140625" bestFit="1" customWidth="1"/>
    <col min="3" max="3" width="8.140625" customWidth="1"/>
    <col min="4" max="4" width="9.7109375" bestFit="1" customWidth="1"/>
    <col min="5" max="7" width="8.85546875" customWidth="1"/>
    <col min="9" max="9" width="16.7109375" bestFit="1" customWidth="1"/>
    <col min="10" max="11" width="9.140625" customWidth="1"/>
    <col min="13" max="13" width="16.7109375" bestFit="1" customWidth="1"/>
    <col min="17" max="17" width="16.7109375" bestFit="1" customWidth="1"/>
  </cols>
  <sheetData>
    <row r="3" spans="2:19" x14ac:dyDescent="0.25">
      <c r="B3" s="1" t="s">
        <v>28</v>
      </c>
      <c r="C3" s="1" t="s">
        <v>32</v>
      </c>
      <c r="D3" s="1" t="s">
        <v>37</v>
      </c>
      <c r="E3" s="1"/>
      <c r="F3" s="1"/>
      <c r="G3" s="1"/>
      <c r="I3" s="15" t="s">
        <v>9</v>
      </c>
      <c r="J3" s="15"/>
      <c r="K3" s="15"/>
      <c r="M3" s="15" t="s">
        <v>12</v>
      </c>
      <c r="N3" s="15"/>
      <c r="O3" s="15"/>
      <c r="Q3" s="15" t="s">
        <v>13</v>
      </c>
      <c r="R3" s="15"/>
      <c r="S3" s="15"/>
    </row>
    <row r="4" spans="2:19" x14ac:dyDescent="0.25">
      <c r="B4" s="1">
        <v>1</v>
      </c>
      <c r="C4" s="1" t="s">
        <v>33</v>
      </c>
      <c r="D4" s="1" t="s">
        <v>35</v>
      </c>
      <c r="E4" s="14">
        <v>36596.309125951411</v>
      </c>
      <c r="F4" s="14">
        <f>SQRT(E4)</f>
        <v>191.30161820003357</v>
      </c>
      <c r="G4" s="14">
        <v>415.89724830414633</v>
      </c>
      <c r="I4" s="4"/>
      <c r="J4" s="4" t="s">
        <v>10</v>
      </c>
      <c r="K4" s="1" t="s">
        <v>11</v>
      </c>
      <c r="M4" s="4"/>
      <c r="N4" s="4" t="s">
        <v>10</v>
      </c>
      <c r="O4" s="1" t="s">
        <v>11</v>
      </c>
      <c r="Q4" s="4"/>
      <c r="R4" s="4" t="s">
        <v>10</v>
      </c>
      <c r="S4" s="1" t="s">
        <v>11</v>
      </c>
    </row>
    <row r="5" spans="2:19" x14ac:dyDescent="0.25">
      <c r="B5" s="1">
        <v>2</v>
      </c>
      <c r="C5" s="1" t="s">
        <v>34</v>
      </c>
      <c r="D5" s="1" t="s">
        <v>35</v>
      </c>
      <c r="E5" s="14">
        <v>26716.024646060239</v>
      </c>
      <c r="F5" s="14">
        <f t="shared" ref="F5:F9" si="0">SQRT(E5)</f>
        <v>163.45037364919128</v>
      </c>
      <c r="G5" s="14">
        <v>400.51433163234123</v>
      </c>
      <c r="I5" s="1" t="s">
        <v>6</v>
      </c>
      <c r="J5" s="5">
        <f>G4</f>
        <v>415.89724830414633</v>
      </c>
      <c r="K5" s="5">
        <f>G7</f>
        <v>442.58078122306438</v>
      </c>
      <c r="M5" s="1" t="s">
        <v>6</v>
      </c>
      <c r="N5" s="5">
        <f>G5</f>
        <v>400.51433163234123</v>
      </c>
      <c r="O5" s="5">
        <f>G8</f>
        <v>436.01467103771614</v>
      </c>
      <c r="Q5" s="1" t="s">
        <v>6</v>
      </c>
      <c r="R5" s="5">
        <f>G6</f>
        <v>303.57830616529822</v>
      </c>
      <c r="S5" s="5">
        <f>G9</f>
        <v>350</v>
      </c>
    </row>
    <row r="6" spans="2:19" x14ac:dyDescent="0.25">
      <c r="B6" s="1">
        <v>3</v>
      </c>
      <c r="C6" s="1" t="s">
        <v>36</v>
      </c>
      <c r="D6" s="1" t="s">
        <v>35</v>
      </c>
      <c r="E6" s="14">
        <v>19889.816209226421</v>
      </c>
      <c r="F6" s="14">
        <f t="shared" si="0"/>
        <v>141.03125968815007</v>
      </c>
      <c r="G6" s="14">
        <v>303.57830616529822</v>
      </c>
      <c r="I6" s="1" t="s">
        <v>7</v>
      </c>
      <c r="J6" s="5">
        <f>F4</f>
        <v>191.30161820003357</v>
      </c>
      <c r="K6" s="5">
        <f>F7</f>
        <v>171.90325622779216</v>
      </c>
      <c r="M6" s="1" t="s">
        <v>7</v>
      </c>
      <c r="N6" s="5">
        <f>F5</f>
        <v>163.45037364919128</v>
      </c>
      <c r="O6" s="5">
        <f>F8</f>
        <v>138.58209094024292</v>
      </c>
      <c r="Q6" s="1" t="s">
        <v>7</v>
      </c>
      <c r="R6" s="5">
        <f>F6</f>
        <v>141.03125968815007</v>
      </c>
      <c r="S6" s="5">
        <f>F9</f>
        <v>0</v>
      </c>
    </row>
    <row r="7" spans="2:19" x14ac:dyDescent="0.25">
      <c r="B7" s="1">
        <v>4</v>
      </c>
      <c r="C7" s="1" t="s">
        <v>33</v>
      </c>
      <c r="D7" s="1" t="s">
        <v>16</v>
      </c>
      <c r="E7" s="14">
        <v>29550.729501717964</v>
      </c>
      <c r="F7" s="14">
        <f t="shared" si="0"/>
        <v>171.90325622779216</v>
      </c>
      <c r="G7" s="14">
        <v>442.58078122306438</v>
      </c>
      <c r="J7" s="6"/>
      <c r="K7" s="6"/>
      <c r="N7" s="6"/>
      <c r="O7" s="6"/>
      <c r="R7" s="6"/>
      <c r="S7" s="6"/>
    </row>
    <row r="8" spans="2:19" x14ac:dyDescent="0.25">
      <c r="B8" s="1">
        <v>5</v>
      </c>
      <c r="C8" s="1" t="s">
        <v>34</v>
      </c>
      <c r="D8" s="1" t="s">
        <v>16</v>
      </c>
      <c r="E8" s="14">
        <v>19204.995929369758</v>
      </c>
      <c r="F8" s="14">
        <f t="shared" si="0"/>
        <v>138.58209094024292</v>
      </c>
      <c r="G8" s="14">
        <v>436.01467103771614</v>
      </c>
      <c r="J8" s="6"/>
      <c r="K8" s="6"/>
      <c r="N8" s="6"/>
      <c r="O8" s="6"/>
      <c r="R8" s="6"/>
      <c r="S8" s="6"/>
    </row>
    <row r="9" spans="2:19" x14ac:dyDescent="0.25">
      <c r="B9" s="1">
        <v>6</v>
      </c>
      <c r="C9" s="1" t="s">
        <v>36</v>
      </c>
      <c r="D9" s="1" t="s">
        <v>16</v>
      </c>
      <c r="E9" s="14">
        <v>0</v>
      </c>
      <c r="F9" s="14">
        <f t="shared" si="0"/>
        <v>0</v>
      </c>
      <c r="G9" s="14">
        <v>350</v>
      </c>
      <c r="I9" s="8" t="s">
        <v>8</v>
      </c>
      <c r="J9" s="9">
        <v>339.77847271518249</v>
      </c>
      <c r="K9" s="9">
        <v>350.37035554304396</v>
      </c>
      <c r="M9" s="8" t="s">
        <v>8</v>
      </c>
      <c r="N9" s="9">
        <v>319.53874478863384</v>
      </c>
      <c r="O9" s="9">
        <v>338.31137030185528</v>
      </c>
      <c r="Q9" s="8" t="s">
        <v>8</v>
      </c>
      <c r="R9" s="9">
        <v>248.58524849986566</v>
      </c>
      <c r="S9" s="9"/>
    </row>
    <row r="10" spans="2:19" x14ac:dyDescent="0.25">
      <c r="I10" s="1" t="s">
        <v>1</v>
      </c>
      <c r="J10" s="5">
        <v>0</v>
      </c>
      <c r="K10" s="5">
        <v>0</v>
      </c>
      <c r="M10" s="1" t="s">
        <v>1</v>
      </c>
      <c r="N10" s="5">
        <v>0</v>
      </c>
      <c r="O10" s="5">
        <v>0</v>
      </c>
      <c r="Q10" s="1" t="s">
        <v>1</v>
      </c>
      <c r="R10" s="5">
        <v>0</v>
      </c>
      <c r="S10" s="5"/>
    </row>
    <row r="11" spans="2:19" x14ac:dyDescent="0.25">
      <c r="I11" s="1" t="s">
        <v>0</v>
      </c>
      <c r="J11" s="5">
        <v>1</v>
      </c>
      <c r="K11" s="5">
        <v>1</v>
      </c>
      <c r="M11" s="1" t="s">
        <v>0</v>
      </c>
      <c r="N11" s="5">
        <v>1</v>
      </c>
      <c r="O11" s="5">
        <v>1</v>
      </c>
      <c r="Q11" s="1" t="s">
        <v>0</v>
      </c>
      <c r="R11" s="5">
        <v>1</v>
      </c>
      <c r="S11" s="5"/>
    </row>
    <row r="12" spans="2:19" x14ac:dyDescent="0.25">
      <c r="I12" s="3"/>
      <c r="J12" s="6"/>
      <c r="K12" s="6"/>
      <c r="M12" s="3"/>
      <c r="N12" s="6"/>
      <c r="O12" s="6"/>
      <c r="Q12" s="3"/>
      <c r="R12" s="6"/>
      <c r="S12" s="6"/>
    </row>
    <row r="13" spans="2:19" x14ac:dyDescent="0.25">
      <c r="J13" s="6"/>
      <c r="K13" s="6"/>
      <c r="N13" s="6"/>
      <c r="O13" s="6"/>
      <c r="R13" s="6"/>
      <c r="S13" s="6"/>
    </row>
    <row r="14" spans="2:19" x14ac:dyDescent="0.25">
      <c r="I14" s="1" t="s">
        <v>5</v>
      </c>
      <c r="J14" s="5">
        <f>_xlfn.NORM.DIST(J9,J5,J6,TRUE)</f>
        <v>0.34535221646813108</v>
      </c>
      <c r="K14" s="5">
        <f>_xlfn.NORM.DIST(K9,K5,K6,TRUE)</f>
        <v>0.29583801278593924</v>
      </c>
      <c r="M14" s="1" t="s">
        <v>5</v>
      </c>
      <c r="N14" s="5">
        <f>_xlfn.NORM.DIST(N9,N5,N6,TRUE)</f>
        <v>0.3101539929342485</v>
      </c>
      <c r="O14" s="5">
        <f>_xlfn.NORM.DIST(O9,O5,O6,TRUE)</f>
        <v>0.24039854696917184</v>
      </c>
      <c r="Q14" s="1" t="s">
        <v>5</v>
      </c>
      <c r="R14" s="5">
        <f>_xlfn.NORM.DIST(R9,R5,R6,TRUE)</f>
        <v>0.34829221845475467</v>
      </c>
      <c r="S14" s="5"/>
    </row>
    <row r="15" spans="2:19" x14ac:dyDescent="0.25">
      <c r="I15" s="1" t="s">
        <v>2</v>
      </c>
      <c r="J15" s="5">
        <f>(1-J14)</f>
        <v>0.65464778353186892</v>
      </c>
      <c r="K15" s="5">
        <f>(1-K14)</f>
        <v>0.70416198721406076</v>
      </c>
      <c r="M15" s="1" t="s">
        <v>2</v>
      </c>
      <c r="N15" s="5">
        <f>(1-N14)</f>
        <v>0.6898460070657515</v>
      </c>
      <c r="O15" s="5">
        <f>(1-O14)</f>
        <v>0.75960145303082816</v>
      </c>
      <c r="Q15" s="1" t="s">
        <v>2</v>
      </c>
      <c r="R15" s="5">
        <f>(1-R14)</f>
        <v>0.65170778154524533</v>
      </c>
      <c r="S15" s="5"/>
    </row>
    <row r="16" spans="2:19" x14ac:dyDescent="0.25">
      <c r="I16" s="1" t="s">
        <v>3</v>
      </c>
      <c r="J16" s="5">
        <f>J15*J11</f>
        <v>0.65464778353186892</v>
      </c>
      <c r="K16" s="5">
        <f>K15*K11</f>
        <v>0.70416198721406076</v>
      </c>
      <c r="M16" s="1" t="s">
        <v>3</v>
      </c>
      <c r="N16" s="5">
        <f>N15*N11</f>
        <v>0.6898460070657515</v>
      </c>
      <c r="O16" s="5">
        <f>O15*O11</f>
        <v>0.75960145303082816</v>
      </c>
      <c r="Q16" s="1" t="s">
        <v>3</v>
      </c>
      <c r="R16" s="5">
        <f>R15*R11</f>
        <v>0.65170778154524533</v>
      </c>
      <c r="S16" s="5"/>
    </row>
    <row r="17" spans="9:19" x14ac:dyDescent="0.25">
      <c r="I17" s="3"/>
      <c r="J17" s="6"/>
      <c r="K17" s="6"/>
      <c r="M17" s="3"/>
      <c r="N17" s="6"/>
      <c r="O17" s="6"/>
      <c r="Q17" s="3"/>
      <c r="R17" s="6"/>
      <c r="S17" s="6"/>
    </row>
    <row r="18" spans="9:19" x14ac:dyDescent="0.25">
      <c r="J18" s="6"/>
      <c r="K18" s="6"/>
      <c r="N18" s="6"/>
      <c r="O18" s="6"/>
      <c r="R18" s="6"/>
      <c r="S18" s="6"/>
    </row>
    <row r="19" spans="9:19" x14ac:dyDescent="0.25">
      <c r="I19" s="2" t="s">
        <v>4</v>
      </c>
      <c r="J19" s="7">
        <f>(J9-J10)*J16</f>
        <v>222.43522405483782</v>
      </c>
      <c r="K19" s="7">
        <f>(K9-K10)*K16</f>
        <v>246.71748582008684</v>
      </c>
      <c r="M19" s="2" t="s">
        <v>4</v>
      </c>
      <c r="N19" s="7">
        <f>(N9-N10)*N16</f>
        <v>220.43252719524125</v>
      </c>
      <c r="O19" s="7">
        <f>(O9-O10)*O16</f>
        <v>256.98180845813982</v>
      </c>
      <c r="Q19" s="2" t="s">
        <v>4</v>
      </c>
      <c r="R19" s="7">
        <f>(R9-R10)*R16</f>
        <v>162.00494082472096</v>
      </c>
      <c r="S19" s="7"/>
    </row>
  </sheetData>
  <mergeCells count="3">
    <mergeCell ref="I3:K3"/>
    <mergeCell ref="M3:O3"/>
    <mergeCell ref="Q3:S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STEP-1-4</vt:lpstr>
      <vt:lpstr>STEP-5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Haugom</dc:creator>
  <cp:lastModifiedBy>Erik Haugom</cp:lastModifiedBy>
  <dcterms:created xsi:type="dcterms:W3CDTF">2018-11-01T14:23:33Z</dcterms:created>
  <dcterms:modified xsi:type="dcterms:W3CDTF">2020-05-07T08:57:20Z</dcterms:modified>
</cp:coreProperties>
</file>